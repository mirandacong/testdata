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45" yWindow="585" windowWidth="19155" windowHeight="6510" tabRatio="817" firstSheet="1" activeTab="1"/>
  </bookViews>
  <sheets>
    <sheet name="__FDSCACHE__" sheetId="7" state="veryHidden" r:id="rId1"/>
    <sheet name="ImportantDisclosures" sheetId="52" r:id="rId2"/>
    <sheet name="IS" sheetId="1" r:id="rId3"/>
    <sheet name="MW-Cache" sheetId="9" state="veryHidden" r:id="rId4"/>
    <sheet name="BS" sheetId="2" r:id="rId5"/>
    <sheet name="CFS" sheetId="3" r:id="rId6"/>
    <sheet name="BU-Segment" sheetId="39" r:id="rId7"/>
    <sheet name="IndexInformation" sheetId="53" r:id="rId8"/>
    <sheet name="ModPubIndex" sheetId="54" r:id="rId9"/>
  </sheets>
  <externalReferences>
    <externalReference r:id="rId10"/>
    <externalReference r:id="rId11"/>
    <externalReference r:id="rId12"/>
  </externalReferences>
  <definedNames>
    <definedName name="__FDS_HYPERLINK_TOGGLE_STATE__" hidden="1">"ON"</definedName>
    <definedName name="__FDS_UNIQUE_RANGE_ID_GENERATOR_COUNTER" hidden="1">1</definedName>
    <definedName name="_1__FDSAUDITLINK__" localSheetId="6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0__FDSAUDITLINK__" localSheetId="6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0__FDSAUDITLINK__" localSheetId="6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localSheetId="6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localSheetId="6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localSheetId="6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localSheetId="6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localSheetId="6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localSheetId="6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localSheetId="6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localSheetId="6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localSheetId="6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localSheetId="6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localSheetId="6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localSheetId="6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localSheetId="6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localSheetId="6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localSheetId="6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localSheetId="6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localSheetId="6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localSheetId="6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localSheetId="6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localSheetId="6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localSheetId="6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localSheetId="6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localSheetId="6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localSheetId="6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localSheetId="6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localSheetId="6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localSheetId="6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localSheetId="6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localSheetId="6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localSheetId="6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localSheetId="6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localSheetId="6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localSheetId="6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localSheetId="6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localSheetId="6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localSheetId="6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localSheetId="6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localSheetId="6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localSheetId="6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localSheetId="6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localSheetId="6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localSheetId="6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localSheetId="6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localSheetId="6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localSheetId="6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localSheetId="6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localSheetId="6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localSheetId="6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localSheetId="6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localSheetId="6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localSheetId="6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localSheetId="6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localSheetId="6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localSheetId="6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localSheetId="6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localSheetId="6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localSheetId="6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localSheetId="6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localSheetId="6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localSheetId="6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localSheetId="6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localSheetId="6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localSheetId="6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localSheetId="6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localSheetId="6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localSheetId="6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localSheetId="6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localSheetId="6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localSheetId="6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localSheetId="6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localSheetId="6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localSheetId="6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localSheetId="6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localSheetId="6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localSheetId="6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localSheetId="6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localSheetId="6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localSheetId="6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localSheetId="6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localSheetId="6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localSheetId="6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localSheetId="6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localSheetId="6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localSheetId="6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localSheetId="6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localSheetId="6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localSheetId="6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localSheetId="6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localSheetId="6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localSheetId="6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localSheetId="6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localSheetId="6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localSheetId="6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localSheetId="6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localSheetId="6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localSheetId="6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localSheetId="6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localSheetId="6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localSheetId="6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localSheetId="6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localSheetId="6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localSheetId="6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localSheetId="6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localSheetId="6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localSheetId="6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localSheetId="6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localSheetId="6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localSheetId="6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localSheetId="6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localSheetId="6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0__FDSAUDITLINK__" localSheetId="6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localSheetId="6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localSheetId="6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localSheetId="6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localSheetId="6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localSheetId="6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localSheetId="6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localSheetId="6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localSheetId="6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localSheetId="6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localSheetId="6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localSheetId="6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localSheetId="6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localSheetId="6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localSheetId="6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localSheetId="6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localSheetId="6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localSheetId="6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localSheetId="6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localSheetId="6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localSheetId="6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localSheetId="6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localSheetId="6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localSheetId="6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localSheetId="6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localSheetId="6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localSheetId="6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localSheetId="6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localSheetId="6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localSheetId="6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localSheetId="6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localSheetId="6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localSheetId="6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localSheetId="6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localSheetId="6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localSheetId="6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localSheetId="6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localSheetId="6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localSheetId="6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localSheetId="6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localSheetId="6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localSheetId="6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localSheetId="6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localSheetId="6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localSheetId="6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localSheetId="6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localSheetId="6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localSheetId="6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localSheetId="6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localSheetId="6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localSheetId="6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localSheetId="6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localSheetId="6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localSheetId="6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localSheetId="6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localSheetId="6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localSheetId="6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localSheetId="6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localSheetId="6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localSheetId="6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localSheetId="6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localSheetId="6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localSheetId="6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localSheetId="6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localSheetId="6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localSheetId="6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localSheetId="6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localSheetId="6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localSheetId="6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localSheetId="6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localSheetId="6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localSheetId="6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localSheetId="6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localSheetId="6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localSheetId="6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localSheetId="6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localSheetId="6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localSheetId="6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localSheetId="6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localSheetId="6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localSheetId="6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localSheetId="6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localSheetId="6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localSheetId="6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localSheetId="6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localSheetId="6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localSheetId="6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localSheetId="6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localSheetId="6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localSheetId="6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localSheetId="6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localSheetId="6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localSheetId="6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localSheetId="6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localSheetId="6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localSheetId="6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localSheetId="6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localSheetId="6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localSheetId="6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localSheetId="6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localSheetId="6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localSheetId="6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localSheetId="6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localSheetId="6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localSheetId="6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localSheetId="6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localSheetId="6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localSheetId="6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localSheetId="6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localSheetId="6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localSheetId="6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localSheetId="6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localSheetId="6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localSheetId="6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localSheetId="6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localSheetId="6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localSheetId="6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localSheetId="6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localSheetId="6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localSheetId="6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localSheetId="6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localSheetId="6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localSheetId="6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localSheetId="6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localSheetId="6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localSheetId="6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localSheetId="6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localSheetId="6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localSheetId="6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localSheetId="6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localSheetId="6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localSheetId="6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localSheetId="6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localSheetId="6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localSheetId="6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localSheetId="6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localSheetId="6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localSheetId="6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localSheetId="6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localSheetId="6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localSheetId="6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localSheetId="6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localSheetId="6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localSheetId="6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localSheetId="6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localSheetId="6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localSheetId="6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localSheetId="6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localSheetId="6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localSheetId="6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localSheetId="6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localSheetId="6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localSheetId="6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localSheetId="6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localSheetId="6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localSheetId="6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localSheetId="6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localSheetId="6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localSheetId="6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localSheetId="6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localSheetId="6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localSheetId="6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localSheetId="6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localSheetId="6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localSheetId="6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localSheetId="6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localSheetId="6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localSheetId="6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localSheetId="6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localSheetId="6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localSheetId="6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localSheetId="6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localSheetId="6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localSheetId="6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localSheetId="6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localSheetId="6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localSheetId="6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localSheetId="6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localSheetId="6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localSheetId="6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localSheetId="6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localSheetId="6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localSheetId="6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localSheetId="6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localSheetId="6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localSheetId="6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localSheetId="6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localSheetId="6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localSheetId="6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localSheetId="6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localSheetId="6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localSheetId="6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localSheetId="6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localSheetId="6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localSheetId="6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localSheetId="6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localSheetId="6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localSheetId="6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localSheetId="6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localSheetId="6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localSheetId="6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localSheetId="6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localSheetId="6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localSheetId="6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localSheetId="6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localSheetId="6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localSheetId="6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localSheetId="6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localSheetId="6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localSheetId="6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localSheetId="6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localSheetId="6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localSheetId="6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localSheetId="6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localSheetId="6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localSheetId="6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localSheetId="6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localSheetId="6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localSheetId="6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localSheetId="6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localSheetId="6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localSheetId="6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localSheetId="6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localSheetId="6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localSheetId="6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localSheetId="6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localSheetId="6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localSheetId="6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localSheetId="6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localSheetId="6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localSheetId="6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localSheetId="6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localSheetId="6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localSheetId="6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localSheetId="6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localSheetId="6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localSheetId="6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localSheetId="6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localSheetId="6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localSheetId="6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localSheetId="6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localSheetId="6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localSheetId="6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localSheetId="6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localSheetId="6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localSheetId="6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localSheetId="6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localSheetId="6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localSheetId="6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localSheetId="6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localSheetId="6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localSheetId="6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localSheetId="6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localSheetId="6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localSheetId="6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localSheetId="6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localSheetId="6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localSheetId="6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localSheetId="6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localSheetId="6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localSheetId="6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localSheetId="6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localSheetId="6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localSheetId="6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localSheetId="6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localSheetId="6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localSheetId="6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localSheetId="6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localSheetId="6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localSheetId="6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localSheetId="6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localSheetId="6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localSheetId="6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localSheetId="6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localSheetId="6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localSheetId="6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localSheetId="6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localSheetId="6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localSheetId="6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localSheetId="6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localSheetId="6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localSheetId="6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localSheetId="6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localSheetId="6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localSheetId="6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localSheetId="6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localSheetId="6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localSheetId="6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localSheetId="6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localSheetId="6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localSheetId="6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localSheetId="6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localSheetId="6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localSheetId="6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localSheetId="6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localSheetId="6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localSheetId="6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localSheetId="6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localSheetId="6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localSheetId="6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localSheetId="6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localSheetId="6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localSheetId="6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localSheetId="6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localSheetId="6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localSheetId="6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localSheetId="6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localSheetId="6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localSheetId="6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localSheetId="6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localSheetId="6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localSheetId="6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localSheetId="6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localSheetId="6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localSheetId="6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localSheetId="6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localSheetId="6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localSheetId="6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localSheetId="6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localSheetId="6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localSheetId="6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localSheetId="6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localSheetId="6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localSheetId="6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localSheetId="6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localSheetId="6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localSheetId="6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localSheetId="6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localSheetId="6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localSheetId="6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localSheetId="6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localSheetId="6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localSheetId="6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localSheetId="6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localSheetId="6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localSheetId="6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localSheetId="6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localSheetId="6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localSheetId="6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localSheetId="6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localSheetId="6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localSheetId="6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localSheetId="6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localSheetId="6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localSheetId="6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localSheetId="6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localSheetId="6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localSheetId="6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localSheetId="6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localSheetId="6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localSheetId="6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localSheetId="6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localSheetId="6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localSheetId="6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localSheetId="6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localSheetId="6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localSheetId="6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localSheetId="6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localSheetId="6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localSheetId="6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localSheetId="6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localSheetId="6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localSheetId="6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localSheetId="6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localSheetId="6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localSheetId="6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localSheetId="6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localSheetId="6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localSheetId="6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localSheetId="6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localSheetId="6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localSheetId="6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localSheetId="6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localSheetId="6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localSheetId="6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localSheetId="6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localSheetId="6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localSheetId="6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localSheetId="6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localSheetId="6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localSheetId="6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localSheetId="6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localSheetId="6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localSheetId="6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localSheetId="6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localSheetId="6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localSheetId="6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localSheetId="6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localSheetId="6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localSheetId="6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localSheetId="6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localSheetId="6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localSheetId="6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localSheetId="6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localSheetId="6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localSheetId="6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localSheetId="6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localSheetId="6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localSheetId="6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localSheetId="6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localSheetId="6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localSheetId="6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localSheetId="6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localSheetId="6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localSheetId="6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localSheetId="6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localSheetId="6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localSheetId="6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localSheetId="6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localSheetId="6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localSheetId="6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localSheetId="6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localSheetId="6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localSheetId="6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localSheetId="6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localSheetId="6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localSheetId="6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localSheetId="6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localSheetId="6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localSheetId="6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localSheetId="6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localSheetId="6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localSheetId="6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localSheetId="6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localSheetId="6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localSheetId="6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localSheetId="6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localSheetId="6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localSheetId="6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localSheetId="6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localSheetId="6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localSheetId="6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localSheetId="6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localSheetId="6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localSheetId="6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localSheetId="6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localSheetId="6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localSheetId="6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localSheetId="6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localSheetId="6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localSheetId="6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localSheetId="6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localSheetId="6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localSheetId="6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localSheetId="6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localSheetId="6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localSheetId="6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localSheetId="6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localSheetId="6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localSheetId="6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localSheetId="6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localSheetId="6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localSheetId="6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localSheetId="6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localSheetId="6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localSheetId="6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localSheetId="6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localSheetId="6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localSheetId="6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localSheetId="6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localSheetId="6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localSheetId="6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localSheetId="6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localSheetId="6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localSheetId="6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localSheetId="6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localSheetId="6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localSheetId="6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localSheetId="6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localSheetId="6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localSheetId="6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localSheetId="6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localSheetId="6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localSheetId="6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localSheetId="6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localSheetId="6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localSheetId="6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localSheetId="6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localSheetId="6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localSheetId="6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localSheetId="6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localSheetId="6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localSheetId="6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localSheetId="6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localSheetId="6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localSheetId="6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localSheetId="6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localSheetId="6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localSheetId="6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localSheetId="6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localSheetId="6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localSheetId="6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localSheetId="6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localSheetId="6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localSheetId="6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localSheetId="6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localSheetId="6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localSheetId="6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localSheetId="6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localSheetId="6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localSheetId="6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localSheetId="6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localSheetId="6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localSheetId="6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localSheetId="6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localSheetId="6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localSheetId="6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localSheetId="6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localSheetId="6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localSheetId="6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localSheetId="6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localSheetId="6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localSheetId="6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localSheetId="6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localSheetId="6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localSheetId="6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localSheetId="6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localSheetId="6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localSheetId="6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localSheetId="6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localSheetId="6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localSheetId="6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localSheetId="6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localSheetId="6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localSheetId="6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localSheetId="6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localSheetId="6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localSheetId="6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localSheetId="6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localSheetId="6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localSheetId="6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localSheetId="6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localSheetId="6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localSheetId="6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localSheetId="6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localSheetId="6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localSheetId="6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localSheetId="6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localSheetId="6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localSheetId="6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localSheetId="6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localSheetId="6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localSheetId="6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localSheetId="6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localSheetId="6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localSheetId="6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localSheetId="6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localSheetId="6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localSheetId="6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localSheetId="6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localSheetId="6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localSheetId="6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localSheetId="6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localSheetId="6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localSheetId="6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localSheetId="6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localSheetId="6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localSheetId="6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localSheetId="6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localSheetId="6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localSheetId="6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localSheetId="6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localSheetId="6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localSheetId="6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localSheetId="6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localSheetId="6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localSheetId="6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localSheetId="6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localSheetId="6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localSheetId="6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0__FDSAUDITLINK__" localSheetId="6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localSheetId="6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localSheetId="6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localSheetId="6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localSheetId="6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localSheetId="6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localSheetId="6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localSheetId="6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localSheetId="6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localSheetId="6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localSheetId="6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localSheetId="6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localSheetId="6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localSheetId="6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localSheetId="6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localSheetId="6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localSheetId="6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localSheetId="6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localSheetId="6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localSheetId="6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localSheetId="6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localSheetId="6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localSheetId="6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localSheetId="6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localSheetId="6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localSheetId="6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localSheetId="6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localSheetId="6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localSheetId="6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localSheetId="6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localSheetId="6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localSheetId="6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localSheetId="6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localSheetId="6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localSheetId="6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localSheetId="6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localSheetId="6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localSheetId="6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localSheetId="6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localSheetId="6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localSheetId="6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localSheetId="6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localSheetId="6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localSheetId="6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localSheetId="6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localSheetId="6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localSheetId="6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localSheetId="6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localSheetId="6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localSheetId="6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localSheetId="6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localSheetId="6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localSheetId="6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localSheetId="6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localSheetId="6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localSheetId="6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localSheetId="6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localSheetId="6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localSheetId="6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localSheetId="6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localSheetId="6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localSheetId="6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localSheetId="6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localSheetId="6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localSheetId="6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localSheetId="6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localSheetId="6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localSheetId="6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localSheetId="6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localSheetId="6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localSheetId="6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localSheetId="6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localSheetId="6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localSheetId="6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localSheetId="6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localSheetId="6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localSheetId="6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localSheetId="6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localSheetId="6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localSheetId="6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localSheetId="6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localSheetId="6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localSheetId="6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localSheetId="6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localSheetId="6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localSheetId="6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localSheetId="6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localSheetId="6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localSheetId="6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localSheetId="6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localSheetId="6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localSheetId="6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localSheetId="6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localSheetId="6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localSheetId="6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localSheetId="6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localSheetId="6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localSheetId="6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localSheetId="6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localSheetId="6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localSheetId="6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localSheetId="6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localSheetId="6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localSheetId="6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localSheetId="6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localSheetId="6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localSheetId="6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localSheetId="6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localSheetId="6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localSheetId="6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localSheetId="6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localSheetId="6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localSheetId="6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localSheetId="6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localSheetId="6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localSheetId="6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localSheetId="6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localSheetId="6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localSheetId="6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localSheetId="6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localSheetId="6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localSheetId="6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localSheetId="6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localSheetId="6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localSheetId="6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localSheetId="6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localSheetId="6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localSheetId="6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localSheetId="6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localSheetId="6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localSheetId="6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localSheetId="6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localSheetId="6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localSheetId="6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localSheetId="6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localSheetId="6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localSheetId="6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localSheetId="6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localSheetId="6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localSheetId="6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localSheetId="6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localSheetId="6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localSheetId="6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localSheetId="6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localSheetId="6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localSheetId="6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localSheetId="6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localSheetId="6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localSheetId="6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localSheetId="6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localSheetId="6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localSheetId="6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localSheetId="6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localSheetId="6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localSheetId="6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localSheetId="6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localSheetId="6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localSheetId="6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localSheetId="6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localSheetId="6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localSheetId="6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localSheetId="6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localSheetId="6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localSheetId="6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localSheetId="6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localSheetId="6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localSheetId="6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localSheetId="6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localSheetId="6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localSheetId="6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localSheetId="6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localSheetId="6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localSheetId="6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localSheetId="6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localSheetId="6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localSheetId="6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localSheetId="6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localSheetId="6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localSheetId="6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localSheetId="6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localSheetId="6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localSheetId="6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localSheetId="6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localSheetId="6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localSheetId="6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localSheetId="6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localSheetId="6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localSheetId="6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localSheetId="6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localSheetId="6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localSheetId="6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localSheetId="6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localSheetId="6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localSheetId="6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localSheetId="6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localSheetId="6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localSheetId="6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localSheetId="6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localSheetId="6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localSheetId="6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localSheetId="6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localSheetId="6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localSheetId="6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localSheetId="6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localSheetId="6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localSheetId="6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localSheetId="6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localSheetId="6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localSheetId="6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localSheetId="6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localSheetId="6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localSheetId="6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localSheetId="6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localSheetId="6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localSheetId="6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localSheetId="6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localSheetId="6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localSheetId="6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localSheetId="6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localSheetId="6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localSheetId="6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localSheetId="6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localSheetId="6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localSheetId="6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localSheetId="6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localSheetId="6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localSheetId="6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localSheetId="6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localSheetId="6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localSheetId="6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localSheetId="6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localSheetId="6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localSheetId="6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localSheetId="6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localSheetId="6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localSheetId="6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localSheetId="6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localSheetId="6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localSheetId="6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localSheetId="6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localSheetId="6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localSheetId="6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localSheetId="6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localSheetId="6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localSheetId="6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localSheetId="6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localSheetId="6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localSheetId="6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localSheetId="6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localSheetId="6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localSheetId="6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localSheetId="6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localSheetId="6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localSheetId="6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localSheetId="6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localSheetId="6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localSheetId="6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localSheetId="6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localSheetId="6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localSheetId="6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localSheetId="6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localSheetId="6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localSheetId="6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localSheetId="6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localSheetId="6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localSheetId="6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localSheetId="6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localSheetId="6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localSheetId="6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localSheetId="6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localSheetId="6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localSheetId="6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localSheetId="6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localSheetId="6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localSheetId="6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localSheetId="6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localSheetId="6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localSheetId="6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localSheetId="6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localSheetId="6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localSheetId="6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localSheetId="6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localSheetId="6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localSheetId="6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localSheetId="6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localSheetId="6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localSheetId="6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localSheetId="6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localSheetId="6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0__FDSAUDITLINK__" localSheetId="6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localSheetId="6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localSheetId="6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localSheetId="6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localSheetId="6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localSheetId="6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localSheetId="6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localSheetId="6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localSheetId="6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localSheetId="6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localSheetId="6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localSheetId="6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localSheetId="6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localSheetId="6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localSheetId="6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localSheetId="6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localSheetId="6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localSheetId="6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localSheetId="6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localSheetId="6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localSheetId="6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localSheetId="6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localSheetId="6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localSheetId="6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localSheetId="6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localSheetId="6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localSheetId="6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localSheetId="6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localSheetId="6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localSheetId="6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localSheetId="6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localSheetId="6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localSheetId="6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localSheetId="6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localSheetId="6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localSheetId="6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localSheetId="6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localSheetId="6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localSheetId="6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localSheetId="6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localSheetId="6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localSheetId="6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localSheetId="6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localSheetId="6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localSheetId="6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localSheetId="6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localSheetId="6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localSheetId="6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localSheetId="6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localSheetId="6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localSheetId="6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localSheetId="6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localSheetId="6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localSheetId="6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localSheetId="6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localSheetId="6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localSheetId="6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localSheetId="6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localSheetId="6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localSheetId="6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localSheetId="6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localSheetId="6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localSheetId="6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localSheetId="6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localSheetId="6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localSheetId="6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localSheetId="6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localSheetId="6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localSheetId="6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localSheetId="6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localSheetId="6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localSheetId="6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localSheetId="6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localSheetId="6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localSheetId="6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localSheetId="6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localSheetId="6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localSheetId="6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localSheetId="6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localSheetId="6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localSheetId="6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localSheetId="6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localSheetId="6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localSheetId="6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localSheetId="6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localSheetId="6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localSheetId="6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localSheetId="6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localSheetId="6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localSheetId="6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localSheetId="6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localSheetId="6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localSheetId="6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localSheetId="6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localSheetId="6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localSheetId="6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localSheetId="6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localSheetId="6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localSheetId="6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localSheetId="6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localSheetId="6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localSheetId="6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localSheetId="6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localSheetId="6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localSheetId="6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localSheetId="6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localSheetId="6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localSheetId="6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localSheetId="6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localSheetId="6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localSheetId="6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localSheetId="6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localSheetId="6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localSheetId="6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localSheetId="6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localSheetId="6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localSheetId="6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localSheetId="6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localSheetId="6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localSheetId="6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localSheetId="6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localSheetId="6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localSheetId="6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localSheetId="6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localSheetId="6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localSheetId="6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localSheetId="6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localSheetId="6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localSheetId="6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localSheetId="6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localSheetId="6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localSheetId="6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localSheetId="6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localSheetId="6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localSheetId="6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localSheetId="6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localSheetId="6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localSheetId="6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localSheetId="6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localSheetId="6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localSheetId="6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localSheetId="6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localSheetId="6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localSheetId="6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localSheetId="6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localSheetId="6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localSheetId="6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localSheetId="6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localSheetId="6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localSheetId="6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localSheetId="6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localSheetId="6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localSheetId="6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localSheetId="6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localSheetId="6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localSheetId="6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localSheetId="6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localSheetId="6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localSheetId="6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0__FDSAUDITLINK__" localSheetId="6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localSheetId="6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localSheetId="6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localSheetId="6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localSheetId="6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localSheetId="6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localSheetId="6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localSheetId="6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localSheetId="6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localSheetId="6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localSheetId="6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localSheetId="6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localSheetId="6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localSheetId="6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localSheetId="6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localSheetId="6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localSheetId="6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localSheetId="6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localSheetId="6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localSheetId="6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localSheetId="6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localSheetId="6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localSheetId="6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localSheetId="6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localSheetId="6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localSheetId="6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localSheetId="6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localSheetId="6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localSheetId="6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localSheetId="6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localSheetId="6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localSheetId="6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localSheetId="6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localSheetId="6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localSheetId="6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localSheetId="6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localSheetId="6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localSheetId="6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localSheetId="6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localSheetId="6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localSheetId="6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localSheetId="6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localSheetId="6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localSheetId="6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localSheetId="6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localSheetId="6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localSheetId="6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localSheetId="6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localSheetId="6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localSheetId="6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localSheetId="6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localSheetId="6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localSheetId="6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localSheetId="6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localSheetId="6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localSheetId="6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localSheetId="6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localSheetId="6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localSheetId="6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localSheetId="6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localSheetId="6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localSheetId="6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localSheetId="6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localSheetId="6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localSheetId="6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localSheetId="6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localSheetId="6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localSheetId="6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localSheetId="6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localSheetId="6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localSheetId="6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localSheetId="6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localSheetId="6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localSheetId="6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localSheetId="6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localSheetId="6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localSheetId="6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localSheetId="6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localSheetId="6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localSheetId="6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localSheetId="6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localSheetId="6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localSheetId="6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localSheetId="6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localSheetId="6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localSheetId="6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localSheetId="6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localSheetId="6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localSheetId="6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localSheetId="6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localSheetId="6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localSheetId="6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localSheetId="6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localSheetId="6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localSheetId="6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localSheetId="6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localSheetId="6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localSheetId="6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localSheetId="6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localSheetId="6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localSheetId="6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localSheetId="6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localSheetId="6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localSheetId="6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localSheetId="6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localSheetId="6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localSheetId="6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localSheetId="6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localSheetId="6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localSheetId="6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localSheetId="6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localSheetId="6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localSheetId="6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localSheetId="6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localSheetId="6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localSheetId="6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localSheetId="6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localSheetId="6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localSheetId="6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localSheetId="6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localSheetId="6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localSheetId="6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localSheetId="6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localSheetId="6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localSheetId="6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localSheetId="6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localSheetId="6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localSheetId="6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localSheetId="6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localSheetId="6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localSheetId="6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localSheetId="6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localSheetId="6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localSheetId="6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localSheetId="6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localSheetId="6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localSheetId="6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localSheetId="6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localSheetId="6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localSheetId="6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localSheetId="6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localSheetId="6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localSheetId="6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localSheetId="6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0__FDSAUDITLINK__" localSheetId="6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localSheetId="6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localSheetId="6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localSheetId="6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localSheetId="6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localSheetId="6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localSheetId="6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localSheetId="6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localSheetId="6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localSheetId="6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localSheetId="6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localSheetId="6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localSheetId="6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localSheetId="6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localSheetId="6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localSheetId="6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localSheetId="6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localSheetId="6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localSheetId="6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localSheetId="6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localSheetId="6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localSheetId="6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localSheetId="6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localSheetId="6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localSheetId="6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localSheetId="6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localSheetId="6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localSheetId="6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localSheetId="6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localSheetId="6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localSheetId="6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localSheetId="6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localSheetId="6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localSheetId="6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localSheetId="6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localSheetId="6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localSheetId="6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localSheetId="6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localSheetId="6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localSheetId="6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localSheetId="6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localSheetId="6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localSheetId="6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localSheetId="6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localSheetId="6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localSheetId="6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localSheetId="6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localSheetId="6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localSheetId="6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localSheetId="6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localSheetId="6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localSheetId="6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localSheetId="6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localSheetId="6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localSheetId="6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localSheetId="6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localSheetId="6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localSheetId="6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localSheetId="6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localSheetId="6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localSheetId="6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localSheetId="6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localSheetId="6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localSheetId="6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localSheetId="6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localSheetId="6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localSheetId="6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localSheetId="6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localSheetId="6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localSheetId="6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localSheetId="6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localSheetId="6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localSheetId="6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localSheetId="6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localSheetId="6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localSheetId="6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localSheetId="6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localSheetId="6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localSheetId="6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localSheetId="6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localSheetId="6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localSheetId="6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localSheetId="6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localSheetId="6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localSheetId="6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localSheetId="6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localSheetId="6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localSheetId="6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localSheetId="6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localSheetId="6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localSheetId="6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localSheetId="6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localSheetId="6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localSheetId="6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localSheetId="6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localSheetId="6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localSheetId="6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localSheetId="6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localSheetId="6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localSheetId="6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localSheetId="6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localSheetId="6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localSheetId="6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localSheetId="6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localSheetId="6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localSheetId="6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localSheetId="6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localSheetId="6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localSheetId="6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localSheetId="6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localSheetId="6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0__FDSAUDITLINK__" localSheetId="6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localSheetId="6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localSheetId="6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localSheetId="6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localSheetId="6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localSheetId="6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localSheetId="6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localSheetId="6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localSheetId="6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localSheetId="6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localSheetId="6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localSheetId="6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localSheetId="6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localSheetId="6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localSheetId="6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localSheetId="6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localSheetId="6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localSheetId="6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localSheetId="6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localSheetId="6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localSheetId="6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localSheetId="6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localSheetId="6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localSheetId="6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localSheetId="6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localSheetId="6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localSheetId="6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localSheetId="6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localSheetId="6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localSheetId="6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localSheetId="6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localSheetId="6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localSheetId="6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localSheetId="6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localSheetId="6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localSheetId="6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localSheetId="6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localSheetId="6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localSheetId="6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localSheetId="6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localSheetId="6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localSheetId="6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localSheetId="6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localSheetId="6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localSheetId="6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localSheetId="6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localSheetId="6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localSheetId="6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localSheetId="6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localSheetId="6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localSheetId="6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localSheetId="6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localSheetId="6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localSheetId="6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localSheetId="6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localSheetId="6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localSheetId="6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localSheetId="6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localSheetId="6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localSheetId="6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localSheetId="6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localSheetId="6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localSheetId="6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localSheetId="6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localSheetId="6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localSheetId="6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localSheetId="6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localSheetId="6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localSheetId="6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localSheetId="6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localSheetId="6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localSheetId="6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localSheetId="6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localSheetId="6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localSheetId="6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localSheetId="6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localSheetId="6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localSheetId="6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localSheetId="6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localSheetId="6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localSheetId="6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localSheetId="6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localSheetId="6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localSheetId="6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localSheetId="6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localSheetId="6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localSheetId="6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localSheetId="6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localSheetId="6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localSheetId="6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localSheetId="6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localSheetId="6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localSheetId="6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localSheetId="6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localSheetId="6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localSheetId="6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localSheetId="6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localSheetId="6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localSheetId="6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localSheetId="6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localSheetId="6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localSheetId="6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localSheetId="6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localSheetId="6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localSheetId="6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localSheetId="6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localSheetId="6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localSheetId="6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localSheetId="6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localSheetId="6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localSheetId="6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0__FDSAUDITLINK__" localSheetId="6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localSheetId="6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localSheetId="6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localSheetId="6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localSheetId="6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localSheetId="6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localSheetId="6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localSheetId="6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localSheetId="6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localSheetId="6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localSheetId="6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localSheetId="6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localSheetId="6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localSheetId="6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localSheetId="6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localSheetId="6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localSheetId="6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localSheetId="6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localSheetId="6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localSheetId="6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localSheetId="6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localSheetId="6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localSheetId="6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localSheetId="6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localSheetId="6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localSheetId="6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localSheetId="6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localSheetId="6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localSheetId="6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localSheetId="6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localSheetId="6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localSheetId="6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localSheetId="6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localSheetId="6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localSheetId="6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localSheetId="6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localSheetId="6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localSheetId="6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localSheetId="6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localSheetId="6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localSheetId="6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localSheetId="6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localSheetId="6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localSheetId="6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localSheetId="6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localSheetId="6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localSheetId="6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localSheetId="6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localSheetId="6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localSheetId="6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localSheetId="6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localSheetId="6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localSheetId="6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localSheetId="6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localSheetId="6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localSheetId="6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localSheetId="6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localSheetId="6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localSheetId="6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localSheetId="6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localSheetId="6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localSheetId="6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localSheetId="6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localSheetId="6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localSheetId="6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localSheetId="6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localSheetId="6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localSheetId="6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localSheetId="6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localSheetId="6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localSheetId="6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localSheetId="6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localSheetId="6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localSheetId="6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localSheetId="6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localSheetId="6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localSheetId="6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localSheetId="6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localSheetId="6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localSheetId="6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localSheetId="6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localSheetId="6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localSheetId="6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localSheetId="6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localSheetId="6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localSheetId="6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localSheetId="6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localSheetId="6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localSheetId="6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localSheetId="6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localSheetId="6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localSheetId="6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localSheetId="6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localSheetId="6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localSheetId="6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localSheetId="6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localSheetId="6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localSheetId="6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localSheetId="6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localSheetId="6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localSheetId="6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localSheetId="6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localSheetId="6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localSheetId="6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localSheetId="6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localSheetId="6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localSheetId="6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localSheetId="6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localSheetId="6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localSheetId="6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localSheetId="6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0__FDSAUDITLINK__" localSheetId="6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localSheetId="6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localSheetId="6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localSheetId="6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localSheetId="6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localSheetId="6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localSheetId="6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localSheetId="6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localSheetId="6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localSheetId="6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localSheetId="6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localSheetId="6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localSheetId="6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localSheetId="6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localSheetId="6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localSheetId="6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localSheetId="6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localSheetId="6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localSheetId="6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localSheetId="6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localSheetId="6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localSheetId="6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localSheetId="6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localSheetId="6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localSheetId="6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localSheetId="6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localSheetId="6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localSheetId="6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localSheetId="6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localSheetId="6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localSheetId="6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localSheetId="6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localSheetId="6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localSheetId="6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localSheetId="6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localSheetId="6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localSheetId="6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localSheetId="6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localSheetId="6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localSheetId="6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localSheetId="6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localSheetId="6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localSheetId="6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localSheetId="6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localSheetId="6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localSheetId="6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localSheetId="6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localSheetId="6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localSheetId="6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localSheetId="6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localSheetId="6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localSheetId="6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localSheetId="6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localSheetId="6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localSheetId="6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localSheetId="6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localSheetId="6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localSheetId="6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localSheetId="6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localSheetId="6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localSheetId="6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localSheetId="6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localSheetId="6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localSheetId="6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localSheetId="6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localSheetId="6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localSheetId="6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localSheetId="6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localSheetId="6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localSheetId="6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localSheetId="6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localSheetId="6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localSheetId="6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localSheetId="6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localSheetId="6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localSheetId="6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localSheetId="6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localSheetId="6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localSheetId="6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localSheetId="6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localSheetId="6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localSheetId="6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localSheetId="6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localSheetId="6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localSheetId="6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localSheetId="6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localSheetId="6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localSheetId="6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localSheetId="6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localSheetId="6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localSheetId="6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localSheetId="6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localSheetId="6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localSheetId="6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localSheetId="6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localSheetId="6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localSheetId="6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localSheetId="6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localSheetId="6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localSheetId="6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localSheetId="6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localSheetId="6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localSheetId="6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localSheetId="6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localSheetId="6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localSheetId="6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localSheetId="6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localSheetId="6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localSheetId="6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localSheetId="6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localSheetId="6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0__FDSAUDITLINK__" localSheetId="6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localSheetId="6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localSheetId="6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localSheetId="6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localSheetId="6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localSheetId="6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localSheetId="6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localSheetId="6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localSheetId="6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localSheetId="6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localSheetId="6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localSheetId="6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localSheetId="6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localSheetId="6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localSheetId="6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localSheetId="6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localSheetId="6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localSheetId="6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localSheetId="6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localSheetId="6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localSheetId="6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localSheetId="6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localSheetId="6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localSheetId="6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localSheetId="6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localSheetId="6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localSheetId="6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localSheetId="6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localSheetId="6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localSheetId="6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localSheetId="6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localSheetId="6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localSheetId="6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localSheetId="6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localSheetId="6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localSheetId="6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localSheetId="6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localSheetId="6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localSheetId="6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localSheetId="6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localSheetId="6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localSheetId="6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localSheetId="6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localSheetId="6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localSheetId="6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localSheetId="6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localSheetId="6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localSheetId="6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localSheetId="6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localSheetId="6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localSheetId="6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localSheetId="6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localSheetId="6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localSheetId="6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localSheetId="6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localSheetId="6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localSheetId="6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localSheetId="6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localSheetId="6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localSheetId="6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localSheetId="6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localSheetId="6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localSheetId="6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localSheetId="6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localSheetId="6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localSheetId="6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localSheetId="6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localSheetId="6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localSheetId="6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localSheetId="6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localSheetId="6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localSheetId="6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localSheetId="6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localSheetId="6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localSheetId="6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localSheetId="6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localSheetId="6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localSheetId="6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localSheetId="6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localSheetId="6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localSheetId="6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localSheetId="6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localSheetId="6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localSheetId="6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localSheetId="6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localSheetId="6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localSheetId="6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localSheetId="6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localSheetId="6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localSheetId="6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localSheetId="6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localSheetId="6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localSheetId="6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localSheetId="6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localSheetId="6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localSheetId="6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localSheetId="6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localSheetId="6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localSheetId="6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localSheetId="6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localSheetId="6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localSheetId="6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localSheetId="6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localSheetId="6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localSheetId="6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localSheetId="6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localSheetId="6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localSheetId="6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localSheetId="6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localSheetId="6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1A6693564AC14C3DABB926F703EFD5B3.edm" localSheetId="4" hidden="1">BS!$A$8:$BX$41</definedName>
    <definedName name="_bdm.33770F6205BD47ADA98E4FAD99002F27.edm" localSheetId="2" hidden="1">IS!$A$5:$BX$97</definedName>
    <definedName name="_bdm.3AAC528F6A5B4446AFC82A4225243E35.edm" localSheetId="4" hidden="1">BS!$B$7:$BX$41</definedName>
    <definedName name="_bdm.56745BFF8B364631B4AF11E2A09E4BAE.edm" hidden="1">IS!$1:$1048576</definedName>
    <definedName name="_bdm.57CB058735C94FDEA44609B565E1C4F8.edm" localSheetId="5" hidden="1">CFS!$A$8:$BX$52</definedName>
    <definedName name="_bdm.71DD7A53563347B1976C07D672E82458.edm" hidden="1">CFS!$1:$1048576</definedName>
    <definedName name="_bdm.AF5004AAD9024DC19F06D492765AE646.edm" hidden="1">BS!$1:$1048576</definedName>
    <definedName name="_bdm.C18C15C2E7C44DC19E63077EE53792D6.edm" localSheetId="2" hidden="1">IS!$B$4:$BX$110</definedName>
    <definedName name="_bdm.E8020BF1FC1C4A44B1A3CA73442E03A1.edm" localSheetId="2" hidden="1">IS!$B$4:$BX$97</definedName>
    <definedName name="_bdm.F84F337F40454CDE89D9D937A64E6561.edm" localSheetId="5" hidden="1">CFS!$B$7:$BX$52</definedName>
    <definedName name="_Order1" hidden="1">255</definedName>
    <definedName name="_Order2" hidden="1">255</definedName>
    <definedName name="_Regression_Int" hidden="1">1</definedName>
    <definedName name="AccessDatabase" hidden="1">"G:\Frank Lee\TFT-LCD\TFT report_OCT02\TFT_report_data.mdb"</definedName>
    <definedName name="AdditionalInstructions">IndexInformation!$B$42</definedName>
    <definedName name="Address" localSheetId="1">ImportantDisclosures!$A$2:$A$2</definedName>
    <definedName name="ANA" localSheetId="8">ModPubIndex!$A$7</definedName>
    <definedName name="anscount" hidden="1">1</definedName>
    <definedName name="AS2DocOpenMode" hidden="1">"AS2DocumentEdit"</definedName>
    <definedName name="AS2SyncStepLS" hidden="1">0</definedName>
    <definedName name="AS2VersionLS" hidden="1">300</definedName>
    <definedName name="Authors" localSheetId="1">ImportantDisclosures!$A$7</definedName>
    <definedName name="Authors" localSheetId="7">IndexInformation!$B$18</definedName>
    <definedName name="BG_Ins" hidden="1">4</definedName>
    <definedName name="BRO" localSheetId="8">ModPubIndex!$A$1</definedName>
    <definedName name="BS">BS!$D$43:$CB$43</definedName>
    <definedName name="BSMethod">2</definedName>
    <definedName name="Button_1">"TFT_report_data_share_prices_List"</definedName>
    <definedName name="cc_ReportCurrency">"NTD"</definedName>
    <definedName name="cc_ReportCurrencyUnit">"NT$"</definedName>
    <definedName name="cc_ReportCurrencyUnitFactor">1</definedName>
    <definedName name="Conv_mark">0</definedName>
    <definedName name="converting">{"Client Name or Project Name"}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aseries4">OFFSET([2]c1!$G$12,0,0,COUNTA([2]c1!$G$12:$G$31),1)</definedName>
    <definedName name="Date" localSheetId="1">ImportantDisclosures!$A$8</definedName>
    <definedName name="Dates">OFFSET('[3]Earnings Exhibits'!$A$3,0,COUNTA('[3]Earnings Exhibits'!$A$3:$IV$3)+2,1,-20)</definedName>
    <definedName name="Dates10">OFFSET('[3]Earnings Exhibits'!$A$3,0,COUNTA('[3]Earnings Exhibits'!$A$3:$IV$3)+2,1,-38)</definedName>
    <definedName name="DB">"WIREHKPROD"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1">ImportantDisclosures!#REF!</definedName>
    <definedName name="DistTablePreamble" localSheetId="1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DummyEstYears">3</definedName>
    <definedName name="EMAIL_ALERT" localSheetId="8">ModPubIndex!$A$10</definedName>
    <definedName name="EmailAlert" localSheetId="7">IndexInformation!$B$28</definedName>
    <definedName name="esnrc128c1_values" hidden="1">{"TW","COMPANIES",TRUE}</definedName>
    <definedName name="EurosFRF">1</definedName>
    <definedName name="EurosITL">1</definedName>
    <definedName name="FINCriteriaType">1</definedName>
    <definedName name="FineUS">{"Client Name or Project Name"}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forest">{"Client Name or Project Name"}</definedName>
    <definedName name="forest2">{"Client Name or Project Name"}</definedName>
    <definedName name="FR_COM_ABBR">"1122.HK"</definedName>
    <definedName name="FR_COU_ABBR">"chn"</definedName>
    <definedName name="FR_END_DATE">"'31 Dec 2001"</definedName>
    <definedName name="FR_START_DATE">"'1 Jan 2001"</definedName>
    <definedName name="FR_SYBASE_SERVER">"PTKFBVDF01"</definedName>
    <definedName name="FR_TEMPLATE_KEY">"110952|1"</definedName>
    <definedName name="g">{"Client Name or Project Name"}</definedName>
    <definedName name="gg">{"Client Name or Project Name"}</definedName>
    <definedName name="ggg">{"Client Name or Project Name"}</definedName>
    <definedName name="gggg">{"Client Name or Project Name"}</definedName>
    <definedName name="ggggg">{"Client Name or Project Name"}</definedName>
    <definedName name="ggggggg">{"Client Name or Project Name"}</definedName>
    <definedName name="GM">OFFSET('[3]Earnings Exhibits'!$A$10,0,COUNTA('[3]Earnings Exhibits'!$A$10:$IV$10),1,-19)</definedName>
    <definedName name="GMDates">OFFSET('[3]Earnings Exhibits'!$B$3,0,COUNTA('[3]Earnings Exhibits'!$A$3:$IV$3),1,-19)</definedName>
    <definedName name="HL" localSheetId="8">ModPubIndex!$A$8</definedName>
    <definedName name="HTML_CodePage" hidden="1">1252</definedName>
    <definedName name="HTML_Description" hidden="1">""</definedName>
    <definedName name="HTML_Email" hidden="1">""</definedName>
    <definedName name="HTML_Header" hidden="1">"Income-Adj"</definedName>
    <definedName name="HTML_LastUpdate" hidden="1">"9/1/99"</definedName>
    <definedName name="HTML_LineAfter" hidden="1">FALSE</definedName>
    <definedName name="HTML_LineBefore" hidden="1">FALSE</definedName>
    <definedName name="HTML_Name" hidden="1">"Neo"</definedName>
    <definedName name="HTML_OBDlg2" hidden="1">TRUE</definedName>
    <definedName name="HTML_OBDlg4" hidden="1">TRUE</definedName>
    <definedName name="HTML_OS" hidden="1">0</definedName>
    <definedName name="HTML_PathFile" hidden="1">"E:\statements-2.0\from_excel.htm"</definedName>
    <definedName name="HTML_Title" hidden="1">"Histo_Statements"</definedName>
    <definedName name="hygiene">{"Client Name or Project Name"}</definedName>
    <definedName name="ICP">0</definedName>
    <definedName name="ictsymbol">"NT$"</definedName>
    <definedName name="icusymbol">"NT$"</definedName>
    <definedName name="IND" localSheetId="8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SMethod">1</definedName>
    <definedName name="iue">1</definedName>
    <definedName name="iuesymbol">"NT$"</definedName>
    <definedName name="iun">1000000</definedName>
    <definedName name="iunsymbol">"NT$m"</definedName>
    <definedName name="ius">1000000</definedName>
    <definedName name="KeepVersions" localSheetId="7">IndexInformation!$B$8</definedName>
    <definedName name="LabelList">OFFSET(LabelData,1,0,ROWS(LabelData)-1,1)</definedName>
    <definedName name="LanguageCode">IndexInformation!$B$38</definedName>
    <definedName name="LastCell" localSheetId="1">ImportantDisclosures!$A$22</definedName>
    <definedName name="Linking_1">#N/A</definedName>
    <definedName name="Linking_10">IS!$B$4:$CD$94</definedName>
    <definedName name="Linking_11">BS!$B$7:$CD$41</definedName>
    <definedName name="Linking_12">CFS!$B$7:$CD$52</definedName>
    <definedName name="Linking_14">IS!$B$5:$CD$94</definedName>
    <definedName name="Linking_15">IS!$B$3:$CD$94</definedName>
    <definedName name="Linking_16">BS!$B$6:$CD$41</definedName>
    <definedName name="Linking_17">CFS!$B$6:$CD$52</definedName>
    <definedName name="Linking_18">IS!$B$4:$CE$94</definedName>
    <definedName name="Linking_19">BS!$B$7:$CE$41</definedName>
    <definedName name="Linking_20">CFS!$B$7:$CE$52</definedName>
    <definedName name="Linking_5">IS!$B$4:$CC$94</definedName>
    <definedName name="Linking_6">BS!$B$7:$CC$41</definedName>
    <definedName name="Linking_7">CFS!$B$7:$CC$52</definedName>
    <definedName name="Linking_9">BS!$B$7:$BC$41</definedName>
    <definedName name="Linking_Range_1">IS!$B$4:$AM$97</definedName>
    <definedName name="Linking_Range_10">BS!$B$7:$BY$43</definedName>
    <definedName name="Linking_Range_11">IS!$B$4:$BZ$97</definedName>
    <definedName name="Linking_Range_12">BS!$B$7:$CA$41</definedName>
    <definedName name="Linking_Range_13">CFS!$B$7:$CA$52</definedName>
    <definedName name="Linking_Range_2">BS!$B$7:$BY$41</definedName>
    <definedName name="Linking_Range_3">CFS!$B$7:$BY$52</definedName>
    <definedName name="Linking_Range_33">BS!$B$7:$BZ$41</definedName>
    <definedName name="Linking_Range_34">CFS!$B$7:$BZ$52</definedName>
    <definedName name="Linking_Range_37">IS!$B$4:$CA$97</definedName>
    <definedName name="Linking_Range_41">IS!$B$4:$CB$97</definedName>
    <definedName name="Linking_Range_42">BS!$B$7:$CB$41</definedName>
    <definedName name="Linking_Range_43">CFS!$B$7:$CB$52</definedName>
    <definedName name="Linking_Range_48">BS!$B$8:$CB$41</definedName>
    <definedName name="Linking_Range_8">IS!$B$4:$BY$97</definedName>
    <definedName name="Linking_Range_9">IS!$B$5:$BY$97</definedName>
    <definedName name="Linking_Text_1">"2018E"</definedName>
    <definedName name="MacroVersion" localSheetId="7">IndexInformation!$B$1</definedName>
    <definedName name="ModelPrice" localSheetId="1">ImportantDisclosures!$A$14</definedName>
    <definedName name="Multiplier" localSheetId="7">IndexInformation!$B$35</definedName>
    <definedName name="NextQoQ">OFFSET('[3]Earnings Exhibits'!$A$8,0,COUNTA('[3]Earnings Exhibits'!$A$6:$IV$6),1,-38)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OM">OFFSET('[3]Earnings Exhibits'!$A$13,0,COUNTA('[3]Earnings Exhibits'!$A$13:$IV$13),1,-19)</definedName>
    <definedName name="PANA" localSheetId="8">ModPubIndex!$A$11</definedName>
    <definedName name="PathName" localSheetId="7">IndexInformation!$B$25</definedName>
    <definedName name="_xlnm.Print_Area" localSheetId="4">BS!$A$6:$BY$41</definedName>
    <definedName name="_xlnm.Print_Area" localSheetId="6">'BU-Segment'!$A$1:$CG$614</definedName>
    <definedName name="_xlnm.Print_Area" localSheetId="5">CFS!$A$6:$CE$67</definedName>
    <definedName name="_xlnm.Print_Area" localSheetId="2">IS!$A$1:$CD$108</definedName>
    <definedName name="_xlnm.Print_Area">"Formula removed, name can be deleted."</definedName>
    <definedName name="_xlnm.Print_Titles" localSheetId="6">'BU-Segment'!$1:$6</definedName>
    <definedName name="_xlnm.Print_Titles">"Formula removed, name can be deleted."</definedName>
    <definedName name="PRODUCT" localSheetId="8">ModPubIndex!$A$6</definedName>
    <definedName name="ProjectName">{"Client Name or Project Name"}</definedName>
    <definedName name="PSYM" localSheetId="8">ModPubIndex!$A$4</definedName>
    <definedName name="PublishDate" localSheetId="7">IndexInformation!$B$2</definedName>
    <definedName name="QoQ">OFFSET('[3]Earnings Exhibits'!$A$7,0,COUNTA('[3]Earnings Exhibits'!$A$6:$IV$6),1,-38)</definedName>
    <definedName name="Rangename">"Summary DCF"</definedName>
    <definedName name="Rating" localSheetId="7">IndexInformation!$B$9</definedName>
    <definedName name="RatingsDefined" localSheetId="1">ImportantDisclosures!$A$21</definedName>
    <definedName name="RatingsDefs" localSheetId="1">ImportantDisclosures!#REF!</definedName>
    <definedName name="Rec.Asset_Debt">0</definedName>
    <definedName name="RegACDisclosure" localSheetId="1">ImportantDisclosures!#REF!</definedName>
    <definedName name="REP_CHT_DivisionalBreakdown">"Chart 416"</definedName>
    <definedName name="REP_CHT_GeographicalBreakdown">"Chart 417"</definedName>
    <definedName name="REP_CHT_Spare1">"Chart 422"</definedName>
    <definedName name="REP_CHT_Spare2">"Chart 423"</definedName>
    <definedName name="ResearchTopic" localSheetId="7">IndexInformation!$B$4</definedName>
    <definedName name="RIC" localSheetId="7">IndexInformation!$B$21</definedName>
    <definedName name="Sales">OFFSET('[3]Earnings Exhibits'!$A$5,0,COUNTA('[3]Earnings Exhibits'!$A$5:$IV$5),1,-20)</definedName>
    <definedName name="SavedThisSession">FALSE</definedName>
    <definedName name="SECSettlement" localSheetId="1">ImportantDisclosures!#REF!</definedName>
    <definedName name="SEDOL" localSheetId="7">IndexInformation!$B$22</definedName>
    <definedName name="sencount" hidden="1">1</definedName>
    <definedName name="SourceDefined" localSheetId="1">ImportantDisclosures!$A$19</definedName>
    <definedName name="Stock_dividend">0</definedName>
    <definedName name="StockRating" localSheetId="1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1">ImportantDisclosures!$A$15</definedName>
    <definedName name="TaxTV">10%</definedName>
    <definedName name="TaxXL">5%</definedName>
    <definedName name="Template.WIRE">"DBACCESS"</definedName>
    <definedName name="TemplateRegion">IndexInformation!$B$36</definedName>
    <definedName name="TestAdd">"Test RefersTo1"</definedName>
    <definedName name="TextRefCopyRangeCount" hidden="1">2</definedName>
    <definedName name="Ticker" localSheetId="1">ImportantDisclosures!$A$10</definedName>
    <definedName name="TickerRegion">IndexInformation!$B$41</definedName>
    <definedName name="Tickers" localSheetId="7">IndexInformation!$B$19</definedName>
    <definedName name="Trace">FALSE</definedName>
    <definedName name="UnitStringsList">OFFSET(UnitStrings,0,0,ROWS(UnitStrings),1)</definedName>
    <definedName name="UpdateReason" localSheetId="7">IndexInformation!$B$17</definedName>
    <definedName name="UpgradeVersion">"v2.35"</definedName>
    <definedName name="USRegDisclosures" localSheetId="1">ImportantDisclosures!#REF!</definedName>
    <definedName name="Version">0</definedName>
    <definedName name="Version.WIRE">1</definedName>
    <definedName name="XRefCopyRangeCount" hidden="1">1</definedName>
    <definedName name="Years">"A1:v1"</definedName>
  </definedNames>
  <calcPr calcId="145621" iterate="1"/>
</workbook>
</file>

<file path=xl/calcChain.xml><?xml version="1.0" encoding="utf-8"?>
<calcChain xmlns="http://schemas.openxmlformats.org/spreadsheetml/2006/main">
  <c r="BH40" i="1" l="1"/>
  <c r="BI40" i="1"/>
  <c r="BJ40" i="1"/>
  <c r="BK40" i="1"/>
  <c r="BG381" i="39" l="1"/>
  <c r="BH381" i="39" s="1"/>
  <c r="BI381" i="39" s="1"/>
  <c r="BJ381" i="39" s="1"/>
  <c r="BK381" i="39" s="1"/>
  <c r="BL381" i="39" s="1"/>
  <c r="BM381" i="39" s="1"/>
  <c r="BN381" i="39" s="1"/>
  <c r="BO381" i="39" s="1"/>
  <c r="BG380" i="39"/>
  <c r="BH380" i="39" s="1"/>
  <c r="BI380" i="39" s="1"/>
  <c r="BJ380" i="39" s="1"/>
  <c r="BK380" i="39" s="1"/>
  <c r="BL380" i="39" s="1"/>
  <c r="BM380" i="39" s="1"/>
  <c r="BN380" i="39" s="1"/>
  <c r="BO380" i="39" s="1"/>
  <c r="BF380" i="39"/>
  <c r="BF381" i="39"/>
  <c r="BF382" i="39"/>
  <c r="BG382" i="39" s="1"/>
  <c r="BH382" i="39" s="1"/>
  <c r="BI382" i="39" s="1"/>
  <c r="BJ382" i="39" s="1"/>
  <c r="BK382" i="39" s="1"/>
  <c r="BL382" i="39" s="1"/>
  <c r="BM382" i="39" s="1"/>
  <c r="BN382" i="39" s="1"/>
  <c r="BO382" i="39" s="1"/>
  <c r="BF383" i="39"/>
  <c r="BG383" i="39" s="1"/>
  <c r="BH383" i="39" s="1"/>
  <c r="BI383" i="39" s="1"/>
  <c r="BJ383" i="39" s="1"/>
  <c r="BK383" i="39" s="1"/>
  <c r="BL383" i="39" s="1"/>
  <c r="BM383" i="39" s="1"/>
  <c r="BN383" i="39" s="1"/>
  <c r="BO383" i="39" s="1"/>
  <c r="BL42" i="1"/>
  <c r="BM42" i="1" s="1"/>
  <c r="BN42" i="1" s="1"/>
  <c r="BO42" i="1" s="1"/>
  <c r="BI72" i="1"/>
  <c r="BJ72" i="1" s="1"/>
  <c r="BK72" i="1" s="1"/>
  <c r="BL72" i="1" s="1"/>
  <c r="BM72" i="1" s="1"/>
  <c r="BN72" i="1" s="1"/>
  <c r="BO72" i="1" s="1"/>
  <c r="BD11" i="39" l="1"/>
  <c r="BD10" i="39"/>
  <c r="BD405" i="39"/>
  <c r="BD401" i="39"/>
  <c r="BD388" i="39"/>
  <c r="BD367" i="39"/>
  <c r="BD366" i="39"/>
  <c r="BD359" i="39"/>
  <c r="BD354" i="39"/>
  <c r="BD353" i="39"/>
  <c r="BD348" i="39"/>
  <c r="BD347" i="39"/>
  <c r="BD86" i="39"/>
  <c r="BD85" i="39"/>
  <c r="BD84" i="39"/>
  <c r="BD69" i="39"/>
  <c r="BD67" i="39"/>
  <c r="BD58" i="39"/>
  <c r="BD59" i="39" s="1"/>
  <c r="BD54" i="39"/>
  <c r="BD41" i="39"/>
  <c r="BD39" i="39"/>
  <c r="BD78" i="3"/>
  <c r="BD76" i="3"/>
  <c r="BD75" i="3" s="1"/>
  <c r="BD79" i="3" s="1"/>
  <c r="BD69" i="3"/>
  <c r="BD67" i="3"/>
  <c r="BD70" i="3" s="1"/>
  <c r="BD65" i="3"/>
  <c r="BD62" i="3"/>
  <c r="BD60" i="3"/>
  <c r="BD54" i="3"/>
  <c r="BD47" i="3"/>
  <c r="BD46" i="3"/>
  <c r="BD43" i="3"/>
  <c r="BD42" i="3"/>
  <c r="BD41" i="3"/>
  <c r="BD40" i="3"/>
  <c r="BD44" i="3" s="1"/>
  <c r="BD39" i="3"/>
  <c r="BD35" i="3"/>
  <c r="BD34" i="3"/>
  <c r="BD33" i="3"/>
  <c r="BD32" i="3"/>
  <c r="BD31" i="3"/>
  <c r="BD30" i="3"/>
  <c r="BD36" i="3" s="1"/>
  <c r="BD26" i="3"/>
  <c r="BD25" i="3"/>
  <c r="BD24" i="3"/>
  <c r="BD23" i="3"/>
  <c r="BD22" i="3"/>
  <c r="BD21" i="3"/>
  <c r="BD20" i="3"/>
  <c r="BD18" i="3"/>
  <c r="BD17" i="3"/>
  <c r="BD16" i="3"/>
  <c r="BD15" i="3"/>
  <c r="BD14" i="3"/>
  <c r="BD13" i="3"/>
  <c r="BD11" i="3"/>
  <c r="BD27" i="3" s="1"/>
  <c r="BD121" i="3"/>
  <c r="BD149" i="3"/>
  <c r="BD144" i="3"/>
  <c r="BD139" i="3"/>
  <c r="BD131" i="3"/>
  <c r="BD62" i="2"/>
  <c r="BD54" i="2"/>
  <c r="BD53" i="2"/>
  <c r="BD51" i="2"/>
  <c r="BD50" i="2"/>
  <c r="BD49" i="2"/>
  <c r="BD48" i="2" s="1"/>
  <c r="BD47" i="2"/>
  <c r="BD36" i="2"/>
  <c r="BD35" i="2"/>
  <c r="BD25" i="2"/>
  <c r="BD33" i="2"/>
  <c r="BD17" i="2"/>
  <c r="BD26" i="2" s="1"/>
  <c r="BD104" i="1"/>
  <c r="BD58" i="1"/>
  <c r="BD63" i="1" s="1"/>
  <c r="BD40" i="1"/>
  <c r="BD47" i="1" s="1"/>
  <c r="BD48" i="1" s="1"/>
  <c r="BD37" i="1"/>
  <c r="BD34" i="1"/>
  <c r="BD30" i="1"/>
  <c r="BD27" i="1"/>
  <c r="BD17" i="1"/>
  <c r="BD19" i="1" s="1"/>
  <c r="BD11" i="1"/>
  <c r="BD9" i="1"/>
  <c r="BD18" i="39" l="1"/>
  <c r="BD25" i="39"/>
  <c r="BD17" i="39"/>
  <c r="BD24" i="39"/>
  <c r="BD358" i="39"/>
  <c r="BD51" i="3"/>
  <c r="BD49" i="1"/>
  <c r="BD50" i="1" s="1"/>
  <c r="BD45" i="1"/>
  <c r="BD52" i="1"/>
  <c r="BD20" i="1"/>
  <c r="BD10" i="1"/>
  <c r="BD31" i="1" s="1"/>
  <c r="BD38" i="1" l="1"/>
  <c r="BD23" i="1"/>
  <c r="BD12" i="1"/>
  <c r="BD53" i="1"/>
  <c r="BD65" i="1"/>
  <c r="BD55" i="1" l="1"/>
  <c r="BD24" i="1"/>
  <c r="BD66" i="1"/>
  <c r="BD79" i="1"/>
  <c r="BD86" i="1" s="1"/>
  <c r="BD72" i="1"/>
  <c r="BD74" i="1" s="1"/>
  <c r="BD95" i="1" l="1"/>
  <c r="BD92" i="1"/>
  <c r="BD87" i="1"/>
  <c r="BD94" i="1"/>
  <c r="BD76" i="1"/>
  <c r="BD81" i="1"/>
  <c r="BD56" i="1"/>
  <c r="BD68" i="1"/>
  <c r="BD77" i="1" l="1"/>
  <c r="BD69" i="1"/>
  <c r="BD82" i="1"/>
  <c r="BD83" i="1" l="1"/>
  <c r="BD90" i="1"/>
  <c r="BD97" i="1" s="1"/>
  <c r="BB54" i="3" l="1"/>
  <c r="BB50" i="3"/>
  <c r="BB138" i="3"/>
  <c r="BB130" i="3"/>
  <c r="BB121" i="3"/>
  <c r="BB149" i="3"/>
  <c r="BB139" i="3"/>
  <c r="BB131" i="3"/>
  <c r="BO48" i="2"/>
  <c r="BN48" i="2"/>
  <c r="BM48" i="2"/>
  <c r="BL48" i="2"/>
  <c r="BL132" i="1"/>
  <c r="BL167" i="3" s="1"/>
  <c r="CF346" i="39"/>
  <c r="CF344" i="39"/>
  <c r="CF342" i="39"/>
  <c r="CF336" i="39"/>
  <c r="CF322" i="39"/>
  <c r="CF317" i="39"/>
  <c r="CF311" i="39"/>
  <c r="CF295" i="39"/>
  <c r="CF286" i="39"/>
  <c r="CF280" i="39"/>
  <c r="CF278" i="39"/>
  <c r="CF273" i="39"/>
  <c r="CF250" i="39"/>
  <c r="CF244" i="39"/>
  <c r="CF238" i="39"/>
  <c r="CF232" i="39"/>
  <c r="CF216" i="39"/>
  <c r="CF215" i="39"/>
  <c r="CF214" i="39"/>
  <c r="CF83" i="39"/>
  <c r="CF80" i="39"/>
  <c r="CF72" i="39"/>
  <c r="CF65" i="39"/>
  <c r="CF64" i="39"/>
  <c r="CF63" i="39"/>
  <c r="CF11" i="39"/>
  <c r="CF6" i="39"/>
  <c r="CF594" i="39" s="1"/>
  <c r="CF43" i="3"/>
  <c r="CF41" i="3"/>
  <c r="CF39" i="3"/>
  <c r="CF34" i="3"/>
  <c r="CF33" i="3"/>
  <c r="CF32" i="3"/>
  <c r="CF31" i="3"/>
  <c r="CF17" i="3"/>
  <c r="CF16" i="3"/>
  <c r="CF14" i="3"/>
  <c r="BL138" i="3"/>
  <c r="BM138" i="3" s="1"/>
  <c r="BN138" i="3" s="1"/>
  <c r="BO138" i="3" s="1"/>
  <c r="CF138" i="3" s="1"/>
  <c r="BL136" i="3"/>
  <c r="BM136" i="3" s="1"/>
  <c r="BN136" i="3" s="1"/>
  <c r="BO136" i="3" s="1"/>
  <c r="CF136" i="3" s="1"/>
  <c r="BL129" i="3"/>
  <c r="BM129" i="3" s="1"/>
  <c r="BN129" i="3" s="1"/>
  <c r="BO129" i="3" s="1"/>
  <c r="CF129" i="3" s="1"/>
  <c r="BL128" i="3"/>
  <c r="BM128" i="3" s="1"/>
  <c r="BN128" i="3" s="1"/>
  <c r="BO128" i="3" s="1"/>
  <c r="CF128" i="3" s="1"/>
  <c r="BL127" i="3"/>
  <c r="BM127" i="3" s="1"/>
  <c r="BN127" i="3" s="1"/>
  <c r="BO127" i="3" s="1"/>
  <c r="CF127" i="3" s="1"/>
  <c r="BL126" i="3"/>
  <c r="BM126" i="3" s="1"/>
  <c r="BN126" i="3" s="1"/>
  <c r="BO126" i="3" s="1"/>
  <c r="CF126" i="3" s="1"/>
  <c r="BL112" i="3"/>
  <c r="BM112" i="3" s="1"/>
  <c r="BN112" i="3" s="1"/>
  <c r="BO112" i="3" s="1"/>
  <c r="CF112" i="3" s="1"/>
  <c r="BL111" i="3"/>
  <c r="BM111" i="3" s="1"/>
  <c r="BN111" i="3" s="1"/>
  <c r="BO111" i="3" s="1"/>
  <c r="CF111" i="3" s="1"/>
  <c r="BL110" i="3"/>
  <c r="BL109" i="3"/>
  <c r="BM109" i="3" s="1"/>
  <c r="BN109" i="3" s="1"/>
  <c r="BO109" i="3" s="1"/>
  <c r="CF109" i="3" s="1"/>
  <c r="BL87" i="3"/>
  <c r="BM62" i="3"/>
  <c r="BN62" i="3" s="1"/>
  <c r="BO62" i="3" s="1"/>
  <c r="BL134" i="3"/>
  <c r="BO18" i="3"/>
  <c r="BN18" i="3"/>
  <c r="BM18" i="3"/>
  <c r="BL18" i="3"/>
  <c r="BM15" i="3"/>
  <c r="BM87" i="3" s="1"/>
  <c r="BL9" i="3"/>
  <c r="BL104" i="3" s="1"/>
  <c r="BL8" i="3"/>
  <c r="CF46" i="2"/>
  <c r="CF57" i="2" s="1"/>
  <c r="CF74" i="2" s="1"/>
  <c r="CF9" i="2"/>
  <c r="CF9" i="3" s="1"/>
  <c r="CF104" i="3" s="1"/>
  <c r="BO9" i="2"/>
  <c r="BO46" i="2" s="1"/>
  <c r="BO57" i="2" s="1"/>
  <c r="BO74" i="2" s="1"/>
  <c r="BN9" i="2"/>
  <c r="BN46" i="2" s="1"/>
  <c r="BN57" i="2" s="1"/>
  <c r="BN74" i="2" s="1"/>
  <c r="BM9" i="2"/>
  <c r="BM46" i="2" s="1"/>
  <c r="BM57" i="2" s="1"/>
  <c r="BM74" i="2" s="1"/>
  <c r="BL9" i="2"/>
  <c r="BL46" i="2" s="1"/>
  <c r="BL57" i="2" s="1"/>
  <c r="BL74" i="2" s="1"/>
  <c r="BO8" i="2"/>
  <c r="BO8" i="3" s="1"/>
  <c r="BN8" i="2"/>
  <c r="BN8" i="3" s="1"/>
  <c r="BM8" i="2"/>
  <c r="BM8" i="3" s="1"/>
  <c r="BL8" i="2"/>
  <c r="BO113" i="1"/>
  <c r="BN113" i="1"/>
  <c r="BM113" i="1"/>
  <c r="BL113" i="1"/>
  <c r="BM106" i="1"/>
  <c r="BN106" i="1" s="1"/>
  <c r="BO106" i="1" s="1"/>
  <c r="BO100" i="1"/>
  <c r="BN100" i="1"/>
  <c r="BM100" i="1"/>
  <c r="BL100" i="1"/>
  <c r="BO58" i="1"/>
  <c r="BO63" i="1" s="1"/>
  <c r="BO90" i="3" s="1"/>
  <c r="BM58" i="1"/>
  <c r="BM63" i="1" s="1"/>
  <c r="BM90" i="3" s="1"/>
  <c r="BN58" i="1"/>
  <c r="BN63" i="1" s="1"/>
  <c r="BN90" i="3" s="1"/>
  <c r="BL58" i="1"/>
  <c r="BL63" i="1" s="1"/>
  <c r="BL90" i="3" s="1"/>
  <c r="BO40" i="1"/>
  <c r="BN40" i="1"/>
  <c r="BN47" i="1" s="1"/>
  <c r="BM40" i="1"/>
  <c r="BM47" i="1" s="1"/>
  <c r="BL40" i="1"/>
  <c r="BL47" i="1" s="1"/>
  <c r="BO33" i="1"/>
  <c r="CF33" i="1" s="1"/>
  <c r="CF42" i="1"/>
  <c r="CF41" i="1"/>
  <c r="CF26" i="1"/>
  <c r="BO132" i="1"/>
  <c r="BO167" i="3" s="1"/>
  <c r="BN132" i="1"/>
  <c r="BN167" i="3" s="1"/>
  <c r="BM132" i="1"/>
  <c r="BM167" i="3" s="1"/>
  <c r="CF132" i="1"/>
  <c r="CF669" i="39" s="1"/>
  <c r="CF116" i="1"/>
  <c r="CF113" i="1"/>
  <c r="CF100" i="1"/>
  <c r="BO401" i="39"/>
  <c r="BN401" i="39"/>
  <c r="BM401" i="39"/>
  <c r="BL401" i="39"/>
  <c r="BO388" i="39"/>
  <c r="BN388" i="39"/>
  <c r="BM388" i="39"/>
  <c r="BL388" i="39"/>
  <c r="BO371" i="39"/>
  <c r="BN371" i="39"/>
  <c r="BM371" i="39"/>
  <c r="BL368" i="39"/>
  <c r="BL365" i="39"/>
  <c r="BM330" i="39"/>
  <c r="BN330" i="39" s="1"/>
  <c r="BO330" i="39" s="1"/>
  <c r="BO324" i="39"/>
  <c r="BN324" i="39"/>
  <c r="BM324" i="39"/>
  <c r="BL324" i="39"/>
  <c r="BO323" i="39"/>
  <c r="BN323" i="39"/>
  <c r="BM323" i="39"/>
  <c r="BL323" i="39"/>
  <c r="BO314" i="39"/>
  <c r="BN314" i="39"/>
  <c r="BM314" i="39"/>
  <c r="BL314" i="39"/>
  <c r="BO312" i="39"/>
  <c r="BN312" i="39"/>
  <c r="BM312" i="39"/>
  <c r="BL312" i="39"/>
  <c r="BM307" i="39"/>
  <c r="BL307" i="39"/>
  <c r="BN306" i="39"/>
  <c r="BO306" i="39" s="1"/>
  <c r="BO301" i="39"/>
  <c r="BN301" i="39"/>
  <c r="BM301" i="39"/>
  <c r="BL301" i="39"/>
  <c r="BL296" i="39"/>
  <c r="BL371" i="39" s="1"/>
  <c r="CF371" i="39" s="1"/>
  <c r="BO258" i="39"/>
  <c r="BN258" i="39"/>
  <c r="BM258" i="39"/>
  <c r="BL258" i="39"/>
  <c r="CF258" i="39" s="1"/>
  <c r="BO6" i="39"/>
  <c r="BN6" i="39"/>
  <c r="BM6" i="39"/>
  <c r="BL6" i="39"/>
  <c r="BO5" i="39"/>
  <c r="BN5" i="39"/>
  <c r="BM5" i="39"/>
  <c r="BL5" i="39"/>
  <c r="BC11" i="39"/>
  <c r="BC10" i="39"/>
  <c r="BC373" i="39" s="1"/>
  <c r="BC401" i="39"/>
  <c r="BC400" i="39"/>
  <c r="BC388" i="39"/>
  <c r="BC374" i="39"/>
  <c r="BC371" i="39"/>
  <c r="BC359" i="39"/>
  <c r="BC348" i="39"/>
  <c r="BC347" i="39"/>
  <c r="BC86" i="39"/>
  <c r="BC85" i="39"/>
  <c r="BC84" i="39"/>
  <c r="BC69" i="39"/>
  <c r="BC67" i="39"/>
  <c r="BC58" i="39"/>
  <c r="BC59" i="39" s="1"/>
  <c r="BC54" i="39"/>
  <c r="BC41" i="39"/>
  <c r="BC39" i="39"/>
  <c r="BC69" i="3"/>
  <c r="BC67" i="3"/>
  <c r="BC54" i="3"/>
  <c r="BC50" i="3"/>
  <c r="BC134" i="3"/>
  <c r="BC130" i="3"/>
  <c r="BC121" i="3"/>
  <c r="BC110" i="3"/>
  <c r="BC139" i="3"/>
  <c r="BC131" i="3"/>
  <c r="BC53" i="2"/>
  <c r="BC51" i="2" s="1"/>
  <c r="BC36" i="2"/>
  <c r="BC35" i="2"/>
  <c r="BC25" i="2"/>
  <c r="BC33" i="2"/>
  <c r="BC17" i="2"/>
  <c r="BC26" i="2" s="1"/>
  <c r="BC65" i="3" s="1"/>
  <c r="BC113" i="1"/>
  <c r="BC104" i="1"/>
  <c r="BC100" i="1"/>
  <c r="BC58" i="1"/>
  <c r="BC63" i="1" s="1"/>
  <c r="BC40" i="1"/>
  <c r="BC47" i="1" s="1"/>
  <c r="BC48" i="1" s="1"/>
  <c r="BC37" i="1"/>
  <c r="BC34" i="1"/>
  <c r="BC30" i="1"/>
  <c r="BC27" i="1"/>
  <c r="BC17" i="1"/>
  <c r="BC19" i="1" s="1"/>
  <c r="BC353" i="39" s="1"/>
  <c r="BC11" i="1"/>
  <c r="CF320" i="39" l="1"/>
  <c r="CF296" i="39"/>
  <c r="CF388" i="39"/>
  <c r="BM9" i="3"/>
  <c r="BM104" i="3" s="1"/>
  <c r="BL115" i="2"/>
  <c r="BN9" i="3"/>
  <c r="BN104" i="3" s="1"/>
  <c r="BO47" i="1"/>
  <c r="BO9" i="3"/>
  <c r="BO104" i="3" s="1"/>
  <c r="BC54" i="2"/>
  <c r="BL113" i="3"/>
  <c r="CF18" i="3"/>
  <c r="BM115" i="2"/>
  <c r="BO115" i="2"/>
  <c r="CF167" i="3"/>
  <c r="BN115" i="2"/>
  <c r="CF115" i="2"/>
  <c r="CF60" i="1"/>
  <c r="CF422" i="39"/>
  <c r="CF517" i="39"/>
  <c r="CF531" i="39"/>
  <c r="CF551" i="39"/>
  <c r="CF567" i="39"/>
  <c r="CF587" i="39"/>
  <c r="CF606" i="39"/>
  <c r="CF448" i="39"/>
  <c r="CF524" i="39"/>
  <c r="CF541" i="39"/>
  <c r="CF557" i="39"/>
  <c r="CF577" i="39"/>
  <c r="CF59" i="3"/>
  <c r="CF74" i="3" s="1"/>
  <c r="CF82" i="3" s="1"/>
  <c r="BM110" i="3"/>
  <c r="BN15" i="3"/>
  <c r="BM113" i="3"/>
  <c r="BN113" i="3" s="1"/>
  <c r="BO113" i="3" s="1"/>
  <c r="CF113" i="3" s="1"/>
  <c r="BM134" i="3"/>
  <c r="BL59" i="3"/>
  <c r="BL74" i="3" s="1"/>
  <c r="BL82" i="3" s="1"/>
  <c r="BO45" i="1"/>
  <c r="BM45" i="1"/>
  <c r="BL45" i="1"/>
  <c r="BN45" i="1"/>
  <c r="CF59" i="1"/>
  <c r="BC47" i="2"/>
  <c r="BC399" i="39"/>
  <c r="BC70" i="3"/>
  <c r="BC41" i="2"/>
  <c r="BC45" i="1"/>
  <c r="BC49" i="1" s="1"/>
  <c r="BC50" i="1" s="1"/>
  <c r="BC52" i="1"/>
  <c r="BC20" i="1"/>
  <c r="BM59" i="3" l="1"/>
  <c r="BM74" i="3" s="1"/>
  <c r="BM82" i="3" s="1"/>
  <c r="BC354" i="39"/>
  <c r="BN59" i="3"/>
  <c r="BN74" i="3" s="1"/>
  <c r="BN82" i="3" s="1"/>
  <c r="BO59" i="3"/>
  <c r="BO74" i="3" s="1"/>
  <c r="BO82" i="3" s="1"/>
  <c r="BC50" i="2"/>
  <c r="BC49" i="2"/>
  <c r="BC48" i="2" s="1"/>
  <c r="CF58" i="1"/>
  <c r="CF63" i="1" s="1"/>
  <c r="CF90" i="3" s="1"/>
  <c r="BN134" i="3"/>
  <c r="BN110" i="3"/>
  <c r="BN87" i="3"/>
  <c r="BO15" i="3"/>
  <c r="BO87" i="3" s="1"/>
  <c r="BC65" i="1"/>
  <c r="BC53" i="1"/>
  <c r="CF15" i="3" l="1"/>
  <c r="CF87" i="3" s="1"/>
  <c r="BO110" i="3"/>
  <c r="CF110" i="3" s="1"/>
  <c r="BO134" i="3"/>
  <c r="CF134" i="3" s="1"/>
  <c r="BC79" i="1"/>
  <c r="BC86" i="1" s="1"/>
  <c r="BC72" i="1"/>
  <c r="BC66" i="1"/>
  <c r="BC95" i="1" l="1"/>
  <c r="BC11" i="3"/>
  <c r="BC94" i="1"/>
  <c r="BC92" i="1"/>
  <c r="BC87" i="1"/>
  <c r="BB323" i="39" l="1"/>
  <c r="BB402" i="39" l="1"/>
  <c r="BB401" i="39"/>
  <c r="BB388" i="39"/>
  <c r="BB371" i="39"/>
  <c r="BB359" i="39"/>
  <c r="BB349" i="39"/>
  <c r="BB348" i="39"/>
  <c r="BB347" i="39"/>
  <c r="BB86" i="39"/>
  <c r="BB85" i="39"/>
  <c r="BB84" i="39"/>
  <c r="BB69" i="39"/>
  <c r="BB67" i="39"/>
  <c r="BB58" i="39"/>
  <c r="BB59" i="39" s="1"/>
  <c r="BB54" i="39"/>
  <c r="BB41" i="39"/>
  <c r="BB39" i="39"/>
  <c r="BB69" i="3"/>
  <c r="BB67" i="3"/>
  <c r="BB53" i="2"/>
  <c r="BB51" i="2" s="1"/>
  <c r="BB37" i="2"/>
  <c r="BB35" i="2"/>
  <c r="BB25" i="2"/>
  <c r="BB33" i="2"/>
  <c r="BB17" i="2"/>
  <c r="BB26" i="2" s="1"/>
  <c r="BB65" i="3" s="1"/>
  <c r="BB113" i="1"/>
  <c r="BB104" i="1"/>
  <c r="BB100" i="1"/>
  <c r="BB58" i="1"/>
  <c r="BB63" i="1" s="1"/>
  <c r="BB40" i="1"/>
  <c r="BB47" i="1" s="1"/>
  <c r="BB48" i="1" s="1"/>
  <c r="BB37" i="1"/>
  <c r="BB34" i="1"/>
  <c r="BB30" i="1"/>
  <c r="BB27" i="1"/>
  <c r="BB17" i="1"/>
  <c r="BB19" i="1" s="1"/>
  <c r="BB353" i="39" s="1"/>
  <c r="BB11" i="1"/>
  <c r="BB70" i="3" l="1"/>
  <c r="BB47" i="2"/>
  <c r="BB45" i="1"/>
  <c r="BB49" i="1" s="1"/>
  <c r="BB50" i="1" s="1"/>
  <c r="BB54" i="2"/>
  <c r="BB41" i="2"/>
  <c r="BB43" i="2" s="1"/>
  <c r="BB52" i="1"/>
  <c r="BB20" i="1"/>
  <c r="CE346" i="39"/>
  <c r="CE344" i="39"/>
  <c r="CE342" i="39"/>
  <c r="CE336" i="39"/>
  <c r="CE322" i="39"/>
  <c r="CF324" i="39" s="1"/>
  <c r="CE317" i="39"/>
  <c r="CD317" i="39"/>
  <c r="CC317" i="39"/>
  <c r="CB317" i="39"/>
  <c r="CA317" i="39"/>
  <c r="CE311" i="39"/>
  <c r="CF314" i="39" s="1"/>
  <c r="CE295" i="39"/>
  <c r="CE286" i="39"/>
  <c r="CE280" i="39"/>
  <c r="CE278" i="39"/>
  <c r="CE273" i="39"/>
  <c r="CE250" i="39"/>
  <c r="CF252" i="39" s="1"/>
  <c r="CE244" i="39"/>
  <c r="CE238" i="39"/>
  <c r="CF240" i="39" s="1"/>
  <c r="CE232" i="39"/>
  <c r="CF234" i="39" s="1"/>
  <c r="CE216" i="39"/>
  <c r="CE215" i="39"/>
  <c r="CE214" i="39"/>
  <c r="CE83" i="39"/>
  <c r="CE80" i="39"/>
  <c r="CE72" i="39"/>
  <c r="CE65" i="39"/>
  <c r="CE64" i="39"/>
  <c r="CE63" i="39"/>
  <c r="CE6" i="39"/>
  <c r="CE594" i="39" s="1"/>
  <c r="CE43" i="3"/>
  <c r="CE41" i="3"/>
  <c r="CE34" i="3"/>
  <c r="CE33" i="3"/>
  <c r="CE32" i="3"/>
  <c r="CE31" i="3"/>
  <c r="CE17" i="3"/>
  <c r="CE16" i="3"/>
  <c r="CE14" i="3"/>
  <c r="CE42" i="1"/>
  <c r="CE41" i="1"/>
  <c r="CE26" i="1"/>
  <c r="BH138" i="3"/>
  <c r="BI138" i="3" s="1"/>
  <c r="BJ138" i="3" s="1"/>
  <c r="BK138" i="3" s="1"/>
  <c r="CE138" i="3" s="1"/>
  <c r="BH136" i="3"/>
  <c r="BI136" i="3" s="1"/>
  <c r="BJ136" i="3" s="1"/>
  <c r="BK136" i="3" s="1"/>
  <c r="CE136" i="3" s="1"/>
  <c r="BH129" i="3"/>
  <c r="BI129" i="3" s="1"/>
  <c r="BJ129" i="3" s="1"/>
  <c r="BK129" i="3" s="1"/>
  <c r="CE129" i="3" s="1"/>
  <c r="BH128" i="3"/>
  <c r="BI128" i="3" s="1"/>
  <c r="BJ128" i="3" s="1"/>
  <c r="BK128" i="3" s="1"/>
  <c r="CE128" i="3" s="1"/>
  <c r="BH127" i="3"/>
  <c r="BI127" i="3" s="1"/>
  <c r="BJ127" i="3" s="1"/>
  <c r="BK127" i="3" s="1"/>
  <c r="CE127" i="3" s="1"/>
  <c r="BH126" i="3"/>
  <c r="BI126" i="3" s="1"/>
  <c r="BJ126" i="3" s="1"/>
  <c r="BK126" i="3" s="1"/>
  <c r="CE126" i="3" s="1"/>
  <c r="BH112" i="3"/>
  <c r="BI112" i="3" s="1"/>
  <c r="BJ112" i="3" s="1"/>
  <c r="BK112" i="3" s="1"/>
  <c r="CE112" i="3" s="1"/>
  <c r="BH111" i="3"/>
  <c r="BI111" i="3" s="1"/>
  <c r="BJ111" i="3" s="1"/>
  <c r="BK111" i="3" s="1"/>
  <c r="CE111" i="3" s="1"/>
  <c r="BH110" i="3"/>
  <c r="BH109" i="3"/>
  <c r="BI109" i="3" s="1"/>
  <c r="BJ109" i="3" s="1"/>
  <c r="BK109" i="3" s="1"/>
  <c r="CE109" i="3" s="1"/>
  <c r="BH87" i="3"/>
  <c r="BI62" i="3"/>
  <c r="BJ62" i="3" s="1"/>
  <c r="BK18" i="3"/>
  <c r="BJ18" i="3"/>
  <c r="BI18" i="3"/>
  <c r="BH18" i="3"/>
  <c r="BH113" i="3" s="1"/>
  <c r="BI15" i="3"/>
  <c r="BI110" i="3" s="1"/>
  <c r="BK48" i="2"/>
  <c r="BJ48" i="2"/>
  <c r="BI48" i="2"/>
  <c r="BH48" i="2"/>
  <c r="BK113" i="1"/>
  <c r="BJ113" i="1"/>
  <c r="BI113" i="1"/>
  <c r="BH113" i="1"/>
  <c r="BI106" i="1"/>
  <c r="BJ106" i="1" s="1"/>
  <c r="BK106" i="1" s="1"/>
  <c r="BK100" i="1"/>
  <c r="BJ100" i="1"/>
  <c r="BI100" i="1"/>
  <c r="BH100" i="1"/>
  <c r="BH58" i="1"/>
  <c r="BH63" i="1" s="1"/>
  <c r="BH90" i="3" s="1"/>
  <c r="BK45" i="1"/>
  <c r="BJ47" i="1"/>
  <c r="BI47" i="1"/>
  <c r="BH45" i="1"/>
  <c r="BK47" i="1"/>
  <c r="BK401" i="39"/>
  <c r="BJ401" i="39"/>
  <c r="BI401" i="39"/>
  <c r="BH401" i="39"/>
  <c r="BK388" i="39"/>
  <c r="BJ388" i="39"/>
  <c r="BI388" i="39"/>
  <c r="BH388" i="39"/>
  <c r="BK371" i="39"/>
  <c r="BJ371" i="39"/>
  <c r="BI371" i="39"/>
  <c r="BH368" i="39"/>
  <c r="BH365" i="39"/>
  <c r="BI330" i="39"/>
  <c r="BJ330" i="39" s="1"/>
  <c r="BK330" i="39" s="1"/>
  <c r="BK324" i="39"/>
  <c r="BJ324" i="39"/>
  <c r="BI324" i="39"/>
  <c r="BH324" i="39"/>
  <c r="BK323" i="39"/>
  <c r="BJ323" i="39"/>
  <c r="BI323" i="39"/>
  <c r="BH323" i="39"/>
  <c r="BK314" i="39"/>
  <c r="BJ314" i="39"/>
  <c r="BI314" i="39"/>
  <c r="BH314" i="39"/>
  <c r="BK312" i="39"/>
  <c r="BJ312" i="39"/>
  <c r="BI312" i="39"/>
  <c r="BH312" i="39"/>
  <c r="BI307" i="39"/>
  <c r="BH307" i="39"/>
  <c r="BJ306" i="39"/>
  <c r="BK301" i="39"/>
  <c r="BJ301" i="39"/>
  <c r="BI301" i="39"/>
  <c r="BH301" i="39"/>
  <c r="BH296" i="39"/>
  <c r="BK258" i="39"/>
  <c r="BJ258" i="39"/>
  <c r="BI258" i="39"/>
  <c r="BH258" i="39"/>
  <c r="BK6" i="39"/>
  <c r="BJ6" i="39"/>
  <c r="BI6" i="39"/>
  <c r="BH6" i="39"/>
  <c r="BK5" i="39"/>
  <c r="BJ5" i="39"/>
  <c r="BI5" i="39"/>
  <c r="BH5" i="39"/>
  <c r="BK132" i="1"/>
  <c r="BK167" i="3" s="1"/>
  <c r="BJ132" i="1"/>
  <c r="BJ115" i="2" s="1"/>
  <c r="BI132" i="1"/>
  <c r="BI167" i="3" s="1"/>
  <c r="BH132" i="1"/>
  <c r="BH115" i="2" s="1"/>
  <c r="BK9" i="2"/>
  <c r="BK9" i="3" s="1"/>
  <c r="BK104" i="3" s="1"/>
  <c r="BJ9" i="2"/>
  <c r="BJ46" i="2" s="1"/>
  <c r="BJ57" i="2" s="1"/>
  <c r="BJ74" i="2" s="1"/>
  <c r="BI9" i="2"/>
  <c r="BI9" i="3" s="1"/>
  <c r="BI104" i="3" s="1"/>
  <c r="BH9" i="2"/>
  <c r="BH46" i="2" s="1"/>
  <c r="BH57" i="2" s="1"/>
  <c r="BH74" i="2" s="1"/>
  <c r="BK8" i="2"/>
  <c r="BK8" i="3" s="1"/>
  <c r="BJ8" i="2"/>
  <c r="BJ8" i="3" s="1"/>
  <c r="BI8" i="2"/>
  <c r="BI8" i="3" s="1"/>
  <c r="BH8" i="2"/>
  <c r="BH8" i="3" s="1"/>
  <c r="BK306" i="39" l="1"/>
  <c r="CE320" i="39"/>
  <c r="CE60" i="1"/>
  <c r="BJ15" i="3"/>
  <c r="BJ87" i="3" s="1"/>
  <c r="BB354" i="39"/>
  <c r="BB50" i="2"/>
  <c r="BB49" i="2"/>
  <c r="BB48" i="2" s="1"/>
  <c r="CE258" i="39"/>
  <c r="CF260" i="39" s="1"/>
  <c r="CE18" i="3"/>
  <c r="BB65" i="1"/>
  <c r="BB53" i="1"/>
  <c r="BI115" i="2"/>
  <c r="BK115" i="2"/>
  <c r="BH167" i="3"/>
  <c r="BJ167" i="3"/>
  <c r="CE33" i="1"/>
  <c r="BH371" i="39"/>
  <c r="CE371" i="39" s="1"/>
  <c r="CE296" i="39"/>
  <c r="CE388" i="39"/>
  <c r="CE422" i="39"/>
  <c r="CE517" i="39"/>
  <c r="CE531" i="39"/>
  <c r="CE551" i="39"/>
  <c r="CE567" i="39"/>
  <c r="CE587" i="39"/>
  <c r="CE606" i="39"/>
  <c r="CE448" i="39"/>
  <c r="CE524" i="39"/>
  <c r="CE541" i="39"/>
  <c r="CE557" i="39"/>
  <c r="CE577" i="39"/>
  <c r="BH9" i="3"/>
  <c r="BH104" i="3" s="1"/>
  <c r="BJ9" i="3"/>
  <c r="BJ104" i="3" s="1"/>
  <c r="BI113" i="3"/>
  <c r="BJ113" i="3" s="1"/>
  <c r="BK113" i="3" s="1"/>
  <c r="CE113" i="3" s="1"/>
  <c r="BK62" i="3"/>
  <c r="BK15" i="3"/>
  <c r="BK87" i="3" s="1"/>
  <c r="BI59" i="3"/>
  <c r="BI74" i="3" s="1"/>
  <c r="BI82" i="3" s="1"/>
  <c r="BK59" i="3"/>
  <c r="BK74" i="3" s="1"/>
  <c r="BK82" i="3" s="1"/>
  <c r="BI87" i="3"/>
  <c r="BK46" i="2"/>
  <c r="BK57" i="2" s="1"/>
  <c r="BK74" i="2" s="1"/>
  <c r="BI46" i="2"/>
  <c r="BI57" i="2" s="1"/>
  <c r="BI74" i="2" s="1"/>
  <c r="BI45" i="1"/>
  <c r="BH47" i="1"/>
  <c r="BJ45" i="1"/>
  <c r="BJ110" i="3" l="1"/>
  <c r="BK110" i="3" s="1"/>
  <c r="CE110" i="3" s="1"/>
  <c r="CE15" i="3"/>
  <c r="CE87" i="3" s="1"/>
  <c r="BJ59" i="3"/>
  <c r="BJ74" i="3" s="1"/>
  <c r="BJ82" i="3" s="1"/>
  <c r="BH59" i="3"/>
  <c r="BH74" i="3" s="1"/>
  <c r="BH82" i="3" s="1"/>
  <c r="BB79" i="1"/>
  <c r="BB86" i="1" s="1"/>
  <c r="BB72" i="1"/>
  <c r="BB66" i="1"/>
  <c r="BB142" i="1" l="1"/>
  <c r="BB11" i="3"/>
  <c r="BB94" i="1"/>
  <c r="BB95" i="1"/>
  <c r="BB92" i="1"/>
  <c r="BB87" i="1"/>
  <c r="CB669" i="39" l="1"/>
  <c r="AR669" i="39"/>
  <c r="AG612" i="39"/>
  <c r="AG614" i="39" s="1"/>
  <c r="AF612" i="39"/>
  <c r="AF614" i="39" s="1"/>
  <c r="AE612" i="39"/>
  <c r="AE614" i="39" s="1"/>
  <c r="AD612" i="39"/>
  <c r="AD614" i="39" s="1"/>
  <c r="AC612" i="39"/>
  <c r="AC614" i="39" s="1"/>
  <c r="AB612" i="39"/>
  <c r="AB614" i="39" s="1"/>
  <c r="AA612" i="39"/>
  <c r="Z612" i="39"/>
  <c r="Z614" i="39" s="1"/>
  <c r="Y612" i="39"/>
  <c r="Y614" i="39" s="1"/>
  <c r="X612" i="39"/>
  <c r="X614" i="39" s="1"/>
  <c r="W612" i="39"/>
  <c r="V612" i="39"/>
  <c r="V614" i="39" s="1"/>
  <c r="U612" i="39"/>
  <c r="U614" i="39" s="1"/>
  <c r="T612" i="39"/>
  <c r="T614" i="39" s="1"/>
  <c r="S612" i="39"/>
  <c r="S614" i="39" s="1"/>
  <c r="R612" i="39"/>
  <c r="R614" i="39" s="1"/>
  <c r="Q612" i="39"/>
  <c r="Q614" i="39" s="1"/>
  <c r="P612" i="39"/>
  <c r="P614" i="39" s="1"/>
  <c r="O612" i="39"/>
  <c r="O614" i="39" s="1"/>
  <c r="N612" i="39"/>
  <c r="N614" i="39" s="1"/>
  <c r="M612" i="39"/>
  <c r="M614" i="39" s="1"/>
  <c r="L612" i="39"/>
  <c r="L614" i="39" s="1"/>
  <c r="BW611" i="39"/>
  <c r="BV611" i="39"/>
  <c r="BU611" i="39"/>
  <c r="BT611" i="39"/>
  <c r="BS611" i="39"/>
  <c r="BW610" i="39"/>
  <c r="BV610" i="39"/>
  <c r="BU610" i="39"/>
  <c r="BT610" i="39"/>
  <c r="BS610" i="39"/>
  <c r="BW609" i="39"/>
  <c r="BV609" i="39"/>
  <c r="BU609" i="39"/>
  <c r="BT609" i="39"/>
  <c r="BS609" i="39"/>
  <c r="BW608" i="39"/>
  <c r="BV608" i="39"/>
  <c r="BU608" i="39"/>
  <c r="BT608" i="39"/>
  <c r="BS608" i="39"/>
  <c r="BW607" i="39"/>
  <c r="BV607" i="39"/>
  <c r="BU607" i="39"/>
  <c r="BT607" i="39"/>
  <c r="BS607" i="39"/>
  <c r="AH601" i="39"/>
  <c r="AG601" i="39"/>
  <c r="AF601" i="39"/>
  <c r="AE601" i="39"/>
  <c r="AD601" i="39"/>
  <c r="AC601" i="39"/>
  <c r="AB601" i="39"/>
  <c r="AA601" i="39"/>
  <c r="Z601" i="39"/>
  <c r="Y601" i="39"/>
  <c r="X601" i="39"/>
  <c r="W601" i="39"/>
  <c r="V601" i="39"/>
  <c r="U601" i="39"/>
  <c r="T601" i="39"/>
  <c r="S601" i="39"/>
  <c r="R601" i="39"/>
  <c r="Q601" i="39"/>
  <c r="P601" i="39"/>
  <c r="O601" i="39"/>
  <c r="N601" i="39"/>
  <c r="M601" i="39"/>
  <c r="L601" i="39"/>
  <c r="AH600" i="39"/>
  <c r="AG600" i="39"/>
  <c r="AF600" i="39"/>
  <c r="AE600" i="39"/>
  <c r="AD600" i="39"/>
  <c r="AC600" i="39"/>
  <c r="AB600" i="39"/>
  <c r="AA600" i="39"/>
  <c r="Z600" i="39"/>
  <c r="Y600" i="39"/>
  <c r="X600" i="39"/>
  <c r="W600" i="39"/>
  <c r="V600" i="39"/>
  <c r="U600" i="39"/>
  <c r="T600" i="39"/>
  <c r="S600" i="39"/>
  <c r="R600" i="39"/>
  <c r="Q600" i="39"/>
  <c r="P600" i="39"/>
  <c r="O600" i="39"/>
  <c r="N600" i="39"/>
  <c r="M600" i="39"/>
  <c r="L600" i="39"/>
  <c r="BW599" i="39"/>
  <c r="BV599" i="39"/>
  <c r="BU599" i="39"/>
  <c r="BT599" i="39"/>
  <c r="BS599" i="39"/>
  <c r="AI599" i="39"/>
  <c r="AI336" i="39" s="1"/>
  <c r="AI339" i="39" s="1"/>
  <c r="BT598" i="39"/>
  <c r="BS598" i="39"/>
  <c r="AI597" i="39"/>
  <c r="BX597" i="39" s="1"/>
  <c r="AI596" i="39"/>
  <c r="BW597" i="39"/>
  <c r="BV597" i="39"/>
  <c r="BU597" i="39"/>
  <c r="BT597" i="39"/>
  <c r="BS597" i="39"/>
  <c r="BX596" i="39"/>
  <c r="BW596" i="39"/>
  <c r="BV596" i="39"/>
  <c r="BU596" i="39"/>
  <c r="BT596" i="39"/>
  <c r="BS596" i="39"/>
  <c r="BX595" i="39"/>
  <c r="BW595" i="39"/>
  <c r="BV595" i="39"/>
  <c r="BU595" i="39"/>
  <c r="BU600" i="39" s="1"/>
  <c r="BT595" i="39"/>
  <c r="BS595" i="39"/>
  <c r="BZ592" i="39"/>
  <c r="BY591" i="39"/>
  <c r="BX591" i="39"/>
  <c r="BW591" i="39"/>
  <c r="BV591" i="39"/>
  <c r="BU591" i="39"/>
  <c r="BT591" i="39"/>
  <c r="BS591" i="39"/>
  <c r="BR591" i="39"/>
  <c r="BQ591" i="39"/>
  <c r="AM590" i="39"/>
  <c r="AM592" i="39" s="1"/>
  <c r="AL590" i="39"/>
  <c r="AL592" i="39" s="1"/>
  <c r="AK590" i="39"/>
  <c r="AK592" i="39" s="1"/>
  <c r="AJ590" i="39"/>
  <c r="AI590" i="39"/>
  <c r="AI592" i="39" s="1"/>
  <c r="AH590" i="39"/>
  <c r="AH592" i="39" s="1"/>
  <c r="AG590" i="39"/>
  <c r="AG592" i="39" s="1"/>
  <c r="AF590" i="39"/>
  <c r="AE590" i="39"/>
  <c r="AE592" i="39" s="1"/>
  <c r="AD590" i="39"/>
  <c r="AD592" i="39" s="1"/>
  <c r="AC590" i="39"/>
  <c r="AC592" i="39" s="1"/>
  <c r="AB590" i="39"/>
  <c r="AB592" i="39" s="1"/>
  <c r="AA590" i="39"/>
  <c r="AA592" i="39" s="1"/>
  <c r="Z590" i="39"/>
  <c r="Z592" i="39" s="1"/>
  <c r="Y590" i="39"/>
  <c r="Y592" i="39" s="1"/>
  <c r="X590" i="39"/>
  <c r="X592" i="39" s="1"/>
  <c r="W590" i="39"/>
  <c r="W592" i="39" s="1"/>
  <c r="V590" i="39"/>
  <c r="V592" i="39" s="1"/>
  <c r="U590" i="39"/>
  <c r="U592" i="39" s="1"/>
  <c r="T590" i="39"/>
  <c r="T592" i="39" s="1"/>
  <c r="S590" i="39"/>
  <c r="S592" i="39" s="1"/>
  <c r="R590" i="39"/>
  <c r="R592" i="39" s="1"/>
  <c r="Q590" i="39"/>
  <c r="Q592" i="39" s="1"/>
  <c r="P590" i="39"/>
  <c r="O590" i="39"/>
  <c r="O592" i="39" s="1"/>
  <c r="N590" i="39"/>
  <c r="N592" i="39" s="1"/>
  <c r="M590" i="39"/>
  <c r="M592" i="39" s="1"/>
  <c r="L590" i="39"/>
  <c r="L592" i="39" s="1"/>
  <c r="K590" i="39"/>
  <c r="K592" i="39" s="1"/>
  <c r="J590" i="39"/>
  <c r="J592" i="39" s="1"/>
  <c r="I590" i="39"/>
  <c r="I592" i="39" s="1"/>
  <c r="H590" i="39"/>
  <c r="H592" i="39" s="1"/>
  <c r="G590" i="39"/>
  <c r="G592" i="39" s="1"/>
  <c r="F590" i="39"/>
  <c r="F592" i="39" s="1"/>
  <c r="E590" i="39"/>
  <c r="E592" i="39" s="1"/>
  <c r="D590" i="39"/>
  <c r="BY589" i="39"/>
  <c r="BX589" i="39"/>
  <c r="BW589" i="39"/>
  <c r="BV589" i="39"/>
  <c r="BU589" i="39"/>
  <c r="BT589" i="39"/>
  <c r="BS589" i="39"/>
  <c r="BY588" i="39"/>
  <c r="BX588" i="39"/>
  <c r="BW588" i="39"/>
  <c r="BV588" i="39"/>
  <c r="BU588" i="39"/>
  <c r="BT588" i="39"/>
  <c r="BS588" i="39"/>
  <c r="BR588" i="39"/>
  <c r="BQ588" i="39"/>
  <c r="AF583" i="39"/>
  <c r="AE583" i="39"/>
  <c r="AD583" i="39"/>
  <c r="AC583" i="39"/>
  <c r="AB583" i="39"/>
  <c r="AA583" i="39"/>
  <c r="Z583" i="39"/>
  <c r="Y583" i="39"/>
  <c r="X583" i="39"/>
  <c r="W583" i="39"/>
  <c r="V583" i="39"/>
  <c r="U583" i="39"/>
  <c r="T583" i="39"/>
  <c r="S583" i="39"/>
  <c r="R583" i="39"/>
  <c r="Q583" i="39"/>
  <c r="P583" i="39"/>
  <c r="O583" i="39"/>
  <c r="N583" i="39"/>
  <c r="M583" i="39"/>
  <c r="L583" i="39"/>
  <c r="K583" i="39"/>
  <c r="J583" i="39"/>
  <c r="I583" i="39"/>
  <c r="H583" i="39"/>
  <c r="G583" i="39"/>
  <c r="F583" i="39"/>
  <c r="E583" i="39"/>
  <c r="D583" i="39"/>
  <c r="AF582" i="39"/>
  <c r="AE582" i="39"/>
  <c r="AD582" i="39"/>
  <c r="AC582" i="39"/>
  <c r="AB582" i="39"/>
  <c r="AA582" i="39"/>
  <c r="Z582" i="39"/>
  <c r="Y582" i="39"/>
  <c r="X582" i="39"/>
  <c r="W582" i="39"/>
  <c r="V582" i="39"/>
  <c r="U582" i="39"/>
  <c r="T582" i="39"/>
  <c r="S582" i="39"/>
  <c r="R582" i="39"/>
  <c r="Q582" i="39"/>
  <c r="P582" i="39"/>
  <c r="O582" i="39"/>
  <c r="N582" i="39"/>
  <c r="M582" i="39"/>
  <c r="L582" i="39"/>
  <c r="K582" i="39"/>
  <c r="J582" i="39"/>
  <c r="I582" i="39"/>
  <c r="H582" i="39"/>
  <c r="G582" i="39"/>
  <c r="F582" i="39"/>
  <c r="E582" i="39"/>
  <c r="D582" i="39"/>
  <c r="AF580" i="39"/>
  <c r="AE580" i="39"/>
  <c r="AD580" i="39"/>
  <c r="AC580" i="39"/>
  <c r="AB580" i="39"/>
  <c r="AA580" i="39"/>
  <c r="Z580" i="39"/>
  <c r="Y580" i="39"/>
  <c r="X580" i="39"/>
  <c r="W580" i="39"/>
  <c r="V580" i="39"/>
  <c r="U580" i="39"/>
  <c r="T580" i="39"/>
  <c r="S580" i="39"/>
  <c r="R580" i="39"/>
  <c r="Q580" i="39"/>
  <c r="P580" i="39"/>
  <c r="O580" i="39"/>
  <c r="N580" i="39"/>
  <c r="M580" i="39"/>
  <c r="L580" i="39"/>
  <c r="K580" i="39"/>
  <c r="J580" i="39"/>
  <c r="I580" i="39"/>
  <c r="H580" i="39"/>
  <c r="G580" i="39"/>
  <c r="F580" i="39"/>
  <c r="E580" i="39"/>
  <c r="D580" i="39"/>
  <c r="AF579" i="39"/>
  <c r="AE579" i="39"/>
  <c r="AD579" i="39"/>
  <c r="AC579" i="39"/>
  <c r="AB579" i="39"/>
  <c r="AA579" i="39"/>
  <c r="Z579" i="39"/>
  <c r="Y579" i="39"/>
  <c r="X579" i="39"/>
  <c r="W579" i="39"/>
  <c r="V579" i="39"/>
  <c r="U579" i="39"/>
  <c r="T579" i="39"/>
  <c r="S579" i="39"/>
  <c r="R579" i="39"/>
  <c r="Q579" i="39"/>
  <c r="P579" i="39"/>
  <c r="O579" i="39"/>
  <c r="N579" i="39"/>
  <c r="M579" i="39"/>
  <c r="L579" i="39"/>
  <c r="K579" i="39"/>
  <c r="J579" i="39"/>
  <c r="I579" i="39"/>
  <c r="H579" i="39"/>
  <c r="G579" i="39"/>
  <c r="F579" i="39"/>
  <c r="E579" i="39"/>
  <c r="D579" i="39"/>
  <c r="AF578" i="39"/>
  <c r="AE578" i="39"/>
  <c r="AD578" i="39"/>
  <c r="AC578" i="39"/>
  <c r="AB578" i="39"/>
  <c r="AA578" i="39"/>
  <c r="Z578" i="39"/>
  <c r="Y578" i="39"/>
  <c r="X578" i="39"/>
  <c r="W578" i="39"/>
  <c r="V578" i="39"/>
  <c r="U578" i="39"/>
  <c r="T578" i="39"/>
  <c r="S578" i="39"/>
  <c r="R578" i="39"/>
  <c r="Q578" i="39"/>
  <c r="P578" i="39"/>
  <c r="O578" i="39"/>
  <c r="N578" i="39"/>
  <c r="M578" i="39"/>
  <c r="L578" i="39"/>
  <c r="K578" i="39"/>
  <c r="J578" i="39"/>
  <c r="I578" i="39"/>
  <c r="H578" i="39"/>
  <c r="G578" i="39"/>
  <c r="F578" i="39"/>
  <c r="E578" i="39"/>
  <c r="D578" i="39"/>
  <c r="AF574" i="39"/>
  <c r="AE574" i="39"/>
  <c r="AD574" i="39"/>
  <c r="AC574" i="39"/>
  <c r="AB574" i="39"/>
  <c r="AA574" i="39"/>
  <c r="Z574" i="39"/>
  <c r="Y574" i="39"/>
  <c r="X574" i="39"/>
  <c r="W574" i="39"/>
  <c r="V574" i="39"/>
  <c r="U574" i="39"/>
  <c r="T574" i="39"/>
  <c r="S574" i="39"/>
  <c r="R574" i="39"/>
  <c r="Q574" i="39"/>
  <c r="P574" i="39"/>
  <c r="O574" i="39"/>
  <c r="N574" i="39"/>
  <c r="M574" i="39"/>
  <c r="L574" i="39"/>
  <c r="K574" i="39"/>
  <c r="J574" i="39"/>
  <c r="I574" i="39"/>
  <c r="H574" i="39"/>
  <c r="G574" i="39"/>
  <c r="F574" i="39"/>
  <c r="E574" i="39"/>
  <c r="D574" i="39"/>
  <c r="AF571" i="39"/>
  <c r="AE571" i="39"/>
  <c r="AD571" i="39"/>
  <c r="AC571" i="39"/>
  <c r="AB571" i="39"/>
  <c r="AA571" i="39"/>
  <c r="Z571" i="39"/>
  <c r="Y571" i="39"/>
  <c r="X571" i="39"/>
  <c r="W571" i="39"/>
  <c r="V571" i="39"/>
  <c r="U571" i="39"/>
  <c r="T571" i="39"/>
  <c r="S571" i="39"/>
  <c r="R571" i="39"/>
  <c r="Q571" i="39"/>
  <c r="P571" i="39"/>
  <c r="O571" i="39"/>
  <c r="N571" i="39"/>
  <c r="M571" i="39"/>
  <c r="L571" i="39"/>
  <c r="K571" i="39"/>
  <c r="J571" i="39"/>
  <c r="I571" i="39"/>
  <c r="H571" i="39"/>
  <c r="G571" i="39"/>
  <c r="F571" i="39"/>
  <c r="E571" i="39"/>
  <c r="D571" i="39"/>
  <c r="BW573" i="39"/>
  <c r="BV573" i="39"/>
  <c r="BU573" i="39"/>
  <c r="BT573" i="39"/>
  <c r="BS573" i="39"/>
  <c r="BR573" i="39"/>
  <c r="BQ573" i="39"/>
  <c r="BW572" i="39"/>
  <c r="BV572" i="39"/>
  <c r="BU572" i="39"/>
  <c r="BT572" i="39"/>
  <c r="BS572" i="39"/>
  <c r="BR572" i="39"/>
  <c r="BQ572" i="39"/>
  <c r="BW570" i="39"/>
  <c r="BV570" i="39"/>
  <c r="BU570" i="39"/>
  <c r="BT570" i="39"/>
  <c r="BS570" i="39"/>
  <c r="BR570" i="39"/>
  <c r="BQ570" i="39"/>
  <c r="BW569" i="39"/>
  <c r="BV569" i="39"/>
  <c r="BU569" i="39"/>
  <c r="BT569" i="39"/>
  <c r="BS569" i="39"/>
  <c r="BR569" i="39"/>
  <c r="BQ569" i="39"/>
  <c r="BW568" i="39"/>
  <c r="BV568" i="39"/>
  <c r="BU568" i="39"/>
  <c r="BT568" i="39"/>
  <c r="BS568" i="39"/>
  <c r="BR568" i="39"/>
  <c r="BQ568" i="39"/>
  <c r="AF564" i="39"/>
  <c r="AE564" i="39"/>
  <c r="AD564" i="39"/>
  <c r="AC564" i="39"/>
  <c r="AB564" i="39"/>
  <c r="AA564" i="39"/>
  <c r="Z564" i="39"/>
  <c r="Y564" i="39"/>
  <c r="X564" i="39"/>
  <c r="W564" i="39"/>
  <c r="V564" i="39"/>
  <c r="U564" i="39"/>
  <c r="T564" i="39"/>
  <c r="S564" i="39"/>
  <c r="R564" i="39"/>
  <c r="Q564" i="39"/>
  <c r="P564" i="39"/>
  <c r="O564" i="39"/>
  <c r="N564" i="39"/>
  <c r="M564" i="39"/>
  <c r="L564" i="39"/>
  <c r="K564" i="39"/>
  <c r="J564" i="39"/>
  <c r="I564" i="39"/>
  <c r="H564" i="39"/>
  <c r="G564" i="39"/>
  <c r="F564" i="39"/>
  <c r="E564" i="39"/>
  <c r="D564" i="39"/>
  <c r="AF561" i="39"/>
  <c r="AE561" i="39"/>
  <c r="AD561" i="39"/>
  <c r="AC561" i="39"/>
  <c r="AB561" i="39"/>
  <c r="AA561" i="39"/>
  <c r="Z561" i="39"/>
  <c r="Y561" i="39"/>
  <c r="X561" i="39"/>
  <c r="W561" i="39"/>
  <c r="V561" i="39"/>
  <c r="U561" i="39"/>
  <c r="T561" i="39"/>
  <c r="S561" i="39"/>
  <c r="R561" i="39"/>
  <c r="Q561" i="39"/>
  <c r="P561" i="39"/>
  <c r="O561" i="39"/>
  <c r="N561" i="39"/>
  <c r="M561" i="39"/>
  <c r="L561" i="39"/>
  <c r="K561" i="39"/>
  <c r="J561" i="39"/>
  <c r="I561" i="39"/>
  <c r="H561" i="39"/>
  <c r="G561" i="39"/>
  <c r="F561" i="39"/>
  <c r="E561" i="39"/>
  <c r="D561" i="39"/>
  <c r="BW563" i="39"/>
  <c r="BV563" i="39"/>
  <c r="BU563" i="39"/>
  <c r="BT563" i="39"/>
  <c r="BS563" i="39"/>
  <c r="BR563" i="39"/>
  <c r="BQ563" i="39"/>
  <c r="BW562" i="39"/>
  <c r="BV562" i="39"/>
  <c r="BU562" i="39"/>
  <c r="BT562" i="39"/>
  <c r="BS562" i="39"/>
  <c r="BR562" i="39"/>
  <c r="BQ562" i="39"/>
  <c r="BW560" i="39"/>
  <c r="BV560" i="39"/>
  <c r="BU560" i="39"/>
  <c r="BT560" i="39"/>
  <c r="BS560" i="39"/>
  <c r="BR560" i="39"/>
  <c r="BQ560" i="39"/>
  <c r="BW559" i="39"/>
  <c r="BV559" i="39"/>
  <c r="BU559" i="39"/>
  <c r="BT559" i="39"/>
  <c r="BS559" i="39"/>
  <c r="BR559" i="39"/>
  <c r="BQ559" i="39"/>
  <c r="BW558" i="39"/>
  <c r="BV558" i="39"/>
  <c r="BU558" i="39"/>
  <c r="BT558" i="39"/>
  <c r="BS558" i="39"/>
  <c r="BR558" i="39"/>
  <c r="BQ558" i="39"/>
  <c r="BU555" i="39"/>
  <c r="BT555" i="39"/>
  <c r="BS555" i="39"/>
  <c r="BR555" i="39"/>
  <c r="AF549" i="39"/>
  <c r="B546" i="39"/>
  <c r="B545" i="39"/>
  <c r="B544" i="39"/>
  <c r="B543" i="39"/>
  <c r="B542" i="39"/>
  <c r="AE546" i="39"/>
  <c r="AD546" i="39"/>
  <c r="AC546" i="39"/>
  <c r="AB546" i="39"/>
  <c r="Z546" i="39"/>
  <c r="Y546" i="39"/>
  <c r="X546" i="39"/>
  <c r="V546" i="39"/>
  <c r="U546" i="39"/>
  <c r="T546" i="39"/>
  <c r="R546" i="39"/>
  <c r="Q546" i="39"/>
  <c r="P546" i="39"/>
  <c r="O546" i="39"/>
  <c r="N546" i="39"/>
  <c r="M546" i="39"/>
  <c r="L546" i="39"/>
  <c r="AE545" i="39"/>
  <c r="AD545" i="39"/>
  <c r="AC545" i="39"/>
  <c r="AB545" i="39"/>
  <c r="Z545" i="39"/>
  <c r="Y545" i="39"/>
  <c r="X545" i="39"/>
  <c r="V545" i="39"/>
  <c r="U545" i="39"/>
  <c r="T545" i="39"/>
  <c r="R545" i="39"/>
  <c r="Q545" i="39"/>
  <c r="P545" i="39"/>
  <c r="O545" i="39"/>
  <c r="N545" i="39"/>
  <c r="M545" i="39"/>
  <c r="L545" i="39"/>
  <c r="AE544" i="39"/>
  <c r="AD544" i="39"/>
  <c r="AC544" i="39"/>
  <c r="AB544" i="39"/>
  <c r="Z544" i="39"/>
  <c r="Y544" i="39"/>
  <c r="X544" i="39"/>
  <c r="V544" i="39"/>
  <c r="U544" i="39"/>
  <c r="T544" i="39"/>
  <c r="R544" i="39"/>
  <c r="Q544" i="39"/>
  <c r="P544" i="39"/>
  <c r="O544" i="39"/>
  <c r="N544" i="39"/>
  <c r="M544" i="39"/>
  <c r="L544" i="39"/>
  <c r="AE543" i="39"/>
  <c r="AD543" i="39"/>
  <c r="AC543" i="39"/>
  <c r="AB543" i="39"/>
  <c r="Z543" i="39"/>
  <c r="Y543" i="39"/>
  <c r="X543" i="39"/>
  <c r="V543" i="39"/>
  <c r="U543" i="39"/>
  <c r="T543" i="39"/>
  <c r="R543" i="39"/>
  <c r="Q543" i="39"/>
  <c r="P543" i="39"/>
  <c r="O543" i="39"/>
  <c r="N543" i="39"/>
  <c r="M543" i="39"/>
  <c r="L543" i="39"/>
  <c r="AE542" i="39"/>
  <c r="AD542" i="39"/>
  <c r="AC542" i="39"/>
  <c r="AB542" i="39"/>
  <c r="Z542" i="39"/>
  <c r="Y542" i="39"/>
  <c r="X542" i="39"/>
  <c r="V542" i="39"/>
  <c r="U542" i="39"/>
  <c r="T542" i="39"/>
  <c r="R542" i="39"/>
  <c r="Q542" i="39"/>
  <c r="P542" i="39"/>
  <c r="O542" i="39"/>
  <c r="N542" i="39"/>
  <c r="M542" i="39"/>
  <c r="L542" i="39"/>
  <c r="BY537" i="39"/>
  <c r="BX537" i="39"/>
  <c r="BW537" i="39"/>
  <c r="BV537" i="39"/>
  <c r="BU537" i="39"/>
  <c r="BT537" i="39"/>
  <c r="BS537" i="39"/>
  <c r="BR537" i="39"/>
  <c r="AE537" i="39"/>
  <c r="AE539" i="39" s="1"/>
  <c r="AD537" i="39"/>
  <c r="AD539" i="39" s="1"/>
  <c r="AC537" i="39"/>
  <c r="AC539" i="39" s="1"/>
  <c r="AB537" i="39"/>
  <c r="AB539" i="39" s="1"/>
  <c r="AA537" i="39"/>
  <c r="Z537" i="39"/>
  <c r="Z539" i="39" s="1"/>
  <c r="Y537" i="39"/>
  <c r="Y539" i="39" s="1"/>
  <c r="X537" i="39"/>
  <c r="X539" i="39" s="1"/>
  <c r="W537" i="39"/>
  <c r="V537" i="39"/>
  <c r="V539" i="39" s="1"/>
  <c r="U537" i="39"/>
  <c r="U539" i="39" s="1"/>
  <c r="T537" i="39"/>
  <c r="T539" i="39" s="1"/>
  <c r="S537" i="39"/>
  <c r="R537" i="39"/>
  <c r="R539" i="39" s="1"/>
  <c r="Q537" i="39"/>
  <c r="Q539" i="39" s="1"/>
  <c r="P537" i="39"/>
  <c r="P539" i="39" s="1"/>
  <c r="O537" i="39"/>
  <c r="O539" i="39" s="1"/>
  <c r="N537" i="39"/>
  <c r="N539" i="39" s="1"/>
  <c r="M537" i="39"/>
  <c r="M539" i="39" s="1"/>
  <c r="L537" i="39"/>
  <c r="L539" i="39" s="1"/>
  <c r="AF529" i="39"/>
  <c r="BW527" i="39"/>
  <c r="BW529" i="39" s="1"/>
  <c r="BV527" i="39"/>
  <c r="BV529" i="39" s="1"/>
  <c r="BU527" i="39"/>
  <c r="BU529" i="39" s="1"/>
  <c r="BT527" i="39"/>
  <c r="BT529" i="39" s="1"/>
  <c r="BS527" i="39"/>
  <c r="BS529" i="39" s="1"/>
  <c r="BR527" i="39"/>
  <c r="BR529" i="39" s="1"/>
  <c r="BQ527" i="39"/>
  <c r="BQ529" i="39" s="1"/>
  <c r="AE527" i="39"/>
  <c r="AE529" i="39" s="1"/>
  <c r="AD527" i="39"/>
  <c r="AD529" i="39" s="1"/>
  <c r="AC527" i="39"/>
  <c r="AC529" i="39" s="1"/>
  <c r="AB527" i="39"/>
  <c r="AB529" i="39" s="1"/>
  <c r="AA527" i="39"/>
  <c r="AA529" i="39" s="1"/>
  <c r="Z527" i="39"/>
  <c r="Z529" i="39" s="1"/>
  <c r="Y527" i="39"/>
  <c r="Y529" i="39" s="1"/>
  <c r="X527" i="39"/>
  <c r="X529" i="39" s="1"/>
  <c r="W527" i="39"/>
  <c r="W529" i="39" s="1"/>
  <c r="V527" i="39"/>
  <c r="V529" i="39" s="1"/>
  <c r="U527" i="39"/>
  <c r="U529" i="39" s="1"/>
  <c r="T527" i="39"/>
  <c r="T529" i="39" s="1"/>
  <c r="S527" i="39"/>
  <c r="S529" i="39" s="1"/>
  <c r="R527" i="39"/>
  <c r="R529" i="39" s="1"/>
  <c r="Q527" i="39"/>
  <c r="Q529" i="39" s="1"/>
  <c r="P527" i="39"/>
  <c r="P529" i="39" s="1"/>
  <c r="O527" i="39"/>
  <c r="O529" i="39" s="1"/>
  <c r="N527" i="39"/>
  <c r="N529" i="39" s="1"/>
  <c r="M527" i="39"/>
  <c r="M529" i="39" s="1"/>
  <c r="L527" i="39"/>
  <c r="L529" i="39" s="1"/>
  <c r="K527" i="39"/>
  <c r="K529" i="39" s="1"/>
  <c r="J527" i="39"/>
  <c r="J529" i="39" s="1"/>
  <c r="I527" i="39"/>
  <c r="I529" i="39" s="1"/>
  <c r="H527" i="39"/>
  <c r="H529" i="39" s="1"/>
  <c r="B526" i="39"/>
  <c r="B525" i="39"/>
  <c r="AE520" i="39"/>
  <c r="AE522" i="39" s="1"/>
  <c r="AD520" i="39"/>
  <c r="AD522" i="39" s="1"/>
  <c r="AC520" i="39"/>
  <c r="AC522" i="39" s="1"/>
  <c r="AB520" i="39"/>
  <c r="AB522" i="39" s="1"/>
  <c r="AA520" i="39"/>
  <c r="Z520" i="39"/>
  <c r="Z522" i="39" s="1"/>
  <c r="Y520" i="39"/>
  <c r="Y522" i="39" s="1"/>
  <c r="X520" i="39"/>
  <c r="X522" i="39" s="1"/>
  <c r="W520" i="39"/>
  <c r="V520" i="39"/>
  <c r="V522" i="39" s="1"/>
  <c r="U520" i="39"/>
  <c r="U522" i="39" s="1"/>
  <c r="T520" i="39"/>
  <c r="T522" i="39" s="1"/>
  <c r="S520" i="39"/>
  <c r="R520" i="39"/>
  <c r="R522" i="39" s="1"/>
  <c r="Q520" i="39"/>
  <c r="Q522" i="39" s="1"/>
  <c r="P520" i="39"/>
  <c r="P522" i="39" s="1"/>
  <c r="O520" i="39"/>
  <c r="O522" i="39" s="1"/>
  <c r="N520" i="39"/>
  <c r="N522" i="39" s="1"/>
  <c r="M520" i="39"/>
  <c r="M522" i="39" s="1"/>
  <c r="L520" i="39"/>
  <c r="L522" i="39" s="1"/>
  <c r="K520" i="39"/>
  <c r="K522" i="39" s="1"/>
  <c r="J520" i="39"/>
  <c r="J522" i="39" s="1"/>
  <c r="I520" i="39"/>
  <c r="I522" i="39" s="1"/>
  <c r="H520" i="39"/>
  <c r="H522" i="39" s="1"/>
  <c r="B469" i="39"/>
  <c r="B468" i="39"/>
  <c r="B467" i="39"/>
  <c r="B466" i="39"/>
  <c r="B465" i="39"/>
  <c r="B464" i="39"/>
  <c r="B463" i="39"/>
  <c r="B462" i="39"/>
  <c r="B461" i="39"/>
  <c r="B460" i="39"/>
  <c r="B459" i="39"/>
  <c r="B458" i="39"/>
  <c r="B457" i="39"/>
  <c r="B456" i="39"/>
  <c r="B455" i="39"/>
  <c r="B454" i="39"/>
  <c r="B453" i="39"/>
  <c r="B452" i="39"/>
  <c r="B451" i="39"/>
  <c r="B450" i="39"/>
  <c r="B449" i="39"/>
  <c r="K456" i="39"/>
  <c r="J456" i="39"/>
  <c r="I456" i="39"/>
  <c r="H456" i="39"/>
  <c r="AF468" i="39"/>
  <c r="AD468" i="39"/>
  <c r="AC468" i="39"/>
  <c r="AB468" i="39"/>
  <c r="Z468" i="39"/>
  <c r="Y468" i="39"/>
  <c r="X468" i="39"/>
  <c r="V468" i="39"/>
  <c r="U468" i="39"/>
  <c r="T468" i="39"/>
  <c r="R468" i="39"/>
  <c r="Q468" i="39"/>
  <c r="P468" i="39"/>
  <c r="O468" i="39"/>
  <c r="N468" i="39"/>
  <c r="M468" i="39"/>
  <c r="L468" i="39"/>
  <c r="AF467" i="39"/>
  <c r="AE467" i="39"/>
  <c r="AD467" i="39"/>
  <c r="AC467" i="39"/>
  <c r="AB467" i="39"/>
  <c r="Z467" i="39"/>
  <c r="Y467" i="39"/>
  <c r="X467" i="39"/>
  <c r="V467" i="39"/>
  <c r="U467" i="39"/>
  <c r="T467" i="39"/>
  <c r="R467" i="39"/>
  <c r="Q467" i="39"/>
  <c r="P467" i="39"/>
  <c r="O467" i="39"/>
  <c r="N467" i="39"/>
  <c r="M467" i="39"/>
  <c r="L467" i="39"/>
  <c r="AF466" i="39"/>
  <c r="AE466" i="39"/>
  <c r="AD466" i="39"/>
  <c r="AC466" i="39"/>
  <c r="AB466" i="39"/>
  <c r="Z466" i="39"/>
  <c r="Y466" i="39"/>
  <c r="X466" i="39"/>
  <c r="V466" i="39"/>
  <c r="U466" i="39"/>
  <c r="T466" i="39"/>
  <c r="R466" i="39"/>
  <c r="Q466" i="39"/>
  <c r="P466" i="39"/>
  <c r="O466" i="39"/>
  <c r="N466" i="39"/>
  <c r="M466" i="39"/>
  <c r="L466" i="39"/>
  <c r="AF465" i="39"/>
  <c r="AE465" i="39"/>
  <c r="AD465" i="39"/>
  <c r="AC465" i="39"/>
  <c r="AB465" i="39"/>
  <c r="Z465" i="39"/>
  <c r="Y465" i="39"/>
  <c r="X465" i="39"/>
  <c r="V465" i="39"/>
  <c r="U465" i="39"/>
  <c r="T465" i="39"/>
  <c r="R465" i="39"/>
  <c r="Q465" i="39"/>
  <c r="P465" i="39"/>
  <c r="O465" i="39"/>
  <c r="N465" i="39"/>
  <c r="M465" i="39"/>
  <c r="L465" i="39"/>
  <c r="AF464" i="39"/>
  <c r="AE464" i="39"/>
  <c r="AD464" i="39"/>
  <c r="AC464" i="39"/>
  <c r="AB464" i="39"/>
  <c r="Z464" i="39"/>
  <c r="Y464" i="39"/>
  <c r="X464" i="39"/>
  <c r="V464" i="39"/>
  <c r="U464" i="39"/>
  <c r="T464" i="39"/>
  <c r="R464" i="39"/>
  <c r="Q464" i="39"/>
  <c r="P464" i="39"/>
  <c r="O464" i="39"/>
  <c r="N464" i="39"/>
  <c r="M464" i="39"/>
  <c r="L464" i="39"/>
  <c r="AF462" i="39"/>
  <c r="AE462" i="39"/>
  <c r="AD462" i="39"/>
  <c r="AC462" i="39"/>
  <c r="AB462" i="39"/>
  <c r="Z462" i="39"/>
  <c r="Y462" i="39"/>
  <c r="X462" i="39"/>
  <c r="V462" i="39"/>
  <c r="U462" i="39"/>
  <c r="T462" i="39"/>
  <c r="R462" i="39"/>
  <c r="Q462" i="39"/>
  <c r="P462" i="39"/>
  <c r="O462" i="39"/>
  <c r="N462" i="39"/>
  <c r="M462" i="39"/>
  <c r="L462" i="39"/>
  <c r="AF461" i="39"/>
  <c r="AE461" i="39"/>
  <c r="AD461" i="39"/>
  <c r="AC461" i="39"/>
  <c r="AB461" i="39"/>
  <c r="Z461" i="39"/>
  <c r="Y461" i="39"/>
  <c r="X461" i="39"/>
  <c r="V461" i="39"/>
  <c r="U461" i="39"/>
  <c r="T461" i="39"/>
  <c r="R461" i="39"/>
  <c r="Q461" i="39"/>
  <c r="P461" i="39"/>
  <c r="O461" i="39"/>
  <c r="N461" i="39"/>
  <c r="M461" i="39"/>
  <c r="L461" i="39"/>
  <c r="AF460" i="39"/>
  <c r="AE460" i="39"/>
  <c r="AD460" i="39"/>
  <c r="AC460" i="39"/>
  <c r="AB460" i="39"/>
  <c r="Z460" i="39"/>
  <c r="Y460" i="39"/>
  <c r="X460" i="39"/>
  <c r="V460" i="39"/>
  <c r="U460" i="39"/>
  <c r="T460" i="39"/>
  <c r="R460" i="39"/>
  <c r="Q460" i="39"/>
  <c r="P460" i="39"/>
  <c r="O460" i="39"/>
  <c r="N460" i="39"/>
  <c r="M460" i="39"/>
  <c r="L460" i="39"/>
  <c r="AF459" i="39"/>
  <c r="AE459" i="39"/>
  <c r="AD459" i="39"/>
  <c r="AC459" i="39"/>
  <c r="AB459" i="39"/>
  <c r="Z459" i="39"/>
  <c r="Y459" i="39"/>
  <c r="X459" i="39"/>
  <c r="V459" i="39"/>
  <c r="U459" i="39"/>
  <c r="T459" i="39"/>
  <c r="R459" i="39"/>
  <c r="Q459" i="39"/>
  <c r="P459" i="39"/>
  <c r="O459" i="39"/>
  <c r="N459" i="39"/>
  <c r="M459" i="39"/>
  <c r="L459" i="39"/>
  <c r="AF458" i="39"/>
  <c r="AE458" i="39"/>
  <c r="AD458" i="39"/>
  <c r="AC458" i="39"/>
  <c r="AB458" i="39"/>
  <c r="Z458" i="39"/>
  <c r="Y458" i="39"/>
  <c r="X458" i="39"/>
  <c r="V458" i="39"/>
  <c r="U458" i="39"/>
  <c r="T458" i="39"/>
  <c r="R458" i="39"/>
  <c r="Q458" i="39"/>
  <c r="P458" i="39"/>
  <c r="O458" i="39"/>
  <c r="N458" i="39"/>
  <c r="M458" i="39"/>
  <c r="L458" i="39"/>
  <c r="AF457" i="39"/>
  <c r="AE457" i="39"/>
  <c r="AD457" i="39"/>
  <c r="AC457" i="39"/>
  <c r="AB457" i="39"/>
  <c r="Z457" i="39"/>
  <c r="Y457" i="39"/>
  <c r="X457" i="39"/>
  <c r="V457" i="39"/>
  <c r="U457" i="39"/>
  <c r="T457" i="39"/>
  <c r="R457" i="39"/>
  <c r="Q457" i="39"/>
  <c r="P457" i="39"/>
  <c r="O457" i="39"/>
  <c r="N457" i="39"/>
  <c r="M457" i="39"/>
  <c r="L457" i="39"/>
  <c r="AF456" i="39"/>
  <c r="AE456" i="39"/>
  <c r="AD456" i="39"/>
  <c r="AC456" i="39"/>
  <c r="AB456" i="39"/>
  <c r="Z456" i="39"/>
  <c r="Y456" i="39"/>
  <c r="X456" i="39"/>
  <c r="V456" i="39"/>
  <c r="U456" i="39"/>
  <c r="T456" i="39"/>
  <c r="R456" i="39"/>
  <c r="Q456" i="39"/>
  <c r="P456" i="39"/>
  <c r="O456" i="39"/>
  <c r="N456" i="39"/>
  <c r="M456" i="39"/>
  <c r="L456" i="39"/>
  <c r="AF454" i="39"/>
  <c r="AE454" i="39"/>
  <c r="AD454" i="39"/>
  <c r="AC454" i="39"/>
  <c r="AB454" i="39"/>
  <c r="Z454" i="39"/>
  <c r="Y454" i="39"/>
  <c r="X454" i="39"/>
  <c r="V454" i="39"/>
  <c r="U454" i="39"/>
  <c r="T454" i="39"/>
  <c r="R454" i="39"/>
  <c r="Q454" i="39"/>
  <c r="P454" i="39"/>
  <c r="O454" i="39"/>
  <c r="N454" i="39"/>
  <c r="M454" i="39"/>
  <c r="L454" i="39"/>
  <c r="AF453" i="39"/>
  <c r="AE453" i="39"/>
  <c r="AD453" i="39"/>
  <c r="AC453" i="39"/>
  <c r="AB453" i="39"/>
  <c r="Z453" i="39"/>
  <c r="Y453" i="39"/>
  <c r="X453" i="39"/>
  <c r="V453" i="39"/>
  <c r="U453" i="39"/>
  <c r="T453" i="39"/>
  <c r="R453" i="39"/>
  <c r="Q453" i="39"/>
  <c r="P453" i="39"/>
  <c r="O453" i="39"/>
  <c r="N453" i="39"/>
  <c r="M453" i="39"/>
  <c r="L453" i="39"/>
  <c r="AF451" i="39"/>
  <c r="AE451" i="39"/>
  <c r="AD451" i="39"/>
  <c r="AC451" i="39"/>
  <c r="AB451" i="39"/>
  <c r="Z451" i="39"/>
  <c r="Y451" i="39"/>
  <c r="X451" i="39"/>
  <c r="V451" i="39"/>
  <c r="U451" i="39"/>
  <c r="T451" i="39"/>
  <c r="R451" i="39"/>
  <c r="Q451" i="39"/>
  <c r="P451" i="39"/>
  <c r="O451" i="39"/>
  <c r="N451" i="39"/>
  <c r="M451" i="39"/>
  <c r="L451" i="39"/>
  <c r="AF450" i="39"/>
  <c r="AE450" i="39"/>
  <c r="AD450" i="39"/>
  <c r="AC450" i="39"/>
  <c r="AB450" i="39"/>
  <c r="Z450" i="39"/>
  <c r="Y450" i="39"/>
  <c r="X450" i="39"/>
  <c r="V450" i="39"/>
  <c r="U450" i="39"/>
  <c r="T450" i="39"/>
  <c r="R450" i="39"/>
  <c r="Q450" i="39"/>
  <c r="P450" i="39"/>
  <c r="O450" i="39"/>
  <c r="N450" i="39"/>
  <c r="M450" i="39"/>
  <c r="L450" i="39"/>
  <c r="AF449" i="39"/>
  <c r="AE449" i="39"/>
  <c r="AD449" i="39"/>
  <c r="AC449" i="39"/>
  <c r="AB449" i="39"/>
  <c r="Z449" i="39"/>
  <c r="Y449" i="39"/>
  <c r="X449" i="39"/>
  <c r="V449" i="39"/>
  <c r="U449" i="39"/>
  <c r="T449" i="39"/>
  <c r="R449" i="39"/>
  <c r="Q449" i="39"/>
  <c r="P449" i="39"/>
  <c r="O449" i="39"/>
  <c r="N449" i="39"/>
  <c r="M449" i="39"/>
  <c r="L449" i="39"/>
  <c r="AF443" i="39"/>
  <c r="AF469" i="39" s="1"/>
  <c r="AD443" i="39"/>
  <c r="AC443" i="39"/>
  <c r="AB443" i="39"/>
  <c r="AA443" i="39"/>
  <c r="Z443" i="39"/>
  <c r="Y443" i="39"/>
  <c r="X443" i="39"/>
  <c r="W443" i="39"/>
  <c r="V443" i="39"/>
  <c r="U443" i="39"/>
  <c r="T443" i="39"/>
  <c r="S443" i="39"/>
  <c r="R443" i="39"/>
  <c r="Q443" i="39"/>
  <c r="P443" i="39"/>
  <c r="O443" i="39"/>
  <c r="N443" i="39"/>
  <c r="M443" i="39"/>
  <c r="L443" i="39"/>
  <c r="AE442" i="39"/>
  <c r="AF437" i="39"/>
  <c r="AF463" i="39" s="1"/>
  <c r="AE437" i="39"/>
  <c r="AE463" i="39" s="1"/>
  <c r="AD437" i="39"/>
  <c r="AD463" i="39" s="1"/>
  <c r="AC437" i="39"/>
  <c r="AC463" i="39" s="1"/>
  <c r="AB437" i="39"/>
  <c r="AB463" i="39" s="1"/>
  <c r="AA437" i="39"/>
  <c r="Z437" i="39"/>
  <c r="Z463" i="39" s="1"/>
  <c r="Y437" i="39"/>
  <c r="Y463" i="39" s="1"/>
  <c r="X437" i="39"/>
  <c r="X463" i="39" s="1"/>
  <c r="W437" i="39"/>
  <c r="V437" i="39"/>
  <c r="V463" i="39" s="1"/>
  <c r="U437" i="39"/>
  <c r="U463" i="39" s="1"/>
  <c r="T437" i="39"/>
  <c r="T463" i="39" s="1"/>
  <c r="S437" i="39"/>
  <c r="R437" i="39"/>
  <c r="R463" i="39" s="1"/>
  <c r="Q437" i="39"/>
  <c r="Q463" i="39" s="1"/>
  <c r="P437" i="39"/>
  <c r="P463" i="39" s="1"/>
  <c r="O437" i="39"/>
  <c r="O463" i="39" s="1"/>
  <c r="N437" i="39"/>
  <c r="N463" i="39" s="1"/>
  <c r="M437" i="39"/>
  <c r="M463" i="39" s="1"/>
  <c r="L437" i="39"/>
  <c r="L463" i="39" s="1"/>
  <c r="AF429" i="39"/>
  <c r="AF455" i="39" s="1"/>
  <c r="AE429" i="39"/>
  <c r="AE455" i="39" s="1"/>
  <c r="AD429" i="39"/>
  <c r="AC429" i="39"/>
  <c r="AC455" i="39" s="1"/>
  <c r="AB429" i="39"/>
  <c r="AB455" i="39" s="1"/>
  <c r="AA429" i="39"/>
  <c r="Z429" i="39"/>
  <c r="Y429" i="39"/>
  <c r="Y455" i="39" s="1"/>
  <c r="X429" i="39"/>
  <c r="W429" i="39"/>
  <c r="V429" i="39"/>
  <c r="U429" i="39"/>
  <c r="U455" i="39" s="1"/>
  <c r="T429" i="39"/>
  <c r="T455" i="39" s="1"/>
  <c r="S429" i="39"/>
  <c r="R429" i="39"/>
  <c r="R455" i="39" s="1"/>
  <c r="Q429" i="39"/>
  <c r="Q455" i="39" s="1"/>
  <c r="P429" i="39"/>
  <c r="O429" i="39"/>
  <c r="O455" i="39" s="1"/>
  <c r="N429" i="39"/>
  <c r="N455" i="39" s="1"/>
  <c r="M429" i="39"/>
  <c r="M455" i="39" s="1"/>
  <c r="L429" i="39"/>
  <c r="L455" i="39" s="1"/>
  <c r="AG426" i="39"/>
  <c r="AF426" i="39"/>
  <c r="AF452" i="39" s="1"/>
  <c r="AE426" i="39"/>
  <c r="AE452" i="39" s="1"/>
  <c r="AD426" i="39"/>
  <c r="AD452" i="39" s="1"/>
  <c r="AC426" i="39"/>
  <c r="AC452" i="39" s="1"/>
  <c r="AB426" i="39"/>
  <c r="AA426" i="39"/>
  <c r="Z426" i="39"/>
  <c r="Z452" i="39" s="1"/>
  <c r="Y426" i="39"/>
  <c r="Y452" i="39" s="1"/>
  <c r="X426" i="39"/>
  <c r="X452" i="39" s="1"/>
  <c r="W426" i="39"/>
  <c r="V426" i="39"/>
  <c r="V452" i="39" s="1"/>
  <c r="U426" i="39"/>
  <c r="U452" i="39" s="1"/>
  <c r="T426" i="39"/>
  <c r="T452" i="39" s="1"/>
  <c r="S426" i="39"/>
  <c r="R426" i="39"/>
  <c r="R452" i="39" s="1"/>
  <c r="Q426" i="39"/>
  <c r="Q452" i="39" s="1"/>
  <c r="P426" i="39"/>
  <c r="P452" i="39" s="1"/>
  <c r="O426" i="39"/>
  <c r="O452" i="39" s="1"/>
  <c r="N426" i="39"/>
  <c r="N452" i="39" s="1"/>
  <c r="M426" i="39"/>
  <c r="M452" i="39" s="1"/>
  <c r="L426" i="39"/>
  <c r="BV442" i="39"/>
  <c r="BU442" i="39"/>
  <c r="BT442" i="39"/>
  <c r="BS442" i="39"/>
  <c r="BW441" i="39"/>
  <c r="BV441" i="39"/>
  <c r="BU441" i="39"/>
  <c r="BT441" i="39"/>
  <c r="BS441" i="39"/>
  <c r="BW440" i="39"/>
  <c r="BV440" i="39"/>
  <c r="BU440" i="39"/>
  <c r="BT440" i="39"/>
  <c r="BS440" i="39"/>
  <c r="BW439" i="39"/>
  <c r="BV439" i="39"/>
  <c r="BU439" i="39"/>
  <c r="BT439" i="39"/>
  <c r="BS439" i="39"/>
  <c r="BW438" i="39"/>
  <c r="BV438" i="39"/>
  <c r="BU438" i="39"/>
  <c r="BT438" i="39"/>
  <c r="BS438" i="39"/>
  <c r="BW436" i="39"/>
  <c r="BV436" i="39"/>
  <c r="BU436" i="39"/>
  <c r="BT436" i="39"/>
  <c r="BS436" i="39"/>
  <c r="BW435" i="39"/>
  <c r="BV435" i="39"/>
  <c r="BU435" i="39"/>
  <c r="BT435" i="39"/>
  <c r="BS435" i="39"/>
  <c r="BW434" i="39"/>
  <c r="BV434" i="39"/>
  <c r="BU434" i="39"/>
  <c r="BT434" i="39"/>
  <c r="BS434" i="39"/>
  <c r="BW433" i="39"/>
  <c r="BV433" i="39"/>
  <c r="BU433" i="39"/>
  <c r="BT433" i="39"/>
  <c r="BS433" i="39"/>
  <c r="BW432" i="39"/>
  <c r="BV432" i="39"/>
  <c r="BU432" i="39"/>
  <c r="BT432" i="39"/>
  <c r="BS432" i="39"/>
  <c r="BW431" i="39"/>
  <c r="BV431" i="39"/>
  <c r="BU431" i="39"/>
  <c r="BT431" i="39"/>
  <c r="BS431" i="39"/>
  <c r="BW430" i="39"/>
  <c r="BV430" i="39"/>
  <c r="BU430" i="39"/>
  <c r="BT430" i="39"/>
  <c r="BS430" i="39"/>
  <c r="BW428" i="39"/>
  <c r="BV428" i="39"/>
  <c r="BU428" i="39"/>
  <c r="BT428" i="39"/>
  <c r="BS428" i="39"/>
  <c r="BW427" i="39"/>
  <c r="BV427" i="39"/>
  <c r="BU427" i="39"/>
  <c r="BT427" i="39"/>
  <c r="BS427" i="39"/>
  <c r="BW425" i="39"/>
  <c r="BV425" i="39"/>
  <c r="BU425" i="39"/>
  <c r="BT425" i="39"/>
  <c r="BS425" i="39"/>
  <c r="BW424" i="39"/>
  <c r="BV424" i="39"/>
  <c r="BU424" i="39"/>
  <c r="BT424" i="39"/>
  <c r="BS424" i="39"/>
  <c r="BW423" i="39"/>
  <c r="BV423" i="39"/>
  <c r="BU423" i="39"/>
  <c r="BT423" i="39"/>
  <c r="BS423" i="39"/>
  <c r="AY411" i="39"/>
  <c r="AZ411" i="39" s="1"/>
  <c r="BA411" i="39" s="1"/>
  <c r="BB411" i="39" s="1"/>
  <c r="BC411" i="39" s="1"/>
  <c r="BD411" i="39" s="1"/>
  <c r="BE411" i="39" s="1"/>
  <c r="BF411" i="39" s="1"/>
  <c r="BG411" i="39" s="1"/>
  <c r="BH411" i="39" s="1"/>
  <c r="BI411" i="39" s="1"/>
  <c r="BJ411" i="39" s="1"/>
  <c r="BK411" i="39" s="1"/>
  <c r="BL411" i="39" s="1"/>
  <c r="BM411" i="39" s="1"/>
  <c r="BN411" i="39" s="1"/>
  <c r="BO411" i="39" s="1"/>
  <c r="BV405" i="39"/>
  <c r="AK402" i="39"/>
  <c r="AI402" i="39"/>
  <c r="AH402" i="39"/>
  <c r="AF402" i="39"/>
  <c r="BG401" i="39"/>
  <c r="BF401" i="39"/>
  <c r="BE401" i="39"/>
  <c r="BA401" i="39"/>
  <c r="AZ401" i="39"/>
  <c r="AY401" i="39"/>
  <c r="AX401" i="39"/>
  <c r="AW401" i="39"/>
  <c r="AV401" i="39"/>
  <c r="AU401" i="39"/>
  <c r="AT401" i="39"/>
  <c r="AS401" i="39"/>
  <c r="AR401" i="39"/>
  <c r="AQ401" i="39"/>
  <c r="AP401" i="39"/>
  <c r="AO401" i="39"/>
  <c r="AN401" i="39"/>
  <c r="AM401" i="39"/>
  <c r="AL401" i="39"/>
  <c r="AK401" i="39"/>
  <c r="AJ401" i="39"/>
  <c r="BV388" i="39"/>
  <c r="BG388" i="39"/>
  <c r="BF388" i="39"/>
  <c r="BE388" i="39"/>
  <c r="BA388" i="39"/>
  <c r="AZ388" i="39"/>
  <c r="AY388" i="39"/>
  <c r="AX388" i="39"/>
  <c r="AW388" i="39"/>
  <c r="AV388" i="39"/>
  <c r="AU388" i="39"/>
  <c r="AT388" i="39"/>
  <c r="AS388" i="39"/>
  <c r="AR388" i="39"/>
  <c r="AQ388" i="39"/>
  <c r="AP388" i="39"/>
  <c r="AO388" i="39"/>
  <c r="AK388" i="39"/>
  <c r="AI388" i="39"/>
  <c r="AH388" i="39"/>
  <c r="AF388" i="39"/>
  <c r="AG372" i="39"/>
  <c r="AF372" i="39"/>
  <c r="BG371" i="39"/>
  <c r="BF371" i="39"/>
  <c r="BE371" i="39"/>
  <c r="BA371" i="39"/>
  <c r="AW371" i="39"/>
  <c r="AS371" i="39"/>
  <c r="AL371" i="39"/>
  <c r="AK371" i="39"/>
  <c r="AJ371" i="39"/>
  <c r="AV367" i="39"/>
  <c r="AV366" i="39"/>
  <c r="AZ367" i="39"/>
  <c r="BA367" i="39" s="1"/>
  <c r="BB367" i="39" s="1"/>
  <c r="AZ366" i="39"/>
  <c r="BV363" i="39"/>
  <c r="BA359" i="39"/>
  <c r="AZ359" i="39"/>
  <c r="AY359" i="39"/>
  <c r="AX359" i="39"/>
  <c r="AW359" i="39"/>
  <c r="AV359" i="39"/>
  <c r="AU359" i="39"/>
  <c r="AT359" i="39"/>
  <c r="AS359" i="39"/>
  <c r="AR359" i="39"/>
  <c r="AQ359" i="39"/>
  <c r="AP359" i="39"/>
  <c r="AO359" i="39"/>
  <c r="AN359" i="39"/>
  <c r="AM359" i="39"/>
  <c r="AL359" i="39"/>
  <c r="AK359" i="39"/>
  <c r="AJ359" i="39"/>
  <c r="AI359" i="39"/>
  <c r="AH359" i="39"/>
  <c r="AG359" i="39"/>
  <c r="AF359" i="39"/>
  <c r="AE359" i="39"/>
  <c r="AD359" i="39"/>
  <c r="AC359" i="39"/>
  <c r="AB359" i="39"/>
  <c r="AM349" i="39"/>
  <c r="AL349" i="39"/>
  <c r="AK349" i="39"/>
  <c r="AJ349" i="39"/>
  <c r="BA348" i="39"/>
  <c r="AZ348" i="39"/>
  <c r="AY348" i="39"/>
  <c r="AX348" i="39"/>
  <c r="AW348" i="39"/>
  <c r="AV348" i="39"/>
  <c r="AU348" i="39"/>
  <c r="AT348" i="39"/>
  <c r="AS348" i="39"/>
  <c r="AR348" i="39"/>
  <c r="AQ348" i="39"/>
  <c r="AP348" i="39"/>
  <c r="AO348" i="39"/>
  <c r="AN348" i="39"/>
  <c r="BA347" i="39"/>
  <c r="AZ347" i="39"/>
  <c r="AY347" i="39"/>
  <c r="AX347" i="39"/>
  <c r="AW347" i="39"/>
  <c r="AV347" i="39"/>
  <c r="AU347" i="39"/>
  <c r="AT347" i="39"/>
  <c r="AS347" i="39"/>
  <c r="AR347" i="39"/>
  <c r="AQ347" i="39"/>
  <c r="AP347" i="39"/>
  <c r="AO347" i="39"/>
  <c r="AN347" i="39"/>
  <c r="AM347" i="39"/>
  <c r="AL347" i="39"/>
  <c r="AK347" i="39"/>
  <c r="CD346" i="39"/>
  <c r="CC346" i="39"/>
  <c r="CB346" i="39"/>
  <c r="CA346" i="39"/>
  <c r="BZ346" i="39"/>
  <c r="BY346" i="39"/>
  <c r="BR346" i="39"/>
  <c r="BR349" i="39" s="1"/>
  <c r="CD344" i="39"/>
  <c r="CC344" i="39"/>
  <c r="CB344" i="39"/>
  <c r="CA344" i="39"/>
  <c r="BZ344" i="39"/>
  <c r="BY344" i="39"/>
  <c r="AI344" i="39"/>
  <c r="AH344" i="39"/>
  <c r="AG344" i="39"/>
  <c r="AF344" i="39"/>
  <c r="AE344" i="39"/>
  <c r="AD344" i="39"/>
  <c r="AC344" i="39"/>
  <c r="AB344" i="39"/>
  <c r="AA344" i="39"/>
  <c r="Z344" i="39"/>
  <c r="Y344" i="39"/>
  <c r="X344" i="39"/>
  <c r="W344" i="39"/>
  <c r="V344" i="39"/>
  <c r="U344" i="39"/>
  <c r="T344" i="39"/>
  <c r="S344" i="39"/>
  <c r="R344" i="39"/>
  <c r="Q344" i="39"/>
  <c r="P344" i="39"/>
  <c r="O344" i="39"/>
  <c r="N344" i="39"/>
  <c r="M344" i="39"/>
  <c r="L344" i="39"/>
  <c r="CD342" i="39"/>
  <c r="CC342" i="39"/>
  <c r="CB342" i="39"/>
  <c r="CA342" i="39"/>
  <c r="BZ342" i="39"/>
  <c r="BY342" i="39"/>
  <c r="AI342" i="39"/>
  <c r="AH342" i="39"/>
  <c r="AG342" i="39"/>
  <c r="AF342" i="39"/>
  <c r="AE342" i="39"/>
  <c r="AD342" i="39"/>
  <c r="AC342" i="39"/>
  <c r="AB342" i="39"/>
  <c r="AA342" i="39"/>
  <c r="Z342" i="39"/>
  <c r="Y342" i="39"/>
  <c r="X342" i="39"/>
  <c r="W342" i="39"/>
  <c r="V342" i="39"/>
  <c r="U342" i="39"/>
  <c r="T342" i="39"/>
  <c r="S342" i="39"/>
  <c r="R342" i="39"/>
  <c r="Q342" i="39"/>
  <c r="P342" i="39"/>
  <c r="O342" i="39"/>
  <c r="N342" i="39"/>
  <c r="M342" i="39"/>
  <c r="L342" i="39"/>
  <c r="BR339" i="39"/>
  <c r="AI340" i="39"/>
  <c r="AH340" i="39"/>
  <c r="AG340" i="39"/>
  <c r="AF340" i="39"/>
  <c r="AE340" i="39"/>
  <c r="AD340" i="39"/>
  <c r="AC340" i="39"/>
  <c r="AB340" i="39"/>
  <c r="AA340" i="39"/>
  <c r="Z340" i="39"/>
  <c r="Y340" i="39"/>
  <c r="X340" i="39"/>
  <c r="CD336" i="39"/>
  <c r="CC336" i="39"/>
  <c r="CB336" i="39"/>
  <c r="CA336" i="39"/>
  <c r="BZ336" i="39"/>
  <c r="BY336" i="39"/>
  <c r="AH336" i="39"/>
  <c r="AH339" i="39" s="1"/>
  <c r="AG336" i="39"/>
  <c r="AG339" i="39" s="1"/>
  <c r="AF336" i="39"/>
  <c r="AF339" i="39" s="1"/>
  <c r="AE336" i="39"/>
  <c r="AE339" i="39" s="1"/>
  <c r="AD336" i="39"/>
  <c r="AD339" i="39" s="1"/>
  <c r="AC336" i="39"/>
  <c r="AC339" i="39" s="1"/>
  <c r="AB336" i="39"/>
  <c r="AB339" i="39" s="1"/>
  <c r="AA336" i="39"/>
  <c r="AA339" i="39" s="1"/>
  <c r="Z336" i="39"/>
  <c r="Z339" i="39" s="1"/>
  <c r="Y336" i="39"/>
  <c r="Y339" i="39" s="1"/>
  <c r="X336" i="39"/>
  <c r="W336" i="39"/>
  <c r="W339" i="39" s="1"/>
  <c r="V336" i="39"/>
  <c r="V339" i="39" s="1"/>
  <c r="U336" i="39"/>
  <c r="U339" i="39" s="1"/>
  <c r="T336" i="39"/>
  <c r="S336" i="39"/>
  <c r="S339" i="39" s="1"/>
  <c r="R336" i="39"/>
  <c r="R339" i="39" s="1"/>
  <c r="Q336" i="39"/>
  <c r="Q339" i="39" s="1"/>
  <c r="P336" i="39"/>
  <c r="P339" i="39" s="1"/>
  <c r="O336" i="39"/>
  <c r="O339" i="39" s="1"/>
  <c r="N336" i="39"/>
  <c r="N339" i="39" s="1"/>
  <c r="M336" i="39"/>
  <c r="M339" i="39" s="1"/>
  <c r="L336" i="39"/>
  <c r="BR332" i="39"/>
  <c r="BC330" i="39"/>
  <c r="BE330" i="39"/>
  <c r="BF330" i="39" s="1"/>
  <c r="BG330" i="39" s="1"/>
  <c r="AF327" i="39"/>
  <c r="AE327" i="39"/>
  <c r="AD327" i="39"/>
  <c r="AC327" i="39"/>
  <c r="AB327" i="39"/>
  <c r="AA327" i="39"/>
  <c r="Z327" i="39"/>
  <c r="Y327" i="39"/>
  <c r="X327" i="39"/>
  <c r="W327" i="39"/>
  <c r="V327" i="39"/>
  <c r="U327" i="39"/>
  <c r="T327" i="39"/>
  <c r="S327" i="39"/>
  <c r="R327" i="39"/>
  <c r="Q327" i="39"/>
  <c r="P327" i="39"/>
  <c r="O327" i="39"/>
  <c r="N327" i="39"/>
  <c r="M327" i="39"/>
  <c r="L327" i="39"/>
  <c r="BR325" i="39"/>
  <c r="BG324" i="39"/>
  <c r="BF324" i="39"/>
  <c r="BE324" i="39"/>
  <c r="BD324" i="39"/>
  <c r="BC324" i="39"/>
  <c r="BB324" i="39"/>
  <c r="BA324" i="39"/>
  <c r="AZ324" i="39"/>
  <c r="AY324" i="39"/>
  <c r="AX324" i="39"/>
  <c r="AW324" i="39"/>
  <c r="AV324" i="39"/>
  <c r="AU324" i="39"/>
  <c r="AT324" i="39"/>
  <c r="AS324" i="39"/>
  <c r="AR324" i="39"/>
  <c r="AQ324" i="39"/>
  <c r="AP324" i="39"/>
  <c r="AO324" i="39"/>
  <c r="AN324" i="39"/>
  <c r="AM324" i="39"/>
  <c r="AL324" i="39"/>
  <c r="AK324" i="39"/>
  <c r="AJ324" i="39"/>
  <c r="BG323" i="39"/>
  <c r="BF323" i="39"/>
  <c r="BE323" i="39"/>
  <c r="BD323" i="39"/>
  <c r="BC323" i="39"/>
  <c r="BA323" i="39"/>
  <c r="AZ323" i="39"/>
  <c r="AY323" i="39"/>
  <c r="AX323" i="39"/>
  <c r="AW323" i="39"/>
  <c r="AV323" i="39"/>
  <c r="AU323" i="39"/>
  <c r="AT323" i="39"/>
  <c r="AS323" i="39"/>
  <c r="AR323" i="39"/>
  <c r="AQ323" i="39"/>
  <c r="AP323" i="39"/>
  <c r="AO323" i="39"/>
  <c r="AN323" i="39"/>
  <c r="AM323" i="39"/>
  <c r="AL323" i="39"/>
  <c r="AK323" i="39"/>
  <c r="AJ323" i="39"/>
  <c r="AI323" i="39"/>
  <c r="AH323" i="39"/>
  <c r="AG323" i="39"/>
  <c r="CD322" i="39"/>
  <c r="CE324" i="39" s="1"/>
  <c r="CC322" i="39"/>
  <c r="CB322" i="39"/>
  <c r="CA322" i="39"/>
  <c r="BZ322" i="39"/>
  <c r="BY322" i="39"/>
  <c r="BY325" i="39" s="1"/>
  <c r="BX322" i="39"/>
  <c r="BX325" i="39" s="1"/>
  <c r="AE322" i="39"/>
  <c r="AF323" i="39" s="1"/>
  <c r="AD322" i="39"/>
  <c r="AH324" i="39" s="1"/>
  <c r="AC322" i="39"/>
  <c r="AB322" i="39"/>
  <c r="AF324" i="39" s="1"/>
  <c r="AA322" i="39"/>
  <c r="Z322" i="39"/>
  <c r="Y322" i="39"/>
  <c r="X322" i="39"/>
  <c r="W322" i="39"/>
  <c r="V322" i="39"/>
  <c r="U322" i="39"/>
  <c r="T322" i="39"/>
  <c r="S322" i="39"/>
  <c r="R322" i="39"/>
  <c r="Q322" i="39"/>
  <c r="P322" i="39"/>
  <c r="O322" i="39"/>
  <c r="N322" i="39"/>
  <c r="M322" i="39"/>
  <c r="L322" i="39"/>
  <c r="BZ317" i="39"/>
  <c r="BY317" i="39"/>
  <c r="AH317" i="39"/>
  <c r="AF317" i="39"/>
  <c r="R317" i="39"/>
  <c r="Q317" i="39"/>
  <c r="P317" i="39"/>
  <c r="O317" i="39"/>
  <c r="N317" i="39"/>
  <c r="M317" i="39"/>
  <c r="L317" i="39"/>
  <c r="BG314" i="39"/>
  <c r="BF314" i="39"/>
  <c r="BE314" i="39"/>
  <c r="BD314" i="39"/>
  <c r="BC314" i="39"/>
  <c r="BB314" i="39"/>
  <c r="BA314" i="39"/>
  <c r="AZ314" i="39"/>
  <c r="AY314" i="39"/>
  <c r="AX314" i="39"/>
  <c r="AW314" i="39"/>
  <c r="AV314" i="39"/>
  <c r="AU314" i="39"/>
  <c r="AT314" i="39"/>
  <c r="AS314" i="39"/>
  <c r="AO314" i="39"/>
  <c r="BG312" i="39"/>
  <c r="BF312" i="39"/>
  <c r="BE312" i="39"/>
  <c r="BD312" i="39"/>
  <c r="BC312" i="39"/>
  <c r="BB312" i="39"/>
  <c r="BA312" i="39"/>
  <c r="AZ312" i="39"/>
  <c r="AY312" i="39"/>
  <c r="AX312" i="39"/>
  <c r="AW312" i="39"/>
  <c r="AV312" i="39"/>
  <c r="AU312" i="39"/>
  <c r="AT312" i="39"/>
  <c r="AS312" i="39"/>
  <c r="AR312" i="39"/>
  <c r="AQ312" i="39"/>
  <c r="AP312" i="39"/>
  <c r="AI312" i="39"/>
  <c r="CD311" i="39"/>
  <c r="CE314" i="39" s="1"/>
  <c r="CC311" i="39"/>
  <c r="CB311" i="39"/>
  <c r="CB320" i="39" s="1"/>
  <c r="CA311" i="39"/>
  <c r="CA320" i="39" s="1"/>
  <c r="AM311" i="39"/>
  <c r="AL311" i="39"/>
  <c r="AL402" i="39" s="1"/>
  <c r="AJ311" i="39"/>
  <c r="AJ314" i="39" s="1"/>
  <c r="AE311" i="39"/>
  <c r="AE317" i="39" s="1"/>
  <c r="AD311" i="39"/>
  <c r="AC311" i="39"/>
  <c r="AG311" i="39" s="1"/>
  <c r="AB311" i="39"/>
  <c r="AA311" i="39"/>
  <c r="AA317" i="39" s="1"/>
  <c r="Z311" i="39"/>
  <c r="Y311" i="39"/>
  <c r="Y317" i="39" s="1"/>
  <c r="X311" i="39"/>
  <c r="W311" i="39"/>
  <c r="W317" i="39" s="1"/>
  <c r="V311" i="39"/>
  <c r="U311" i="39"/>
  <c r="U317" i="39" s="1"/>
  <c r="T311" i="39"/>
  <c r="S311" i="39"/>
  <c r="R311" i="39"/>
  <c r="Q311" i="39"/>
  <c r="P311" i="39"/>
  <c r="O311" i="39"/>
  <c r="N311" i="39"/>
  <c r="M311" i="39"/>
  <c r="L311" i="39"/>
  <c r="BE307" i="39"/>
  <c r="BD307" i="39"/>
  <c r="BC307" i="39"/>
  <c r="BB307" i="39"/>
  <c r="BA307" i="39"/>
  <c r="BF307" i="39"/>
  <c r="BF306" i="39"/>
  <c r="BN307" i="39" s="1"/>
  <c r="AH305" i="39"/>
  <c r="AH372" i="39" s="1"/>
  <c r="AE305" i="39"/>
  <c r="AE372" i="39" s="1"/>
  <c r="AD305" i="39"/>
  <c r="AD372" i="39" s="1"/>
  <c r="AC305" i="39"/>
  <c r="AB305" i="39"/>
  <c r="AF308" i="39" s="1"/>
  <c r="AA305" i="39"/>
  <c r="Z305" i="39"/>
  <c r="Y305" i="39"/>
  <c r="X305" i="39"/>
  <c r="W305" i="39"/>
  <c r="V305" i="39"/>
  <c r="U305" i="39"/>
  <c r="T305" i="39"/>
  <c r="S305" i="39"/>
  <c r="R305" i="39"/>
  <c r="Q305" i="39"/>
  <c r="P305" i="39"/>
  <c r="O305" i="39"/>
  <c r="N305" i="39"/>
  <c r="M305" i="39"/>
  <c r="L305" i="39"/>
  <c r="BG301" i="39"/>
  <c r="BF301" i="39"/>
  <c r="BE301" i="39"/>
  <c r="BD301" i="39"/>
  <c r="BC301" i="39"/>
  <c r="BB301" i="39"/>
  <c r="AG300" i="39"/>
  <c r="BA301" i="39" s="1"/>
  <c r="AH299" i="39"/>
  <c r="AI299" i="39" s="1"/>
  <c r="AE299" i="39"/>
  <c r="AF300" i="39" s="1"/>
  <c r="AD299" i="39"/>
  <c r="AC299" i="39"/>
  <c r="AB299" i="39"/>
  <c r="AF302" i="39" s="1"/>
  <c r="AA299" i="39"/>
  <c r="Z299" i="39"/>
  <c r="Y299" i="39"/>
  <c r="Y300" i="39" s="1"/>
  <c r="W299" i="39"/>
  <c r="V299" i="39"/>
  <c r="U299" i="39"/>
  <c r="T299" i="39"/>
  <c r="S299" i="39"/>
  <c r="R299" i="39"/>
  <c r="Q299" i="39"/>
  <c r="P299" i="39"/>
  <c r="O299" i="39"/>
  <c r="N299" i="39"/>
  <c r="M299" i="39"/>
  <c r="L299" i="39"/>
  <c r="AL297" i="39"/>
  <c r="AK297" i="39"/>
  <c r="AJ297" i="39"/>
  <c r="AI297" i="39"/>
  <c r="AH297" i="39"/>
  <c r="AG297" i="39"/>
  <c r="AF297" i="39"/>
  <c r="AE297" i="39"/>
  <c r="AD297" i="39"/>
  <c r="AC297" i="39"/>
  <c r="AB297" i="39"/>
  <c r="AA297" i="39"/>
  <c r="Z297" i="39"/>
  <c r="Y297" i="39"/>
  <c r="BD296" i="39"/>
  <c r="AZ296" i="39"/>
  <c r="AY296" i="39"/>
  <c r="AY371" i="39" s="1"/>
  <c r="AX296" i="39"/>
  <c r="AX371" i="39" s="1"/>
  <c r="AV296" i="39"/>
  <c r="AV371" i="39" s="1"/>
  <c r="AU296" i="39"/>
  <c r="AU371" i="39" s="1"/>
  <c r="AT296" i="39"/>
  <c r="AT371" i="39" s="1"/>
  <c r="AR296" i="39"/>
  <c r="AR371" i="39" s="1"/>
  <c r="AQ296" i="39"/>
  <c r="AQ371" i="39" s="1"/>
  <c r="AP296" i="39"/>
  <c r="AP371" i="39" s="1"/>
  <c r="AO296" i="39"/>
  <c r="AO371" i="39" s="1"/>
  <c r="AN296" i="39"/>
  <c r="AN371" i="39" s="1"/>
  <c r="AM296" i="39"/>
  <c r="AM297" i="39" s="1"/>
  <c r="CD295" i="39"/>
  <c r="CC295" i="39"/>
  <c r="CB295" i="39"/>
  <c r="CA295" i="39"/>
  <c r="BZ295" i="39"/>
  <c r="AL295" i="39"/>
  <c r="AK295" i="39"/>
  <c r="AJ295" i="39"/>
  <c r="AI295" i="39"/>
  <c r="AH295" i="39"/>
  <c r="AG295" i="39"/>
  <c r="AF295" i="39"/>
  <c r="AE295" i="39"/>
  <c r="AD295" i="39"/>
  <c r="AC295" i="39"/>
  <c r="AB295" i="39"/>
  <c r="AA295" i="39"/>
  <c r="Z295" i="39"/>
  <c r="Y295" i="39"/>
  <c r="X295" i="39"/>
  <c r="BR291" i="39"/>
  <c r="BU290" i="39"/>
  <c r="BT290" i="39"/>
  <c r="BS290" i="39"/>
  <c r="AM290" i="39"/>
  <c r="AL290" i="39"/>
  <c r="AK290" i="39"/>
  <c r="AJ290" i="39"/>
  <c r="AI290" i="39"/>
  <c r="AH290" i="39"/>
  <c r="AG290" i="39"/>
  <c r="AF290" i="39"/>
  <c r="AE290" i="39"/>
  <c r="AD290" i="39"/>
  <c r="AC290" i="39"/>
  <c r="AB290" i="39"/>
  <c r="AM289" i="39"/>
  <c r="AL289" i="39"/>
  <c r="AK289" i="39"/>
  <c r="AJ289" i="39"/>
  <c r="AI289" i="39"/>
  <c r="AH289" i="39"/>
  <c r="AG289" i="39"/>
  <c r="AF289" i="39"/>
  <c r="AE289" i="39"/>
  <c r="AD289" i="39"/>
  <c r="AC289" i="39"/>
  <c r="AB289" i="39"/>
  <c r="AA289" i="39"/>
  <c r="Z289" i="39"/>
  <c r="Y289" i="39"/>
  <c r="BY288" i="39"/>
  <c r="BX288" i="39"/>
  <c r="BW288" i="39"/>
  <c r="BV288" i="39"/>
  <c r="BV290" i="39" s="1"/>
  <c r="CD286" i="39"/>
  <c r="CC286" i="39"/>
  <c r="CB286" i="39"/>
  <c r="CA286" i="39"/>
  <c r="BZ286" i="39"/>
  <c r="BY286" i="39"/>
  <c r="BX286" i="39"/>
  <c r="BW286" i="39"/>
  <c r="BV286" i="39"/>
  <c r="BU286" i="39"/>
  <c r="BT286" i="39"/>
  <c r="BS286" i="39"/>
  <c r="AE285" i="39"/>
  <c r="AA285" i="39"/>
  <c r="W285" i="39"/>
  <c r="S285" i="39"/>
  <c r="O285" i="39"/>
  <c r="CD280" i="39"/>
  <c r="CC280" i="39"/>
  <c r="CB280" i="39"/>
  <c r="CA280" i="39"/>
  <c r="BZ280" i="39"/>
  <c r="BY280" i="39"/>
  <c r="BR280" i="39"/>
  <c r="BR283" i="39" s="1"/>
  <c r="CD278" i="39"/>
  <c r="CC278" i="39"/>
  <c r="CB278" i="39"/>
  <c r="CA278" i="39"/>
  <c r="BZ278" i="39"/>
  <c r="BY278" i="39"/>
  <c r="AI278" i="39"/>
  <c r="AI280" i="39" s="1"/>
  <c r="AI283" i="39" s="1"/>
  <c r="AH278" i="39"/>
  <c r="AG278" i="39"/>
  <c r="AF278" i="39"/>
  <c r="AE278" i="39"/>
  <c r="AD278" i="39"/>
  <c r="AC278" i="39"/>
  <c r="AB278" i="39"/>
  <c r="AA278" i="39"/>
  <c r="Z278" i="39"/>
  <c r="Y278" i="39"/>
  <c r="X278" i="39"/>
  <c r="W278" i="39"/>
  <c r="V278" i="39"/>
  <c r="U278" i="39"/>
  <c r="T278" i="39"/>
  <c r="S278" i="39"/>
  <c r="R278" i="39"/>
  <c r="Q278" i="39"/>
  <c r="P278" i="39"/>
  <c r="O278" i="39"/>
  <c r="N278" i="39"/>
  <c r="M278" i="39"/>
  <c r="L278" i="39"/>
  <c r="BR276" i="39"/>
  <c r="AI276" i="39"/>
  <c r="CD273" i="39"/>
  <c r="CC273" i="39"/>
  <c r="CB273" i="39"/>
  <c r="CA273" i="39"/>
  <c r="BZ273" i="39"/>
  <c r="BY273" i="39"/>
  <c r="AH273" i="39"/>
  <c r="AI274" i="39" s="1"/>
  <c r="AG273" i="39"/>
  <c r="AG276" i="39" s="1"/>
  <c r="AF273" i="39"/>
  <c r="AF276" i="39" s="1"/>
  <c r="AE273" i="39"/>
  <c r="AE276" i="39" s="1"/>
  <c r="AD273" i="39"/>
  <c r="AC273" i="39"/>
  <c r="AB273" i="39"/>
  <c r="AB276" i="39" s="1"/>
  <c r="AA273" i="39"/>
  <c r="Z273" i="39"/>
  <c r="Y273" i="39"/>
  <c r="Y276" i="39" s="1"/>
  <c r="X273" i="39"/>
  <c r="X276" i="39" s="1"/>
  <c r="W273" i="39"/>
  <c r="V273" i="39"/>
  <c r="U273" i="39"/>
  <c r="T273" i="39"/>
  <c r="S273" i="39"/>
  <c r="S276" i="39" s="1"/>
  <c r="R273" i="39"/>
  <c r="Q273" i="39"/>
  <c r="P273" i="39"/>
  <c r="P276" i="39" s="1"/>
  <c r="O273" i="39"/>
  <c r="O276" i="39" s="1"/>
  <c r="N273" i="39"/>
  <c r="M273" i="39"/>
  <c r="L273" i="39"/>
  <c r="L276" i="39" s="1"/>
  <c r="BR271" i="39"/>
  <c r="AL269" i="39"/>
  <c r="AP269" i="39" s="1"/>
  <c r="AT269" i="39" s="1"/>
  <c r="AX269" i="39" s="1"/>
  <c r="BB269" i="39" s="1"/>
  <c r="BF269" i="39" s="1"/>
  <c r="BJ269" i="39" s="1"/>
  <c r="BN269" i="39" s="1"/>
  <c r="AK269" i="39"/>
  <c r="AO269" i="39" s="1"/>
  <c r="AS269" i="39" s="1"/>
  <c r="AW269" i="39" s="1"/>
  <c r="BA269" i="39" s="1"/>
  <c r="BE269" i="39" s="1"/>
  <c r="BI269" i="39" s="1"/>
  <c r="BM269" i="39" s="1"/>
  <c r="AF267" i="39"/>
  <c r="AE267" i="39"/>
  <c r="AD267" i="39"/>
  <c r="AC267" i="39"/>
  <c r="AB267" i="39"/>
  <c r="AA267" i="39"/>
  <c r="AA271" i="39" s="1"/>
  <c r="Z267" i="39"/>
  <c r="Y267" i="39"/>
  <c r="X267" i="39"/>
  <c r="W267" i="39"/>
  <c r="W271" i="39" s="1"/>
  <c r="V267" i="39"/>
  <c r="U267" i="39"/>
  <c r="U271" i="39" s="1"/>
  <c r="T267" i="39"/>
  <c r="S267" i="39"/>
  <c r="S271" i="39" s="1"/>
  <c r="R267" i="39"/>
  <c r="Q267" i="39"/>
  <c r="P267" i="39"/>
  <c r="P271" i="39" s="1"/>
  <c r="O267" i="39"/>
  <c r="N267" i="39"/>
  <c r="M267" i="39"/>
  <c r="L267" i="39"/>
  <c r="BR265" i="39"/>
  <c r="BG258" i="39"/>
  <c r="BF258" i="39"/>
  <c r="BE258" i="39"/>
  <c r="BD258" i="39"/>
  <c r="BC258" i="39"/>
  <c r="BB258" i="39"/>
  <c r="BA258" i="39"/>
  <c r="AZ258" i="39"/>
  <c r="AY258" i="39"/>
  <c r="AX258" i="39"/>
  <c r="AW258" i="39"/>
  <c r="AV258" i="39"/>
  <c r="AU258" i="39"/>
  <c r="AT258" i="39"/>
  <c r="AS258" i="39"/>
  <c r="AR258" i="39"/>
  <c r="AQ258" i="39"/>
  <c r="AP258" i="39"/>
  <c r="AO258" i="39"/>
  <c r="AN258" i="39"/>
  <c r="AM258" i="39"/>
  <c r="AL258" i="39"/>
  <c r="AK258" i="39"/>
  <c r="AI258" i="39"/>
  <c r="AH258" i="39"/>
  <c r="AH267" i="39" s="1"/>
  <c r="AI256" i="39"/>
  <c r="AI257" i="39" s="1"/>
  <c r="AJ257" i="39" s="1"/>
  <c r="AJ258" i="39" s="1"/>
  <c r="AH256" i="39"/>
  <c r="AG256" i="39"/>
  <c r="AF256" i="39"/>
  <c r="AE256" i="39"/>
  <c r="AD256" i="39"/>
  <c r="AC256" i="39"/>
  <c r="AB256" i="39"/>
  <c r="AA256" i="39"/>
  <c r="Z256" i="39"/>
  <c r="Y256" i="39"/>
  <c r="X256" i="39"/>
  <c r="BR253" i="39"/>
  <c r="CD250" i="39"/>
  <c r="CC250" i="39"/>
  <c r="CB250" i="39"/>
  <c r="CA250" i="39"/>
  <c r="BZ250" i="39"/>
  <c r="BY250" i="39"/>
  <c r="AG250" i="39"/>
  <c r="AF250" i="39"/>
  <c r="AE250" i="39"/>
  <c r="AE253" i="39" s="1"/>
  <c r="AD250" i="39"/>
  <c r="AC250" i="39"/>
  <c r="AB250" i="39"/>
  <c r="AA250" i="39"/>
  <c r="AA253" i="39" s="1"/>
  <c r="Z250" i="39"/>
  <c r="Y250" i="39"/>
  <c r="X250" i="39"/>
  <c r="X253" i="39" s="1"/>
  <c r="W250" i="39"/>
  <c r="W253" i="39" s="1"/>
  <c r="V250" i="39"/>
  <c r="U250" i="39"/>
  <c r="T250" i="39"/>
  <c r="T253" i="39" s="1"/>
  <c r="S250" i="39"/>
  <c r="S253" i="39" s="1"/>
  <c r="R250" i="39"/>
  <c r="Q250" i="39"/>
  <c r="P250" i="39"/>
  <c r="O250" i="39"/>
  <c r="O253" i="39" s="1"/>
  <c r="N250" i="39"/>
  <c r="N253" i="39" s="1"/>
  <c r="M250" i="39"/>
  <c r="M253" i="39" s="1"/>
  <c r="L250" i="39"/>
  <c r="BR247" i="39"/>
  <c r="CD244" i="39"/>
  <c r="CC244" i="39"/>
  <c r="CB244" i="39"/>
  <c r="CA244" i="39"/>
  <c r="BZ244" i="39"/>
  <c r="BY244" i="39"/>
  <c r="AG244" i="39"/>
  <c r="AG247" i="39" s="1"/>
  <c r="AF244" i="39"/>
  <c r="AE244" i="39"/>
  <c r="AE247" i="39" s="1"/>
  <c r="AD244" i="39"/>
  <c r="AC244" i="39"/>
  <c r="AC247" i="39" s="1"/>
  <c r="AB244" i="39"/>
  <c r="AB247" i="39" s="1"/>
  <c r="AA244" i="39"/>
  <c r="Z244" i="39"/>
  <c r="Y244" i="39"/>
  <c r="Y247" i="39" s="1"/>
  <c r="X244" i="39"/>
  <c r="W244" i="39"/>
  <c r="V244" i="39"/>
  <c r="V247" i="39" s="1"/>
  <c r="U244" i="39"/>
  <c r="U247" i="39" s="1"/>
  <c r="T244" i="39"/>
  <c r="T247" i="39" s="1"/>
  <c r="S244" i="39"/>
  <c r="S247" i="39" s="1"/>
  <c r="R244" i="39"/>
  <c r="R247" i="39" s="1"/>
  <c r="Q244" i="39"/>
  <c r="Q247" i="39" s="1"/>
  <c r="P244" i="39"/>
  <c r="P247" i="39" s="1"/>
  <c r="O244" i="39"/>
  <c r="O247" i="39" s="1"/>
  <c r="N244" i="39"/>
  <c r="M244" i="39"/>
  <c r="M247" i="39" s="1"/>
  <c r="L244" i="39"/>
  <c r="BR241" i="39"/>
  <c r="CD238" i="39"/>
  <c r="CC238" i="39"/>
  <c r="CB238" i="39"/>
  <c r="CA238" i="39"/>
  <c r="BZ238" i="39"/>
  <c r="BY238" i="39"/>
  <c r="AG238" i="39"/>
  <c r="AF238" i="39"/>
  <c r="AF241" i="39" s="1"/>
  <c r="AE238" i="39"/>
  <c r="AD238" i="39"/>
  <c r="AD241" i="39" s="1"/>
  <c r="AC238" i="39"/>
  <c r="AC241" i="39" s="1"/>
  <c r="AB238" i="39"/>
  <c r="AA238" i="39"/>
  <c r="Z238" i="39"/>
  <c r="Z241" i="39" s="1"/>
  <c r="Y238" i="39"/>
  <c r="X238" i="39"/>
  <c r="W238" i="39"/>
  <c r="V238" i="39"/>
  <c r="U238" i="39"/>
  <c r="T238" i="39"/>
  <c r="S238" i="39"/>
  <c r="R238" i="39"/>
  <c r="Q238" i="39"/>
  <c r="Q241" i="39" s="1"/>
  <c r="P238" i="39"/>
  <c r="P241" i="39" s="1"/>
  <c r="O238" i="39"/>
  <c r="O241" i="39" s="1"/>
  <c r="N238" i="39"/>
  <c r="N241" i="39" s="1"/>
  <c r="M238" i="39"/>
  <c r="L238" i="39"/>
  <c r="L241" i="39" s="1"/>
  <c r="BR235" i="39"/>
  <c r="CD232" i="39"/>
  <c r="CC232" i="39"/>
  <c r="CB232" i="39"/>
  <c r="CA232" i="39"/>
  <c r="BZ232" i="39"/>
  <c r="BY232" i="39"/>
  <c r="AG232" i="39"/>
  <c r="AG235" i="39" s="1"/>
  <c r="AF232" i="39"/>
  <c r="AE232" i="39"/>
  <c r="AD232" i="39"/>
  <c r="AC232" i="39"/>
  <c r="AB232" i="39"/>
  <c r="AA232" i="39"/>
  <c r="Z232" i="39"/>
  <c r="Y232" i="39"/>
  <c r="X232" i="39"/>
  <c r="W232" i="39"/>
  <c r="V232" i="39"/>
  <c r="U232" i="39"/>
  <c r="T232" i="39"/>
  <c r="S232" i="39"/>
  <c r="R232" i="39"/>
  <c r="R235" i="39" s="1"/>
  <c r="Q232" i="39"/>
  <c r="Q235" i="39" s="1"/>
  <c r="P232" i="39"/>
  <c r="O232" i="39"/>
  <c r="O235" i="39" s="1"/>
  <c r="N232" i="39"/>
  <c r="M232" i="39"/>
  <c r="L232" i="39"/>
  <c r="L235" i="39" s="1"/>
  <c r="B229" i="39"/>
  <c r="B228" i="39"/>
  <c r="B227" i="39"/>
  <c r="B226" i="39"/>
  <c r="L223" i="39"/>
  <c r="L224" i="39" s="1"/>
  <c r="AB222" i="39"/>
  <c r="CD216" i="39"/>
  <c r="CC216" i="39"/>
  <c r="CB216" i="39"/>
  <c r="CA216" i="39"/>
  <c r="BZ216" i="39"/>
  <c r="BY216" i="39"/>
  <c r="CD215" i="39"/>
  <c r="CC215" i="39"/>
  <c r="CB215" i="39"/>
  <c r="CA215" i="39"/>
  <c r="BZ215" i="39"/>
  <c r="BY215" i="39"/>
  <c r="CD214" i="39"/>
  <c r="CC214" i="39"/>
  <c r="CB214" i="39"/>
  <c r="CA214" i="39"/>
  <c r="BZ214" i="39"/>
  <c r="BY214" i="39"/>
  <c r="B207" i="39"/>
  <c r="B206" i="39"/>
  <c r="B205" i="39"/>
  <c r="B204" i="39"/>
  <c r="AH202" i="39"/>
  <c r="AI202" i="39" s="1"/>
  <c r="AJ202" i="39" s="1"/>
  <c r="AK202" i="39" s="1"/>
  <c r="AL202" i="39" s="1"/>
  <c r="AM202" i="39" s="1"/>
  <c r="AN202" i="39" s="1"/>
  <c r="AO202" i="39" s="1"/>
  <c r="AP202" i="39" s="1"/>
  <c r="AQ202" i="39" s="1"/>
  <c r="AR202" i="39" s="1"/>
  <c r="AS202" i="39" s="1"/>
  <c r="AT202" i="39" s="1"/>
  <c r="AU202" i="39" s="1"/>
  <c r="AV202" i="39" s="1"/>
  <c r="AW202" i="39" s="1"/>
  <c r="AX202" i="39" s="1"/>
  <c r="AY202" i="39" s="1"/>
  <c r="AZ202" i="39" s="1"/>
  <c r="BA202" i="39" s="1"/>
  <c r="BB202" i="39" s="1"/>
  <c r="BC202" i="39" s="1"/>
  <c r="BD202" i="39" s="1"/>
  <c r="BE202" i="39" s="1"/>
  <c r="BF202" i="39" s="1"/>
  <c r="BG202" i="39" s="1"/>
  <c r="BH202" i="39" s="1"/>
  <c r="BI202" i="39" s="1"/>
  <c r="BJ202" i="39" s="1"/>
  <c r="BK202" i="39" s="1"/>
  <c r="BL202" i="39" s="1"/>
  <c r="BM202" i="39" s="1"/>
  <c r="BN202" i="39" s="1"/>
  <c r="BO202" i="39" s="1"/>
  <c r="AH201" i="39"/>
  <c r="AI201" i="39" s="1"/>
  <c r="AJ201" i="39" s="1"/>
  <c r="AK201" i="39" s="1"/>
  <c r="AL201" i="39" s="1"/>
  <c r="AM201" i="39" s="1"/>
  <c r="AN201" i="39" s="1"/>
  <c r="AO201" i="39" s="1"/>
  <c r="AP201" i="39" s="1"/>
  <c r="AQ201" i="39" s="1"/>
  <c r="AR201" i="39" s="1"/>
  <c r="AS201" i="39" s="1"/>
  <c r="AT201" i="39" s="1"/>
  <c r="AU201" i="39" s="1"/>
  <c r="AV201" i="39" s="1"/>
  <c r="AW201" i="39" s="1"/>
  <c r="AX201" i="39" s="1"/>
  <c r="AY201" i="39" s="1"/>
  <c r="AZ201" i="39" s="1"/>
  <c r="BA201" i="39" s="1"/>
  <c r="BB201" i="39" s="1"/>
  <c r="BC201" i="39" s="1"/>
  <c r="BD201" i="39" s="1"/>
  <c r="BE201" i="39" s="1"/>
  <c r="BF201" i="39" s="1"/>
  <c r="BG201" i="39" s="1"/>
  <c r="BH201" i="39" s="1"/>
  <c r="BI201" i="39" s="1"/>
  <c r="BJ201" i="39" s="1"/>
  <c r="BK201" i="39" s="1"/>
  <c r="BL201" i="39" s="1"/>
  <c r="BM201" i="39" s="1"/>
  <c r="BN201" i="39" s="1"/>
  <c r="BO201" i="39" s="1"/>
  <c r="AH200" i="39"/>
  <c r="AI200" i="39" s="1"/>
  <c r="AJ200" i="39" s="1"/>
  <c r="AK200" i="39" s="1"/>
  <c r="AL200" i="39" s="1"/>
  <c r="AM200" i="39" s="1"/>
  <c r="AN200" i="39" s="1"/>
  <c r="AO200" i="39" s="1"/>
  <c r="AP200" i="39" s="1"/>
  <c r="AQ200" i="39" s="1"/>
  <c r="AR200" i="39" s="1"/>
  <c r="AS200" i="39" s="1"/>
  <c r="AT200" i="39" s="1"/>
  <c r="AU200" i="39" s="1"/>
  <c r="AV200" i="39" s="1"/>
  <c r="AW200" i="39" s="1"/>
  <c r="AX200" i="39" s="1"/>
  <c r="AY200" i="39" s="1"/>
  <c r="AZ200" i="39" s="1"/>
  <c r="BA200" i="39" s="1"/>
  <c r="BB200" i="39" s="1"/>
  <c r="BC200" i="39" s="1"/>
  <c r="BD200" i="39" s="1"/>
  <c r="BE200" i="39" s="1"/>
  <c r="BF200" i="39" s="1"/>
  <c r="BG200" i="39" s="1"/>
  <c r="BH200" i="39" s="1"/>
  <c r="BI200" i="39" s="1"/>
  <c r="BJ200" i="39" s="1"/>
  <c r="BK200" i="39" s="1"/>
  <c r="BL200" i="39" s="1"/>
  <c r="BM200" i="39" s="1"/>
  <c r="BN200" i="39" s="1"/>
  <c r="BO200" i="39" s="1"/>
  <c r="AK190" i="39"/>
  <c r="AO190" i="39" s="1"/>
  <c r="AS190" i="39" s="1"/>
  <c r="AJ190" i="39"/>
  <c r="AI190" i="39"/>
  <c r="AH190" i="39"/>
  <c r="AK189" i="39"/>
  <c r="AO189" i="39" s="1"/>
  <c r="AS189" i="39" s="1"/>
  <c r="AW189" i="39" s="1"/>
  <c r="BA189" i="39" s="1"/>
  <c r="BE189" i="39" s="1"/>
  <c r="BI189" i="39" s="1"/>
  <c r="BM189" i="39" s="1"/>
  <c r="AJ189" i="39"/>
  <c r="AN189" i="39" s="1"/>
  <c r="AR189" i="39" s="1"/>
  <c r="AV189" i="39" s="1"/>
  <c r="AZ189" i="39" s="1"/>
  <c r="BD189" i="39" s="1"/>
  <c r="BH189" i="39" s="1"/>
  <c r="BL189" i="39" s="1"/>
  <c r="AI189" i="39"/>
  <c r="AH189" i="39"/>
  <c r="AK188" i="39"/>
  <c r="AJ188" i="39"/>
  <c r="AN188" i="39" s="1"/>
  <c r="AI188" i="39"/>
  <c r="AH188" i="39"/>
  <c r="B185" i="39"/>
  <c r="B184" i="39"/>
  <c r="B183" i="39"/>
  <c r="B182" i="39"/>
  <c r="AJ178" i="39"/>
  <c r="AJ179" i="39" s="1"/>
  <c r="AJ180" i="39" s="1"/>
  <c r="B163" i="39"/>
  <c r="B162" i="39"/>
  <c r="B161" i="39"/>
  <c r="B160" i="39"/>
  <c r="AB158" i="39"/>
  <c r="AC158" i="39" s="1"/>
  <c r="AD158" i="39" s="1"/>
  <c r="AE158" i="39" s="1"/>
  <c r="AF158" i="39" s="1"/>
  <c r="AG158" i="39" s="1"/>
  <c r="AH158" i="39" s="1"/>
  <c r="AI158" i="39" s="1"/>
  <c r="AJ158" i="39" s="1"/>
  <c r="AK158" i="39" s="1"/>
  <c r="AL158" i="39" s="1"/>
  <c r="AM158" i="39" s="1"/>
  <c r="AN158" i="39" s="1"/>
  <c r="AO158" i="39" s="1"/>
  <c r="AP158" i="39" s="1"/>
  <c r="AQ158" i="39" s="1"/>
  <c r="AR158" i="39" s="1"/>
  <c r="AS158" i="39" s="1"/>
  <c r="AT158" i="39" s="1"/>
  <c r="AU158" i="39" s="1"/>
  <c r="AV158" i="39" s="1"/>
  <c r="AW158" i="39" s="1"/>
  <c r="AX158" i="39" s="1"/>
  <c r="AY158" i="39" s="1"/>
  <c r="AZ158" i="39" s="1"/>
  <c r="BA158" i="39" s="1"/>
  <c r="BB158" i="39" s="1"/>
  <c r="BC158" i="39" s="1"/>
  <c r="BD158" i="39" s="1"/>
  <c r="BE158" i="39" s="1"/>
  <c r="BF158" i="39" s="1"/>
  <c r="BG158" i="39" s="1"/>
  <c r="BH158" i="39" s="1"/>
  <c r="BI158" i="39" s="1"/>
  <c r="BJ158" i="39" s="1"/>
  <c r="BK158" i="39" s="1"/>
  <c r="BL158" i="39" s="1"/>
  <c r="BM158" i="39" s="1"/>
  <c r="BN158" i="39" s="1"/>
  <c r="BO158" i="39" s="1"/>
  <c r="AB157" i="39"/>
  <c r="AC157" i="39" s="1"/>
  <c r="AD157" i="39" s="1"/>
  <c r="AE157" i="39" s="1"/>
  <c r="AF157" i="39" s="1"/>
  <c r="AG157" i="39" s="1"/>
  <c r="AH157" i="39" s="1"/>
  <c r="AI157" i="39" s="1"/>
  <c r="AJ157" i="39" s="1"/>
  <c r="AK157" i="39" s="1"/>
  <c r="AL157" i="39" s="1"/>
  <c r="AM157" i="39" s="1"/>
  <c r="AN157" i="39" s="1"/>
  <c r="AO157" i="39" s="1"/>
  <c r="AP157" i="39" s="1"/>
  <c r="AQ157" i="39" s="1"/>
  <c r="AR157" i="39" s="1"/>
  <c r="AS157" i="39" s="1"/>
  <c r="AT157" i="39" s="1"/>
  <c r="AU157" i="39" s="1"/>
  <c r="AV157" i="39" s="1"/>
  <c r="AW157" i="39" s="1"/>
  <c r="AX157" i="39" s="1"/>
  <c r="AY157" i="39" s="1"/>
  <c r="AZ157" i="39" s="1"/>
  <c r="BA157" i="39" s="1"/>
  <c r="BB157" i="39" s="1"/>
  <c r="BC157" i="39" s="1"/>
  <c r="BD157" i="39" s="1"/>
  <c r="BE157" i="39" s="1"/>
  <c r="BF157" i="39" s="1"/>
  <c r="BG157" i="39" s="1"/>
  <c r="BH157" i="39" s="1"/>
  <c r="BI157" i="39" s="1"/>
  <c r="BJ157" i="39" s="1"/>
  <c r="BK157" i="39" s="1"/>
  <c r="BL157" i="39" s="1"/>
  <c r="BM157" i="39" s="1"/>
  <c r="BN157" i="39" s="1"/>
  <c r="BO157" i="39" s="1"/>
  <c r="AB156" i="39"/>
  <c r="M146" i="39"/>
  <c r="N146" i="39" s="1"/>
  <c r="M145" i="39"/>
  <c r="N145" i="39" s="1"/>
  <c r="O145" i="39" s="1"/>
  <c r="M144" i="39"/>
  <c r="N144" i="39" s="1"/>
  <c r="AM140" i="39"/>
  <c r="AM172" i="39" s="1"/>
  <c r="AL140" i="39"/>
  <c r="AL172" i="39" s="1"/>
  <c r="AK140" i="39"/>
  <c r="AJ140" i="39"/>
  <c r="AJ172" i="39" s="1"/>
  <c r="AI140" i="39"/>
  <c r="AI172" i="39" s="1"/>
  <c r="AH140" i="39"/>
  <c r="AG140" i="39"/>
  <c r="AF140" i="39"/>
  <c r="AF216" i="39" s="1"/>
  <c r="AE140" i="39"/>
  <c r="AE150" i="39" s="1"/>
  <c r="AD140" i="39"/>
  <c r="AC140" i="39"/>
  <c r="AB140" i="39"/>
  <c r="AB216" i="39" s="1"/>
  <c r="AA140" i="39"/>
  <c r="AA150" i="39" s="1"/>
  <c r="Z140" i="39"/>
  <c r="Y140" i="39"/>
  <c r="X140" i="39"/>
  <c r="X216" i="39" s="1"/>
  <c r="W140" i="39"/>
  <c r="V140" i="39"/>
  <c r="U140" i="39"/>
  <c r="T140" i="39"/>
  <c r="T216" i="39" s="1"/>
  <c r="S140" i="39"/>
  <c r="R140" i="39"/>
  <c r="Q140" i="39"/>
  <c r="P140" i="39"/>
  <c r="P216" i="39" s="1"/>
  <c r="O140" i="39"/>
  <c r="N140" i="39"/>
  <c r="M140" i="39"/>
  <c r="L140" i="39"/>
  <c r="L216" i="39" s="1"/>
  <c r="AM138" i="39"/>
  <c r="AM171" i="39" s="1"/>
  <c r="AL138" i="39"/>
  <c r="AK138" i="39"/>
  <c r="AK149" i="39" s="1"/>
  <c r="AJ138" i="39"/>
  <c r="AI138" i="39"/>
  <c r="AI171" i="39" s="1"/>
  <c r="AH138" i="39"/>
  <c r="AG138" i="39"/>
  <c r="AF138" i="39"/>
  <c r="AE138" i="39"/>
  <c r="AE149" i="39" s="1"/>
  <c r="AD138" i="39"/>
  <c r="AC138" i="39"/>
  <c r="AB138" i="39"/>
  <c r="AA138" i="39"/>
  <c r="AA149" i="39" s="1"/>
  <c r="Z138" i="39"/>
  <c r="Z171" i="39" s="1"/>
  <c r="Y138" i="39"/>
  <c r="X138" i="39"/>
  <c r="W138" i="39"/>
  <c r="V138" i="39"/>
  <c r="V171" i="39" s="1"/>
  <c r="U138" i="39"/>
  <c r="T138" i="39"/>
  <c r="S138" i="39"/>
  <c r="R138" i="39"/>
  <c r="Q138" i="39"/>
  <c r="P138" i="39"/>
  <c r="O138" i="39"/>
  <c r="N138" i="39"/>
  <c r="M138" i="39"/>
  <c r="L138" i="39"/>
  <c r="AM136" i="39"/>
  <c r="AL136" i="39"/>
  <c r="AL148" i="39" s="1"/>
  <c r="AK136" i="39"/>
  <c r="AJ136" i="39"/>
  <c r="AI136" i="39"/>
  <c r="AH136" i="39"/>
  <c r="AH148" i="39" s="1"/>
  <c r="AG136" i="39"/>
  <c r="AF136" i="39"/>
  <c r="AE136" i="39"/>
  <c r="AD136" i="39"/>
  <c r="AD148" i="39" s="1"/>
  <c r="AC136" i="39"/>
  <c r="AB136" i="39"/>
  <c r="AA136" i="39"/>
  <c r="Z136" i="39"/>
  <c r="Z148" i="39" s="1"/>
  <c r="Y136" i="39"/>
  <c r="X136" i="39"/>
  <c r="W136" i="39"/>
  <c r="V136" i="39"/>
  <c r="U136" i="39"/>
  <c r="T136" i="39"/>
  <c r="S136" i="39"/>
  <c r="R136" i="39"/>
  <c r="Q136" i="39"/>
  <c r="P136" i="39"/>
  <c r="O136" i="39"/>
  <c r="N136" i="39"/>
  <c r="M136" i="39"/>
  <c r="L136" i="39"/>
  <c r="AI131" i="39"/>
  <c r="AJ130" i="39"/>
  <c r="AK130" i="39" s="1"/>
  <c r="AL130" i="39" s="1"/>
  <c r="AL132" i="39" s="1"/>
  <c r="AG130" i="39"/>
  <c r="AF130" i="39"/>
  <c r="AF258" i="39" s="1"/>
  <c r="AE130" i="39"/>
  <c r="AE258" i="39" s="1"/>
  <c r="AD130" i="39"/>
  <c r="AC130" i="39"/>
  <c r="AC133" i="39" s="1"/>
  <c r="AB130" i="39"/>
  <c r="AB258" i="39" s="1"/>
  <c r="AA130" i="39"/>
  <c r="AA258" i="39" s="1"/>
  <c r="Z130" i="39"/>
  <c r="Y130" i="39"/>
  <c r="X130" i="39"/>
  <c r="X258" i="39" s="1"/>
  <c r="W130" i="39"/>
  <c r="W258" i="39" s="1"/>
  <c r="V130" i="39"/>
  <c r="U130" i="39"/>
  <c r="U133" i="39" s="1"/>
  <c r="T130" i="39"/>
  <c r="T258" i="39" s="1"/>
  <c r="S130" i="39"/>
  <c r="S258" i="39" s="1"/>
  <c r="R130" i="39"/>
  <c r="Q130" i="39"/>
  <c r="P130" i="39"/>
  <c r="P258" i="39" s="1"/>
  <c r="O130" i="39"/>
  <c r="O258" i="39" s="1"/>
  <c r="N130" i="39"/>
  <c r="M130" i="39"/>
  <c r="M133" i="39" s="1"/>
  <c r="L130" i="39"/>
  <c r="L258" i="39" s="1"/>
  <c r="K130" i="39"/>
  <c r="K133" i="39" s="1"/>
  <c r="J130" i="39"/>
  <c r="I130" i="39"/>
  <c r="H130" i="39"/>
  <c r="H133" i="39" s="1"/>
  <c r="BX126" i="39"/>
  <c r="BW126" i="39"/>
  <c r="BV126" i="39"/>
  <c r="BX125" i="39"/>
  <c r="BW125" i="39"/>
  <c r="BV125" i="39"/>
  <c r="BR123" i="39"/>
  <c r="AI122" i="39"/>
  <c r="AH122" i="39"/>
  <c r="AG122" i="39"/>
  <c r="AF122" i="39"/>
  <c r="AE122" i="39"/>
  <c r="AD122" i="39"/>
  <c r="AC122" i="39"/>
  <c r="AB122" i="39"/>
  <c r="AA122" i="39"/>
  <c r="Z122" i="39"/>
  <c r="Y122" i="39"/>
  <c r="X122" i="39"/>
  <c r="W122" i="39"/>
  <c r="V122" i="39"/>
  <c r="U122" i="39"/>
  <c r="T122" i="39"/>
  <c r="S122" i="39"/>
  <c r="R122" i="39"/>
  <c r="Q122" i="39"/>
  <c r="P122" i="39"/>
  <c r="AI121" i="39"/>
  <c r="AH121" i="39"/>
  <c r="AG121" i="39"/>
  <c r="AF121" i="39"/>
  <c r="AE121" i="39"/>
  <c r="AD121" i="39"/>
  <c r="AC121" i="39"/>
  <c r="AB121" i="39"/>
  <c r="AA121" i="39"/>
  <c r="Z121" i="39"/>
  <c r="Y121" i="39"/>
  <c r="X121" i="39"/>
  <c r="W121" i="39"/>
  <c r="V121" i="39"/>
  <c r="U121" i="39"/>
  <c r="T121" i="39"/>
  <c r="S121" i="39"/>
  <c r="R121" i="39"/>
  <c r="Q121" i="39"/>
  <c r="P121" i="39"/>
  <c r="O121" i="39"/>
  <c r="N121" i="39"/>
  <c r="M121" i="39"/>
  <c r="BX120" i="39"/>
  <c r="BW120" i="39"/>
  <c r="BV120" i="39"/>
  <c r="BU120" i="39"/>
  <c r="BT120" i="39"/>
  <c r="BS120" i="39"/>
  <c r="AX104" i="39"/>
  <c r="AY96" i="39"/>
  <c r="AY97" i="39" s="1"/>
  <c r="AU96" i="39"/>
  <c r="AU97" i="39" s="1"/>
  <c r="AT96" i="39"/>
  <c r="AT97" i="39" s="1"/>
  <c r="AS96" i="39"/>
  <c r="AS97" i="39" s="1"/>
  <c r="AR96" i="39"/>
  <c r="AR97" i="39" s="1"/>
  <c r="BR86" i="39"/>
  <c r="BA86" i="39"/>
  <c r="AZ86" i="39"/>
  <c r="AY86" i="39"/>
  <c r="AX86" i="39"/>
  <c r="AW86" i="39"/>
  <c r="AV86" i="39"/>
  <c r="AU86" i="39"/>
  <c r="AT86" i="39"/>
  <c r="AS86" i="39"/>
  <c r="AR86" i="39"/>
  <c r="AQ86" i="39"/>
  <c r="AP86" i="39"/>
  <c r="AO86" i="39"/>
  <c r="AN86" i="39"/>
  <c r="AM86" i="39"/>
  <c r="BA85" i="39"/>
  <c r="AZ85" i="39"/>
  <c r="AY85" i="39"/>
  <c r="AX85" i="39"/>
  <c r="AW85" i="39"/>
  <c r="AV85" i="39"/>
  <c r="AU85" i="39"/>
  <c r="AT85" i="39"/>
  <c r="AS85" i="39"/>
  <c r="AR85" i="39"/>
  <c r="AQ85" i="39"/>
  <c r="BA84" i="39"/>
  <c r="AZ84" i="39"/>
  <c r="AY84" i="39"/>
  <c r="AX84" i="39"/>
  <c r="AW84" i="39"/>
  <c r="AV84" i="39"/>
  <c r="AU84" i="39"/>
  <c r="AT84" i="39"/>
  <c r="AS84" i="39"/>
  <c r="AR84" i="39"/>
  <c r="AQ84" i="39"/>
  <c r="AP84" i="39"/>
  <c r="AO84" i="39"/>
  <c r="AN84" i="39"/>
  <c r="CD83" i="39"/>
  <c r="CC83" i="39"/>
  <c r="CB83" i="39"/>
  <c r="CA83" i="39"/>
  <c r="BZ83" i="39"/>
  <c r="BR83" i="39"/>
  <c r="BR130" i="39" s="1"/>
  <c r="BR133" i="39" s="1"/>
  <c r="AL83" i="39"/>
  <c r="AK83" i="39"/>
  <c r="AO85" i="39" s="1"/>
  <c r="AJ83" i="39"/>
  <c r="AJ86" i="39" s="1"/>
  <c r="CD80" i="39"/>
  <c r="CC80" i="39"/>
  <c r="CB80" i="39"/>
  <c r="CA80" i="39"/>
  <c r="BZ80" i="39"/>
  <c r="BY80" i="39"/>
  <c r="AI80" i="39"/>
  <c r="AH80" i="39"/>
  <c r="AG80" i="39"/>
  <c r="AF80" i="39"/>
  <c r="AE80" i="39"/>
  <c r="AD80" i="39"/>
  <c r="AC80" i="39"/>
  <c r="AB80" i="39"/>
  <c r="AA80" i="39"/>
  <c r="Z80" i="39"/>
  <c r="Y80" i="39"/>
  <c r="X80" i="39"/>
  <c r="W80" i="39"/>
  <c r="V80" i="39"/>
  <c r="U80" i="39"/>
  <c r="T80" i="39"/>
  <c r="S80" i="39"/>
  <c r="R80" i="39"/>
  <c r="Q80" i="39"/>
  <c r="P80" i="39"/>
  <c r="O80" i="39"/>
  <c r="N80" i="39"/>
  <c r="M80" i="39"/>
  <c r="L80" i="39"/>
  <c r="BR77" i="39"/>
  <c r="BA77" i="39"/>
  <c r="AY77" i="39"/>
  <c r="AX77" i="39"/>
  <c r="AW77" i="39"/>
  <c r="AV77" i="39"/>
  <c r="AU77" i="39"/>
  <c r="AT77" i="39"/>
  <c r="AS77" i="39"/>
  <c r="AR77" i="39"/>
  <c r="AQ77" i="39"/>
  <c r="AP77" i="39"/>
  <c r="AO77" i="39"/>
  <c r="AN77" i="39"/>
  <c r="AM77" i="39"/>
  <c r="AL77" i="39"/>
  <c r="AK77" i="39"/>
  <c r="AJ77" i="39"/>
  <c r="AI77" i="39"/>
  <c r="AH77" i="39"/>
  <c r="AG77" i="39"/>
  <c r="AF77" i="39"/>
  <c r="AE77" i="39"/>
  <c r="AD77" i="39"/>
  <c r="AC77" i="39"/>
  <c r="AB77" i="39"/>
  <c r="AA77" i="39"/>
  <c r="Z77" i="39"/>
  <c r="Y77" i="39"/>
  <c r="X77" i="39"/>
  <c r="CD72" i="39"/>
  <c r="CC72" i="39"/>
  <c r="CB72" i="39"/>
  <c r="CA72" i="39"/>
  <c r="BZ72" i="39"/>
  <c r="BY72" i="39"/>
  <c r="AI72" i="39"/>
  <c r="AI74" i="39" s="1"/>
  <c r="AH72" i="39"/>
  <c r="AH76" i="39" s="1"/>
  <c r="AG72" i="39"/>
  <c r="AG76" i="39" s="1"/>
  <c r="AF72" i="39"/>
  <c r="AE72" i="39"/>
  <c r="AE76" i="39" s="1"/>
  <c r="AD72" i="39"/>
  <c r="AD74" i="39" s="1"/>
  <c r="AC72" i="39"/>
  <c r="AC76" i="39" s="1"/>
  <c r="AB72" i="39"/>
  <c r="AB74" i="39" s="1"/>
  <c r="AA72" i="39"/>
  <c r="AA76" i="39" s="1"/>
  <c r="Z72" i="39"/>
  <c r="Z76" i="39" s="1"/>
  <c r="Y72" i="39"/>
  <c r="Y76" i="39" s="1"/>
  <c r="X72" i="39"/>
  <c r="X83" i="39" s="1"/>
  <c r="W72" i="39"/>
  <c r="W76" i="39" s="1"/>
  <c r="V72" i="39"/>
  <c r="V76" i="39" s="1"/>
  <c r="U72" i="39"/>
  <c r="U76" i="39" s="1"/>
  <c r="T72" i="39"/>
  <c r="T76" i="39" s="1"/>
  <c r="S72" i="39"/>
  <c r="S76" i="39" s="1"/>
  <c r="R72" i="39"/>
  <c r="R76" i="39" s="1"/>
  <c r="Q72" i="39"/>
  <c r="Q76" i="39" s="1"/>
  <c r="P72" i="39"/>
  <c r="O72" i="39"/>
  <c r="O76" i="39" s="1"/>
  <c r="N72" i="39"/>
  <c r="N76" i="39" s="1"/>
  <c r="M72" i="39"/>
  <c r="M76" i="39" s="1"/>
  <c r="L72" i="39"/>
  <c r="BR70" i="39"/>
  <c r="AF69" i="39"/>
  <c r="AE69" i="39"/>
  <c r="AD69" i="39"/>
  <c r="AC69" i="39"/>
  <c r="AB69" i="39"/>
  <c r="AA69" i="39"/>
  <c r="Z69" i="39"/>
  <c r="Y69" i="39"/>
  <c r="X69" i="39"/>
  <c r="W69" i="39"/>
  <c r="V69" i="39"/>
  <c r="U69" i="39"/>
  <c r="T69" i="39"/>
  <c r="S69" i="39"/>
  <c r="R69" i="39"/>
  <c r="Q69" i="39"/>
  <c r="P69" i="39"/>
  <c r="BA69" i="39"/>
  <c r="AZ69" i="39"/>
  <c r="AY69" i="39"/>
  <c r="AX69" i="39"/>
  <c r="AW69" i="39"/>
  <c r="AV69" i="39"/>
  <c r="AU69" i="39"/>
  <c r="AT69" i="39"/>
  <c r="AS69" i="39"/>
  <c r="AR69" i="39"/>
  <c r="AQ69" i="39"/>
  <c r="AP69" i="39"/>
  <c r="AO69" i="39"/>
  <c r="AN69" i="39"/>
  <c r="AM69" i="39"/>
  <c r="AL69" i="39"/>
  <c r="AK69" i="39"/>
  <c r="AJ69" i="39"/>
  <c r="AI69" i="39"/>
  <c r="AH69" i="39"/>
  <c r="AG69" i="39"/>
  <c r="AF67" i="39"/>
  <c r="BA67" i="39"/>
  <c r="AZ67" i="39"/>
  <c r="AY67" i="39"/>
  <c r="AX67" i="39"/>
  <c r="AW67" i="39"/>
  <c r="AV67" i="39"/>
  <c r="AU67" i="39"/>
  <c r="AT67" i="39"/>
  <c r="AS67" i="39"/>
  <c r="AR67" i="39"/>
  <c r="AQ67" i="39"/>
  <c r="AP67" i="39"/>
  <c r="AO67" i="39"/>
  <c r="AN67" i="39"/>
  <c r="AM67" i="39"/>
  <c r="AL67" i="39"/>
  <c r="AK67" i="39"/>
  <c r="AJ67" i="39"/>
  <c r="AI67" i="39"/>
  <c r="AH67" i="39"/>
  <c r="AG67" i="39"/>
  <c r="AE67" i="39"/>
  <c r="AD67" i="39"/>
  <c r="AC67" i="39"/>
  <c r="AB67" i="39"/>
  <c r="AA67" i="39"/>
  <c r="Z67" i="39"/>
  <c r="Y67" i="39"/>
  <c r="X67" i="39"/>
  <c r="W67" i="39"/>
  <c r="V67" i="39"/>
  <c r="U67" i="39"/>
  <c r="T67" i="39"/>
  <c r="S67" i="39"/>
  <c r="R67" i="39"/>
  <c r="Q67" i="39"/>
  <c r="P67" i="39"/>
  <c r="O67" i="39"/>
  <c r="N67" i="39"/>
  <c r="M67" i="39"/>
  <c r="AI65" i="39"/>
  <c r="AI328" i="39" s="1"/>
  <c r="AH65" i="39"/>
  <c r="AH328" i="39" s="1"/>
  <c r="AG65" i="39"/>
  <c r="AF65" i="39"/>
  <c r="AF328" i="39" s="1"/>
  <c r="AE65" i="39"/>
  <c r="AE328" i="39" s="1"/>
  <c r="AD65" i="39"/>
  <c r="AD328" i="39" s="1"/>
  <c r="AC65" i="39"/>
  <c r="AC328" i="39" s="1"/>
  <c r="AB65" i="39"/>
  <c r="AB328" i="39" s="1"/>
  <c r="AA65" i="39"/>
  <c r="AA328" i="39" s="1"/>
  <c r="Z65" i="39"/>
  <c r="Z328" i="39" s="1"/>
  <c r="Y65" i="39"/>
  <c r="Y328" i="39" s="1"/>
  <c r="X65" i="39"/>
  <c r="X328" i="39" s="1"/>
  <c r="CB66" i="39"/>
  <c r="CA66" i="39"/>
  <c r="BZ66" i="39"/>
  <c r="BY66" i="39"/>
  <c r="BX66" i="39"/>
  <c r="BW66" i="39"/>
  <c r="BV66" i="39"/>
  <c r="CD65" i="39"/>
  <c r="CC65" i="39"/>
  <c r="CB65" i="39"/>
  <c r="CA65" i="39"/>
  <c r="BZ65" i="39"/>
  <c r="BY65" i="39"/>
  <c r="CD64" i="39"/>
  <c r="CC64" i="39"/>
  <c r="CB64" i="39"/>
  <c r="CA64" i="39"/>
  <c r="BZ64" i="39"/>
  <c r="BY64" i="39"/>
  <c r="BX64" i="39"/>
  <c r="BW64" i="39"/>
  <c r="BV64" i="39"/>
  <c r="CD63" i="39"/>
  <c r="CC63" i="39"/>
  <c r="CB63" i="39"/>
  <c r="CA63" i="39"/>
  <c r="BZ63" i="39"/>
  <c r="BY63" i="39"/>
  <c r="BX63" i="39"/>
  <c r="BW63" i="39"/>
  <c r="BV63" i="39"/>
  <c r="BU63" i="39"/>
  <c r="BT63" i="39"/>
  <c r="BS63" i="39"/>
  <c r="BS69" i="39" s="1"/>
  <c r="BR58" i="39"/>
  <c r="BR59" i="39" s="1"/>
  <c r="BA58" i="39"/>
  <c r="BA59" i="39" s="1"/>
  <c r="AZ58" i="39"/>
  <c r="AZ59" i="39" s="1"/>
  <c r="AY58" i="39"/>
  <c r="AY59" i="39" s="1"/>
  <c r="AX58" i="39"/>
  <c r="AX59" i="39" s="1"/>
  <c r="AW58" i="39"/>
  <c r="AW59" i="39" s="1"/>
  <c r="AV58" i="39"/>
  <c r="AV59" i="39" s="1"/>
  <c r="AU58" i="39"/>
  <c r="AU59" i="39" s="1"/>
  <c r="AT58" i="39"/>
  <c r="AT59" i="39" s="1"/>
  <c r="AS58" i="39"/>
  <c r="AS59" i="39" s="1"/>
  <c r="AR58" i="39"/>
  <c r="AQ58" i="39"/>
  <c r="AQ59" i="39" s="1"/>
  <c r="AP58" i="39"/>
  <c r="AP59" i="39" s="1"/>
  <c r="AO58" i="39"/>
  <c r="AO59" i="39" s="1"/>
  <c r="AN58" i="39"/>
  <c r="AM58" i="39"/>
  <c r="AL58" i="39"/>
  <c r="AL59" i="39" s="1"/>
  <c r="AK58" i="39"/>
  <c r="AK59" i="39" s="1"/>
  <c r="AJ58" i="39"/>
  <c r="CA56" i="39"/>
  <c r="BZ56" i="39"/>
  <c r="BY56" i="39"/>
  <c r="AI56" i="39"/>
  <c r="AH56" i="39"/>
  <c r="AG56" i="39"/>
  <c r="AF56" i="39"/>
  <c r="AE56" i="39"/>
  <c r="AD56" i="39"/>
  <c r="AC56" i="39"/>
  <c r="AB56" i="39"/>
  <c r="AA56" i="39"/>
  <c r="Z56" i="39"/>
  <c r="Y56" i="39"/>
  <c r="X56" i="39"/>
  <c r="W56" i="39"/>
  <c r="V56" i="39"/>
  <c r="U56" i="39"/>
  <c r="T56" i="39"/>
  <c r="S56" i="39"/>
  <c r="R56" i="39"/>
  <c r="Q56" i="39"/>
  <c r="P56" i="39"/>
  <c r="O56" i="39"/>
  <c r="N56" i="39"/>
  <c r="M56" i="39"/>
  <c r="L56" i="39"/>
  <c r="BR54" i="39"/>
  <c r="BA54" i="39"/>
  <c r="AZ54" i="39"/>
  <c r="AY54" i="39"/>
  <c r="AX54" i="39"/>
  <c r="AW54" i="39"/>
  <c r="AV54" i="39"/>
  <c r="AU54" i="39"/>
  <c r="AT54" i="39"/>
  <c r="AS54" i="39"/>
  <c r="AR54" i="39"/>
  <c r="AQ54" i="39"/>
  <c r="AP54" i="39"/>
  <c r="AO54" i="39"/>
  <c r="AN54" i="39"/>
  <c r="AL54" i="39"/>
  <c r="AK54" i="39"/>
  <c r="AJ54" i="39"/>
  <c r="CA53" i="39"/>
  <c r="BZ53" i="39"/>
  <c r="BY53" i="39"/>
  <c r="AI53" i="39"/>
  <c r="AH53" i="39"/>
  <c r="AH54" i="39" s="1"/>
  <c r="AG53" i="39"/>
  <c r="AF53" i="39"/>
  <c r="AF54" i="39" s="1"/>
  <c r="AE53" i="39"/>
  <c r="AD53" i="39"/>
  <c r="AD54" i="39" s="1"/>
  <c r="AC53" i="39"/>
  <c r="AC54" i="39" s="1"/>
  <c r="AB53" i="39"/>
  <c r="AB54" i="39" s="1"/>
  <c r="AA53" i="39"/>
  <c r="AA54" i="39" s="1"/>
  <c r="Z53" i="39"/>
  <c r="Z54" i="39" s="1"/>
  <c r="Y53" i="39"/>
  <c r="X53" i="39"/>
  <c r="X54" i="39" s="1"/>
  <c r="W53" i="39"/>
  <c r="W54" i="39" s="1"/>
  <c r="V53" i="39"/>
  <c r="V54" i="39" s="1"/>
  <c r="U53" i="39"/>
  <c r="U54" i="39" s="1"/>
  <c r="T53" i="39"/>
  <c r="T54" i="39" s="1"/>
  <c r="S53" i="39"/>
  <c r="S54" i="39" s="1"/>
  <c r="R53" i="39"/>
  <c r="R54" i="39" s="1"/>
  <c r="Q53" i="39"/>
  <c r="P53" i="39"/>
  <c r="P54" i="39" s="1"/>
  <c r="O53" i="39"/>
  <c r="O54" i="39" s="1"/>
  <c r="N53" i="39"/>
  <c r="N54" i="39" s="1"/>
  <c r="M53" i="39"/>
  <c r="M54" i="39" s="1"/>
  <c r="L53" i="39"/>
  <c r="L54" i="39" s="1"/>
  <c r="L50" i="39"/>
  <c r="AD49" i="39"/>
  <c r="AC49" i="39"/>
  <c r="AB49" i="39"/>
  <c r="AA49" i="39"/>
  <c r="Z49" i="39"/>
  <c r="Y49" i="39"/>
  <c r="X49" i="39"/>
  <c r="W49" i="39"/>
  <c r="V49" i="39"/>
  <c r="U49" i="39"/>
  <c r="T49" i="39"/>
  <c r="S49" i="39"/>
  <c r="R49" i="39"/>
  <c r="Q49" i="39"/>
  <c r="P49" i="39"/>
  <c r="O49" i="39"/>
  <c r="N49" i="39"/>
  <c r="M49" i="39"/>
  <c r="L49" i="39"/>
  <c r="BR47" i="39"/>
  <c r="BV46" i="39"/>
  <c r="BU46" i="39"/>
  <c r="BT46" i="39"/>
  <c r="BS46" i="39"/>
  <c r="AD46" i="39"/>
  <c r="AC46" i="39"/>
  <c r="AB46" i="39"/>
  <c r="AA46" i="39"/>
  <c r="Z46" i="39"/>
  <c r="Y46" i="39"/>
  <c r="X46" i="39"/>
  <c r="W46" i="39"/>
  <c r="V46" i="39"/>
  <c r="U46" i="39"/>
  <c r="T46" i="39"/>
  <c r="S46" i="39"/>
  <c r="R46" i="39"/>
  <c r="Q46" i="39"/>
  <c r="P46" i="39"/>
  <c r="AD45" i="39"/>
  <c r="AC45" i="39"/>
  <c r="AB45" i="39"/>
  <c r="AA45" i="39"/>
  <c r="Z45" i="39"/>
  <c r="Y45" i="39"/>
  <c r="X45" i="39"/>
  <c r="W45" i="39"/>
  <c r="V45" i="39"/>
  <c r="U45" i="39"/>
  <c r="T45" i="39"/>
  <c r="S45" i="39"/>
  <c r="R45" i="39"/>
  <c r="Q45" i="39"/>
  <c r="P45" i="39"/>
  <c r="O45" i="39"/>
  <c r="N45" i="39"/>
  <c r="M45" i="39"/>
  <c r="AE44" i="39"/>
  <c r="AE45" i="39" s="1"/>
  <c r="BR42" i="39"/>
  <c r="BA41" i="39"/>
  <c r="AZ41" i="39"/>
  <c r="AY41" i="39"/>
  <c r="AX41" i="39"/>
  <c r="AW41" i="39"/>
  <c r="AV41" i="39"/>
  <c r="AU41" i="39"/>
  <c r="AT41" i="39"/>
  <c r="AS41" i="39"/>
  <c r="AR41" i="39"/>
  <c r="AP41" i="39"/>
  <c r="AO41" i="39"/>
  <c r="AN41" i="39"/>
  <c r="AL41" i="39"/>
  <c r="AK41" i="39"/>
  <c r="AJ41" i="39"/>
  <c r="AI41" i="39"/>
  <c r="AH41" i="39"/>
  <c r="AG41" i="39"/>
  <c r="AF41" i="39"/>
  <c r="AE41" i="39"/>
  <c r="AD41" i="39"/>
  <c r="AC41" i="39"/>
  <c r="AB41" i="39"/>
  <c r="AA41" i="39"/>
  <c r="Z41" i="39"/>
  <c r="Y41" i="39"/>
  <c r="X41" i="39"/>
  <c r="W41" i="39"/>
  <c r="V41" i="39"/>
  <c r="U41" i="39"/>
  <c r="T41" i="39"/>
  <c r="S41" i="39"/>
  <c r="R41" i="39"/>
  <c r="Q41" i="39"/>
  <c r="P41" i="39"/>
  <c r="AM40" i="39"/>
  <c r="BA39" i="39"/>
  <c r="AZ39" i="39"/>
  <c r="AY39" i="39"/>
  <c r="AX39" i="39"/>
  <c r="AW39" i="39"/>
  <c r="AV39" i="39"/>
  <c r="AU39" i="39"/>
  <c r="AT39" i="39"/>
  <c r="AS39" i="39"/>
  <c r="AR39" i="39"/>
  <c r="AQ39" i="39"/>
  <c r="AP39" i="39"/>
  <c r="AO39" i="39"/>
  <c r="AL39" i="39"/>
  <c r="AK39" i="39"/>
  <c r="AJ39" i="39"/>
  <c r="AI39" i="39"/>
  <c r="AH39" i="39"/>
  <c r="AG39" i="39"/>
  <c r="AF39" i="39"/>
  <c r="AE39" i="39"/>
  <c r="AD39" i="39"/>
  <c r="AC39" i="39"/>
  <c r="AC50" i="39" s="1"/>
  <c r="AB39" i="39"/>
  <c r="AB50" i="39" s="1"/>
  <c r="AA39" i="39"/>
  <c r="Z39" i="39"/>
  <c r="Y39" i="39"/>
  <c r="Y50" i="39" s="1"/>
  <c r="X39" i="39"/>
  <c r="X50" i="39" s="1"/>
  <c r="W39" i="39"/>
  <c r="V39" i="39"/>
  <c r="U39" i="39"/>
  <c r="U50" i="39" s="1"/>
  <c r="T39" i="39"/>
  <c r="T50" i="39" s="1"/>
  <c r="S39" i="39"/>
  <c r="R39" i="39"/>
  <c r="Q39" i="39"/>
  <c r="Q50" i="39" s="1"/>
  <c r="P39" i="39"/>
  <c r="P50" i="39" s="1"/>
  <c r="O39" i="39"/>
  <c r="N39" i="39"/>
  <c r="M39" i="39"/>
  <c r="M50" i="39" s="1"/>
  <c r="CB38" i="39"/>
  <c r="CA38" i="39"/>
  <c r="BZ38" i="39"/>
  <c r="BX38" i="39"/>
  <c r="BW38" i="39"/>
  <c r="BV38" i="39"/>
  <c r="BU38" i="39"/>
  <c r="BU49" i="39" s="1"/>
  <c r="BT38" i="39"/>
  <c r="BT49" i="39" s="1"/>
  <c r="BS38" i="39"/>
  <c r="BB10" i="39"/>
  <c r="BC17" i="39" s="1"/>
  <c r="AM13" i="39"/>
  <c r="AL13" i="39"/>
  <c r="AK13" i="39"/>
  <c r="AJ13" i="39"/>
  <c r="AI13" i="39"/>
  <c r="AH13" i="39"/>
  <c r="AG13" i="39"/>
  <c r="AF13" i="39"/>
  <c r="AJ27" i="39" s="1"/>
  <c r="AE13" i="39"/>
  <c r="AD13" i="39"/>
  <c r="AC13" i="39"/>
  <c r="AB13" i="39"/>
  <c r="AA13" i="39"/>
  <c r="Z13" i="39"/>
  <c r="Y13" i="39"/>
  <c r="X13" i="39"/>
  <c r="W13" i="39"/>
  <c r="V13" i="39"/>
  <c r="U13" i="39"/>
  <c r="T13" i="39"/>
  <c r="S13" i="39"/>
  <c r="R13" i="39"/>
  <c r="Q13" i="39"/>
  <c r="P13" i="39"/>
  <c r="O13" i="39"/>
  <c r="N13" i="39"/>
  <c r="M13" i="39"/>
  <c r="L13" i="39"/>
  <c r="AI12" i="39"/>
  <c r="AH12" i="39"/>
  <c r="AG12" i="39"/>
  <c r="AF12" i="39"/>
  <c r="AE12" i="39"/>
  <c r="AD12" i="39"/>
  <c r="AH26" i="39" s="1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BB11" i="39"/>
  <c r="BC18" i="39" s="1"/>
  <c r="BA11" i="39"/>
  <c r="AZ11" i="39"/>
  <c r="AY11" i="39"/>
  <c r="BC25" i="39" s="1"/>
  <c r="AX11" i="39"/>
  <c r="AW11" i="39"/>
  <c r="AV11" i="39"/>
  <c r="AU11" i="39"/>
  <c r="AY25" i="39" s="1"/>
  <c r="AT11" i="39"/>
  <c r="AS11" i="39"/>
  <c r="AR11" i="39"/>
  <c r="AQ11" i="39"/>
  <c r="AP11" i="39"/>
  <c r="AO11" i="39"/>
  <c r="AN11" i="39"/>
  <c r="AM11" i="39"/>
  <c r="AL11" i="39"/>
  <c r="AK11" i="39"/>
  <c r="AJ11" i="39"/>
  <c r="AI11" i="39"/>
  <c r="AH11" i="39"/>
  <c r="AG11" i="39"/>
  <c r="AF11" i="39"/>
  <c r="AE11" i="39"/>
  <c r="AI25" i="39" s="1"/>
  <c r="AD11" i="39"/>
  <c r="AC11" i="39"/>
  <c r="AB11" i="39"/>
  <c r="AA11" i="39"/>
  <c r="Z11" i="39"/>
  <c r="Y11" i="39"/>
  <c r="X11" i="39"/>
  <c r="W11" i="39"/>
  <c r="V11" i="39"/>
  <c r="U11" i="39"/>
  <c r="T11" i="39"/>
  <c r="S11" i="39"/>
  <c r="R11" i="39"/>
  <c r="Q11" i="39"/>
  <c r="P11" i="39"/>
  <c r="O11" i="39"/>
  <c r="N11" i="39"/>
  <c r="M11" i="39"/>
  <c r="L11" i="39"/>
  <c r="BA10" i="39"/>
  <c r="AZ10" i="39"/>
  <c r="AY10" i="39"/>
  <c r="AX10" i="39"/>
  <c r="AW10" i="39"/>
  <c r="AV10" i="39"/>
  <c r="AU10" i="39"/>
  <c r="AY24" i="39" s="1"/>
  <c r="AT10" i="39"/>
  <c r="AS10" i="39"/>
  <c r="AR10" i="39"/>
  <c r="AQ10" i="39"/>
  <c r="AP10" i="39"/>
  <c r="AO10" i="39"/>
  <c r="AN10" i="39"/>
  <c r="AL10" i="39"/>
  <c r="AK10" i="39"/>
  <c r="AJ10" i="39"/>
  <c r="AI10" i="39"/>
  <c r="AH10" i="39"/>
  <c r="AG10" i="39"/>
  <c r="AF10" i="39"/>
  <c r="AE10" i="39"/>
  <c r="AD10" i="39"/>
  <c r="AC10" i="39"/>
  <c r="AB10" i="39"/>
  <c r="AA10" i="39"/>
  <c r="Z10" i="39"/>
  <c r="Y10" i="39"/>
  <c r="X10" i="39"/>
  <c r="W10" i="39"/>
  <c r="V10" i="39"/>
  <c r="U10" i="39"/>
  <c r="T10" i="39"/>
  <c r="S10" i="39"/>
  <c r="R10" i="39"/>
  <c r="Q10" i="39"/>
  <c r="P10" i="39"/>
  <c r="O10" i="39"/>
  <c r="N10" i="39"/>
  <c r="M10" i="39"/>
  <c r="L10" i="39"/>
  <c r="CD6" i="39"/>
  <c r="CC6" i="39"/>
  <c r="CB6" i="39"/>
  <c r="CA6" i="39"/>
  <c r="BZ6" i="39"/>
  <c r="BY6" i="39"/>
  <c r="BX6" i="39"/>
  <c r="BW6" i="39"/>
  <c r="BV6" i="39"/>
  <c r="BU6" i="39"/>
  <c r="BT6" i="39"/>
  <c r="BS6" i="39"/>
  <c r="BR6" i="39"/>
  <c r="BQ6" i="39"/>
  <c r="BG6" i="39"/>
  <c r="BF6" i="39"/>
  <c r="BE6" i="39"/>
  <c r="BD6" i="39"/>
  <c r="BC6" i="39"/>
  <c r="BB6" i="39"/>
  <c r="BA6" i="39"/>
  <c r="AZ6" i="39"/>
  <c r="AY6" i="39"/>
  <c r="AX6" i="39"/>
  <c r="AW6" i="39"/>
  <c r="AV6" i="39"/>
  <c r="AU6" i="39"/>
  <c r="AT6" i="39"/>
  <c r="AS6" i="39"/>
  <c r="AR6" i="39"/>
  <c r="AQ6" i="39"/>
  <c r="AP6" i="39"/>
  <c r="AO6" i="39"/>
  <c r="AN6" i="39"/>
  <c r="AM6" i="39"/>
  <c r="AL6" i="39"/>
  <c r="AK6" i="39"/>
  <c r="AJ6" i="39"/>
  <c r="AI6" i="39"/>
  <c r="AH6" i="39"/>
  <c r="AG6" i="39"/>
  <c r="AF6" i="39"/>
  <c r="AE6" i="39"/>
  <c r="AD6" i="39"/>
  <c r="AC6" i="39"/>
  <c r="AB6" i="39"/>
  <c r="AA6" i="39"/>
  <c r="Z6" i="39"/>
  <c r="Y6" i="39"/>
  <c r="X6" i="39"/>
  <c r="W6" i="39"/>
  <c r="V6" i="39"/>
  <c r="U6" i="39"/>
  <c r="T6" i="39"/>
  <c r="S6" i="39"/>
  <c r="R6" i="39"/>
  <c r="Q6" i="39"/>
  <c r="P6" i="39"/>
  <c r="O6" i="39"/>
  <c r="N6" i="39"/>
  <c r="M6" i="39"/>
  <c r="L6" i="39"/>
  <c r="K6" i="39"/>
  <c r="J6" i="39"/>
  <c r="I6" i="39"/>
  <c r="H6" i="39"/>
  <c r="G6" i="39"/>
  <c r="F6" i="39"/>
  <c r="E6" i="39"/>
  <c r="D6" i="39"/>
  <c r="BG5" i="39"/>
  <c r="BF5" i="39"/>
  <c r="BE5" i="39"/>
  <c r="BD5" i="39"/>
  <c r="BC5" i="39"/>
  <c r="BB5" i="39"/>
  <c r="BA5" i="39"/>
  <c r="AZ5" i="39"/>
  <c r="AY5" i="39"/>
  <c r="AX5" i="39"/>
  <c r="AW5" i="39"/>
  <c r="AV5" i="39"/>
  <c r="AU5" i="39"/>
  <c r="AT5" i="39"/>
  <c r="AS5" i="39"/>
  <c r="AR5" i="39"/>
  <c r="AQ5" i="39"/>
  <c r="AP5" i="39"/>
  <c r="AO5" i="39"/>
  <c r="AN5" i="39"/>
  <c r="AM5" i="39"/>
  <c r="AL5" i="39"/>
  <c r="AK5" i="39"/>
  <c r="AJ5" i="39"/>
  <c r="AI5" i="39"/>
  <c r="AH5" i="39"/>
  <c r="AG5" i="39"/>
  <c r="AF5" i="39"/>
  <c r="AE5" i="39"/>
  <c r="AD5" i="39"/>
  <c r="AC5" i="39"/>
  <c r="AB5" i="39"/>
  <c r="AA5" i="39"/>
  <c r="Z5" i="39"/>
  <c r="Y5" i="39"/>
  <c r="X5" i="39"/>
  <c r="W5" i="39"/>
  <c r="V5" i="39"/>
  <c r="U5" i="39"/>
  <c r="T5" i="39"/>
  <c r="S5" i="39"/>
  <c r="R5" i="39"/>
  <c r="Q5" i="39"/>
  <c r="P5" i="39"/>
  <c r="O5" i="39"/>
  <c r="N5" i="39"/>
  <c r="M5" i="39"/>
  <c r="L5" i="39"/>
  <c r="K5" i="39"/>
  <c r="J5" i="39"/>
  <c r="I5" i="39"/>
  <c r="H5" i="39"/>
  <c r="G5" i="39"/>
  <c r="F5" i="39"/>
  <c r="E5" i="39"/>
  <c r="D5" i="39"/>
  <c r="B3" i="39"/>
  <c r="CB167" i="3"/>
  <c r="AY167" i="3"/>
  <c r="AX167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A145" i="3"/>
  <c r="AS145" i="3"/>
  <c r="D144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CB141" i="3"/>
  <c r="CA141" i="3"/>
  <c r="BZ141" i="3"/>
  <c r="BY141" i="3"/>
  <c r="BX141" i="3"/>
  <c r="BW141" i="3"/>
  <c r="BV141" i="3"/>
  <c r="BU141" i="3"/>
  <c r="BT141" i="3"/>
  <c r="BS141" i="3"/>
  <c r="BR141" i="3"/>
  <c r="BQ141" i="3"/>
  <c r="AZ139" i="3"/>
  <c r="AV139" i="3"/>
  <c r="AR139" i="3"/>
  <c r="AP139" i="3"/>
  <c r="AD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N139" i="3"/>
  <c r="M139" i="3"/>
  <c r="L139" i="3"/>
  <c r="J139" i="3"/>
  <c r="I139" i="3"/>
  <c r="H139" i="3"/>
  <c r="G139" i="3"/>
  <c r="F139" i="3"/>
  <c r="E139" i="3"/>
  <c r="D139" i="3"/>
  <c r="AX138" i="3"/>
  <c r="AX139" i="3" s="1"/>
  <c r="AW138" i="3"/>
  <c r="AU138" i="3"/>
  <c r="AU139" i="3" s="1"/>
  <c r="AT138" i="3"/>
  <c r="AT139" i="3" s="1"/>
  <c r="AS138" i="3"/>
  <c r="AQ138" i="3"/>
  <c r="BZ138" i="3" s="1"/>
  <c r="AO138" i="3"/>
  <c r="AL138" i="3"/>
  <c r="AK138" i="3"/>
  <c r="AC138" i="3"/>
  <c r="AC139" i="3" s="1"/>
  <c r="O138" i="3"/>
  <c r="O139" i="3" s="1"/>
  <c r="K138" i="3"/>
  <c r="K139" i="3" s="1"/>
  <c r="AS136" i="3"/>
  <c r="AS139" i="3" s="1"/>
  <c r="AO136" i="3"/>
  <c r="AO139" i="3" s="1"/>
  <c r="AN136" i="3"/>
  <c r="AN139" i="3" s="1"/>
  <c r="AM136" i="3"/>
  <c r="AL136" i="3"/>
  <c r="AK136" i="3"/>
  <c r="AK139" i="3" s="1"/>
  <c r="AJ136" i="3"/>
  <c r="AJ139" i="3" s="1"/>
  <c r="AI136" i="3"/>
  <c r="AI139" i="3" s="1"/>
  <c r="AH136" i="3"/>
  <c r="AH139" i="3" s="1"/>
  <c r="AG136" i="3"/>
  <c r="AG139" i="3" s="1"/>
  <c r="AF136" i="3"/>
  <c r="AF139" i="3" s="1"/>
  <c r="AE136" i="3"/>
  <c r="AE139" i="3" s="1"/>
  <c r="CB138" i="3"/>
  <c r="CA138" i="3"/>
  <c r="BY138" i="3"/>
  <c r="BX138" i="3"/>
  <c r="BW138" i="3"/>
  <c r="BV138" i="3"/>
  <c r="BU138" i="3"/>
  <c r="BT138" i="3"/>
  <c r="BS138" i="3"/>
  <c r="BQ138" i="3"/>
  <c r="CB137" i="3"/>
  <c r="CA137" i="3"/>
  <c r="BZ137" i="3"/>
  <c r="BY137" i="3"/>
  <c r="BX137" i="3"/>
  <c r="BW137" i="3"/>
  <c r="BV137" i="3"/>
  <c r="BU137" i="3"/>
  <c r="BT137" i="3"/>
  <c r="BS137" i="3"/>
  <c r="BR137" i="3"/>
  <c r="BQ137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CB135" i="3"/>
  <c r="CA135" i="3"/>
  <c r="BZ135" i="3"/>
  <c r="BY135" i="3"/>
  <c r="BX135" i="3"/>
  <c r="BW135" i="3"/>
  <c r="BV135" i="3"/>
  <c r="BU135" i="3"/>
  <c r="BT135" i="3"/>
  <c r="BS135" i="3"/>
  <c r="BR135" i="3"/>
  <c r="BQ135" i="3"/>
  <c r="CA134" i="3"/>
  <c r="BX134" i="3"/>
  <c r="BW134" i="3"/>
  <c r="BV134" i="3"/>
  <c r="BU134" i="3"/>
  <c r="BT134" i="3"/>
  <c r="BS134" i="3"/>
  <c r="BR134" i="3"/>
  <c r="BQ134" i="3"/>
  <c r="BQ139" i="3" s="1"/>
  <c r="BE138" i="3"/>
  <c r="BF138" i="3" s="1"/>
  <c r="BG138" i="3" s="1"/>
  <c r="CD138" i="3" s="1"/>
  <c r="CC138" i="3"/>
  <c r="BE136" i="3"/>
  <c r="BF136" i="3" s="1"/>
  <c r="BG136" i="3" s="1"/>
  <c r="CD136" i="3" s="1"/>
  <c r="CC136" i="3"/>
  <c r="BA134" i="3"/>
  <c r="BA139" i="3" s="1"/>
  <c r="AY134" i="3"/>
  <c r="AW134" i="3"/>
  <c r="AQ134" i="3"/>
  <c r="BZ134" i="3" s="1"/>
  <c r="AM134" i="3"/>
  <c r="AM139" i="3" s="1"/>
  <c r="BA131" i="3"/>
  <c r="AY131" i="3"/>
  <c r="AX131" i="3"/>
  <c r="AW131" i="3"/>
  <c r="AV131" i="3"/>
  <c r="AT131" i="3"/>
  <c r="AR131" i="3"/>
  <c r="AP131" i="3"/>
  <c r="AN131" i="3"/>
  <c r="AM131" i="3"/>
  <c r="AL131" i="3"/>
  <c r="AJ131" i="3"/>
  <c r="AI131" i="3"/>
  <c r="AH131" i="3"/>
  <c r="AG131" i="3"/>
  <c r="AF131" i="3"/>
  <c r="AD131" i="3"/>
  <c r="AC131" i="3"/>
  <c r="AB131" i="3"/>
  <c r="Z131" i="3"/>
  <c r="Y131" i="3"/>
  <c r="X131" i="3"/>
  <c r="W131" i="3"/>
  <c r="V131" i="3"/>
  <c r="U131" i="3"/>
  <c r="T131" i="3"/>
  <c r="S131" i="3"/>
  <c r="R131" i="3"/>
  <c r="Q131" i="3"/>
  <c r="P131" i="3"/>
  <c r="M131" i="3"/>
  <c r="L131" i="3"/>
  <c r="F131" i="3"/>
  <c r="E131" i="3"/>
  <c r="D131" i="3"/>
  <c r="AZ130" i="3"/>
  <c r="AZ131" i="3" s="1"/>
  <c r="AU130" i="3"/>
  <c r="AU131" i="3" s="1"/>
  <c r="AS130" i="3"/>
  <c r="AS131" i="3" s="1"/>
  <c r="AQ130" i="3"/>
  <c r="BZ130" i="3" s="1"/>
  <c r="AO130" i="3"/>
  <c r="AO131" i="3" s="1"/>
  <c r="AE130" i="3"/>
  <c r="AE131" i="3" s="1"/>
  <c r="AA130" i="3"/>
  <c r="BV130" i="3" s="1"/>
  <c r="N130" i="3"/>
  <c r="N131" i="3" s="1"/>
  <c r="K130" i="3"/>
  <c r="BR130" i="3" s="1"/>
  <c r="J130" i="3"/>
  <c r="J131" i="3" s="1"/>
  <c r="I130" i="3"/>
  <c r="I131" i="3" s="1"/>
  <c r="H130" i="3"/>
  <c r="H131" i="3" s="1"/>
  <c r="AK126" i="3"/>
  <c r="AK131" i="3" s="1"/>
  <c r="CB130" i="3"/>
  <c r="CA130" i="3"/>
  <c r="BY130" i="3"/>
  <c r="BX130" i="3"/>
  <c r="BW130" i="3"/>
  <c r="BU130" i="3"/>
  <c r="BT130" i="3"/>
  <c r="BS130" i="3"/>
  <c r="BQ130" i="3"/>
  <c r="CB129" i="3"/>
  <c r="CA129" i="3"/>
  <c r="BZ129" i="3"/>
  <c r="BY129" i="3"/>
  <c r="BX129" i="3"/>
  <c r="BW129" i="3"/>
  <c r="BV129" i="3"/>
  <c r="BU129" i="3"/>
  <c r="BT129" i="3"/>
  <c r="BS129" i="3"/>
  <c r="BR129" i="3"/>
  <c r="BQ129" i="3"/>
  <c r="CB128" i="3"/>
  <c r="CA128" i="3"/>
  <c r="BZ128" i="3"/>
  <c r="BY128" i="3"/>
  <c r="BX128" i="3"/>
  <c r="BW128" i="3"/>
  <c r="BV128" i="3"/>
  <c r="BU128" i="3"/>
  <c r="BT128" i="3"/>
  <c r="BS128" i="3"/>
  <c r="BR128" i="3"/>
  <c r="BQ128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CB126" i="3"/>
  <c r="CA126" i="3"/>
  <c r="BZ126" i="3"/>
  <c r="BY126" i="3"/>
  <c r="BX126" i="3"/>
  <c r="BW126" i="3"/>
  <c r="BV126" i="3"/>
  <c r="BU126" i="3"/>
  <c r="BT126" i="3"/>
  <c r="BS126" i="3"/>
  <c r="BR126" i="3"/>
  <c r="BQ126" i="3"/>
  <c r="CB125" i="3"/>
  <c r="CA125" i="3"/>
  <c r="BZ125" i="3"/>
  <c r="BZ131" i="3" s="1"/>
  <c r="BY125" i="3"/>
  <c r="BX125" i="3"/>
  <c r="BW125" i="3"/>
  <c r="BV125" i="3"/>
  <c r="BV131" i="3" s="1"/>
  <c r="BU125" i="3"/>
  <c r="BT125" i="3"/>
  <c r="BR125" i="3"/>
  <c r="BR131" i="3" s="1"/>
  <c r="BE129" i="3"/>
  <c r="BF129" i="3" s="1"/>
  <c r="BG129" i="3" s="1"/>
  <c r="CD129" i="3" s="1"/>
  <c r="CC129" i="3"/>
  <c r="BE128" i="3"/>
  <c r="BF128" i="3" s="1"/>
  <c r="BG128" i="3" s="1"/>
  <c r="CD128" i="3" s="1"/>
  <c r="CC128" i="3"/>
  <c r="BE127" i="3"/>
  <c r="BF127" i="3" s="1"/>
  <c r="BG127" i="3" s="1"/>
  <c r="CD127" i="3" s="1"/>
  <c r="CC127" i="3"/>
  <c r="BE126" i="3"/>
  <c r="BF126" i="3" s="1"/>
  <c r="BG126" i="3" s="1"/>
  <c r="CD126" i="3" s="1"/>
  <c r="CC126" i="3"/>
  <c r="O125" i="3"/>
  <c r="O131" i="3" s="1"/>
  <c r="G125" i="3"/>
  <c r="BQ125" i="3" s="1"/>
  <c r="AZ121" i="3"/>
  <c r="AX121" i="3"/>
  <c r="AW121" i="3"/>
  <c r="AV121" i="3"/>
  <c r="AU121" i="3"/>
  <c r="CA121" i="3" s="1"/>
  <c r="AT121" i="3"/>
  <c r="AS121" i="3"/>
  <c r="AR121" i="3"/>
  <c r="AQ121" i="3"/>
  <c r="AO121" i="3"/>
  <c r="AN121" i="3"/>
  <c r="AM121" i="3"/>
  <c r="AL121" i="3"/>
  <c r="AK121" i="3"/>
  <c r="AJ121" i="3"/>
  <c r="AI121" i="3"/>
  <c r="BX121" i="3" s="1"/>
  <c r="P121" i="3"/>
  <c r="L121" i="3"/>
  <c r="J121" i="3"/>
  <c r="I121" i="3"/>
  <c r="H121" i="3"/>
  <c r="G121" i="3"/>
  <c r="F121" i="3"/>
  <c r="E121" i="3"/>
  <c r="D121" i="3"/>
  <c r="BZ121" i="3"/>
  <c r="BY121" i="3"/>
  <c r="BW121" i="3"/>
  <c r="BV121" i="3"/>
  <c r="BU121" i="3"/>
  <c r="BT121" i="3"/>
  <c r="BS121" i="3"/>
  <c r="BR121" i="3"/>
  <c r="BQ121" i="3"/>
  <c r="CB120" i="3"/>
  <c r="CA120" i="3"/>
  <c r="BZ120" i="3"/>
  <c r="BY120" i="3"/>
  <c r="BX120" i="3"/>
  <c r="BW120" i="3"/>
  <c r="BV120" i="3"/>
  <c r="BU120" i="3"/>
  <c r="BT120" i="3"/>
  <c r="BS120" i="3"/>
  <c r="BR120" i="3"/>
  <c r="BQ120" i="3"/>
  <c r="CB119" i="3"/>
  <c r="CA119" i="3"/>
  <c r="BZ119" i="3"/>
  <c r="BY119" i="3"/>
  <c r="BX119" i="3"/>
  <c r="BW119" i="3"/>
  <c r="BV119" i="3"/>
  <c r="BU119" i="3"/>
  <c r="BT119" i="3"/>
  <c r="BS119" i="3"/>
  <c r="BR119" i="3"/>
  <c r="BQ119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CB116" i="3"/>
  <c r="CA116" i="3"/>
  <c r="BZ116" i="3"/>
  <c r="BY116" i="3"/>
  <c r="BX116" i="3"/>
  <c r="BW116" i="3"/>
  <c r="BV116" i="3"/>
  <c r="BU116" i="3"/>
  <c r="BT116" i="3"/>
  <c r="BS116" i="3"/>
  <c r="BR116" i="3"/>
  <c r="BQ116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U114" i="3"/>
  <c r="BT114" i="3"/>
  <c r="BS114" i="3"/>
  <c r="BR114" i="3"/>
  <c r="BQ114" i="3"/>
  <c r="H113" i="3"/>
  <c r="D113" i="3"/>
  <c r="AY110" i="3"/>
  <c r="CB110" i="3" s="1"/>
  <c r="AW110" i="3"/>
  <c r="AU110" i="3"/>
  <c r="CA110" i="3" s="1"/>
  <c r="AS110" i="3"/>
  <c r="AQ110" i="3"/>
  <c r="AO110" i="3"/>
  <c r="CB113" i="3"/>
  <c r="CA113" i="3"/>
  <c r="BZ113" i="3"/>
  <c r="BY113" i="3"/>
  <c r="BX113" i="3"/>
  <c r="BW113" i="3"/>
  <c r="BV113" i="3"/>
  <c r="BU113" i="3"/>
  <c r="BT113" i="3"/>
  <c r="BS113" i="3"/>
  <c r="BR113" i="3"/>
  <c r="BQ113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CB111" i="3"/>
  <c r="CA111" i="3"/>
  <c r="BZ111" i="3"/>
  <c r="BY111" i="3"/>
  <c r="BX111" i="3"/>
  <c r="BW111" i="3"/>
  <c r="BV111" i="3"/>
  <c r="BU111" i="3"/>
  <c r="BT111" i="3"/>
  <c r="BS111" i="3"/>
  <c r="BR111" i="3"/>
  <c r="BQ111" i="3"/>
  <c r="BZ110" i="3"/>
  <c r="BY110" i="3"/>
  <c r="BX110" i="3"/>
  <c r="BW110" i="3"/>
  <c r="BV110" i="3"/>
  <c r="BU110" i="3"/>
  <c r="BT110" i="3"/>
  <c r="BS110" i="3"/>
  <c r="BR110" i="3"/>
  <c r="BQ110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CB108" i="3"/>
  <c r="CA108" i="3"/>
  <c r="BZ108" i="3"/>
  <c r="BY108" i="3"/>
  <c r="BX108" i="3"/>
  <c r="BW108" i="3"/>
  <c r="BV108" i="3"/>
  <c r="BU108" i="3"/>
  <c r="BT108" i="3"/>
  <c r="BS108" i="3"/>
  <c r="BR108" i="3"/>
  <c r="BQ108" i="3"/>
  <c r="BE112" i="3"/>
  <c r="BF112" i="3" s="1"/>
  <c r="BG112" i="3" s="1"/>
  <c r="CD112" i="3" s="1"/>
  <c r="CC112" i="3"/>
  <c r="BE111" i="3"/>
  <c r="BF111" i="3" s="1"/>
  <c r="BG111" i="3" s="1"/>
  <c r="CD111" i="3" s="1"/>
  <c r="CC111" i="3"/>
  <c r="BE109" i="3"/>
  <c r="BF109" i="3" s="1"/>
  <c r="BG109" i="3" s="1"/>
  <c r="CD109" i="3" s="1"/>
  <c r="CC109" i="3"/>
  <c r="BD87" i="3"/>
  <c r="AO74" i="3"/>
  <c r="AO82" i="3" s="1"/>
  <c r="BA69" i="3"/>
  <c r="AZ69" i="3"/>
  <c r="AY69" i="3"/>
  <c r="AX69" i="3"/>
  <c r="AW69" i="3"/>
  <c r="AV69" i="3"/>
  <c r="AU69" i="3"/>
  <c r="AT69" i="3"/>
  <c r="AS69" i="3"/>
  <c r="AR69" i="3"/>
  <c r="AQ69" i="3"/>
  <c r="AP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L70" i="3" s="1"/>
  <c r="AK67" i="3"/>
  <c r="AJ67" i="3"/>
  <c r="AI67" i="3"/>
  <c r="AH67" i="3"/>
  <c r="AH70" i="3" s="1"/>
  <c r="AG67" i="3"/>
  <c r="AF67" i="3"/>
  <c r="AE67" i="3"/>
  <c r="AD67" i="3"/>
  <c r="AD70" i="3" s="1"/>
  <c r="AC67" i="3"/>
  <c r="AB67" i="3"/>
  <c r="AA67" i="3"/>
  <c r="Z67" i="3"/>
  <c r="Z70" i="3" s="1"/>
  <c r="Y67" i="3"/>
  <c r="X67" i="3"/>
  <c r="W67" i="3"/>
  <c r="V67" i="3"/>
  <c r="V70" i="3" s="1"/>
  <c r="U67" i="3"/>
  <c r="T67" i="3"/>
  <c r="S67" i="3"/>
  <c r="R67" i="3"/>
  <c r="R70" i="3" s="1"/>
  <c r="Q67" i="3"/>
  <c r="P67" i="3"/>
  <c r="O67" i="3"/>
  <c r="N67" i="3"/>
  <c r="N70" i="3" s="1"/>
  <c r="M67" i="3"/>
  <c r="L67" i="3"/>
  <c r="K67" i="3"/>
  <c r="J67" i="3"/>
  <c r="I67" i="3"/>
  <c r="H67" i="3"/>
  <c r="G67" i="3"/>
  <c r="F67" i="3"/>
  <c r="E67" i="3"/>
  <c r="D67" i="3"/>
  <c r="BW66" i="3"/>
  <c r="BV66" i="3"/>
  <c r="BU66" i="3"/>
  <c r="BT66" i="3"/>
  <c r="BS66" i="3"/>
  <c r="BR66" i="3"/>
  <c r="BQ66" i="3"/>
  <c r="CB64" i="3"/>
  <c r="CA64" i="3"/>
  <c r="BZ64" i="3"/>
  <c r="BY64" i="3"/>
  <c r="BX64" i="3"/>
  <c r="BW64" i="3"/>
  <c r="BV64" i="3"/>
  <c r="BU64" i="3"/>
  <c r="BU67" i="3" s="1"/>
  <c r="BT64" i="3"/>
  <c r="BT67" i="3" s="1"/>
  <c r="BS64" i="3"/>
  <c r="BR64" i="3"/>
  <c r="BQ64" i="3"/>
  <c r="BE62" i="3"/>
  <c r="BF62" i="3" s="1"/>
  <c r="BG62" i="3" s="1"/>
  <c r="AQ62" i="3"/>
  <c r="AP62" i="3"/>
  <c r="AO62" i="3"/>
  <c r="BZ54" i="3"/>
  <c r="BY54" i="3"/>
  <c r="BX54" i="3"/>
  <c r="BW54" i="3"/>
  <c r="BV54" i="3"/>
  <c r="BU54" i="3"/>
  <c r="BT54" i="3"/>
  <c r="BS54" i="3"/>
  <c r="BR54" i="3"/>
  <c r="BQ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A50" i="3"/>
  <c r="BZ50" i="3"/>
  <c r="BY50" i="3"/>
  <c r="BA50" i="3"/>
  <c r="AY50" i="3"/>
  <c r="AX50" i="3"/>
  <c r="AW50" i="3"/>
  <c r="BQ49" i="3"/>
  <c r="B47" i="3"/>
  <c r="B46" i="3"/>
  <c r="AZ47" i="3"/>
  <c r="BA47" i="3" s="1"/>
  <c r="BB47" i="3" s="1"/>
  <c r="BC47" i="3" s="1"/>
  <c r="AV47" i="3"/>
  <c r="AW47" i="3" s="1"/>
  <c r="AX47" i="3" s="1"/>
  <c r="AY47" i="3" s="1"/>
  <c r="AR47" i="3"/>
  <c r="AS47" i="3" s="1"/>
  <c r="AT47" i="3" s="1"/>
  <c r="AU47" i="3" s="1"/>
  <c r="AN47" i="3"/>
  <c r="AO47" i="3" s="1"/>
  <c r="AP47" i="3" s="1"/>
  <c r="AQ47" i="3" s="1"/>
  <c r="AJ47" i="3"/>
  <c r="AK47" i="3" s="1"/>
  <c r="AL47" i="3" s="1"/>
  <c r="AM47" i="3" s="1"/>
  <c r="BY47" i="3" s="1"/>
  <c r="AF47" i="3"/>
  <c r="AG47" i="3" s="1"/>
  <c r="AH47" i="3" s="1"/>
  <c r="AI47" i="3" s="1"/>
  <c r="AB47" i="3"/>
  <c r="X47" i="3"/>
  <c r="Y47" i="3" s="1"/>
  <c r="Z47" i="3" s="1"/>
  <c r="AA47" i="3" s="1"/>
  <c r="T47" i="3"/>
  <c r="U47" i="3" s="1"/>
  <c r="V47" i="3" s="1"/>
  <c r="W47" i="3" s="1"/>
  <c r="P47" i="3"/>
  <c r="Q47" i="3" s="1"/>
  <c r="R47" i="3" s="1"/>
  <c r="L47" i="3"/>
  <c r="H47" i="3"/>
  <c r="I47" i="3" s="1"/>
  <c r="J47" i="3" s="1"/>
  <c r="K47" i="3" s="1"/>
  <c r="D47" i="3"/>
  <c r="E47" i="3" s="1"/>
  <c r="F47" i="3" s="1"/>
  <c r="G47" i="3" s="1"/>
  <c r="AZ46" i="3"/>
  <c r="BA46" i="3" s="1"/>
  <c r="AV46" i="3"/>
  <c r="AW46" i="3" s="1"/>
  <c r="AX46" i="3" s="1"/>
  <c r="AY46" i="3" s="1"/>
  <c r="AR46" i="3"/>
  <c r="AS46" i="3" s="1"/>
  <c r="AT46" i="3" s="1"/>
  <c r="AU46" i="3" s="1"/>
  <c r="AN46" i="3"/>
  <c r="AJ46" i="3"/>
  <c r="AK46" i="3" s="1"/>
  <c r="AL46" i="3" s="1"/>
  <c r="AM46" i="3" s="1"/>
  <c r="AF46" i="3"/>
  <c r="AG46" i="3" s="1"/>
  <c r="AH46" i="3" s="1"/>
  <c r="AI46" i="3" s="1"/>
  <c r="AB46" i="3"/>
  <c r="AC46" i="3" s="1"/>
  <c r="AD46" i="3" s="1"/>
  <c r="AE46" i="3" s="1"/>
  <c r="BW46" i="3" s="1"/>
  <c r="X46" i="3"/>
  <c r="T46" i="3"/>
  <c r="U46" i="3" s="1"/>
  <c r="V46" i="3" s="1"/>
  <c r="W46" i="3" s="1"/>
  <c r="P46" i="3"/>
  <c r="Q46" i="3" s="1"/>
  <c r="R46" i="3" s="1"/>
  <c r="S46" i="3" s="1"/>
  <c r="L46" i="3"/>
  <c r="M46" i="3" s="1"/>
  <c r="N46" i="3" s="1"/>
  <c r="O46" i="3" s="1"/>
  <c r="BS46" i="3" s="1"/>
  <c r="H46" i="3"/>
  <c r="D46" i="3"/>
  <c r="E46" i="3" s="1"/>
  <c r="F46" i="3" s="1"/>
  <c r="G46" i="3" s="1"/>
  <c r="B44" i="3"/>
  <c r="B43" i="3"/>
  <c r="B42" i="3"/>
  <c r="B41" i="3"/>
  <c r="B40" i="3"/>
  <c r="CD43" i="3"/>
  <c r="AZ43" i="3"/>
  <c r="AV43" i="3"/>
  <c r="AW43" i="3" s="1"/>
  <c r="AR43" i="3"/>
  <c r="AS43" i="3" s="1"/>
  <c r="AT43" i="3" s="1"/>
  <c r="AU43" i="3" s="1"/>
  <c r="AN43" i="3"/>
  <c r="AO43" i="3" s="1"/>
  <c r="AJ43" i="3"/>
  <c r="AK43" i="3" s="1"/>
  <c r="AL43" i="3" s="1"/>
  <c r="AM43" i="3" s="1"/>
  <c r="AF43" i="3"/>
  <c r="AG43" i="3" s="1"/>
  <c r="AB43" i="3"/>
  <c r="AC43" i="3" s="1"/>
  <c r="X43" i="3"/>
  <c r="Y43" i="3" s="1"/>
  <c r="Z43" i="3" s="1"/>
  <c r="T43" i="3"/>
  <c r="U43" i="3" s="1"/>
  <c r="V43" i="3" s="1"/>
  <c r="P43" i="3"/>
  <c r="Q43" i="3" s="1"/>
  <c r="L43" i="3"/>
  <c r="M43" i="3" s="1"/>
  <c r="N43" i="3" s="1"/>
  <c r="O43" i="3" s="1"/>
  <c r="H43" i="3"/>
  <c r="I43" i="3" s="1"/>
  <c r="J43" i="3" s="1"/>
  <c r="D43" i="3"/>
  <c r="E43" i="3" s="1"/>
  <c r="F43" i="3" s="1"/>
  <c r="AZ42" i="3"/>
  <c r="AV42" i="3"/>
  <c r="AW42" i="3" s="1"/>
  <c r="AX42" i="3" s="1"/>
  <c r="AY42" i="3" s="1"/>
  <c r="AR42" i="3"/>
  <c r="AS42" i="3" s="1"/>
  <c r="AN42" i="3"/>
  <c r="AO42" i="3" s="1"/>
  <c r="AP42" i="3" s="1"/>
  <c r="AQ42" i="3" s="1"/>
  <c r="AJ42" i="3"/>
  <c r="AK42" i="3" s="1"/>
  <c r="AL42" i="3" s="1"/>
  <c r="AM42" i="3" s="1"/>
  <c r="AF42" i="3"/>
  <c r="AG42" i="3" s="1"/>
  <c r="AH42" i="3" s="1"/>
  <c r="AI42" i="3" s="1"/>
  <c r="AB42" i="3"/>
  <c r="AC42" i="3" s="1"/>
  <c r="X42" i="3"/>
  <c r="Y42" i="3" s="1"/>
  <c r="Z42" i="3" s="1"/>
  <c r="AA42" i="3" s="1"/>
  <c r="T42" i="3"/>
  <c r="U42" i="3" s="1"/>
  <c r="V42" i="3" s="1"/>
  <c r="W42" i="3" s="1"/>
  <c r="P42" i="3"/>
  <c r="Q42" i="3" s="1"/>
  <c r="R42" i="3" s="1"/>
  <c r="S42" i="3" s="1"/>
  <c r="L42" i="3"/>
  <c r="M42" i="3" s="1"/>
  <c r="H42" i="3"/>
  <c r="I42" i="3" s="1"/>
  <c r="J42" i="3" s="1"/>
  <c r="K42" i="3" s="1"/>
  <c r="D42" i="3"/>
  <c r="E42" i="3" s="1"/>
  <c r="F42" i="3" s="1"/>
  <c r="G42" i="3" s="1"/>
  <c r="CD41" i="3"/>
  <c r="AZ41" i="3"/>
  <c r="AV41" i="3"/>
  <c r="AW41" i="3" s="1"/>
  <c r="AX41" i="3" s="1"/>
  <c r="AY41" i="3" s="1"/>
  <c r="AR41" i="3"/>
  <c r="AS41" i="3" s="1"/>
  <c r="AT41" i="3" s="1"/>
  <c r="AU41" i="3" s="1"/>
  <c r="AN41" i="3"/>
  <c r="AO41" i="3" s="1"/>
  <c r="AP41" i="3" s="1"/>
  <c r="AQ41" i="3" s="1"/>
  <c r="AJ41" i="3"/>
  <c r="AK41" i="3" s="1"/>
  <c r="AF41" i="3"/>
  <c r="AG41" i="3" s="1"/>
  <c r="AH41" i="3" s="1"/>
  <c r="AI41" i="3" s="1"/>
  <c r="AB41" i="3"/>
  <c r="AC41" i="3" s="1"/>
  <c r="AD41" i="3" s="1"/>
  <c r="AE41" i="3" s="1"/>
  <c r="X41" i="3"/>
  <c r="T41" i="3"/>
  <c r="U41" i="3" s="1"/>
  <c r="P41" i="3"/>
  <c r="L41" i="3"/>
  <c r="M41" i="3" s="1"/>
  <c r="N41" i="3" s="1"/>
  <c r="O41" i="3" s="1"/>
  <c r="H41" i="3"/>
  <c r="D41" i="3"/>
  <c r="E41" i="3" s="1"/>
  <c r="AZ40" i="3"/>
  <c r="AV40" i="3"/>
  <c r="AR40" i="3"/>
  <c r="AN40" i="3"/>
  <c r="AJ40" i="3"/>
  <c r="AF40" i="3"/>
  <c r="AB40" i="3"/>
  <c r="X40" i="3"/>
  <c r="Y40" i="3" s="1"/>
  <c r="Z40" i="3" s="1"/>
  <c r="AA40" i="3" s="1"/>
  <c r="T40" i="3"/>
  <c r="U40" i="3" s="1"/>
  <c r="V40" i="3" s="1"/>
  <c r="W40" i="3" s="1"/>
  <c r="P40" i="3"/>
  <c r="L40" i="3"/>
  <c r="H40" i="3"/>
  <c r="I40" i="3" s="1"/>
  <c r="J40" i="3" s="1"/>
  <c r="K40" i="3" s="1"/>
  <c r="BR40" i="3" s="1"/>
  <c r="D40" i="3"/>
  <c r="E40" i="3" s="1"/>
  <c r="F40" i="3" s="1"/>
  <c r="G40" i="3" s="1"/>
  <c r="AZ39" i="3"/>
  <c r="AV39" i="3"/>
  <c r="AR39" i="3"/>
  <c r="AN39" i="3"/>
  <c r="AJ39" i="3"/>
  <c r="AF39" i="3"/>
  <c r="AB39" i="3"/>
  <c r="X39" i="3"/>
  <c r="T39" i="3"/>
  <c r="P39" i="3"/>
  <c r="L39" i="3"/>
  <c r="H39" i="3"/>
  <c r="D39" i="3"/>
  <c r="B38" i="3"/>
  <c r="B36" i="3"/>
  <c r="B35" i="3"/>
  <c r="B34" i="3"/>
  <c r="B33" i="3"/>
  <c r="B32" i="3"/>
  <c r="B31" i="3"/>
  <c r="B30" i="3"/>
  <c r="B29" i="3"/>
  <c r="AZ35" i="3"/>
  <c r="AV35" i="3"/>
  <c r="AW35" i="3" s="1"/>
  <c r="AR35" i="3"/>
  <c r="AS35" i="3" s="1"/>
  <c r="AN35" i="3"/>
  <c r="AO35" i="3" s="1"/>
  <c r="AJ35" i="3"/>
  <c r="AK35" i="3" s="1"/>
  <c r="AF35" i="3"/>
  <c r="AG35" i="3" s="1"/>
  <c r="AB35" i="3"/>
  <c r="AC35" i="3" s="1"/>
  <c r="X35" i="3"/>
  <c r="Y35" i="3" s="1"/>
  <c r="Z35" i="3" s="1"/>
  <c r="AA35" i="3" s="1"/>
  <c r="T35" i="3"/>
  <c r="U35" i="3" s="1"/>
  <c r="V35" i="3" s="1"/>
  <c r="W35" i="3" s="1"/>
  <c r="P35" i="3"/>
  <c r="Q35" i="3" s="1"/>
  <c r="R35" i="3" s="1"/>
  <c r="S35" i="3" s="1"/>
  <c r="L35" i="3"/>
  <c r="M35" i="3" s="1"/>
  <c r="N35" i="3" s="1"/>
  <c r="O35" i="3" s="1"/>
  <c r="H35" i="3"/>
  <c r="I35" i="3" s="1"/>
  <c r="J35" i="3" s="1"/>
  <c r="K35" i="3" s="1"/>
  <c r="D35" i="3"/>
  <c r="E35" i="3" s="1"/>
  <c r="F35" i="3" s="1"/>
  <c r="G35" i="3" s="1"/>
  <c r="CD34" i="3"/>
  <c r="CD33" i="3"/>
  <c r="CD32" i="3"/>
  <c r="CD31" i="3"/>
  <c r="AZ34" i="3"/>
  <c r="AV34" i="3"/>
  <c r="AR34" i="3"/>
  <c r="AS34" i="3" s="1"/>
  <c r="AN34" i="3"/>
  <c r="AJ34" i="3"/>
  <c r="AK34" i="3" s="1"/>
  <c r="AF34" i="3"/>
  <c r="AB34" i="3"/>
  <c r="AC34" i="3" s="1"/>
  <c r="X34" i="3"/>
  <c r="T34" i="3"/>
  <c r="U34" i="3" s="1"/>
  <c r="V34" i="3" s="1"/>
  <c r="W34" i="3" s="1"/>
  <c r="P34" i="3"/>
  <c r="L34" i="3"/>
  <c r="M34" i="3" s="1"/>
  <c r="N34" i="3" s="1"/>
  <c r="O34" i="3" s="1"/>
  <c r="H34" i="3"/>
  <c r="I34" i="3" s="1"/>
  <c r="J34" i="3" s="1"/>
  <c r="K34" i="3" s="1"/>
  <c r="D34" i="3"/>
  <c r="AZ33" i="3"/>
  <c r="AV33" i="3"/>
  <c r="AW33" i="3" s="1"/>
  <c r="AR33" i="3"/>
  <c r="AS33" i="3" s="1"/>
  <c r="AN33" i="3"/>
  <c r="AJ33" i="3"/>
  <c r="AF33" i="3"/>
  <c r="AG33" i="3" s="1"/>
  <c r="AB33" i="3"/>
  <c r="AC33" i="3" s="1"/>
  <c r="X33" i="3"/>
  <c r="T33" i="3"/>
  <c r="P33" i="3"/>
  <c r="Q33" i="3" s="1"/>
  <c r="R33" i="3" s="1"/>
  <c r="S33" i="3" s="1"/>
  <c r="BT33" i="3" s="1"/>
  <c r="L33" i="3"/>
  <c r="M33" i="3" s="1"/>
  <c r="N33" i="3" s="1"/>
  <c r="O33" i="3" s="1"/>
  <c r="BS33" i="3" s="1"/>
  <c r="H33" i="3"/>
  <c r="D33" i="3"/>
  <c r="E33" i="3" s="1"/>
  <c r="F33" i="3" s="1"/>
  <c r="G33" i="3" s="1"/>
  <c r="BA32" i="3"/>
  <c r="AZ32" i="3"/>
  <c r="AV32" i="3"/>
  <c r="AR32" i="3"/>
  <c r="AS32" i="3" s="1"/>
  <c r="AN32" i="3"/>
  <c r="AJ32" i="3"/>
  <c r="AK32" i="3" s="1"/>
  <c r="AF32" i="3"/>
  <c r="AB32" i="3"/>
  <c r="AC32" i="3" s="1"/>
  <c r="X32" i="3"/>
  <c r="Y32" i="3" s="1"/>
  <c r="Z32" i="3" s="1"/>
  <c r="AA32" i="3" s="1"/>
  <c r="T32" i="3"/>
  <c r="U32" i="3" s="1"/>
  <c r="V32" i="3" s="1"/>
  <c r="W32" i="3" s="1"/>
  <c r="P32" i="3"/>
  <c r="L32" i="3"/>
  <c r="M32" i="3" s="1"/>
  <c r="N32" i="3" s="1"/>
  <c r="O32" i="3" s="1"/>
  <c r="H32" i="3"/>
  <c r="I32" i="3" s="1"/>
  <c r="J32" i="3" s="1"/>
  <c r="K32" i="3" s="1"/>
  <c r="D32" i="3"/>
  <c r="E32" i="3" s="1"/>
  <c r="F32" i="3" s="1"/>
  <c r="G32" i="3" s="1"/>
  <c r="AZ31" i="3"/>
  <c r="AV31" i="3"/>
  <c r="AR31" i="3"/>
  <c r="AN31" i="3"/>
  <c r="AO31" i="3" s="1"/>
  <c r="AJ31" i="3"/>
  <c r="AK31" i="3" s="1"/>
  <c r="AF31" i="3"/>
  <c r="AB31" i="3"/>
  <c r="X31" i="3"/>
  <c r="Y31" i="3" s="1"/>
  <c r="Z31" i="3" s="1"/>
  <c r="AA31" i="3" s="1"/>
  <c r="T31" i="3"/>
  <c r="U31" i="3" s="1"/>
  <c r="V31" i="3" s="1"/>
  <c r="W31" i="3" s="1"/>
  <c r="P31" i="3"/>
  <c r="Q31" i="3" s="1"/>
  <c r="R31" i="3" s="1"/>
  <c r="S31" i="3" s="1"/>
  <c r="BT31" i="3" s="1"/>
  <c r="L31" i="3"/>
  <c r="M31" i="3" s="1"/>
  <c r="N31" i="3" s="1"/>
  <c r="O31" i="3" s="1"/>
  <c r="BS31" i="3" s="1"/>
  <c r="H31" i="3"/>
  <c r="I31" i="3" s="1"/>
  <c r="J31" i="3" s="1"/>
  <c r="K31" i="3" s="1"/>
  <c r="D31" i="3"/>
  <c r="E31" i="3" s="1"/>
  <c r="F31" i="3" s="1"/>
  <c r="G31" i="3" s="1"/>
  <c r="AZ30" i="3"/>
  <c r="AV30" i="3"/>
  <c r="AW30" i="3" s="1"/>
  <c r="AR30" i="3"/>
  <c r="AS30" i="3" s="1"/>
  <c r="AN30" i="3"/>
  <c r="AN88" i="3" s="1"/>
  <c r="AJ30" i="3"/>
  <c r="AJ88" i="3" s="1"/>
  <c r="AF30" i="3"/>
  <c r="AF88" i="3" s="1"/>
  <c r="AB30" i="3"/>
  <c r="AB60" i="3" s="1"/>
  <c r="AB62" i="3" s="1"/>
  <c r="X30" i="3"/>
  <c r="T30" i="3"/>
  <c r="T60" i="3" s="1"/>
  <c r="T62" i="3" s="1"/>
  <c r="P30" i="3"/>
  <c r="Q30" i="3" s="1"/>
  <c r="L30" i="3"/>
  <c r="L60" i="3" s="1"/>
  <c r="L62" i="3" s="1"/>
  <c r="H30" i="3"/>
  <c r="I30" i="3" s="1"/>
  <c r="J30" i="3" s="1"/>
  <c r="D30" i="3"/>
  <c r="D60" i="3" s="1"/>
  <c r="D62" i="3" s="1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Z26" i="3"/>
  <c r="AV26" i="3"/>
  <c r="AW26" i="3" s="1"/>
  <c r="AX26" i="3" s="1"/>
  <c r="AR26" i="3"/>
  <c r="AS26" i="3" s="1"/>
  <c r="AN26" i="3"/>
  <c r="AO26" i="3" s="1"/>
  <c r="AP26" i="3" s="1"/>
  <c r="AQ26" i="3" s="1"/>
  <c r="AJ26" i="3"/>
  <c r="AK26" i="3" s="1"/>
  <c r="AL26" i="3" s="1"/>
  <c r="AM26" i="3" s="1"/>
  <c r="AF26" i="3"/>
  <c r="AG26" i="3" s="1"/>
  <c r="AH26" i="3" s="1"/>
  <c r="AI26" i="3" s="1"/>
  <c r="AB26" i="3"/>
  <c r="AC26" i="3" s="1"/>
  <c r="AD26" i="3" s="1"/>
  <c r="AE26" i="3" s="1"/>
  <c r="X26" i="3"/>
  <c r="Y26" i="3" s="1"/>
  <c r="T26" i="3"/>
  <c r="U26" i="3" s="1"/>
  <c r="V26" i="3" s="1"/>
  <c r="W26" i="3" s="1"/>
  <c r="P26" i="3"/>
  <c r="Q26" i="3" s="1"/>
  <c r="R26" i="3" s="1"/>
  <c r="S26" i="3" s="1"/>
  <c r="L26" i="3"/>
  <c r="M26" i="3" s="1"/>
  <c r="N26" i="3" s="1"/>
  <c r="O26" i="3" s="1"/>
  <c r="H26" i="3"/>
  <c r="I26" i="3" s="1"/>
  <c r="J26" i="3" s="1"/>
  <c r="K26" i="3" s="1"/>
  <c r="D26" i="3"/>
  <c r="E26" i="3" s="1"/>
  <c r="AZ25" i="3"/>
  <c r="AV25" i="3"/>
  <c r="AW25" i="3" s="1"/>
  <c r="AR25" i="3"/>
  <c r="AS25" i="3" s="1"/>
  <c r="AT25" i="3" s="1"/>
  <c r="AU25" i="3" s="1"/>
  <c r="AN25" i="3"/>
  <c r="AO25" i="3" s="1"/>
  <c r="AP25" i="3" s="1"/>
  <c r="AQ25" i="3" s="1"/>
  <c r="AJ25" i="3"/>
  <c r="AK25" i="3" s="1"/>
  <c r="AL25" i="3" s="1"/>
  <c r="AM25" i="3" s="1"/>
  <c r="AF25" i="3"/>
  <c r="AG25" i="3" s="1"/>
  <c r="AB25" i="3"/>
  <c r="AC25" i="3" s="1"/>
  <c r="AD25" i="3" s="1"/>
  <c r="AE25" i="3" s="1"/>
  <c r="X25" i="3"/>
  <c r="Y25" i="3" s="1"/>
  <c r="Z25" i="3" s="1"/>
  <c r="AA25" i="3" s="1"/>
  <c r="T25" i="3"/>
  <c r="U25" i="3" s="1"/>
  <c r="V25" i="3" s="1"/>
  <c r="W25" i="3" s="1"/>
  <c r="P25" i="3"/>
  <c r="Q25" i="3" s="1"/>
  <c r="L25" i="3"/>
  <c r="M25" i="3" s="1"/>
  <c r="N25" i="3" s="1"/>
  <c r="O25" i="3" s="1"/>
  <c r="H25" i="3"/>
  <c r="I25" i="3" s="1"/>
  <c r="J25" i="3" s="1"/>
  <c r="K25" i="3" s="1"/>
  <c r="D25" i="3"/>
  <c r="E25" i="3" s="1"/>
  <c r="F25" i="3" s="1"/>
  <c r="G25" i="3" s="1"/>
  <c r="AZ24" i="3"/>
  <c r="AV24" i="3"/>
  <c r="AW24" i="3" s="1"/>
  <c r="AX24" i="3" s="1"/>
  <c r="AY24" i="3" s="1"/>
  <c r="AR24" i="3"/>
  <c r="AS24" i="3" s="1"/>
  <c r="AN24" i="3"/>
  <c r="AO24" i="3" s="1"/>
  <c r="AP24" i="3" s="1"/>
  <c r="AQ24" i="3" s="1"/>
  <c r="AJ24" i="3"/>
  <c r="AK24" i="3" s="1"/>
  <c r="AL24" i="3" s="1"/>
  <c r="AM24" i="3" s="1"/>
  <c r="AF24" i="3"/>
  <c r="AG24" i="3" s="1"/>
  <c r="AH24" i="3" s="1"/>
  <c r="AI24" i="3" s="1"/>
  <c r="AB24" i="3"/>
  <c r="AC24" i="3" s="1"/>
  <c r="X24" i="3"/>
  <c r="Y24" i="3" s="1"/>
  <c r="Z24" i="3" s="1"/>
  <c r="AA24" i="3" s="1"/>
  <c r="T24" i="3"/>
  <c r="U24" i="3" s="1"/>
  <c r="V24" i="3" s="1"/>
  <c r="W24" i="3" s="1"/>
  <c r="P24" i="3"/>
  <c r="Q24" i="3" s="1"/>
  <c r="R24" i="3" s="1"/>
  <c r="S24" i="3" s="1"/>
  <c r="L24" i="3"/>
  <c r="M24" i="3" s="1"/>
  <c r="H24" i="3"/>
  <c r="I24" i="3" s="1"/>
  <c r="J24" i="3" s="1"/>
  <c r="K24" i="3" s="1"/>
  <c r="D24" i="3"/>
  <c r="E24" i="3" s="1"/>
  <c r="F24" i="3" s="1"/>
  <c r="G24" i="3" s="1"/>
  <c r="AZ23" i="3"/>
  <c r="AV23" i="3"/>
  <c r="AW23" i="3" s="1"/>
  <c r="AX23" i="3" s="1"/>
  <c r="AY23" i="3" s="1"/>
  <c r="AR23" i="3"/>
  <c r="AS23" i="3" s="1"/>
  <c r="AT23" i="3" s="1"/>
  <c r="AU23" i="3" s="1"/>
  <c r="AN23" i="3"/>
  <c r="AO23" i="3" s="1"/>
  <c r="AJ23" i="3"/>
  <c r="AK23" i="3" s="1"/>
  <c r="AL23" i="3" s="1"/>
  <c r="AM23" i="3" s="1"/>
  <c r="AF23" i="3"/>
  <c r="AG23" i="3" s="1"/>
  <c r="AH23" i="3" s="1"/>
  <c r="AI23" i="3" s="1"/>
  <c r="AB23" i="3"/>
  <c r="AC23" i="3" s="1"/>
  <c r="AD23" i="3" s="1"/>
  <c r="AE23" i="3" s="1"/>
  <c r="X23" i="3"/>
  <c r="Y23" i="3" s="1"/>
  <c r="T23" i="3"/>
  <c r="U23" i="3" s="1"/>
  <c r="V23" i="3" s="1"/>
  <c r="W23" i="3" s="1"/>
  <c r="P23" i="3"/>
  <c r="Q23" i="3" s="1"/>
  <c r="R23" i="3" s="1"/>
  <c r="S23" i="3" s="1"/>
  <c r="L23" i="3"/>
  <c r="M23" i="3" s="1"/>
  <c r="N23" i="3" s="1"/>
  <c r="O23" i="3" s="1"/>
  <c r="H23" i="3"/>
  <c r="I23" i="3" s="1"/>
  <c r="D23" i="3"/>
  <c r="E23" i="3" s="1"/>
  <c r="F23" i="3" s="1"/>
  <c r="G23" i="3" s="1"/>
  <c r="AZ22" i="3"/>
  <c r="AV22" i="3"/>
  <c r="AW22" i="3" s="1"/>
  <c r="AX22" i="3" s="1"/>
  <c r="AY22" i="3" s="1"/>
  <c r="AR22" i="3"/>
  <c r="AS22" i="3" s="1"/>
  <c r="AT22" i="3" s="1"/>
  <c r="AU22" i="3" s="1"/>
  <c r="AN22" i="3"/>
  <c r="AO22" i="3" s="1"/>
  <c r="AP22" i="3" s="1"/>
  <c r="AQ22" i="3" s="1"/>
  <c r="AJ22" i="3"/>
  <c r="AK22" i="3" s="1"/>
  <c r="AF22" i="3"/>
  <c r="AG22" i="3" s="1"/>
  <c r="AH22" i="3" s="1"/>
  <c r="AI22" i="3" s="1"/>
  <c r="AB22" i="3"/>
  <c r="AC22" i="3" s="1"/>
  <c r="AD22" i="3" s="1"/>
  <c r="AE22" i="3" s="1"/>
  <c r="X22" i="3"/>
  <c r="Y22" i="3" s="1"/>
  <c r="Z22" i="3" s="1"/>
  <c r="AA22" i="3" s="1"/>
  <c r="T22" i="3"/>
  <c r="U22" i="3" s="1"/>
  <c r="P22" i="3"/>
  <c r="Q22" i="3" s="1"/>
  <c r="R22" i="3" s="1"/>
  <c r="S22" i="3" s="1"/>
  <c r="L22" i="3"/>
  <c r="M22" i="3" s="1"/>
  <c r="N22" i="3" s="1"/>
  <c r="O22" i="3" s="1"/>
  <c r="H22" i="3"/>
  <c r="I22" i="3" s="1"/>
  <c r="J22" i="3" s="1"/>
  <c r="K22" i="3" s="1"/>
  <c r="D22" i="3"/>
  <c r="E22" i="3" s="1"/>
  <c r="AZ21" i="3"/>
  <c r="AV21" i="3"/>
  <c r="AW21" i="3" s="1"/>
  <c r="AR21" i="3"/>
  <c r="AS21" i="3" s="1"/>
  <c r="AT21" i="3" s="1"/>
  <c r="AU21" i="3" s="1"/>
  <c r="AN21" i="3"/>
  <c r="AO21" i="3" s="1"/>
  <c r="AP21" i="3" s="1"/>
  <c r="AQ21" i="3" s="1"/>
  <c r="AJ21" i="3"/>
  <c r="AK21" i="3" s="1"/>
  <c r="AL21" i="3" s="1"/>
  <c r="AM21" i="3" s="1"/>
  <c r="AF21" i="3"/>
  <c r="AG21" i="3" s="1"/>
  <c r="AB21" i="3"/>
  <c r="AC21" i="3" s="1"/>
  <c r="AD21" i="3" s="1"/>
  <c r="AE21" i="3" s="1"/>
  <c r="X21" i="3"/>
  <c r="Y21" i="3" s="1"/>
  <c r="Z21" i="3" s="1"/>
  <c r="AA21" i="3" s="1"/>
  <c r="T21" i="3"/>
  <c r="U21" i="3" s="1"/>
  <c r="V21" i="3" s="1"/>
  <c r="W21" i="3" s="1"/>
  <c r="P21" i="3"/>
  <c r="Q21" i="3" s="1"/>
  <c r="L21" i="3"/>
  <c r="M21" i="3" s="1"/>
  <c r="N21" i="3" s="1"/>
  <c r="O21" i="3" s="1"/>
  <c r="H21" i="3"/>
  <c r="I21" i="3" s="1"/>
  <c r="J21" i="3" s="1"/>
  <c r="K21" i="3" s="1"/>
  <c r="D21" i="3"/>
  <c r="E21" i="3" s="1"/>
  <c r="F21" i="3" s="1"/>
  <c r="G21" i="3" s="1"/>
  <c r="AZ20" i="3"/>
  <c r="AV20" i="3"/>
  <c r="AW20" i="3" s="1"/>
  <c r="AX20" i="3" s="1"/>
  <c r="AY20" i="3" s="1"/>
  <c r="AR20" i="3"/>
  <c r="AS20" i="3" s="1"/>
  <c r="AN20" i="3"/>
  <c r="AO20" i="3" s="1"/>
  <c r="AP20" i="3" s="1"/>
  <c r="AQ20" i="3" s="1"/>
  <c r="AJ20" i="3"/>
  <c r="AK20" i="3" s="1"/>
  <c r="AL20" i="3" s="1"/>
  <c r="AM20" i="3" s="1"/>
  <c r="AF20" i="3"/>
  <c r="AG20" i="3" s="1"/>
  <c r="AH20" i="3" s="1"/>
  <c r="AI20" i="3" s="1"/>
  <c r="AB20" i="3"/>
  <c r="AC20" i="3" s="1"/>
  <c r="X20" i="3"/>
  <c r="Y20" i="3" s="1"/>
  <c r="Z20" i="3" s="1"/>
  <c r="AA20" i="3" s="1"/>
  <c r="T20" i="3"/>
  <c r="U20" i="3" s="1"/>
  <c r="V20" i="3" s="1"/>
  <c r="W20" i="3" s="1"/>
  <c r="P20" i="3"/>
  <c r="Q20" i="3" s="1"/>
  <c r="R20" i="3" s="1"/>
  <c r="S20" i="3" s="1"/>
  <c r="L20" i="3"/>
  <c r="M20" i="3" s="1"/>
  <c r="H20" i="3"/>
  <c r="I20" i="3" s="1"/>
  <c r="J20" i="3" s="1"/>
  <c r="K20" i="3" s="1"/>
  <c r="D20" i="3"/>
  <c r="E20" i="3" s="1"/>
  <c r="F20" i="3" s="1"/>
  <c r="G20" i="3" s="1"/>
  <c r="BG18" i="3"/>
  <c r="BF18" i="3"/>
  <c r="BE18" i="3"/>
  <c r="AZ18" i="3"/>
  <c r="AV18" i="3"/>
  <c r="AR18" i="3"/>
  <c r="AN18" i="3"/>
  <c r="AJ18" i="3"/>
  <c r="AF18" i="3"/>
  <c r="AB18" i="3"/>
  <c r="X18" i="3"/>
  <c r="T18" i="3"/>
  <c r="U18" i="3" s="1"/>
  <c r="V18" i="3" s="1"/>
  <c r="W18" i="3" s="1"/>
  <c r="P18" i="3"/>
  <c r="Q18" i="3" s="1"/>
  <c r="R18" i="3" s="1"/>
  <c r="S18" i="3" s="1"/>
  <c r="L18" i="3"/>
  <c r="H18" i="3"/>
  <c r="D18" i="3"/>
  <c r="E18" i="3" s="1"/>
  <c r="F18" i="3" s="1"/>
  <c r="G18" i="3" s="1"/>
  <c r="CD17" i="3"/>
  <c r="CD16" i="3"/>
  <c r="AZ17" i="3"/>
  <c r="AV17" i="3"/>
  <c r="AR17" i="3"/>
  <c r="AO17" i="3"/>
  <c r="AN17" i="3"/>
  <c r="AJ17" i="3"/>
  <c r="AF17" i="3"/>
  <c r="AB17" i="3"/>
  <c r="X17" i="3"/>
  <c r="Y17" i="3" s="1"/>
  <c r="Z17" i="3" s="1"/>
  <c r="AA17" i="3" s="1"/>
  <c r="T17" i="3"/>
  <c r="U17" i="3" s="1"/>
  <c r="V17" i="3" s="1"/>
  <c r="W17" i="3" s="1"/>
  <c r="P17" i="3"/>
  <c r="Q17" i="3" s="1"/>
  <c r="R17" i="3" s="1"/>
  <c r="L17" i="3"/>
  <c r="M17" i="3" s="1"/>
  <c r="N17" i="3" s="1"/>
  <c r="O17" i="3" s="1"/>
  <c r="H17" i="3"/>
  <c r="I17" i="3" s="1"/>
  <c r="J17" i="3" s="1"/>
  <c r="K17" i="3" s="1"/>
  <c r="D17" i="3"/>
  <c r="E17" i="3" s="1"/>
  <c r="F17" i="3" s="1"/>
  <c r="G17" i="3" s="1"/>
  <c r="AZ16" i="3"/>
  <c r="AV16" i="3"/>
  <c r="AR16" i="3"/>
  <c r="AN16" i="3"/>
  <c r="AJ16" i="3"/>
  <c r="AF16" i="3"/>
  <c r="AB16" i="3"/>
  <c r="X16" i="3"/>
  <c r="T16" i="3"/>
  <c r="U16" i="3" s="1"/>
  <c r="V16" i="3" s="1"/>
  <c r="W16" i="3" s="1"/>
  <c r="P16" i="3"/>
  <c r="Q16" i="3" s="1"/>
  <c r="R16" i="3" s="1"/>
  <c r="S16" i="3" s="1"/>
  <c r="L16" i="3"/>
  <c r="H16" i="3"/>
  <c r="D16" i="3"/>
  <c r="E16" i="3" s="1"/>
  <c r="F16" i="3" s="1"/>
  <c r="G16" i="3" s="1"/>
  <c r="BE15" i="3"/>
  <c r="AZ15" i="3"/>
  <c r="AV15" i="3"/>
  <c r="AV87" i="3" s="1"/>
  <c r="AR15" i="3"/>
  <c r="AR87" i="3" s="1"/>
  <c r="AN15" i="3"/>
  <c r="AN87" i="3" s="1"/>
  <c r="AJ15" i="3"/>
  <c r="AJ87" i="3" s="1"/>
  <c r="AF15" i="3"/>
  <c r="AF87" i="3" s="1"/>
  <c r="AB15" i="3"/>
  <c r="AC15" i="3" s="1"/>
  <c r="X15" i="3"/>
  <c r="Y15" i="3" s="1"/>
  <c r="T15" i="3"/>
  <c r="U15" i="3" s="1"/>
  <c r="P15" i="3"/>
  <c r="Q15" i="3" s="1"/>
  <c r="R15" i="3" s="1"/>
  <c r="S15" i="3" s="1"/>
  <c r="L15" i="3"/>
  <c r="M15" i="3" s="1"/>
  <c r="N15" i="3" s="1"/>
  <c r="O15" i="3" s="1"/>
  <c r="H15" i="3"/>
  <c r="I15" i="3" s="1"/>
  <c r="D15" i="3"/>
  <c r="E15" i="3" s="1"/>
  <c r="AZ14" i="3"/>
  <c r="AV14" i="3"/>
  <c r="AW14" i="3" s="1"/>
  <c r="AX14" i="3" s="1"/>
  <c r="AR14" i="3"/>
  <c r="AS14" i="3" s="1"/>
  <c r="AT14" i="3" s="1"/>
  <c r="AU14" i="3" s="1"/>
  <c r="AN14" i="3"/>
  <c r="AO14" i="3" s="1"/>
  <c r="AJ14" i="3"/>
  <c r="AK14" i="3" s="1"/>
  <c r="AL14" i="3" s="1"/>
  <c r="AM14" i="3" s="1"/>
  <c r="AF14" i="3"/>
  <c r="AG14" i="3" s="1"/>
  <c r="AH14" i="3" s="1"/>
  <c r="AB14" i="3"/>
  <c r="AC14" i="3" s="1"/>
  <c r="AD14" i="3" s="1"/>
  <c r="AE14" i="3" s="1"/>
  <c r="X14" i="3"/>
  <c r="Y14" i="3" s="1"/>
  <c r="T14" i="3"/>
  <c r="U14" i="3" s="1"/>
  <c r="V14" i="3" s="1"/>
  <c r="W14" i="3" s="1"/>
  <c r="P14" i="3"/>
  <c r="Q14" i="3" s="1"/>
  <c r="R14" i="3" s="1"/>
  <c r="L14" i="3"/>
  <c r="M14" i="3" s="1"/>
  <c r="N14" i="3" s="1"/>
  <c r="O14" i="3" s="1"/>
  <c r="H14" i="3"/>
  <c r="I14" i="3" s="1"/>
  <c r="J14" i="3" s="1"/>
  <c r="K14" i="3" s="1"/>
  <c r="D14" i="3"/>
  <c r="E14" i="3" s="1"/>
  <c r="F14" i="3" s="1"/>
  <c r="G14" i="3" s="1"/>
  <c r="CD14" i="3"/>
  <c r="BA13" i="3"/>
  <c r="BA405" i="39" s="1"/>
  <c r="AZ13" i="3"/>
  <c r="AV13" i="3"/>
  <c r="AV405" i="39" s="1"/>
  <c r="AR13" i="3"/>
  <c r="AR405" i="39" s="1"/>
  <c r="AN13" i="3"/>
  <c r="AN405" i="39" s="1"/>
  <c r="AJ13" i="3"/>
  <c r="AJ405" i="39" s="1"/>
  <c r="AF13" i="3"/>
  <c r="AF405" i="39" s="1"/>
  <c r="AB13" i="3"/>
  <c r="AC13" i="3" s="1"/>
  <c r="AC116" i="1" s="1"/>
  <c r="X13" i="3"/>
  <c r="X78" i="3" s="1"/>
  <c r="T13" i="3"/>
  <c r="T78" i="3" s="1"/>
  <c r="P13" i="3"/>
  <c r="P78" i="3" s="1"/>
  <c r="L13" i="3"/>
  <c r="L78" i="3" s="1"/>
  <c r="H13" i="3"/>
  <c r="H78" i="3" s="1"/>
  <c r="D13" i="3"/>
  <c r="D78" i="3" s="1"/>
  <c r="B6" i="3"/>
  <c r="CB115" i="2"/>
  <c r="AY115" i="2"/>
  <c r="AX115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BA83" i="2"/>
  <c r="BA86" i="2" s="1"/>
  <c r="AZ83" i="2"/>
  <c r="AY83" i="2"/>
  <c r="AX83" i="2"/>
  <c r="AX86" i="2" s="1"/>
  <c r="AW83" i="2"/>
  <c r="AW86" i="2" s="1"/>
  <c r="AV83" i="2"/>
  <c r="AU83" i="2"/>
  <c r="AT83" i="2"/>
  <c r="AT86" i="2" s="1"/>
  <c r="AS83" i="2"/>
  <c r="AS86" i="2" s="1"/>
  <c r="AR83" i="2"/>
  <c r="AQ83" i="2"/>
  <c r="AP83" i="2"/>
  <c r="AP86" i="2" s="1"/>
  <c r="AO83" i="2"/>
  <c r="AO86" i="2" s="1"/>
  <c r="AN83" i="2"/>
  <c r="AM83" i="2"/>
  <c r="AL83" i="2"/>
  <c r="AL86" i="2" s="1"/>
  <c r="AK83" i="2"/>
  <c r="AK86" i="2" s="1"/>
  <c r="AJ83" i="2"/>
  <c r="AI83" i="2"/>
  <c r="AH83" i="2"/>
  <c r="AH86" i="2" s="1"/>
  <c r="AG83" i="2"/>
  <c r="AG86" i="2" s="1"/>
  <c r="AF83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BA75" i="2"/>
  <c r="BA78" i="2" s="1"/>
  <c r="AZ75" i="2"/>
  <c r="AZ78" i="2" s="1"/>
  <c r="AY75" i="2"/>
  <c r="AY78" i="2" s="1"/>
  <c r="AX75" i="2"/>
  <c r="AX78" i="2" s="1"/>
  <c r="AW75" i="2"/>
  <c r="AW78" i="2" s="1"/>
  <c r="AV75" i="2"/>
  <c r="AV78" i="2" s="1"/>
  <c r="AU75" i="2"/>
  <c r="AU78" i="2" s="1"/>
  <c r="AT75" i="2"/>
  <c r="AT78" i="2" s="1"/>
  <c r="AS75" i="2"/>
  <c r="AS78" i="2" s="1"/>
  <c r="AR75" i="2"/>
  <c r="AR80" i="2" s="1"/>
  <c r="AQ75" i="2"/>
  <c r="AQ78" i="2" s="1"/>
  <c r="AP75" i="2"/>
  <c r="AP78" i="2" s="1"/>
  <c r="AO75" i="2"/>
  <c r="AO78" i="2" s="1"/>
  <c r="AN75" i="2"/>
  <c r="AN78" i="2" s="1"/>
  <c r="AM75" i="2"/>
  <c r="AM78" i="2" s="1"/>
  <c r="AL75" i="2"/>
  <c r="AL78" i="2" s="1"/>
  <c r="AK75" i="2"/>
  <c r="AK78" i="2" s="1"/>
  <c r="AJ75" i="2"/>
  <c r="AJ78" i="2" s="1"/>
  <c r="AI75" i="2"/>
  <c r="AI78" i="2" s="1"/>
  <c r="AH75" i="2"/>
  <c r="AH80" i="2" s="1"/>
  <c r="AG75" i="2"/>
  <c r="AG78" i="2" s="1"/>
  <c r="AF75" i="2"/>
  <c r="AF78" i="2" s="1"/>
  <c r="AE75" i="2"/>
  <c r="AE78" i="2" s="1"/>
  <c r="AD75" i="2"/>
  <c r="AD78" i="2" s="1"/>
  <c r="AC75" i="2"/>
  <c r="AC78" i="2" s="1"/>
  <c r="AB75" i="2"/>
  <c r="AB78" i="2" s="1"/>
  <c r="AA75" i="2"/>
  <c r="AA78" i="2" s="1"/>
  <c r="Z75" i="2"/>
  <c r="Z78" i="2" s="1"/>
  <c r="Y75" i="2"/>
  <c r="Y78" i="2" s="1"/>
  <c r="X75" i="2"/>
  <c r="X78" i="2" s="1"/>
  <c r="W75" i="2"/>
  <c r="W78" i="2" s="1"/>
  <c r="V75" i="2"/>
  <c r="V80" i="2" s="1"/>
  <c r="U75" i="2"/>
  <c r="U78" i="2" s="1"/>
  <c r="T75" i="2"/>
  <c r="T78" i="2" s="1"/>
  <c r="S75" i="2"/>
  <c r="S78" i="2" s="1"/>
  <c r="R75" i="2"/>
  <c r="R78" i="2" s="1"/>
  <c r="Q75" i="2"/>
  <c r="Q78" i="2" s="1"/>
  <c r="P75" i="2"/>
  <c r="P78" i="2" s="1"/>
  <c r="O75" i="2"/>
  <c r="O78" i="2" s="1"/>
  <c r="N75" i="2"/>
  <c r="N78" i="2" s="1"/>
  <c r="M75" i="2"/>
  <c r="M78" i="2" s="1"/>
  <c r="L75" i="2"/>
  <c r="L80" i="2" s="1"/>
  <c r="K75" i="2"/>
  <c r="K78" i="2" s="1"/>
  <c r="J75" i="2"/>
  <c r="J78" i="2" s="1"/>
  <c r="I75" i="2"/>
  <c r="I78" i="2" s="1"/>
  <c r="H75" i="2"/>
  <c r="H78" i="2" s="1"/>
  <c r="G75" i="2"/>
  <c r="G78" i="2" s="1"/>
  <c r="F75" i="2"/>
  <c r="F80" i="2" s="1"/>
  <c r="E75" i="2"/>
  <c r="E78" i="2" s="1"/>
  <c r="D75" i="2"/>
  <c r="D78" i="2" s="1"/>
  <c r="BA70" i="2"/>
  <c r="AZ70" i="2"/>
  <c r="AY70" i="2"/>
  <c r="CB70" i="2" s="1"/>
  <c r="AX70" i="2"/>
  <c r="AW70" i="2"/>
  <c r="AV70" i="2"/>
  <c r="AU70" i="2"/>
  <c r="CA70" i="2" s="1"/>
  <c r="AT70" i="2"/>
  <c r="AS70" i="2"/>
  <c r="AR70" i="2"/>
  <c r="AQ70" i="2"/>
  <c r="BZ70" i="2" s="1"/>
  <c r="AP70" i="2"/>
  <c r="AO70" i="2"/>
  <c r="AN70" i="2"/>
  <c r="AM70" i="2"/>
  <c r="BY70" i="2" s="1"/>
  <c r="AL70" i="2"/>
  <c r="AK70" i="2"/>
  <c r="AJ70" i="2"/>
  <c r="AI70" i="2"/>
  <c r="BX70" i="2" s="1"/>
  <c r="AH70" i="2"/>
  <c r="AG70" i="2"/>
  <c r="AF70" i="2"/>
  <c r="AE70" i="2"/>
  <c r="BW70" i="2" s="1"/>
  <c r="AD70" i="2"/>
  <c r="AC70" i="2"/>
  <c r="AB70" i="2"/>
  <c r="AA70" i="2"/>
  <c r="BV70" i="2" s="1"/>
  <c r="Z70" i="2"/>
  <c r="Y70" i="2"/>
  <c r="X70" i="2"/>
  <c r="W70" i="2"/>
  <c r="BU70" i="2" s="1"/>
  <c r="V70" i="2"/>
  <c r="U70" i="2"/>
  <c r="T70" i="2"/>
  <c r="S70" i="2"/>
  <c r="BT70" i="2" s="1"/>
  <c r="R70" i="2"/>
  <c r="Q70" i="2"/>
  <c r="P70" i="2"/>
  <c r="O70" i="2"/>
  <c r="BS70" i="2" s="1"/>
  <c r="N70" i="2"/>
  <c r="M70" i="2"/>
  <c r="L70" i="2"/>
  <c r="K70" i="2"/>
  <c r="BR70" i="2" s="1"/>
  <c r="J70" i="2"/>
  <c r="I70" i="2"/>
  <c r="H70" i="2"/>
  <c r="G70" i="2"/>
  <c r="BQ70" i="2" s="1"/>
  <c r="F70" i="2"/>
  <c r="E70" i="2"/>
  <c r="D70" i="2"/>
  <c r="J67" i="2"/>
  <c r="I67" i="2"/>
  <c r="H67" i="2"/>
  <c r="G67" i="2"/>
  <c r="BQ67" i="2" s="1"/>
  <c r="F67" i="2"/>
  <c r="E67" i="2"/>
  <c r="D67" i="2"/>
  <c r="CB67" i="2"/>
  <c r="CA67" i="2"/>
  <c r="BZ67" i="2"/>
  <c r="BY67" i="2"/>
  <c r="BX67" i="2"/>
  <c r="BW67" i="2"/>
  <c r="BV67" i="2"/>
  <c r="BU67" i="2"/>
  <c r="BT67" i="2"/>
  <c r="BS67" i="2"/>
  <c r="BR67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BZ64" i="2"/>
  <c r="CA64" i="2" s="1"/>
  <c r="CB64" i="2" s="1"/>
  <c r="CC64" i="2" s="1"/>
  <c r="CD64" i="2" s="1"/>
  <c r="CE64" i="2" s="1"/>
  <c r="CF64" i="2" s="1"/>
  <c r="BY64" i="2"/>
  <c r="BX64" i="2"/>
  <c r="BW64" i="2"/>
  <c r="BV64" i="2"/>
  <c r="BU64" i="2"/>
  <c r="BT64" i="2"/>
  <c r="BS64" i="2"/>
  <c r="BR64" i="2"/>
  <c r="BQ64" i="2"/>
  <c r="BB64" i="2"/>
  <c r="BE64" i="2" s="1"/>
  <c r="BF64" i="2" s="1"/>
  <c r="BG64" i="2" s="1"/>
  <c r="BH64" i="2" s="1"/>
  <c r="BI64" i="2" s="1"/>
  <c r="BJ64" i="2" s="1"/>
  <c r="BK64" i="2" s="1"/>
  <c r="BL64" i="2" s="1"/>
  <c r="BM64" i="2" s="1"/>
  <c r="BN64" i="2" s="1"/>
  <c r="BO64" i="2" s="1"/>
  <c r="BA62" i="2"/>
  <c r="BA68" i="2" s="1"/>
  <c r="AZ62" i="2"/>
  <c r="AZ68" i="2" s="1"/>
  <c r="AY62" i="2"/>
  <c r="AX62" i="2"/>
  <c r="AW62" i="2"/>
  <c r="AW68" i="2" s="1"/>
  <c r="AV62" i="2"/>
  <c r="AU62" i="2"/>
  <c r="AT62" i="2"/>
  <c r="AT68" i="2" s="1"/>
  <c r="AS62" i="2"/>
  <c r="AS68" i="2" s="1"/>
  <c r="AR62" i="2"/>
  <c r="AQ62" i="2"/>
  <c r="AP62" i="2"/>
  <c r="AP68" i="2" s="1"/>
  <c r="AO62" i="2"/>
  <c r="AO68" i="2" s="1"/>
  <c r="AN62" i="2"/>
  <c r="AN68" i="2" s="1"/>
  <c r="AM62" i="2"/>
  <c r="AL62" i="2"/>
  <c r="AK62" i="2"/>
  <c r="AK68" i="2" s="1"/>
  <c r="AJ62" i="2"/>
  <c r="AI62" i="2"/>
  <c r="AH62" i="2"/>
  <c r="AH68" i="2" s="1"/>
  <c r="AG62" i="2"/>
  <c r="AG68" i="2" s="1"/>
  <c r="AF62" i="2"/>
  <c r="AF68" i="2" s="1"/>
  <c r="AE62" i="2"/>
  <c r="AD62" i="2"/>
  <c r="AD68" i="2" s="1"/>
  <c r="AC62" i="2"/>
  <c r="AC68" i="2" s="1"/>
  <c r="AB62" i="2"/>
  <c r="AA62" i="2"/>
  <c r="Z62" i="2"/>
  <c r="Z68" i="2" s="1"/>
  <c r="Y62" i="2"/>
  <c r="Y68" i="2" s="1"/>
  <c r="X62" i="2"/>
  <c r="W62" i="2"/>
  <c r="V62" i="2"/>
  <c r="U62" i="2"/>
  <c r="U68" i="2" s="1"/>
  <c r="T62" i="2"/>
  <c r="T68" i="2" s="1"/>
  <c r="S62" i="2"/>
  <c r="R62" i="2"/>
  <c r="Q62" i="2"/>
  <c r="Q68" i="2" s="1"/>
  <c r="P62" i="2"/>
  <c r="O62" i="2"/>
  <c r="N62" i="2"/>
  <c r="N68" i="2" s="1"/>
  <c r="M62" i="2"/>
  <c r="M68" i="2" s="1"/>
  <c r="L62" i="2"/>
  <c r="K62" i="2"/>
  <c r="J62" i="2"/>
  <c r="I62" i="2"/>
  <c r="H62" i="2"/>
  <c r="G62" i="2"/>
  <c r="F62" i="2"/>
  <c r="E62" i="2"/>
  <c r="D62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Z60" i="2"/>
  <c r="CA60" i="2" s="1"/>
  <c r="CB60" i="2" s="1"/>
  <c r="CC60" i="2" s="1"/>
  <c r="CD60" i="2" s="1"/>
  <c r="CE60" i="2" s="1"/>
  <c r="CF60" i="2" s="1"/>
  <c r="BY60" i="2"/>
  <c r="BX60" i="2"/>
  <c r="BW60" i="2"/>
  <c r="BV60" i="2"/>
  <c r="BU60" i="2"/>
  <c r="BT60" i="2"/>
  <c r="BS60" i="2"/>
  <c r="BR60" i="2"/>
  <c r="BQ60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Z58" i="2"/>
  <c r="CA58" i="2" s="1"/>
  <c r="CB58" i="2" s="1"/>
  <c r="CC58" i="2" s="1"/>
  <c r="BY58" i="2"/>
  <c r="BX58" i="2"/>
  <c r="BW58" i="2"/>
  <c r="BV58" i="2"/>
  <c r="BV62" i="2" s="1"/>
  <c r="BU58" i="2"/>
  <c r="BT58" i="2"/>
  <c r="BS58" i="2"/>
  <c r="BR58" i="2"/>
  <c r="BQ58" i="2"/>
  <c r="CC59" i="2"/>
  <c r="BB58" i="2"/>
  <c r="BC58" i="2" s="1"/>
  <c r="BA53" i="2"/>
  <c r="BA47" i="2" s="1"/>
  <c r="AZ53" i="2"/>
  <c r="AZ47" i="2" s="1"/>
  <c r="AY53" i="2"/>
  <c r="AY51" i="2" s="1"/>
  <c r="AZ51" i="2" s="1"/>
  <c r="AX53" i="2"/>
  <c r="AX51" i="2" s="1"/>
  <c r="AW53" i="2"/>
  <c r="AW47" i="2" s="1"/>
  <c r="AV53" i="2"/>
  <c r="AV47" i="2" s="1"/>
  <c r="AU53" i="2"/>
  <c r="AU47" i="2" s="1"/>
  <c r="AT53" i="2"/>
  <c r="AT51" i="2" s="1"/>
  <c r="AS53" i="2"/>
  <c r="AS47" i="2" s="1"/>
  <c r="AR53" i="2"/>
  <c r="AR47" i="2" s="1"/>
  <c r="AQ53" i="2"/>
  <c r="AQ51" i="2" s="1"/>
  <c r="AR51" i="2" s="1"/>
  <c r="AP53" i="2"/>
  <c r="AP51" i="2" s="1"/>
  <c r="AO53" i="2"/>
  <c r="AO47" i="2" s="1"/>
  <c r="AN53" i="2"/>
  <c r="AN47" i="2" s="1"/>
  <c r="AM53" i="2"/>
  <c r="AM51" i="2" s="1"/>
  <c r="AN51" i="2" s="1"/>
  <c r="AL53" i="2"/>
  <c r="AL51" i="2" s="1"/>
  <c r="AK53" i="2"/>
  <c r="AK47" i="2" s="1"/>
  <c r="AJ53" i="2"/>
  <c r="AJ47" i="2" s="1"/>
  <c r="AI53" i="2"/>
  <c r="AI51" i="2" s="1"/>
  <c r="AJ51" i="2" s="1"/>
  <c r="AH53" i="2"/>
  <c r="AH51" i="2" s="1"/>
  <c r="AG53" i="2"/>
  <c r="AG47" i="2" s="1"/>
  <c r="AF53" i="2"/>
  <c r="AF51" i="2" s="1"/>
  <c r="AE53" i="2"/>
  <c r="AE51" i="2" s="1"/>
  <c r="AD53" i="2"/>
  <c r="AD51" i="2" s="1"/>
  <c r="AC53" i="2"/>
  <c r="AC47" i="2" s="1"/>
  <c r="AB53" i="2"/>
  <c r="AB51" i="2" s="1"/>
  <c r="Z53" i="2"/>
  <c r="Z47" i="2" s="1"/>
  <c r="Y53" i="2"/>
  <c r="Y47" i="2" s="1"/>
  <c r="X53" i="2"/>
  <c r="X51" i="2" s="1"/>
  <c r="V53" i="2"/>
  <c r="V51" i="2" s="1"/>
  <c r="U53" i="2"/>
  <c r="U47" i="2" s="1"/>
  <c r="T53" i="2"/>
  <c r="T51" i="2" s="1"/>
  <c r="R53" i="2"/>
  <c r="R51" i="2" s="1"/>
  <c r="Q53" i="2"/>
  <c r="Q47" i="2" s="1"/>
  <c r="P53" i="2"/>
  <c r="P51" i="2" s="1"/>
  <c r="O53" i="2"/>
  <c r="O51" i="2" s="1"/>
  <c r="N53" i="2"/>
  <c r="N51" i="2" s="1"/>
  <c r="M53" i="2"/>
  <c r="M47" i="2" s="1"/>
  <c r="L53" i="2"/>
  <c r="L47" i="2" s="1"/>
  <c r="K53" i="2"/>
  <c r="K47" i="2" s="1"/>
  <c r="J53" i="2"/>
  <c r="J47" i="2" s="1"/>
  <c r="I53" i="2"/>
  <c r="I47" i="2" s="1"/>
  <c r="H53" i="2"/>
  <c r="H47" i="2" s="1"/>
  <c r="G53" i="2"/>
  <c r="G47" i="2" s="1"/>
  <c r="F53" i="2"/>
  <c r="F51" i="2" s="1"/>
  <c r="E53" i="2"/>
  <c r="E47" i="2" s="1"/>
  <c r="D53" i="2"/>
  <c r="D51" i="2" s="1"/>
  <c r="BG48" i="2"/>
  <c r="BF48" i="2"/>
  <c r="BE48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A37" i="2"/>
  <c r="AX37" i="2"/>
  <c r="AW37" i="2"/>
  <c r="AU37" i="2"/>
  <c r="CA37" i="2" s="1"/>
  <c r="AT37" i="2"/>
  <c r="AS37" i="2"/>
  <c r="AR37" i="2"/>
  <c r="AQ37" i="2"/>
  <c r="BZ37" i="2" s="1"/>
  <c r="AP37" i="2"/>
  <c r="AO37" i="2"/>
  <c r="AN37" i="2"/>
  <c r="AM37" i="2"/>
  <c r="BY37" i="2" s="1"/>
  <c r="AL37" i="2"/>
  <c r="AK37" i="2"/>
  <c r="AJ37" i="2"/>
  <c r="AI37" i="2"/>
  <c r="BX37" i="2" s="1"/>
  <c r="AH37" i="2"/>
  <c r="AG37" i="2"/>
  <c r="AF37" i="2"/>
  <c r="AE37" i="2"/>
  <c r="BW37" i="2" s="1"/>
  <c r="AD37" i="2"/>
  <c r="AC37" i="2"/>
  <c r="AB37" i="2"/>
  <c r="AA37" i="2"/>
  <c r="BV37" i="2" s="1"/>
  <c r="Z37" i="2"/>
  <c r="Y37" i="2"/>
  <c r="X37" i="2"/>
  <c r="W37" i="2"/>
  <c r="BU37" i="2" s="1"/>
  <c r="V37" i="2"/>
  <c r="U37" i="2"/>
  <c r="T37" i="2"/>
  <c r="S37" i="2"/>
  <c r="BT37" i="2" s="1"/>
  <c r="R37" i="2"/>
  <c r="Q37" i="2"/>
  <c r="P37" i="2"/>
  <c r="O37" i="2"/>
  <c r="BS37" i="2" s="1"/>
  <c r="N37" i="2"/>
  <c r="M37" i="2"/>
  <c r="L37" i="2"/>
  <c r="K37" i="2"/>
  <c r="BR37" i="2" s="1"/>
  <c r="J37" i="2"/>
  <c r="I37" i="2"/>
  <c r="H37" i="2"/>
  <c r="G37" i="2"/>
  <c r="BQ37" i="2" s="1"/>
  <c r="F37" i="2"/>
  <c r="E37" i="2"/>
  <c r="D37" i="2"/>
  <c r="AZ36" i="2"/>
  <c r="AY36" i="2"/>
  <c r="CB36" i="2" s="1"/>
  <c r="AV36" i="2"/>
  <c r="AU36" i="2"/>
  <c r="CA36" i="2" s="1"/>
  <c r="CB37" i="2"/>
  <c r="BZ36" i="2"/>
  <c r="BY36" i="2"/>
  <c r="BX36" i="2"/>
  <c r="BW36" i="2"/>
  <c r="BV36" i="2"/>
  <c r="BU36" i="2"/>
  <c r="BT36" i="2"/>
  <c r="BS36" i="2"/>
  <c r="BR36" i="2"/>
  <c r="BQ36" i="2"/>
  <c r="BW35" i="2"/>
  <c r="BV35" i="2"/>
  <c r="BU35" i="2"/>
  <c r="BT35" i="2"/>
  <c r="BS35" i="2"/>
  <c r="BR35" i="2"/>
  <c r="BQ35" i="2"/>
  <c r="BA35" i="2"/>
  <c r="AZ35" i="2"/>
  <c r="AY35" i="2"/>
  <c r="CB35" i="2" s="1"/>
  <c r="AX35" i="2"/>
  <c r="AW35" i="2"/>
  <c r="AV35" i="2"/>
  <c r="AU35" i="2"/>
  <c r="CA35" i="2" s="1"/>
  <c r="AT35" i="2"/>
  <c r="AS35" i="2"/>
  <c r="AR35" i="2"/>
  <c r="AQ35" i="2"/>
  <c r="BZ35" i="2" s="1"/>
  <c r="AP35" i="2"/>
  <c r="AO35" i="2"/>
  <c r="AN35" i="2"/>
  <c r="AM35" i="2"/>
  <c r="AL35" i="2"/>
  <c r="AK35" i="2"/>
  <c r="AJ35" i="2"/>
  <c r="AI35" i="2"/>
  <c r="BA33" i="2"/>
  <c r="AZ33" i="2"/>
  <c r="AY33" i="2"/>
  <c r="AX33" i="2"/>
  <c r="AW33" i="2"/>
  <c r="AV33" i="2"/>
  <c r="AU33" i="2"/>
  <c r="AH33" i="2"/>
  <c r="AH41" i="2" s="1"/>
  <c r="AG33" i="2"/>
  <c r="AF33" i="2"/>
  <c r="AF41" i="2" s="1"/>
  <c r="AE33" i="2"/>
  <c r="AD33" i="2"/>
  <c r="AD41" i="2" s="1"/>
  <c r="AC33" i="2"/>
  <c r="AB33" i="2"/>
  <c r="AB41" i="2" s="1"/>
  <c r="AA33" i="2"/>
  <c r="Z33" i="2"/>
  <c r="Z41" i="2" s="1"/>
  <c r="Y33" i="2"/>
  <c r="X33" i="2"/>
  <c r="X41" i="2" s="1"/>
  <c r="W33" i="2"/>
  <c r="V33" i="2"/>
  <c r="V41" i="2" s="1"/>
  <c r="U33" i="2"/>
  <c r="T33" i="2"/>
  <c r="T41" i="2" s="1"/>
  <c r="S33" i="2"/>
  <c r="R33" i="2"/>
  <c r="R41" i="2" s="1"/>
  <c r="Q33" i="2"/>
  <c r="P33" i="2"/>
  <c r="P41" i="2" s="1"/>
  <c r="O33" i="2"/>
  <c r="N33" i="2"/>
  <c r="N41" i="2" s="1"/>
  <c r="M33" i="2"/>
  <c r="L33" i="2"/>
  <c r="L41" i="2" s="1"/>
  <c r="K33" i="2"/>
  <c r="J33" i="2"/>
  <c r="J41" i="2" s="1"/>
  <c r="F33" i="2"/>
  <c r="E33" i="2"/>
  <c r="D33" i="2"/>
  <c r="AT32" i="2"/>
  <c r="AT33" i="2" s="1"/>
  <c r="AS32" i="2"/>
  <c r="AS33" i="2" s="1"/>
  <c r="AR32" i="2"/>
  <c r="AR33" i="2" s="1"/>
  <c r="AQ32" i="2"/>
  <c r="AQ33" i="2" s="1"/>
  <c r="AP32" i="2"/>
  <c r="AP33" i="2" s="1"/>
  <c r="AO32" i="2"/>
  <c r="AO33" i="2" s="1"/>
  <c r="AN32" i="2"/>
  <c r="AN33" i="2" s="1"/>
  <c r="AJ32" i="2"/>
  <c r="AJ33" i="2" s="1"/>
  <c r="I32" i="2"/>
  <c r="I33" i="2" s="1"/>
  <c r="H32" i="2"/>
  <c r="H33" i="2" s="1"/>
  <c r="G32" i="2"/>
  <c r="G33" i="2" s="1"/>
  <c r="AM31" i="2"/>
  <c r="AM33" i="2" s="1"/>
  <c r="AL31" i="2"/>
  <c r="AL33" i="2" s="1"/>
  <c r="AK31" i="2"/>
  <c r="AK33" i="2" s="1"/>
  <c r="AI31" i="2"/>
  <c r="AI33" i="2" s="1"/>
  <c r="CB32" i="2"/>
  <c r="CA32" i="2"/>
  <c r="BY32" i="2"/>
  <c r="BX32" i="2"/>
  <c r="BW32" i="2"/>
  <c r="BV32" i="2"/>
  <c r="BU32" i="2"/>
  <c r="BT32" i="2"/>
  <c r="BS32" i="2"/>
  <c r="BR32" i="2"/>
  <c r="CB31" i="2"/>
  <c r="CA31" i="2"/>
  <c r="BZ31" i="2"/>
  <c r="BW31" i="2"/>
  <c r="BV31" i="2"/>
  <c r="BU31" i="2"/>
  <c r="BT31" i="2"/>
  <c r="BS31" i="2"/>
  <c r="BR31" i="2"/>
  <c r="BQ31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CB29" i="2"/>
  <c r="CB33" i="2" s="1"/>
  <c r="CA29" i="2"/>
  <c r="CA33" i="2" s="1"/>
  <c r="BZ29" i="2"/>
  <c r="BY29" i="2"/>
  <c r="BX29" i="2"/>
  <c r="BW29" i="2"/>
  <c r="BV29" i="2"/>
  <c r="BU29" i="2"/>
  <c r="BT29" i="2"/>
  <c r="BS29" i="2"/>
  <c r="BR29" i="2"/>
  <c r="BQ29" i="2"/>
  <c r="BE32" i="2"/>
  <c r="BF32" i="2" s="1"/>
  <c r="BG32" i="2" s="1"/>
  <c r="BA25" i="2"/>
  <c r="BE25" i="2" s="1"/>
  <c r="BF25" i="2" s="1"/>
  <c r="BG25" i="2" s="1"/>
  <c r="AZ25" i="2"/>
  <c r="AY25" i="2"/>
  <c r="CB25" i="2" s="1"/>
  <c r="AX25" i="2"/>
  <c r="AW25" i="2"/>
  <c r="AV25" i="2"/>
  <c r="AU25" i="2"/>
  <c r="CA25" i="2" s="1"/>
  <c r="AT25" i="2"/>
  <c r="AS25" i="2"/>
  <c r="AR25" i="2"/>
  <c r="AQ25" i="2"/>
  <c r="AP25" i="2"/>
  <c r="AO25" i="2"/>
  <c r="AN25" i="2"/>
  <c r="AM25" i="2"/>
  <c r="BY25" i="2" s="1"/>
  <c r="AL25" i="2"/>
  <c r="AK25" i="2"/>
  <c r="AJ25" i="2"/>
  <c r="AI25" i="2"/>
  <c r="BX25" i="2" s="1"/>
  <c r="AH25" i="2"/>
  <c r="AG25" i="2"/>
  <c r="AF25" i="2"/>
  <c r="AE25" i="2"/>
  <c r="BW25" i="2" s="1"/>
  <c r="AD25" i="2"/>
  <c r="AC25" i="2"/>
  <c r="AB25" i="2"/>
  <c r="AA25" i="2"/>
  <c r="BV25" i="2" s="1"/>
  <c r="Z25" i="2"/>
  <c r="Y25" i="2"/>
  <c r="X25" i="2"/>
  <c r="W25" i="2"/>
  <c r="BU25" i="2" s="1"/>
  <c r="V25" i="2"/>
  <c r="U25" i="2"/>
  <c r="T25" i="2"/>
  <c r="S25" i="2"/>
  <c r="BT25" i="2" s="1"/>
  <c r="R25" i="2"/>
  <c r="Q25" i="2"/>
  <c r="P25" i="2"/>
  <c r="O25" i="2"/>
  <c r="BS25" i="2" s="1"/>
  <c r="N25" i="2"/>
  <c r="M25" i="2"/>
  <c r="L25" i="2"/>
  <c r="K25" i="2"/>
  <c r="BR25" i="2" s="1"/>
  <c r="J25" i="2"/>
  <c r="I25" i="2"/>
  <c r="H25" i="2"/>
  <c r="G25" i="2"/>
  <c r="BQ25" i="2" s="1"/>
  <c r="F25" i="2"/>
  <c r="E25" i="2"/>
  <c r="D25" i="2"/>
  <c r="BZ25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CB20" i="2"/>
  <c r="CB85" i="2" s="1"/>
  <c r="CA20" i="2"/>
  <c r="CA85" i="2" s="1"/>
  <c r="BZ20" i="2"/>
  <c r="BZ85" i="2" s="1"/>
  <c r="BY20" i="2"/>
  <c r="BY85" i="2" s="1"/>
  <c r="BX20" i="2"/>
  <c r="BX85" i="2" s="1"/>
  <c r="BW20" i="2"/>
  <c r="BV20" i="2"/>
  <c r="BU20" i="2"/>
  <c r="BT20" i="2"/>
  <c r="BS20" i="2"/>
  <c r="BR20" i="2"/>
  <c r="BQ20" i="2"/>
  <c r="CB19" i="2"/>
  <c r="CA19" i="2"/>
  <c r="BZ19" i="2"/>
  <c r="BZ69" i="3" s="1"/>
  <c r="BY19" i="2"/>
  <c r="BY69" i="3" s="1"/>
  <c r="BX19" i="2"/>
  <c r="BW19" i="2"/>
  <c r="BW69" i="3" s="1"/>
  <c r="BV19" i="2"/>
  <c r="BV69" i="3" s="1"/>
  <c r="BU19" i="2"/>
  <c r="BU69" i="3" s="1"/>
  <c r="BT19" i="2"/>
  <c r="BT69" i="3" s="1"/>
  <c r="BS19" i="2"/>
  <c r="BS69" i="3" s="1"/>
  <c r="BR19" i="2"/>
  <c r="BR69" i="3" s="1"/>
  <c r="BQ19" i="2"/>
  <c r="BQ69" i="3" s="1"/>
  <c r="BB85" i="2"/>
  <c r="BA17" i="2"/>
  <c r="AZ17" i="2"/>
  <c r="AY17" i="2"/>
  <c r="AX17" i="2"/>
  <c r="AW17" i="2"/>
  <c r="AV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F17" i="2"/>
  <c r="E17" i="2"/>
  <c r="D17" i="2"/>
  <c r="AU16" i="2"/>
  <c r="L16" i="2"/>
  <c r="K16" i="2"/>
  <c r="K17" i="2" s="1"/>
  <c r="J16" i="2"/>
  <c r="J17" i="2" s="1"/>
  <c r="I16" i="2"/>
  <c r="H16" i="2"/>
  <c r="G16" i="2"/>
  <c r="G17" i="2" s="1"/>
  <c r="CB16" i="2"/>
  <c r="BZ16" i="2"/>
  <c r="BY16" i="2"/>
  <c r="BX16" i="2"/>
  <c r="BW16" i="2"/>
  <c r="BV16" i="2"/>
  <c r="BU16" i="2"/>
  <c r="BT16" i="2"/>
  <c r="BS16" i="2"/>
  <c r="BR16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CB12" i="2"/>
  <c r="CA12" i="2"/>
  <c r="CA84" i="2" s="1"/>
  <c r="BZ12" i="2"/>
  <c r="BZ84" i="2" s="1"/>
  <c r="BY12" i="2"/>
  <c r="BY84" i="2" s="1"/>
  <c r="BX12" i="2"/>
  <c r="BX84" i="2" s="1"/>
  <c r="BW12" i="2"/>
  <c r="BV12" i="2"/>
  <c r="BU12" i="2"/>
  <c r="BT12" i="2"/>
  <c r="BS12" i="2"/>
  <c r="BR12" i="2"/>
  <c r="BQ12" i="2"/>
  <c r="CB11" i="2"/>
  <c r="CA11" i="2"/>
  <c r="BZ11" i="2"/>
  <c r="BY11" i="2"/>
  <c r="BX11" i="2"/>
  <c r="BX149" i="3" s="1"/>
  <c r="BW11" i="2"/>
  <c r="BV11" i="2"/>
  <c r="BV149" i="3" s="1"/>
  <c r="BU11" i="2"/>
  <c r="BU149" i="3" s="1"/>
  <c r="BT11" i="2"/>
  <c r="BT149" i="3" s="1"/>
  <c r="BS11" i="2"/>
  <c r="BR11" i="2"/>
  <c r="BR149" i="3" s="1"/>
  <c r="BQ11" i="2"/>
  <c r="BQ149" i="3" s="1"/>
  <c r="BB84" i="2"/>
  <c r="CE9" i="2"/>
  <c r="CE46" i="2" s="1"/>
  <c r="CE57" i="2" s="1"/>
  <c r="CE74" i="2" s="1"/>
  <c r="CD9" i="2"/>
  <c r="CD46" i="2" s="1"/>
  <c r="CD57" i="2" s="1"/>
  <c r="CD74" i="2" s="1"/>
  <c r="CC9" i="2"/>
  <c r="CC46" i="2" s="1"/>
  <c r="CC57" i="2" s="1"/>
  <c r="CC74" i="2" s="1"/>
  <c r="CB9" i="2"/>
  <c r="CB46" i="2" s="1"/>
  <c r="CB57" i="2" s="1"/>
  <c r="CB74" i="2" s="1"/>
  <c r="CA9" i="2"/>
  <c r="CA46" i="2" s="1"/>
  <c r="CA57" i="2" s="1"/>
  <c r="CA74" i="2" s="1"/>
  <c r="BZ9" i="2"/>
  <c r="BZ46" i="2" s="1"/>
  <c r="BZ57" i="2" s="1"/>
  <c r="BZ74" i="2" s="1"/>
  <c r="BY9" i="2"/>
  <c r="BY46" i="2" s="1"/>
  <c r="BY57" i="2" s="1"/>
  <c r="BY74" i="2" s="1"/>
  <c r="BX9" i="2"/>
  <c r="BX46" i="2" s="1"/>
  <c r="BX57" i="2" s="1"/>
  <c r="BX74" i="2" s="1"/>
  <c r="BW9" i="2"/>
  <c r="BW46" i="2" s="1"/>
  <c r="BW57" i="2" s="1"/>
  <c r="BW74" i="2" s="1"/>
  <c r="BV9" i="2"/>
  <c r="BV46" i="2" s="1"/>
  <c r="BV57" i="2" s="1"/>
  <c r="BV74" i="2" s="1"/>
  <c r="BU9" i="2"/>
  <c r="BU46" i="2" s="1"/>
  <c r="BU57" i="2" s="1"/>
  <c r="BU74" i="2" s="1"/>
  <c r="BT9" i="2"/>
  <c r="BT46" i="2" s="1"/>
  <c r="BT57" i="2" s="1"/>
  <c r="BT74" i="2" s="1"/>
  <c r="BS9" i="2"/>
  <c r="BS46" i="2" s="1"/>
  <c r="BS57" i="2" s="1"/>
  <c r="BS74" i="2" s="1"/>
  <c r="BR9" i="2"/>
  <c r="BR46" i="2" s="1"/>
  <c r="BR57" i="2" s="1"/>
  <c r="BR74" i="2" s="1"/>
  <c r="BQ9" i="2"/>
  <c r="BQ46" i="2" s="1"/>
  <c r="BQ57" i="2" s="1"/>
  <c r="BQ74" i="2" s="1"/>
  <c r="BG9" i="2"/>
  <c r="BG46" i="2" s="1"/>
  <c r="BG57" i="2" s="1"/>
  <c r="BG74" i="2" s="1"/>
  <c r="BF9" i="2"/>
  <c r="BF46" i="2" s="1"/>
  <c r="BF57" i="2" s="1"/>
  <c r="BF74" i="2" s="1"/>
  <c r="BE9" i="2"/>
  <c r="BE46" i="2" s="1"/>
  <c r="BE57" i="2" s="1"/>
  <c r="BE74" i="2" s="1"/>
  <c r="BD9" i="2"/>
  <c r="BD46" i="2" s="1"/>
  <c r="BD57" i="2" s="1"/>
  <c r="BD74" i="2" s="1"/>
  <c r="BC9" i="2"/>
  <c r="BC46" i="2" s="1"/>
  <c r="BC57" i="2" s="1"/>
  <c r="BC74" i="2" s="1"/>
  <c r="BB9" i="2"/>
  <c r="BB46" i="2" s="1"/>
  <c r="BB57" i="2" s="1"/>
  <c r="BB74" i="2" s="1"/>
  <c r="BA9" i="2"/>
  <c r="BA46" i="2" s="1"/>
  <c r="BA57" i="2" s="1"/>
  <c r="BA74" i="2" s="1"/>
  <c r="AZ9" i="2"/>
  <c r="AZ46" i="2" s="1"/>
  <c r="AZ57" i="2" s="1"/>
  <c r="AZ74" i="2" s="1"/>
  <c r="AY9" i="2"/>
  <c r="AY46" i="2" s="1"/>
  <c r="AY57" i="2" s="1"/>
  <c r="AY74" i="2" s="1"/>
  <c r="AX9" i="2"/>
  <c r="AX46" i="2" s="1"/>
  <c r="AX57" i="2" s="1"/>
  <c r="AX74" i="2" s="1"/>
  <c r="AW9" i="2"/>
  <c r="AW46" i="2" s="1"/>
  <c r="AW57" i="2" s="1"/>
  <c r="AW74" i="2" s="1"/>
  <c r="AV9" i="2"/>
  <c r="AV46" i="2" s="1"/>
  <c r="AV57" i="2" s="1"/>
  <c r="AV74" i="2" s="1"/>
  <c r="AU9" i="2"/>
  <c r="AU46" i="2" s="1"/>
  <c r="AU57" i="2" s="1"/>
  <c r="AU74" i="2" s="1"/>
  <c r="AT9" i="2"/>
  <c r="AT46" i="2" s="1"/>
  <c r="AT57" i="2" s="1"/>
  <c r="AT74" i="2" s="1"/>
  <c r="AS9" i="2"/>
  <c r="AS46" i="2" s="1"/>
  <c r="AS57" i="2" s="1"/>
  <c r="AS74" i="2" s="1"/>
  <c r="AR9" i="2"/>
  <c r="AR46" i="2" s="1"/>
  <c r="AR57" i="2" s="1"/>
  <c r="AR74" i="2" s="1"/>
  <c r="AQ9" i="2"/>
  <c r="AQ46" i="2" s="1"/>
  <c r="AQ57" i="2" s="1"/>
  <c r="AQ74" i="2" s="1"/>
  <c r="AP9" i="2"/>
  <c r="AP46" i="2" s="1"/>
  <c r="AP57" i="2" s="1"/>
  <c r="AP74" i="2" s="1"/>
  <c r="AO9" i="2"/>
  <c r="AO46" i="2" s="1"/>
  <c r="AO57" i="2" s="1"/>
  <c r="AO74" i="2" s="1"/>
  <c r="AN9" i="2"/>
  <c r="AN46" i="2" s="1"/>
  <c r="AN57" i="2" s="1"/>
  <c r="AN74" i="2" s="1"/>
  <c r="AM9" i="2"/>
  <c r="AM46" i="2" s="1"/>
  <c r="AM57" i="2" s="1"/>
  <c r="AM74" i="2" s="1"/>
  <c r="AL9" i="2"/>
  <c r="AL46" i="2" s="1"/>
  <c r="AL57" i="2" s="1"/>
  <c r="AL74" i="2" s="1"/>
  <c r="AK9" i="2"/>
  <c r="AK46" i="2" s="1"/>
  <c r="AK57" i="2" s="1"/>
  <c r="AK74" i="2" s="1"/>
  <c r="AJ9" i="2"/>
  <c r="AJ46" i="2" s="1"/>
  <c r="AJ57" i="2" s="1"/>
  <c r="AJ74" i="2" s="1"/>
  <c r="AI9" i="2"/>
  <c r="AI46" i="2" s="1"/>
  <c r="AI57" i="2" s="1"/>
  <c r="AI74" i="2" s="1"/>
  <c r="AH9" i="2"/>
  <c r="AH46" i="2" s="1"/>
  <c r="AH57" i="2" s="1"/>
  <c r="AH74" i="2" s="1"/>
  <c r="AG9" i="2"/>
  <c r="AG46" i="2" s="1"/>
  <c r="AG57" i="2" s="1"/>
  <c r="AG74" i="2" s="1"/>
  <c r="AF9" i="2"/>
  <c r="AF46" i="2" s="1"/>
  <c r="AF57" i="2" s="1"/>
  <c r="AF74" i="2" s="1"/>
  <c r="AE9" i="2"/>
  <c r="AE46" i="2" s="1"/>
  <c r="AE57" i="2" s="1"/>
  <c r="AE74" i="2" s="1"/>
  <c r="AD9" i="2"/>
  <c r="AD46" i="2" s="1"/>
  <c r="AD57" i="2" s="1"/>
  <c r="AD74" i="2" s="1"/>
  <c r="AC9" i="2"/>
  <c r="AC46" i="2" s="1"/>
  <c r="AC57" i="2" s="1"/>
  <c r="AC74" i="2" s="1"/>
  <c r="AB9" i="2"/>
  <c r="AB46" i="2" s="1"/>
  <c r="AB57" i="2" s="1"/>
  <c r="AB74" i="2" s="1"/>
  <c r="AA9" i="2"/>
  <c r="AA46" i="2" s="1"/>
  <c r="AA57" i="2" s="1"/>
  <c r="AA74" i="2" s="1"/>
  <c r="Z9" i="2"/>
  <c r="Z46" i="2" s="1"/>
  <c r="Z57" i="2" s="1"/>
  <c r="Z74" i="2" s="1"/>
  <c r="Y9" i="2"/>
  <c r="Y46" i="2" s="1"/>
  <c r="Y57" i="2" s="1"/>
  <c r="Y74" i="2" s="1"/>
  <c r="X9" i="2"/>
  <c r="X46" i="2" s="1"/>
  <c r="X57" i="2" s="1"/>
  <c r="X74" i="2" s="1"/>
  <c r="W9" i="2"/>
  <c r="W46" i="2" s="1"/>
  <c r="W57" i="2" s="1"/>
  <c r="W74" i="2" s="1"/>
  <c r="V9" i="2"/>
  <c r="V46" i="2" s="1"/>
  <c r="V57" i="2" s="1"/>
  <c r="V74" i="2" s="1"/>
  <c r="U9" i="2"/>
  <c r="U46" i="2" s="1"/>
  <c r="U57" i="2" s="1"/>
  <c r="U74" i="2" s="1"/>
  <c r="T9" i="2"/>
  <c r="T46" i="2" s="1"/>
  <c r="T57" i="2" s="1"/>
  <c r="T74" i="2" s="1"/>
  <c r="S9" i="2"/>
  <c r="S46" i="2" s="1"/>
  <c r="S57" i="2" s="1"/>
  <c r="S74" i="2" s="1"/>
  <c r="R9" i="2"/>
  <c r="R46" i="2" s="1"/>
  <c r="R57" i="2" s="1"/>
  <c r="R74" i="2" s="1"/>
  <c r="Q9" i="2"/>
  <c r="Q46" i="2" s="1"/>
  <c r="Q57" i="2" s="1"/>
  <c r="Q74" i="2" s="1"/>
  <c r="P9" i="2"/>
  <c r="P46" i="2" s="1"/>
  <c r="P57" i="2" s="1"/>
  <c r="P74" i="2" s="1"/>
  <c r="O9" i="2"/>
  <c r="O46" i="2" s="1"/>
  <c r="O57" i="2" s="1"/>
  <c r="O74" i="2" s="1"/>
  <c r="N9" i="2"/>
  <c r="N46" i="2" s="1"/>
  <c r="N57" i="2" s="1"/>
  <c r="N74" i="2" s="1"/>
  <c r="M9" i="2"/>
  <c r="M46" i="2" s="1"/>
  <c r="M57" i="2" s="1"/>
  <c r="M74" i="2" s="1"/>
  <c r="L9" i="2"/>
  <c r="L46" i="2" s="1"/>
  <c r="L57" i="2" s="1"/>
  <c r="L74" i="2" s="1"/>
  <c r="K9" i="2"/>
  <c r="K46" i="2" s="1"/>
  <c r="K57" i="2" s="1"/>
  <c r="K74" i="2" s="1"/>
  <c r="J9" i="2"/>
  <c r="J46" i="2" s="1"/>
  <c r="J57" i="2" s="1"/>
  <c r="J74" i="2" s="1"/>
  <c r="I9" i="2"/>
  <c r="I46" i="2" s="1"/>
  <c r="I57" i="2" s="1"/>
  <c r="I74" i="2" s="1"/>
  <c r="H9" i="2"/>
  <c r="H46" i="2" s="1"/>
  <c r="H57" i="2" s="1"/>
  <c r="H74" i="2" s="1"/>
  <c r="G9" i="2"/>
  <c r="G46" i="2" s="1"/>
  <c r="G57" i="2" s="1"/>
  <c r="G74" i="2" s="1"/>
  <c r="F9" i="2"/>
  <c r="F46" i="2" s="1"/>
  <c r="F57" i="2" s="1"/>
  <c r="F74" i="2" s="1"/>
  <c r="E9" i="2"/>
  <c r="E46" i="2" s="1"/>
  <c r="E57" i="2" s="1"/>
  <c r="E74" i="2" s="1"/>
  <c r="D9" i="2"/>
  <c r="D46" i="2" s="1"/>
  <c r="D57" i="2" s="1"/>
  <c r="D74" i="2" s="1"/>
  <c r="BG8" i="2"/>
  <c r="BG8" i="3" s="1"/>
  <c r="BF8" i="2"/>
  <c r="BF8" i="3" s="1"/>
  <c r="BE8" i="2"/>
  <c r="BE8" i="3" s="1"/>
  <c r="BD8" i="2"/>
  <c r="BD8" i="3" s="1"/>
  <c r="BC8" i="2"/>
  <c r="BC8" i="3" s="1"/>
  <c r="BB8" i="2"/>
  <c r="BB8" i="3" s="1"/>
  <c r="BA8" i="2"/>
  <c r="BA8" i="3" s="1"/>
  <c r="AZ8" i="2"/>
  <c r="AZ8" i="3" s="1"/>
  <c r="AY8" i="2"/>
  <c r="AY8" i="3" s="1"/>
  <c r="AX8" i="2"/>
  <c r="AX8" i="3" s="1"/>
  <c r="AW8" i="2"/>
  <c r="AW8" i="3" s="1"/>
  <c r="AV8" i="2"/>
  <c r="AV8" i="3" s="1"/>
  <c r="AU8" i="2"/>
  <c r="AU8" i="3" s="1"/>
  <c r="AT8" i="2"/>
  <c r="AT8" i="3" s="1"/>
  <c r="AS8" i="2"/>
  <c r="AS8" i="3" s="1"/>
  <c r="AR8" i="2"/>
  <c r="AR8" i="3" s="1"/>
  <c r="AQ8" i="2"/>
  <c r="AQ8" i="3" s="1"/>
  <c r="AP8" i="2"/>
  <c r="AP8" i="3" s="1"/>
  <c r="AO8" i="2"/>
  <c r="AO8" i="3" s="1"/>
  <c r="AN8" i="2"/>
  <c r="AN8" i="3" s="1"/>
  <c r="AM8" i="2"/>
  <c r="AM8" i="3" s="1"/>
  <c r="AL8" i="2"/>
  <c r="AL8" i="3" s="1"/>
  <c r="AK8" i="2"/>
  <c r="AK8" i="3" s="1"/>
  <c r="AJ8" i="2"/>
  <c r="AJ8" i="3" s="1"/>
  <c r="AI8" i="2"/>
  <c r="AI8" i="3" s="1"/>
  <c r="AH8" i="2"/>
  <c r="AH8" i="3" s="1"/>
  <c r="AG8" i="2"/>
  <c r="AG8" i="3" s="1"/>
  <c r="AF8" i="2"/>
  <c r="AF8" i="3" s="1"/>
  <c r="AE8" i="2"/>
  <c r="AE8" i="3" s="1"/>
  <c r="AD8" i="2"/>
  <c r="AD8" i="3" s="1"/>
  <c r="AC8" i="2"/>
  <c r="AC8" i="3" s="1"/>
  <c r="AB8" i="2"/>
  <c r="AB8" i="3" s="1"/>
  <c r="AA8" i="2"/>
  <c r="AA8" i="3" s="1"/>
  <c r="Z8" i="2"/>
  <c r="Z8" i="3" s="1"/>
  <c r="Y8" i="2"/>
  <c r="Y8" i="3" s="1"/>
  <c r="X8" i="2"/>
  <c r="X8" i="3" s="1"/>
  <c r="W8" i="2"/>
  <c r="W8" i="3" s="1"/>
  <c r="V8" i="2"/>
  <c r="V8" i="3" s="1"/>
  <c r="U8" i="2"/>
  <c r="U8" i="3" s="1"/>
  <c r="T8" i="2"/>
  <c r="T8" i="3" s="1"/>
  <c r="S8" i="2"/>
  <c r="S8" i="3" s="1"/>
  <c r="R8" i="2"/>
  <c r="R8" i="3" s="1"/>
  <c r="Q8" i="2"/>
  <c r="Q8" i="3" s="1"/>
  <c r="P8" i="2"/>
  <c r="P8" i="3" s="1"/>
  <c r="O8" i="2"/>
  <c r="O8" i="3" s="1"/>
  <c r="N8" i="2"/>
  <c r="N8" i="3" s="1"/>
  <c r="M8" i="2"/>
  <c r="M8" i="3" s="1"/>
  <c r="L8" i="2"/>
  <c r="L8" i="3" s="1"/>
  <c r="K8" i="2"/>
  <c r="K8" i="3" s="1"/>
  <c r="J8" i="2"/>
  <c r="J8" i="3" s="1"/>
  <c r="I8" i="2"/>
  <c r="I8" i="3" s="1"/>
  <c r="H8" i="2"/>
  <c r="H8" i="3" s="1"/>
  <c r="G8" i="2"/>
  <c r="G8" i="3" s="1"/>
  <c r="F8" i="2"/>
  <c r="F8" i="3" s="1"/>
  <c r="E8" i="2"/>
  <c r="E8" i="3" s="1"/>
  <c r="D8" i="2"/>
  <c r="B6" i="2"/>
  <c r="CE132" i="1"/>
  <c r="CE669" i="39" s="1"/>
  <c r="CD132" i="1"/>
  <c r="CC132" i="1"/>
  <c r="CA132" i="1"/>
  <c r="BZ132" i="1"/>
  <c r="BZ167" i="3" s="1"/>
  <c r="BY132" i="1"/>
  <c r="BX132" i="1"/>
  <c r="BX115" i="2" s="1"/>
  <c r="BW132" i="1"/>
  <c r="BV132" i="1"/>
  <c r="BV167" i="3" s="1"/>
  <c r="BU132" i="1"/>
  <c r="BT132" i="1"/>
  <c r="BT115" i="2" s="1"/>
  <c r="BS132" i="1"/>
  <c r="BR132" i="1"/>
  <c r="BR167" i="3" s="1"/>
  <c r="BQ132" i="1"/>
  <c r="BG132" i="1"/>
  <c r="BG167" i="3" s="1"/>
  <c r="BF132" i="1"/>
  <c r="BE132" i="1"/>
  <c r="BE167" i="3" s="1"/>
  <c r="BD132" i="1"/>
  <c r="BC132" i="1"/>
  <c r="BC167" i="3" s="1"/>
  <c r="BB132" i="1"/>
  <c r="BA132" i="1"/>
  <c r="BA167" i="3" s="1"/>
  <c r="AZ132" i="1"/>
  <c r="AW132" i="1"/>
  <c r="AW167" i="3" s="1"/>
  <c r="AV132" i="1"/>
  <c r="AU132" i="1"/>
  <c r="AU167" i="3" s="1"/>
  <c r="AT132" i="1"/>
  <c r="AS132" i="1"/>
  <c r="AS167" i="3" s="1"/>
  <c r="AR132" i="1"/>
  <c r="AQ132" i="1"/>
  <c r="AQ167" i="3" s="1"/>
  <c r="AP132" i="1"/>
  <c r="AO132" i="1"/>
  <c r="AO115" i="2" s="1"/>
  <c r="AN132" i="1"/>
  <c r="AM132" i="1"/>
  <c r="AM167" i="3" s="1"/>
  <c r="AL132" i="1"/>
  <c r="AK132" i="1"/>
  <c r="AK115" i="2" s="1"/>
  <c r="AJ132" i="1"/>
  <c r="AI132" i="1"/>
  <c r="AI167" i="3" s="1"/>
  <c r="AH132" i="1"/>
  <c r="AG132" i="1"/>
  <c r="AG115" i="2" s="1"/>
  <c r="AF132" i="1"/>
  <c r="AE132" i="1"/>
  <c r="AE167" i="3" s="1"/>
  <c r="AD132" i="1"/>
  <c r="AC132" i="1"/>
  <c r="AC115" i="2" s="1"/>
  <c r="AB132" i="1"/>
  <c r="AA132" i="1"/>
  <c r="AA167" i="3" s="1"/>
  <c r="Z132" i="1"/>
  <c r="Y132" i="1"/>
  <c r="Y115" i="2" s="1"/>
  <c r="X132" i="1"/>
  <c r="W132" i="1"/>
  <c r="W167" i="3" s="1"/>
  <c r="V132" i="1"/>
  <c r="U132" i="1"/>
  <c r="T132" i="1"/>
  <c r="S132" i="1"/>
  <c r="S115" i="2" s="1"/>
  <c r="R132" i="1"/>
  <c r="Q132" i="1"/>
  <c r="P132" i="1"/>
  <c r="O132" i="1"/>
  <c r="O167" i="3" s="1"/>
  <c r="N132" i="1"/>
  <c r="M132" i="1"/>
  <c r="L132" i="1"/>
  <c r="K132" i="1"/>
  <c r="K115" i="2" s="1"/>
  <c r="J132" i="1"/>
  <c r="I132" i="1"/>
  <c r="H132" i="1"/>
  <c r="G132" i="1"/>
  <c r="G167" i="3" s="1"/>
  <c r="F132" i="1"/>
  <c r="E132" i="1"/>
  <c r="D132" i="1"/>
  <c r="BQ120" i="1"/>
  <c r="BR120" i="1" s="1"/>
  <c r="BS120" i="1" s="1"/>
  <c r="BT120" i="1" s="1"/>
  <c r="BU120" i="1" s="1"/>
  <c r="BV120" i="1" s="1"/>
  <c r="BW120" i="1" s="1"/>
  <c r="BX120" i="1" s="1"/>
  <c r="BY120" i="1" s="1"/>
  <c r="BZ120" i="1" s="1"/>
  <c r="CA120" i="1" s="1"/>
  <c r="CB120" i="1" s="1"/>
  <c r="CC120" i="1" s="1"/>
  <c r="CD120" i="1" s="1"/>
  <c r="CE120" i="1" s="1"/>
  <c r="CF120" i="1" s="1"/>
  <c r="AG124" i="1"/>
  <c r="AH124" i="1" s="1"/>
  <c r="AI124" i="1" s="1"/>
  <c r="AJ124" i="1" s="1"/>
  <c r="AK124" i="1" s="1"/>
  <c r="AL124" i="1" s="1"/>
  <c r="AM124" i="1" s="1"/>
  <c r="AN124" i="1" s="1"/>
  <c r="AO124" i="1" s="1"/>
  <c r="AP124" i="1" s="1"/>
  <c r="AQ124" i="1" s="1"/>
  <c r="AG120" i="1"/>
  <c r="AH120" i="1" s="1"/>
  <c r="AI120" i="1" s="1"/>
  <c r="AJ120" i="1" s="1"/>
  <c r="AK120" i="1" s="1"/>
  <c r="AL120" i="1" s="1"/>
  <c r="AM120" i="1" s="1"/>
  <c r="AN120" i="1" s="1"/>
  <c r="AO120" i="1" s="1"/>
  <c r="AP120" i="1" s="1"/>
  <c r="AQ120" i="1" s="1"/>
  <c r="AR120" i="1" s="1"/>
  <c r="AS120" i="1" s="1"/>
  <c r="AT120" i="1" s="1"/>
  <c r="AU120" i="1" s="1"/>
  <c r="AV120" i="1" s="1"/>
  <c r="AW120" i="1" s="1"/>
  <c r="AX120" i="1" s="1"/>
  <c r="AY120" i="1" s="1"/>
  <c r="AZ120" i="1" s="1"/>
  <c r="BA120" i="1" s="1"/>
  <c r="AZ116" i="1"/>
  <c r="AJ116" i="1"/>
  <c r="T116" i="1"/>
  <c r="H116" i="1"/>
  <c r="D116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G113" i="1"/>
  <c r="BF113" i="1"/>
  <c r="BE113" i="1"/>
  <c r="BD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CA106" i="1"/>
  <c r="BZ106" i="1"/>
  <c r="BY106" i="1"/>
  <c r="BX106" i="1"/>
  <c r="BW106" i="1"/>
  <c r="BE106" i="1"/>
  <c r="BF106" i="1" s="1"/>
  <c r="BG106" i="1" s="1"/>
  <c r="AA106" i="1"/>
  <c r="BV106" i="1" s="1"/>
  <c r="W106" i="1"/>
  <c r="BU106" i="1" s="1"/>
  <c r="S106" i="1"/>
  <c r="BT106" i="1" s="1"/>
  <c r="O106" i="1"/>
  <c r="BS106" i="1" s="1"/>
  <c r="K106" i="1"/>
  <c r="BR106" i="1" s="1"/>
  <c r="G106" i="1"/>
  <c r="BQ106" i="1" s="1"/>
  <c r="BZ104" i="1"/>
  <c r="BY104" i="1"/>
  <c r="BX104" i="1"/>
  <c r="BW104" i="1"/>
  <c r="BV104" i="1"/>
  <c r="BU104" i="1"/>
  <c r="BT104" i="1"/>
  <c r="BS104" i="1"/>
  <c r="BR104" i="1"/>
  <c r="BQ104" i="1"/>
  <c r="BA104" i="1"/>
  <c r="AZ104" i="1"/>
  <c r="AY104" i="1"/>
  <c r="AX104" i="1"/>
  <c r="AW104" i="1"/>
  <c r="AV104" i="1"/>
  <c r="AU104" i="1"/>
  <c r="CA104" i="1" s="1"/>
  <c r="AT104" i="1"/>
  <c r="AS104" i="1"/>
  <c r="AR104" i="1"/>
  <c r="AP104" i="1"/>
  <c r="AO104" i="1"/>
  <c r="AL104" i="1"/>
  <c r="AK104" i="1"/>
  <c r="AH104" i="1"/>
  <c r="AG104" i="1"/>
  <c r="AV101" i="1"/>
  <c r="CB101" i="1" s="1"/>
  <c r="AV100" i="1"/>
  <c r="AR101" i="1"/>
  <c r="AS101" i="1" s="1"/>
  <c r="CB102" i="1"/>
  <c r="CA102" i="1"/>
  <c r="BZ102" i="1"/>
  <c r="BY102" i="1"/>
  <c r="BX102" i="1"/>
  <c r="BW102" i="1"/>
  <c r="BV102" i="1"/>
  <c r="BU102" i="1"/>
  <c r="BU75" i="2" s="1"/>
  <c r="BT102" i="1"/>
  <c r="BT75" i="2" s="1"/>
  <c r="BS102" i="1"/>
  <c r="BS75" i="2" s="1"/>
  <c r="BR102" i="1"/>
  <c r="BR75" i="2" s="1"/>
  <c r="BQ102" i="1"/>
  <c r="BQ75" i="2" s="1"/>
  <c r="BZ101" i="1"/>
  <c r="BY101" i="1"/>
  <c r="BX101" i="1"/>
  <c r="BW101" i="1"/>
  <c r="BV101" i="1"/>
  <c r="BU101" i="1"/>
  <c r="BT101" i="1"/>
  <c r="BS101" i="1"/>
  <c r="BR101" i="1"/>
  <c r="BQ101" i="1"/>
  <c r="CE100" i="1"/>
  <c r="CD100" i="1"/>
  <c r="CC100" i="1"/>
  <c r="CB100" i="1"/>
  <c r="CA100" i="1"/>
  <c r="BZ100" i="1"/>
  <c r="BY100" i="1"/>
  <c r="BX100" i="1"/>
  <c r="BW100" i="1"/>
  <c r="BV100" i="1"/>
  <c r="BU100" i="1"/>
  <c r="BT100" i="1"/>
  <c r="BS100" i="1"/>
  <c r="BR100" i="1"/>
  <c r="BQ100" i="1"/>
  <c r="BE101" i="1"/>
  <c r="BF101" i="1" s="1"/>
  <c r="BG101" i="1" s="1"/>
  <c r="BH101" i="1" s="1"/>
  <c r="BI101" i="1" s="1"/>
  <c r="BJ101" i="1" s="1"/>
  <c r="BK101" i="1" s="1"/>
  <c r="BL101" i="1" s="1"/>
  <c r="BG100" i="1"/>
  <c r="BF100" i="1"/>
  <c r="BE100" i="1"/>
  <c r="BD100" i="1"/>
  <c r="BA100" i="1"/>
  <c r="AZ100" i="1"/>
  <c r="AY100" i="1"/>
  <c r="AX100" i="1"/>
  <c r="AW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AT40" i="39" l="1"/>
  <c r="CD296" i="39"/>
  <c r="BD371" i="39"/>
  <c r="BD68" i="39"/>
  <c r="AK18" i="39"/>
  <c r="BV41" i="39"/>
  <c r="BA35" i="3"/>
  <c r="BB35" i="3" s="1"/>
  <c r="BC35" i="3" s="1"/>
  <c r="BA41" i="3"/>
  <c r="BB41" i="3" s="1"/>
  <c r="BC41" i="3" s="1"/>
  <c r="BA14" i="3"/>
  <c r="BB14" i="3" s="1"/>
  <c r="BC14" i="3" s="1"/>
  <c r="BA18" i="3"/>
  <c r="BB18" i="3" s="1"/>
  <c r="BA23" i="3"/>
  <c r="BB23" i="3" s="1"/>
  <c r="BC23" i="3" s="1"/>
  <c r="BB32" i="3"/>
  <c r="BC32" i="3" s="1"/>
  <c r="BA42" i="3"/>
  <c r="BB42" i="3" s="1"/>
  <c r="BC42" i="3" s="1"/>
  <c r="X116" i="1"/>
  <c r="U13" i="3"/>
  <c r="U78" i="3" s="1"/>
  <c r="AZ405" i="39"/>
  <c r="AZ358" i="39" s="1"/>
  <c r="BB13" i="3"/>
  <c r="AZ87" i="3"/>
  <c r="BA20" i="3"/>
  <c r="BB20" i="3" s="1"/>
  <c r="BC20" i="3" s="1"/>
  <c r="BA24" i="3"/>
  <c r="BB24" i="3" s="1"/>
  <c r="BC24" i="3" s="1"/>
  <c r="BA40" i="3"/>
  <c r="BB40" i="3" s="1"/>
  <c r="BC40" i="3" s="1"/>
  <c r="BA43" i="3"/>
  <c r="BB43" i="3" s="1"/>
  <c r="BB46" i="3"/>
  <c r="BC46" i="3" s="1"/>
  <c r="CB131" i="3"/>
  <c r="BA25" i="3"/>
  <c r="BB25" i="3" s="1"/>
  <c r="BC25" i="3" s="1"/>
  <c r="BA21" i="3"/>
  <c r="BB21" i="3" s="1"/>
  <c r="BC21" i="3" s="1"/>
  <c r="BA30" i="3"/>
  <c r="BB30" i="3" s="1"/>
  <c r="AN116" i="1"/>
  <c r="BA16" i="3"/>
  <c r="BB16" i="3" s="1"/>
  <c r="BA22" i="3"/>
  <c r="BB22" i="3" s="1"/>
  <c r="BC22" i="3" s="1"/>
  <c r="BA26" i="3"/>
  <c r="BB26" i="3" s="1"/>
  <c r="BC26" i="3" s="1"/>
  <c r="BA31" i="3"/>
  <c r="BB31" i="3" s="1"/>
  <c r="BM101" i="1"/>
  <c r="AY17" i="39"/>
  <c r="BC24" i="39"/>
  <c r="BO40" i="39"/>
  <c r="BM40" i="39"/>
  <c r="BO68" i="39"/>
  <c r="BM68" i="39"/>
  <c r="BM313" i="39"/>
  <c r="BO313" i="39"/>
  <c r="BN40" i="39"/>
  <c r="BL40" i="39"/>
  <c r="BN68" i="39"/>
  <c r="BL68" i="39"/>
  <c r="BL313" i="39"/>
  <c r="BN313" i="39"/>
  <c r="BS10" i="39"/>
  <c r="AQ17" i="39"/>
  <c r="BE58" i="2"/>
  <c r="BC62" i="2"/>
  <c r="BU443" i="39"/>
  <c r="BC68" i="39"/>
  <c r="BB24" i="39"/>
  <c r="BB399" i="39"/>
  <c r="BB374" i="39"/>
  <c r="BB400" i="39"/>
  <c r="X329" i="39"/>
  <c r="Z329" i="39"/>
  <c r="AB329" i="39"/>
  <c r="AD329" i="39"/>
  <c r="BB373" i="39"/>
  <c r="AD43" i="3"/>
  <c r="AE43" i="3" s="1"/>
  <c r="E13" i="3"/>
  <c r="E78" i="3" s="1"/>
  <c r="AK13" i="3"/>
  <c r="AK405" i="39" s="1"/>
  <c r="X36" i="3"/>
  <c r="AH35" i="3"/>
  <c r="AP35" i="3"/>
  <c r="AQ35" i="3" s="1"/>
  <c r="AX35" i="3"/>
  <c r="AY35" i="3" s="1"/>
  <c r="N71" i="2"/>
  <c r="T71" i="2"/>
  <c r="AF71" i="2"/>
  <c r="AN71" i="2"/>
  <c r="AT71" i="2"/>
  <c r="AZ71" i="2"/>
  <c r="D8" i="3"/>
  <c r="M18" i="39"/>
  <c r="BB120" i="1"/>
  <c r="BB40" i="39"/>
  <c r="CB258" i="39"/>
  <c r="CA324" i="39"/>
  <c r="CC324" i="39"/>
  <c r="BW429" i="39"/>
  <c r="BR578" i="39"/>
  <c r="BT578" i="39"/>
  <c r="BV578" i="39"/>
  <c r="BQ579" i="39"/>
  <c r="BS579" i="39"/>
  <c r="BU579" i="39"/>
  <c r="BW579" i="39"/>
  <c r="BR580" i="39"/>
  <c r="BT580" i="39"/>
  <c r="BV580" i="39"/>
  <c r="BQ564" i="39"/>
  <c r="BU564" i="39"/>
  <c r="BW582" i="39"/>
  <c r="BT583" i="39"/>
  <c r="BV583" i="39"/>
  <c r="D581" i="39"/>
  <c r="F581" i="39"/>
  <c r="H581" i="39"/>
  <c r="J581" i="39"/>
  <c r="L581" i="39"/>
  <c r="N581" i="39"/>
  <c r="R581" i="39"/>
  <c r="T581" i="39"/>
  <c r="V581" i="39"/>
  <c r="X581" i="39"/>
  <c r="Z581" i="39"/>
  <c r="AB581" i="39"/>
  <c r="AD581" i="39"/>
  <c r="I584" i="39"/>
  <c r="M584" i="39"/>
  <c r="Q584" i="39"/>
  <c r="Y584" i="39"/>
  <c r="AC584" i="39"/>
  <c r="BQ571" i="39"/>
  <c r="BU571" i="39"/>
  <c r="BR574" i="39"/>
  <c r="BT574" i="39"/>
  <c r="BV574" i="39"/>
  <c r="R575" i="39"/>
  <c r="BQ590" i="39"/>
  <c r="BY590" i="39"/>
  <c r="BY592" i="39" s="1"/>
  <c r="BV612" i="39"/>
  <c r="BT69" i="39"/>
  <c r="BW65" i="39"/>
  <c r="BB68" i="39"/>
  <c r="R280" i="39"/>
  <c r="Z280" i="39"/>
  <c r="CA296" i="39"/>
  <c r="AN311" i="39"/>
  <c r="BZ311" i="39" s="1"/>
  <c r="BZ320" i="39" s="1"/>
  <c r="BS437" i="39"/>
  <c r="BS443" i="39"/>
  <c r="BR579" i="39"/>
  <c r="BV579" i="39"/>
  <c r="BQ580" i="39"/>
  <c r="BS580" i="39"/>
  <c r="BW580" i="39"/>
  <c r="BQ583" i="39"/>
  <c r="BU583" i="39"/>
  <c r="BW583" i="39"/>
  <c r="G581" i="39"/>
  <c r="K581" i="39"/>
  <c r="M581" i="39"/>
  <c r="O581" i="39"/>
  <c r="S581" i="39"/>
  <c r="W581" i="39"/>
  <c r="AA581" i="39"/>
  <c r="AC581" i="39"/>
  <c r="AE581" i="39"/>
  <c r="F584" i="39"/>
  <c r="H584" i="39"/>
  <c r="J584" i="39"/>
  <c r="N584" i="39"/>
  <c r="R584" i="39"/>
  <c r="V584" i="39"/>
  <c r="X584" i="39"/>
  <c r="Z584" i="39"/>
  <c r="AD584" i="39"/>
  <c r="BU122" i="39"/>
  <c r="BW33" i="2"/>
  <c r="BJ40" i="39"/>
  <c r="BW69" i="39"/>
  <c r="CB69" i="39"/>
  <c r="BJ68" i="39"/>
  <c r="BH68" i="39"/>
  <c r="M239" i="39"/>
  <c r="U239" i="39"/>
  <c r="AF239" i="39"/>
  <c r="CE240" i="39"/>
  <c r="CE252" i="39"/>
  <c r="BG306" i="39"/>
  <c r="BO307" i="39" s="1"/>
  <c r="BJ307" i="39"/>
  <c r="BJ313" i="39"/>
  <c r="BK40" i="39"/>
  <c r="BI40" i="39"/>
  <c r="BK68" i="39"/>
  <c r="BI68" i="39"/>
  <c r="BV122" i="39"/>
  <c r="CE234" i="39"/>
  <c r="BY290" i="39"/>
  <c r="CC314" i="39"/>
  <c r="BK313" i="39"/>
  <c r="BS561" i="39"/>
  <c r="BR564" i="39"/>
  <c r="BV564" i="39"/>
  <c r="D565" i="39"/>
  <c r="L565" i="39"/>
  <c r="BR571" i="39"/>
  <c r="BV571" i="39"/>
  <c r="BW574" i="39"/>
  <c r="F575" i="39"/>
  <c r="J575" i="39"/>
  <c r="N575" i="39"/>
  <c r="V575" i="39"/>
  <c r="Z575" i="39"/>
  <c r="AD575" i="39"/>
  <c r="G575" i="39"/>
  <c r="W575" i="39"/>
  <c r="BS612" i="39"/>
  <c r="BW612" i="39"/>
  <c r="AJ92" i="2"/>
  <c r="BR33" i="2"/>
  <c r="BV33" i="2"/>
  <c r="AI41" i="2"/>
  <c r="AL41" i="2"/>
  <c r="G41" i="2"/>
  <c r="I41" i="2"/>
  <c r="AN41" i="2"/>
  <c r="AP41" i="2"/>
  <c r="AR41" i="2"/>
  <c r="AT41" i="2"/>
  <c r="E41" i="2"/>
  <c r="G131" i="3"/>
  <c r="BY134" i="3"/>
  <c r="BX139" i="3"/>
  <c r="AL139" i="3"/>
  <c r="E116" i="1"/>
  <c r="L116" i="1"/>
  <c r="P116" i="1"/>
  <c r="U116" i="1"/>
  <c r="AB116" i="1"/>
  <c r="AF116" i="1"/>
  <c r="AK116" i="1"/>
  <c r="AR116" i="1"/>
  <c r="AV116" i="1"/>
  <c r="BA116" i="1"/>
  <c r="M13" i="3"/>
  <c r="AS13" i="3"/>
  <c r="AG17" i="3"/>
  <c r="AH17" i="3" s="1"/>
  <c r="AI17" i="3" s="1"/>
  <c r="BX17" i="3" s="1"/>
  <c r="AP17" i="3"/>
  <c r="AQ17" i="3" s="1"/>
  <c r="AW17" i="3"/>
  <c r="AX17" i="3" s="1"/>
  <c r="AY17" i="3" s="1"/>
  <c r="CB17" i="3" s="1"/>
  <c r="M30" i="3"/>
  <c r="U30" i="3"/>
  <c r="V30" i="3" s="1"/>
  <c r="AO30" i="3"/>
  <c r="AP30" i="3" s="1"/>
  <c r="AC31" i="3"/>
  <c r="AD31" i="3" s="1"/>
  <c r="AE31" i="3" s="1"/>
  <c r="BW31" i="3" s="1"/>
  <c r="AG31" i="3"/>
  <c r="AH31" i="3" s="1"/>
  <c r="AI31" i="3" s="1"/>
  <c r="BX31" i="3" s="1"/>
  <c r="AS31" i="3"/>
  <c r="AT31" i="3" s="1"/>
  <c r="AU31" i="3" s="1"/>
  <c r="CA31" i="3" s="1"/>
  <c r="AW31" i="3"/>
  <c r="AX31" i="3" s="1"/>
  <c r="AY31" i="3" s="1"/>
  <c r="CB31" i="3" s="1"/>
  <c r="AZ70" i="3"/>
  <c r="BS125" i="3"/>
  <c r="AQ131" i="3"/>
  <c r="CA139" i="3"/>
  <c r="BY31" i="2"/>
  <c r="BY33" i="2" s="1"/>
  <c r="BZ32" i="2"/>
  <c r="X47" i="2"/>
  <c r="U51" i="2"/>
  <c r="AT47" i="2"/>
  <c r="H41" i="2"/>
  <c r="AJ41" i="2"/>
  <c r="D41" i="2"/>
  <c r="F41" i="2"/>
  <c r="R47" i="2"/>
  <c r="Z51" i="2"/>
  <c r="E68" i="2"/>
  <c r="E71" i="2" s="1"/>
  <c r="I68" i="2"/>
  <c r="I71" i="2" s="1"/>
  <c r="BQ16" i="2"/>
  <c r="BQ17" i="2" s="1"/>
  <c r="BQ26" i="2" s="1"/>
  <c r="BQ65" i="3" s="1"/>
  <c r="P92" i="2"/>
  <c r="T92" i="2"/>
  <c r="X92" i="2"/>
  <c r="AB92" i="2"/>
  <c r="AF92" i="2"/>
  <c r="AN92" i="2"/>
  <c r="AK41" i="2"/>
  <c r="AM41" i="2"/>
  <c r="AO41" i="2"/>
  <c r="AQ41" i="2"/>
  <c r="AS41" i="2"/>
  <c r="K41" i="2"/>
  <c r="M41" i="2"/>
  <c r="O41" i="2"/>
  <c r="Q41" i="2"/>
  <c r="S41" i="2"/>
  <c r="U41" i="2"/>
  <c r="W41" i="2"/>
  <c r="Y41" i="2"/>
  <c r="AA41" i="2"/>
  <c r="AC41" i="2"/>
  <c r="AE41" i="2"/>
  <c r="AG41" i="2"/>
  <c r="AU41" i="2"/>
  <c r="AW41" i="2"/>
  <c r="AY41" i="2"/>
  <c r="BA41" i="2"/>
  <c r="V47" i="2"/>
  <c r="AD47" i="2"/>
  <c r="Q51" i="2"/>
  <c r="Y51" i="2"/>
  <c r="H68" i="2"/>
  <c r="H71" i="2" s="1"/>
  <c r="J68" i="2"/>
  <c r="J71" i="2" s="1"/>
  <c r="CD25" i="2"/>
  <c r="BH25" i="2"/>
  <c r="BI25" i="2" s="1"/>
  <c r="BJ25" i="2" s="1"/>
  <c r="BK25" i="2" s="1"/>
  <c r="CD32" i="2"/>
  <c r="BH32" i="2"/>
  <c r="BI32" i="2" s="1"/>
  <c r="BJ32" i="2" s="1"/>
  <c r="BK32" i="2" s="1"/>
  <c r="BY35" i="2"/>
  <c r="BX35" i="2"/>
  <c r="AL24" i="39"/>
  <c r="AM25" i="39"/>
  <c r="P27" i="39"/>
  <c r="AI17" i="39"/>
  <c r="P25" i="39"/>
  <c r="AJ18" i="39"/>
  <c r="AL25" i="39"/>
  <c r="AN25" i="39"/>
  <c r="AZ18" i="39"/>
  <c r="BB25" i="39"/>
  <c r="M19" i="39"/>
  <c r="M20" i="39"/>
  <c r="BU41" i="39"/>
  <c r="BW44" i="39"/>
  <c r="BW46" i="39" s="1"/>
  <c r="AE46" i="39"/>
  <c r="AL84" i="39"/>
  <c r="AP85" i="39"/>
  <c r="AK86" i="39"/>
  <c r="I131" i="39"/>
  <c r="CB240" i="39"/>
  <c r="CC252" i="39"/>
  <c r="AM312" i="39"/>
  <c r="BG313" i="39" s="1"/>
  <c r="AL314" i="39"/>
  <c r="AP314" i="39"/>
  <c r="CD320" i="39"/>
  <c r="BY324" i="39"/>
  <c r="BT579" i="39"/>
  <c r="BU580" i="39"/>
  <c r="BR583" i="39"/>
  <c r="E581" i="39"/>
  <c r="I581" i="39"/>
  <c r="Q581" i="39"/>
  <c r="U581" i="39"/>
  <c r="Y581" i="39"/>
  <c r="D575" i="39"/>
  <c r="H575" i="39"/>
  <c r="L584" i="39"/>
  <c r="P584" i="39"/>
  <c r="T575" i="39"/>
  <c r="X575" i="39"/>
  <c r="AB584" i="39"/>
  <c r="AF584" i="39"/>
  <c r="L575" i="39"/>
  <c r="L585" i="39" s="1"/>
  <c r="AH14" i="39"/>
  <c r="AH325" i="39" s="1"/>
  <c r="AF44" i="39"/>
  <c r="AF49" i="39" s="1"/>
  <c r="BZ54" i="39"/>
  <c r="BU69" i="39"/>
  <c r="CA69" i="39"/>
  <c r="CC234" i="39"/>
  <c r="CC240" i="39"/>
  <c r="CA240" i="39"/>
  <c r="BZ252" i="39"/>
  <c r="CD252" i="39"/>
  <c r="Z268" i="39"/>
  <c r="BW278" i="39"/>
  <c r="BX278" i="39"/>
  <c r="BW290" i="39"/>
  <c r="BX290" i="39"/>
  <c r="BZ296" i="39"/>
  <c r="BY311" i="39"/>
  <c r="AL312" i="39"/>
  <c r="BF313" i="39" s="1"/>
  <c r="CC320" i="39"/>
  <c r="CB324" i="39"/>
  <c r="BR561" i="39"/>
  <c r="K575" i="39"/>
  <c r="O575" i="39"/>
  <c r="S575" i="39"/>
  <c r="AA575" i="39"/>
  <c r="AE575" i="39"/>
  <c r="AB575" i="39"/>
  <c r="BV590" i="39"/>
  <c r="D592" i="39"/>
  <c r="AJ592" i="39"/>
  <c r="BW600" i="39"/>
  <c r="BU601" i="39"/>
  <c r="BV601" i="39"/>
  <c r="BW601" i="39"/>
  <c r="AR70" i="3"/>
  <c r="AV70" i="3"/>
  <c r="AO51" i="2"/>
  <c r="AS70" i="3"/>
  <c r="AW70" i="3"/>
  <c r="BA70" i="3"/>
  <c r="AL47" i="2"/>
  <c r="E51" i="2"/>
  <c r="G51" i="2"/>
  <c r="K51" i="2"/>
  <c r="AR92" i="2"/>
  <c r="AH47" i="2"/>
  <c r="AP47" i="2"/>
  <c r="AX47" i="2"/>
  <c r="M51" i="2"/>
  <c r="CC113" i="3"/>
  <c r="BE113" i="3"/>
  <c r="BF113" i="3" s="1"/>
  <c r="BG113" i="3" s="1"/>
  <c r="CD113" i="3" s="1"/>
  <c r="F47" i="2"/>
  <c r="N47" i="2"/>
  <c r="AG51" i="2"/>
  <c r="AW51" i="2"/>
  <c r="L78" i="2"/>
  <c r="AR78" i="2"/>
  <c r="J51" i="2"/>
  <c r="D47" i="2"/>
  <c r="P47" i="2"/>
  <c r="AC51" i="2"/>
  <c r="AK51" i="2"/>
  <c r="AS51" i="2"/>
  <c r="BA51" i="2"/>
  <c r="M547" i="39"/>
  <c r="M549" i="39" s="1"/>
  <c r="O547" i="39"/>
  <c r="O549" i="39" s="1"/>
  <c r="Q547" i="39"/>
  <c r="Q549" i="39" s="1"/>
  <c r="Y547" i="39"/>
  <c r="Y549" i="39" s="1"/>
  <c r="BV130" i="39"/>
  <c r="AG239" i="39"/>
  <c r="BS136" i="39"/>
  <c r="Q137" i="39"/>
  <c r="Y137" i="39"/>
  <c r="AG137" i="39"/>
  <c r="BS138" i="39"/>
  <c r="Y139" i="39"/>
  <c r="AI139" i="39"/>
  <c r="AM139" i="39"/>
  <c r="AN138" i="39"/>
  <c r="AO138" i="39" s="1"/>
  <c r="AO171" i="39" s="1"/>
  <c r="S141" i="39"/>
  <c r="W141" i="39"/>
  <c r="AK178" i="39"/>
  <c r="AK179" i="39" s="1"/>
  <c r="AK180" i="39" s="1"/>
  <c r="S300" i="39"/>
  <c r="W300" i="39"/>
  <c r="AA300" i="39"/>
  <c r="N306" i="39"/>
  <c r="P306" i="39"/>
  <c r="R306" i="39"/>
  <c r="T306" i="39"/>
  <c r="M312" i="39"/>
  <c r="P312" i="39"/>
  <c r="P318" i="39"/>
  <c r="R323" i="39"/>
  <c r="V323" i="39"/>
  <c r="BS336" i="39"/>
  <c r="BS339" i="39" s="1"/>
  <c r="BU336" i="39"/>
  <c r="BU339" i="39" s="1"/>
  <c r="BV336" i="39"/>
  <c r="BV342" i="39"/>
  <c r="BU344" i="39"/>
  <c r="BV344" i="39"/>
  <c r="CA388" i="39"/>
  <c r="CB388" i="39"/>
  <c r="Q19" i="39"/>
  <c r="Y19" i="39"/>
  <c r="AG19" i="39"/>
  <c r="O58" i="39"/>
  <c r="O59" i="39" s="1"/>
  <c r="S58" i="39"/>
  <c r="S59" i="39" s="1"/>
  <c r="W58" i="39"/>
  <c r="W59" i="39" s="1"/>
  <c r="AM68" i="39"/>
  <c r="AB132" i="39"/>
  <c r="X240" i="39"/>
  <c r="AM260" i="39"/>
  <c r="M320" i="39"/>
  <c r="P251" i="39"/>
  <c r="BU426" i="39"/>
  <c r="AH68" i="39"/>
  <c r="AU68" i="39"/>
  <c r="AY68" i="39"/>
  <c r="AD76" i="39"/>
  <c r="O17" i="39"/>
  <c r="S17" i="39"/>
  <c r="W24" i="39"/>
  <c r="AA17" i="39"/>
  <c r="AE24" i="39"/>
  <c r="AR24" i="39"/>
  <c r="AV24" i="39"/>
  <c r="AZ24" i="39"/>
  <c r="S25" i="39"/>
  <c r="U18" i="39"/>
  <c r="W25" i="39"/>
  <c r="AA25" i="39"/>
  <c r="AC18" i="39"/>
  <c r="AQ25" i="39"/>
  <c r="AS18" i="39"/>
  <c r="BA18" i="39"/>
  <c r="O19" i="39"/>
  <c r="S19" i="39"/>
  <c r="W19" i="39"/>
  <c r="AA19" i="39"/>
  <c r="BW12" i="39"/>
  <c r="BX12" i="39"/>
  <c r="BY26" i="39" s="1"/>
  <c r="T27" i="39"/>
  <c r="V20" i="39"/>
  <c r="X27" i="39"/>
  <c r="AB27" i="39"/>
  <c r="AL20" i="39"/>
  <c r="AX40" i="39"/>
  <c r="BF40" i="39"/>
  <c r="O50" i="39"/>
  <c r="S50" i="39"/>
  <c r="W50" i="39"/>
  <c r="AA50" i="39"/>
  <c r="BT53" i="39"/>
  <c r="BT54" i="39" s="1"/>
  <c r="BV53" i="39"/>
  <c r="BV54" i="39" s="1"/>
  <c r="BX53" i="39"/>
  <c r="BX54" i="39" s="1"/>
  <c r="AI68" i="39"/>
  <c r="AT68" i="39"/>
  <c r="AX68" i="39"/>
  <c r="BS80" i="39"/>
  <c r="N83" i="39"/>
  <c r="N86" i="39" s="1"/>
  <c r="AD83" i="39"/>
  <c r="T132" i="39"/>
  <c r="X133" i="39"/>
  <c r="Q139" i="39"/>
  <c r="AG139" i="39"/>
  <c r="O141" i="39"/>
  <c r="V141" i="39"/>
  <c r="AA141" i="39"/>
  <c r="AE141" i="39"/>
  <c r="N148" i="39"/>
  <c r="M233" i="39"/>
  <c r="W234" i="39"/>
  <c r="AA234" i="39"/>
  <c r="S240" i="39"/>
  <c r="AF252" i="39"/>
  <c r="T252" i="39"/>
  <c r="AQ260" i="39"/>
  <c r="T275" i="39"/>
  <c r="AD302" i="39"/>
  <c r="Z308" i="39"/>
  <c r="T331" i="39"/>
  <c r="X331" i="39"/>
  <c r="M245" i="39"/>
  <c r="N245" i="39"/>
  <c r="X245" i="39"/>
  <c r="AD245" i="39"/>
  <c r="BX244" i="39"/>
  <c r="Q262" i="39"/>
  <c r="Q265" i="39" s="1"/>
  <c r="U262" i="39"/>
  <c r="Y252" i="39"/>
  <c r="AC262" i="39"/>
  <c r="AG252" i="39"/>
  <c r="P253" i="39"/>
  <c r="AF253" i="39"/>
  <c r="AI259" i="39"/>
  <c r="AP260" i="39"/>
  <c r="AC268" i="39"/>
  <c r="X274" i="39"/>
  <c r="AC275" i="39"/>
  <c r="R302" i="39"/>
  <c r="V302" i="39"/>
  <c r="O306" i="39"/>
  <c r="S306" i="39"/>
  <c r="W308" i="39"/>
  <c r="AA308" i="39"/>
  <c r="P324" i="39"/>
  <c r="R324" i="39"/>
  <c r="V324" i="39"/>
  <c r="X324" i="39"/>
  <c r="Z324" i="39"/>
  <c r="M330" i="39"/>
  <c r="Q330" i="39"/>
  <c r="U330" i="39"/>
  <c r="X330" i="39"/>
  <c r="Y331" i="39"/>
  <c r="AC331" i="39"/>
  <c r="BT426" i="39"/>
  <c r="BS429" i="39"/>
  <c r="R24" i="39"/>
  <c r="V24" i="39"/>
  <c r="Z24" i="39"/>
  <c r="AD24" i="39"/>
  <c r="AH24" i="39"/>
  <c r="N14" i="39"/>
  <c r="N332" i="39" s="1"/>
  <c r="R14" i="39"/>
  <c r="R31" i="39" s="1"/>
  <c r="W17" i="39"/>
  <c r="AE17" i="39"/>
  <c r="AU17" i="39"/>
  <c r="S24" i="39"/>
  <c r="AA24" i="39"/>
  <c r="AI24" i="39"/>
  <c r="AU24" i="39"/>
  <c r="AE25" i="39"/>
  <c r="AU25" i="39"/>
  <c r="V26" i="39"/>
  <c r="AD26" i="39"/>
  <c r="AF27" i="39"/>
  <c r="AS40" i="39"/>
  <c r="AW40" i="39"/>
  <c r="BA40" i="39"/>
  <c r="BE40" i="39"/>
  <c r="AE54" i="39"/>
  <c r="AE58" i="39"/>
  <c r="AE59" i="39" s="1"/>
  <c r="AI54" i="39"/>
  <c r="AI58" i="39"/>
  <c r="AI59" i="39" s="1"/>
  <c r="BS56" i="39"/>
  <c r="L58" i="39"/>
  <c r="L59" i="39" s="1"/>
  <c r="N58" i="39"/>
  <c r="N59" i="39" s="1"/>
  <c r="P58" i="39"/>
  <c r="P59" i="39" s="1"/>
  <c r="R58" i="39"/>
  <c r="R59" i="39" s="1"/>
  <c r="BU56" i="39"/>
  <c r="T58" i="39"/>
  <c r="T59" i="39" s="1"/>
  <c r="V58" i="39"/>
  <c r="V59" i="39" s="1"/>
  <c r="BV56" i="39"/>
  <c r="X58" i="39"/>
  <c r="Z58" i="39"/>
  <c r="Z59" i="39" s="1"/>
  <c r="BW56" i="39"/>
  <c r="AB58" i="39"/>
  <c r="AB59" i="39" s="1"/>
  <c r="AD58" i="39"/>
  <c r="AD59" i="39" s="1"/>
  <c r="AF58" i="39"/>
  <c r="AF59" i="39" s="1"/>
  <c r="AH58" i="39"/>
  <c r="AH59" i="39" s="1"/>
  <c r="AA58" i="39"/>
  <c r="AA59" i="39" s="1"/>
  <c r="AP24" i="39"/>
  <c r="AT24" i="39"/>
  <c r="AX24" i="39"/>
  <c r="T18" i="39"/>
  <c r="X25" i="39"/>
  <c r="AB18" i="39"/>
  <c r="AD25" i="39"/>
  <c r="AF25" i="39"/>
  <c r="AH25" i="39"/>
  <c r="AP25" i="39"/>
  <c r="AR18" i="39"/>
  <c r="AT25" i="39"/>
  <c r="AV25" i="39"/>
  <c r="AX25" i="39"/>
  <c r="U26" i="39"/>
  <c r="AC26" i="39"/>
  <c r="O20" i="39"/>
  <c r="Q27" i="39"/>
  <c r="S14" i="39"/>
  <c r="U27" i="39"/>
  <c r="W27" i="39"/>
  <c r="Y27" i="39"/>
  <c r="AA14" i="39"/>
  <c r="AA309" i="39" s="1"/>
  <c r="AC27" i="39"/>
  <c r="AE20" i="39"/>
  <c r="AG27" i="39"/>
  <c r="AI14" i="39"/>
  <c r="AI133" i="39" s="1"/>
  <c r="AK27" i="39"/>
  <c r="AM20" i="39"/>
  <c r="AR17" i="39"/>
  <c r="AV17" i="39"/>
  <c r="AZ17" i="39"/>
  <c r="R26" i="39"/>
  <c r="Z26" i="39"/>
  <c r="N50" i="39"/>
  <c r="R50" i="39"/>
  <c r="V50" i="39"/>
  <c r="AP40" i="39" s="1"/>
  <c r="Z50" i="39"/>
  <c r="AD51" i="39"/>
  <c r="BS53" i="39"/>
  <c r="BS54" i="39" s="1"/>
  <c r="BW53" i="39"/>
  <c r="BW54" i="39" s="1"/>
  <c r="Q54" i="39"/>
  <c r="Y54" i="39"/>
  <c r="AG54" i="39"/>
  <c r="M58" i="39"/>
  <c r="M59" i="39" s="1"/>
  <c r="Q58" i="39"/>
  <c r="Q59" i="39" s="1"/>
  <c r="U58" i="39"/>
  <c r="U59" i="39" s="1"/>
  <c r="Y58" i="39"/>
  <c r="Y59" i="39" s="1"/>
  <c r="AC58" i="39"/>
  <c r="AC59" i="39" s="1"/>
  <c r="AG58" i="39"/>
  <c r="AG59" i="39" s="1"/>
  <c r="BY58" i="39"/>
  <c r="BZ58" i="39"/>
  <c r="BZ59" i="39" s="1"/>
  <c r="CA58" i="39"/>
  <c r="CA59" i="39" s="1"/>
  <c r="BV65" i="39"/>
  <c r="CC66" i="39"/>
  <c r="CC69" i="39" s="1"/>
  <c r="AN68" i="39"/>
  <c r="AK68" i="39"/>
  <c r="AQ68" i="39"/>
  <c r="BG68" i="39"/>
  <c r="BS72" i="39"/>
  <c r="BT72" i="39"/>
  <c r="BT77" i="39" s="1"/>
  <c r="AB78" i="39"/>
  <c r="AD78" i="39"/>
  <c r="BX72" i="39"/>
  <c r="Z74" i="39"/>
  <c r="Z78" i="39" s="1"/>
  <c r="AH74" i="39"/>
  <c r="AH78" i="39" s="1"/>
  <c r="M83" i="39"/>
  <c r="M86" i="39" s="1"/>
  <c r="O83" i="39"/>
  <c r="O86" i="39" s="1"/>
  <c r="Q83" i="39"/>
  <c r="S83" i="39"/>
  <c r="U83" i="39"/>
  <c r="W83" i="39"/>
  <c r="X84" i="39" s="1"/>
  <c r="Y83" i="39"/>
  <c r="Y84" i="39" s="1"/>
  <c r="AA83" i="39"/>
  <c r="AA86" i="39" s="1"/>
  <c r="AC83" i="39"/>
  <c r="AC86" i="39" s="1"/>
  <c r="AE83" i="39"/>
  <c r="AG83" i="39"/>
  <c r="AI83" i="39"/>
  <c r="O131" i="39"/>
  <c r="W131" i="39"/>
  <c r="AE131" i="39"/>
  <c r="L131" i="39"/>
  <c r="S131" i="39"/>
  <c r="X131" i="39"/>
  <c r="AB131" i="39"/>
  <c r="P132" i="39"/>
  <c r="X132" i="39"/>
  <c r="AF132" i="39"/>
  <c r="L133" i="39"/>
  <c r="T133" i="39"/>
  <c r="AB133" i="39"/>
  <c r="AL137" i="39"/>
  <c r="M139" i="39"/>
  <c r="U139" i="39"/>
  <c r="AC139" i="39"/>
  <c r="BT140" i="39"/>
  <c r="BU140" i="39"/>
  <c r="N141" i="39"/>
  <c r="AD141" i="39"/>
  <c r="AI141" i="39"/>
  <c r="AM141" i="39"/>
  <c r="O144" i="39"/>
  <c r="P144" i="39" s="1"/>
  <c r="P148" i="39" s="1"/>
  <c r="O149" i="39"/>
  <c r="AI149" i="39"/>
  <c r="AM149" i="39"/>
  <c r="Z150" i="39"/>
  <c r="AB150" i="39"/>
  <c r="AF150" i="39"/>
  <c r="T172" i="39"/>
  <c r="AB172" i="39"/>
  <c r="AI193" i="39"/>
  <c r="L194" i="39"/>
  <c r="AB194" i="39"/>
  <c r="V233" i="39"/>
  <c r="Z233" i="39"/>
  <c r="AD234" i="39"/>
  <c r="R233" i="39"/>
  <c r="V234" i="39"/>
  <c r="V235" i="39"/>
  <c r="Z235" i="39"/>
  <c r="N239" i="39"/>
  <c r="R239" i="39"/>
  <c r="T239" i="39"/>
  <c r="V240" i="39"/>
  <c r="Y239" i="39"/>
  <c r="BW238" i="39"/>
  <c r="P239" i="39"/>
  <c r="T240" i="39"/>
  <c r="T241" i="39"/>
  <c r="X241" i="39"/>
  <c r="AB245" i="39"/>
  <c r="U245" i="39"/>
  <c r="Y245" i="39"/>
  <c r="L247" i="39"/>
  <c r="X247" i="39"/>
  <c r="BS250" i="39"/>
  <c r="BS252" i="39" s="1"/>
  <c r="R262" i="39"/>
  <c r="V252" i="39"/>
  <c r="BV250" i="39"/>
  <c r="AD251" i="39"/>
  <c r="AF251" i="39"/>
  <c r="U252" i="39"/>
  <c r="AL259" i="39"/>
  <c r="AN259" i="39"/>
  <c r="CA258" i="39"/>
  <c r="CC258" i="39"/>
  <c r="CD258" i="39"/>
  <c r="CE260" i="39" s="1"/>
  <c r="BS267" i="39"/>
  <c r="BS270" i="39" s="1"/>
  <c r="BU267" i="39"/>
  <c r="X268" i="39"/>
  <c r="BW267" i="39"/>
  <c r="AD268" i="39"/>
  <c r="S270" i="39"/>
  <c r="AA270" i="39"/>
  <c r="AL68" i="39"/>
  <c r="AP68" i="39"/>
  <c r="BF68" i="39"/>
  <c r="AZ68" i="39"/>
  <c r="AI78" i="39"/>
  <c r="AA74" i="39"/>
  <c r="AA78" i="39" s="1"/>
  <c r="AI76" i="39"/>
  <c r="P83" i="39"/>
  <c r="R83" i="39"/>
  <c r="T83" i="39"/>
  <c r="T85" i="39" s="1"/>
  <c r="V83" i="39"/>
  <c r="Z83" i="39"/>
  <c r="AF83" i="39"/>
  <c r="AH83" i="39"/>
  <c r="AH86" i="39" s="1"/>
  <c r="K131" i="39"/>
  <c r="P131" i="39"/>
  <c r="T131" i="39"/>
  <c r="AA131" i="39"/>
  <c r="AF131" i="39"/>
  <c r="L132" i="39"/>
  <c r="P133" i="39"/>
  <c r="N214" i="39"/>
  <c r="R214" i="39"/>
  <c r="AD214" i="39"/>
  <c r="BX140" i="39"/>
  <c r="AL141" i="39"/>
  <c r="Z149" i="39"/>
  <c r="AD149" i="39"/>
  <c r="AH149" i="39"/>
  <c r="AL149" i="39"/>
  <c r="L150" i="39"/>
  <c r="AJ150" i="39"/>
  <c r="L172" i="39"/>
  <c r="X172" i="39"/>
  <c r="AJ194" i="39"/>
  <c r="T194" i="39"/>
  <c r="Q234" i="39"/>
  <c r="U234" i="39"/>
  <c r="Y234" i="39"/>
  <c r="AC234" i="39"/>
  <c r="AG234" i="39"/>
  <c r="AD233" i="39"/>
  <c r="M235" i="39"/>
  <c r="U235" i="39"/>
  <c r="Y235" i="39"/>
  <c r="AC235" i="39"/>
  <c r="O239" i="39"/>
  <c r="U240" i="39"/>
  <c r="W240" i="39"/>
  <c r="Y240" i="39"/>
  <c r="AC240" i="39"/>
  <c r="AG240" i="39"/>
  <c r="Q239" i="39"/>
  <c r="M241" i="39"/>
  <c r="U241" i="39"/>
  <c r="Y241" i="39"/>
  <c r="AG241" i="39"/>
  <c r="BV244" i="39"/>
  <c r="AC245" i="39"/>
  <c r="AF247" i="39"/>
  <c r="AB251" i="39"/>
  <c r="AO260" i="39"/>
  <c r="AU260" i="39"/>
  <c r="AM259" i="39"/>
  <c r="Q270" i="39"/>
  <c r="Y271" i="39"/>
  <c r="Y270" i="39"/>
  <c r="AE271" i="39"/>
  <c r="AE270" i="39"/>
  <c r="AF268" i="39"/>
  <c r="W270" i="39"/>
  <c r="M274" i="39"/>
  <c r="M276" i="39"/>
  <c r="Q276" i="39"/>
  <c r="Q275" i="39"/>
  <c r="U275" i="39"/>
  <c r="U276" i="39"/>
  <c r="Y319" i="39"/>
  <c r="N274" i="39"/>
  <c r="V275" i="39"/>
  <c r="AD274" i="39"/>
  <c r="Y274" i="39"/>
  <c r="P275" i="39"/>
  <c r="Y275" i="39"/>
  <c r="AF275" i="39"/>
  <c r="AC276" i="39"/>
  <c r="BS278" i="39"/>
  <c r="L280" i="39"/>
  <c r="L283" i="39" s="1"/>
  <c r="BS299" i="39"/>
  <c r="BT299" i="39"/>
  <c r="AC300" i="39"/>
  <c r="AW301" i="39" s="1"/>
  <c r="V300" i="39"/>
  <c r="X300" i="39"/>
  <c r="AB300" i="39"/>
  <c r="AV301" i="39" s="1"/>
  <c r="AB302" i="39"/>
  <c r="M306" i="39"/>
  <c r="U306" i="39"/>
  <c r="Z306" i="39"/>
  <c r="AC306" i="39"/>
  <c r="AI305" i="39"/>
  <c r="AI372" i="39" s="1"/>
  <c r="BU305" i="39"/>
  <c r="Y306" i="39"/>
  <c r="AD306" i="39"/>
  <c r="S308" i="39"/>
  <c r="AB308" i="39"/>
  <c r="AE308" i="39"/>
  <c r="X314" i="39"/>
  <c r="AB312" i="39"/>
  <c r="M318" i="39"/>
  <c r="AB323" i="39"/>
  <c r="AB324" i="39"/>
  <c r="AA331" i="39"/>
  <c r="BV327" i="39"/>
  <c r="AC330" i="39"/>
  <c r="U331" i="39"/>
  <c r="M346" i="39"/>
  <c r="Q346" i="39"/>
  <c r="Q349" i="39" s="1"/>
  <c r="U346" i="39"/>
  <c r="U349" i="39" s="1"/>
  <c r="W346" i="39"/>
  <c r="W349" i="39" s="1"/>
  <c r="AA346" i="39"/>
  <c r="AA349" i="39" s="1"/>
  <c r="AC346" i="39"/>
  <c r="AG346" i="39"/>
  <c r="AG349" i="39" s="1"/>
  <c r="O346" i="39"/>
  <c r="O349" i="39" s="1"/>
  <c r="BT344" i="39"/>
  <c r="AE346" i="39"/>
  <c r="AI346" i="39"/>
  <c r="CD388" i="39"/>
  <c r="P444" i="39"/>
  <c r="P446" i="39" s="1"/>
  <c r="X444" i="39"/>
  <c r="X446" i="39" s="1"/>
  <c r="O444" i="39"/>
  <c r="O446" i="39" s="1"/>
  <c r="S444" i="39"/>
  <c r="W444" i="39"/>
  <c r="AF444" i="39"/>
  <c r="AF446" i="39" s="1"/>
  <c r="AC274" i="39"/>
  <c r="AG275" i="39"/>
  <c r="M280" i="39"/>
  <c r="M283" i="39" s="1"/>
  <c r="Q280" i="39"/>
  <c r="U280" i="39"/>
  <c r="U283" i="39" s="1"/>
  <c r="Y280" i="39"/>
  <c r="V308" i="39"/>
  <c r="AA306" i="39"/>
  <c r="AE306" i="39"/>
  <c r="R308" i="39"/>
  <c r="AD308" i="39"/>
  <c r="AH308" i="39"/>
  <c r="U312" i="39"/>
  <c r="Q319" i="39"/>
  <c r="P323" i="39"/>
  <c r="AD324" i="39"/>
  <c r="N330" i="39"/>
  <c r="P330" i="39"/>
  <c r="R331" i="39"/>
  <c r="V331" i="39"/>
  <c r="Z331" i="39"/>
  <c r="AB331" i="39"/>
  <c r="AD331" i="39"/>
  <c r="AF330" i="39"/>
  <c r="N346" i="39"/>
  <c r="N349" i="39" s="1"/>
  <c r="R346" i="39"/>
  <c r="R349" i="39" s="1"/>
  <c r="V346" i="39"/>
  <c r="Z346" i="39"/>
  <c r="Z349" i="39" s="1"/>
  <c r="AD346" i="39"/>
  <c r="AD349" i="39" s="1"/>
  <c r="AH346" i="39"/>
  <c r="AH349" i="39" s="1"/>
  <c r="R444" i="39"/>
  <c r="R446" i="39" s="1"/>
  <c r="D92" i="2"/>
  <c r="BR41" i="2"/>
  <c r="BV41" i="2"/>
  <c r="BZ33" i="2"/>
  <c r="BZ41" i="2" s="1"/>
  <c r="AP70" i="3"/>
  <c r="AT70" i="3"/>
  <c r="AX70" i="3"/>
  <c r="G115" i="2"/>
  <c r="O115" i="2"/>
  <c r="W115" i="2"/>
  <c r="AA115" i="2"/>
  <c r="AE115" i="2"/>
  <c r="AI115" i="2"/>
  <c r="AM115" i="2"/>
  <c r="AQ115" i="2"/>
  <c r="AU115" i="2"/>
  <c r="BA115" i="2"/>
  <c r="BE115" i="2"/>
  <c r="BR115" i="2"/>
  <c r="BV115" i="2"/>
  <c r="BZ115" i="2"/>
  <c r="AT669" i="39"/>
  <c r="T47" i="2"/>
  <c r="AB47" i="2"/>
  <c r="AF47" i="2"/>
  <c r="H80" i="2"/>
  <c r="R80" i="2"/>
  <c r="AB80" i="2"/>
  <c r="AL80" i="2"/>
  <c r="AS115" i="2"/>
  <c r="AW115" i="2"/>
  <c r="BC115" i="2"/>
  <c r="BG115" i="2"/>
  <c r="R469" i="39"/>
  <c r="R470" i="39" s="1"/>
  <c r="R472" i="39" s="1"/>
  <c r="Z469" i="39"/>
  <c r="L547" i="39"/>
  <c r="L549" i="39" s="1"/>
  <c r="N547" i="39"/>
  <c r="N549" i="39" s="1"/>
  <c r="P547" i="39"/>
  <c r="P549" i="39" s="1"/>
  <c r="R547" i="39"/>
  <c r="R549" i="39" s="1"/>
  <c r="U547" i="39"/>
  <c r="U549" i="39" s="1"/>
  <c r="X547" i="39"/>
  <c r="X549" i="39" s="1"/>
  <c r="Z547" i="39"/>
  <c r="Z549" i="39" s="1"/>
  <c r="AC547" i="39"/>
  <c r="AC549" i="39" s="1"/>
  <c r="AE547" i="39"/>
  <c r="AE549" i="39" s="1"/>
  <c r="F13" i="3"/>
  <c r="I13" i="3"/>
  <c r="N13" i="3"/>
  <c r="Q13" i="3"/>
  <c r="V13" i="3"/>
  <c r="Y13" i="3"/>
  <c r="AB78" i="3"/>
  <c r="AB405" i="39"/>
  <c r="AD13" i="3"/>
  <c r="AG13" i="3"/>
  <c r="AL13" i="3"/>
  <c r="AO13" i="3"/>
  <c r="AR358" i="39"/>
  <c r="AT13" i="3"/>
  <c r="AW13" i="3"/>
  <c r="AX13" i="3" s="1"/>
  <c r="AX78" i="3" s="1"/>
  <c r="BR14" i="3"/>
  <c r="AC17" i="3"/>
  <c r="AD17" i="3" s="1"/>
  <c r="AE17" i="3" s="1"/>
  <c r="AK17" i="3"/>
  <c r="AL17" i="3" s="1"/>
  <c r="AS17" i="3"/>
  <c r="AT17" i="3" s="1"/>
  <c r="E30" i="3"/>
  <c r="F30" i="3" s="1"/>
  <c r="H36" i="3"/>
  <c r="Y30" i="3"/>
  <c r="AC30" i="3"/>
  <c r="AG30" i="3"/>
  <c r="AG88" i="3" s="1"/>
  <c r="AK30" i="3"/>
  <c r="AL30" i="3" s="1"/>
  <c r="AL31" i="3"/>
  <c r="AM31" i="3" s="1"/>
  <c r="AP31" i="3"/>
  <c r="AQ31" i="3" s="1"/>
  <c r="BQ33" i="3"/>
  <c r="AD33" i="3"/>
  <c r="AE33" i="3" s="1"/>
  <c r="BW33" i="3" s="1"/>
  <c r="AH33" i="3"/>
  <c r="AT33" i="3"/>
  <c r="AU33" i="3" s="1"/>
  <c r="CA33" i="3" s="1"/>
  <c r="AX33" i="3"/>
  <c r="AY33" i="3" s="1"/>
  <c r="E34" i="3"/>
  <c r="F34" i="3" s="1"/>
  <c r="G34" i="3" s="1"/>
  <c r="CB33" i="3"/>
  <c r="BU34" i="3"/>
  <c r="AD35" i="3"/>
  <c r="AE35" i="3" s="1"/>
  <c r="AL35" i="3"/>
  <c r="AM35" i="3" s="1"/>
  <c r="AT35" i="3"/>
  <c r="AU35" i="3" s="1"/>
  <c r="AC78" i="3"/>
  <c r="AC76" i="3" s="1"/>
  <c r="AC75" i="3" s="1"/>
  <c r="AC79" i="3" s="1"/>
  <c r="AC405" i="39"/>
  <c r="AH13" i="3"/>
  <c r="AP13" i="3"/>
  <c r="BT20" i="3"/>
  <c r="BX20" i="3"/>
  <c r="CB20" i="3"/>
  <c r="BR21" i="3"/>
  <c r="BV21" i="3"/>
  <c r="BZ21" i="3"/>
  <c r="BS22" i="3"/>
  <c r="BW22" i="3"/>
  <c r="CA22" i="3"/>
  <c r="BS23" i="3"/>
  <c r="BW23" i="3"/>
  <c r="CA23" i="3"/>
  <c r="BT24" i="3"/>
  <c r="BX24" i="3"/>
  <c r="CB24" i="3"/>
  <c r="BR25" i="3"/>
  <c r="BU25" i="3"/>
  <c r="BV25" i="3"/>
  <c r="BY25" i="3"/>
  <c r="BZ25" i="3"/>
  <c r="BR26" i="3"/>
  <c r="BS26" i="3"/>
  <c r="BW26" i="3"/>
  <c r="BY26" i="3"/>
  <c r="I33" i="3"/>
  <c r="J33" i="3" s="1"/>
  <c r="K33" i="3" s="1"/>
  <c r="U33" i="3"/>
  <c r="V33" i="3" s="1"/>
  <c r="W33" i="3" s="1"/>
  <c r="Y33" i="3"/>
  <c r="Z33" i="3" s="1"/>
  <c r="AA33" i="3" s="1"/>
  <c r="AK33" i="3"/>
  <c r="AL33" i="3" s="1"/>
  <c r="AO33" i="3"/>
  <c r="AP33" i="3" s="1"/>
  <c r="BA33" i="3"/>
  <c r="BA34" i="3"/>
  <c r="I41" i="3"/>
  <c r="J41" i="3" s="1"/>
  <c r="K41" i="3" s="1"/>
  <c r="Q41" i="3"/>
  <c r="R41" i="3" s="1"/>
  <c r="S41" i="3" s="1"/>
  <c r="Y41" i="3"/>
  <c r="Z41" i="3" s="1"/>
  <c r="AA41" i="3" s="1"/>
  <c r="R43" i="3"/>
  <c r="S43" i="3" s="1"/>
  <c r="BV42" i="3"/>
  <c r="AH43" i="3"/>
  <c r="AI43" i="3" s="1"/>
  <c r="AP43" i="3"/>
  <c r="AQ43" i="3" s="1"/>
  <c r="BZ43" i="3" s="1"/>
  <c r="AX43" i="3"/>
  <c r="AY43" i="3" s="1"/>
  <c r="BQ47" i="3"/>
  <c r="BE47" i="3"/>
  <c r="BF47" i="3" s="1"/>
  <c r="BG47" i="3" s="1"/>
  <c r="BH47" i="3" s="1"/>
  <c r="G70" i="3"/>
  <c r="K70" i="3"/>
  <c r="O70" i="3"/>
  <c r="S70" i="3"/>
  <c r="W70" i="3"/>
  <c r="AA70" i="3"/>
  <c r="AE70" i="3"/>
  <c r="AI70" i="3"/>
  <c r="AM70" i="3"/>
  <c r="BT139" i="3"/>
  <c r="BV139" i="3"/>
  <c r="BA358" i="39"/>
  <c r="BT131" i="3"/>
  <c r="BX131" i="3"/>
  <c r="BQ144" i="3"/>
  <c r="E144" i="3"/>
  <c r="BZ41" i="3"/>
  <c r="BQ42" i="3"/>
  <c r="BU42" i="3"/>
  <c r="BY42" i="3"/>
  <c r="D70" i="3"/>
  <c r="F70" i="3"/>
  <c r="H70" i="3"/>
  <c r="J70" i="3"/>
  <c r="L70" i="3"/>
  <c r="P70" i="3"/>
  <c r="T70" i="3"/>
  <c r="X70" i="3"/>
  <c r="AB70" i="3"/>
  <c r="AF70" i="3"/>
  <c r="AJ70" i="3"/>
  <c r="AN70" i="3"/>
  <c r="AQ70" i="3"/>
  <c r="AU70" i="3"/>
  <c r="AY70" i="3"/>
  <c r="BQ131" i="3"/>
  <c r="BS131" i="3"/>
  <c r="BW131" i="3"/>
  <c r="CA131" i="3"/>
  <c r="BU131" i="3"/>
  <c r="BY131" i="3"/>
  <c r="BZ139" i="3"/>
  <c r="BU139" i="3"/>
  <c r="BY139" i="3"/>
  <c r="BS139" i="3"/>
  <c r="BW139" i="3"/>
  <c r="AV92" i="2"/>
  <c r="AZ92" i="2"/>
  <c r="AV41" i="2"/>
  <c r="AZ41" i="2"/>
  <c r="BQ62" i="2"/>
  <c r="BU62" i="2"/>
  <c r="BU68" i="2" s="1"/>
  <c r="BU71" i="2" s="1"/>
  <c r="BY62" i="2"/>
  <c r="BY68" i="2" s="1"/>
  <c r="BZ62" i="2"/>
  <c r="M71" i="2"/>
  <c r="Y71" i="2"/>
  <c r="CC36" i="2"/>
  <c r="BE36" i="2"/>
  <c r="BF36" i="2" s="1"/>
  <c r="BG36" i="2" s="1"/>
  <c r="AH71" i="2"/>
  <c r="AS71" i="2"/>
  <c r="BZ83" i="2"/>
  <c r="BZ149" i="3"/>
  <c r="CB149" i="3"/>
  <c r="CB54" i="3"/>
  <c r="CB84" i="2"/>
  <c r="BX69" i="3"/>
  <c r="BX66" i="3"/>
  <c r="BX67" i="3" s="1"/>
  <c r="CB69" i="3"/>
  <c r="CB66" i="3"/>
  <c r="CB67" i="3" s="1"/>
  <c r="Q71" i="2"/>
  <c r="AC71" i="2"/>
  <c r="AG71" i="2"/>
  <c r="AK71" i="2"/>
  <c r="AO71" i="2"/>
  <c r="AW71" i="2"/>
  <c r="AN86" i="2"/>
  <c r="AF86" i="2"/>
  <c r="AR86" i="2"/>
  <c r="AV86" i="2"/>
  <c r="BS17" i="2"/>
  <c r="BS149" i="3"/>
  <c r="BW17" i="2"/>
  <c r="BW26" i="2" s="1"/>
  <c r="BW65" i="3" s="1"/>
  <c r="BW149" i="3"/>
  <c r="BY83" i="2"/>
  <c r="BY86" i="2" s="1"/>
  <c r="BY149" i="3"/>
  <c r="CA54" i="3"/>
  <c r="CA149" i="3"/>
  <c r="BU17" i="2"/>
  <c r="BU26" i="2" s="1"/>
  <c r="BU65" i="3" s="1"/>
  <c r="CA66" i="3"/>
  <c r="CA67" i="3" s="1"/>
  <c r="CA69" i="3"/>
  <c r="CA41" i="2"/>
  <c r="CB41" i="2"/>
  <c r="BE59" i="2"/>
  <c r="BF59" i="2" s="1"/>
  <c r="BG59" i="2" s="1"/>
  <c r="BR62" i="2"/>
  <c r="BR68" i="2" s="1"/>
  <c r="BR71" i="2" s="1"/>
  <c r="BT62" i="2"/>
  <c r="BT68" i="2" s="1"/>
  <c r="BT71" i="2" s="1"/>
  <c r="AD71" i="2"/>
  <c r="AM86" i="2"/>
  <c r="AQ86" i="2"/>
  <c r="BU70" i="3"/>
  <c r="BV75" i="2"/>
  <c r="BV78" i="2" s="1"/>
  <c r="BX75" i="2"/>
  <c r="BX78" i="2" s="1"/>
  <c r="BZ75" i="2"/>
  <c r="BZ78" i="2" s="1"/>
  <c r="CB104" i="1"/>
  <c r="CB75" i="2"/>
  <c r="CB78" i="2" s="1"/>
  <c r="D669" i="39"/>
  <c r="D167" i="3"/>
  <c r="D115" i="2"/>
  <c r="F669" i="39"/>
  <c r="F167" i="3"/>
  <c r="F115" i="2"/>
  <c r="H669" i="39"/>
  <c r="H167" i="3"/>
  <c r="H115" i="2"/>
  <c r="J167" i="3"/>
  <c r="J115" i="2"/>
  <c r="J669" i="39"/>
  <c r="L669" i="39"/>
  <c r="L167" i="3"/>
  <c r="L115" i="2"/>
  <c r="N669" i="39"/>
  <c r="N167" i="3"/>
  <c r="N115" i="2"/>
  <c r="P669" i="39"/>
  <c r="P167" i="3"/>
  <c r="P115" i="2"/>
  <c r="R669" i="39"/>
  <c r="R167" i="3"/>
  <c r="R115" i="2"/>
  <c r="T669" i="39"/>
  <c r="T167" i="3"/>
  <c r="T115" i="2"/>
  <c r="V669" i="39"/>
  <c r="V167" i="3"/>
  <c r="V115" i="2"/>
  <c r="X669" i="39"/>
  <c r="X167" i="3"/>
  <c r="X115" i="2"/>
  <c r="Z167" i="3"/>
  <c r="Z669" i="39"/>
  <c r="Z115" i="2"/>
  <c r="AB669" i="39"/>
  <c r="AB167" i="3"/>
  <c r="AB115" i="2"/>
  <c r="AD669" i="39"/>
  <c r="AD167" i="3"/>
  <c r="AD115" i="2"/>
  <c r="AF669" i="39"/>
  <c r="AF167" i="3"/>
  <c r="AF115" i="2"/>
  <c r="AH669" i="39"/>
  <c r="AH167" i="3"/>
  <c r="AH115" i="2"/>
  <c r="AJ669" i="39"/>
  <c r="AJ167" i="3"/>
  <c r="AJ115" i="2"/>
  <c r="AL669" i="39"/>
  <c r="AL167" i="3"/>
  <c r="AL115" i="2"/>
  <c r="AN669" i="39"/>
  <c r="AN167" i="3"/>
  <c r="AN115" i="2"/>
  <c r="AP167" i="3"/>
  <c r="AP115" i="2"/>
  <c r="AP669" i="39"/>
  <c r="AR167" i="3"/>
  <c r="AR115" i="2"/>
  <c r="AT167" i="3"/>
  <c r="AT115" i="2"/>
  <c r="AV167" i="3"/>
  <c r="AV115" i="2"/>
  <c r="AZ167" i="3"/>
  <c r="AZ115" i="2"/>
  <c r="BB167" i="3"/>
  <c r="BB115" i="2"/>
  <c r="BD167" i="3"/>
  <c r="BD115" i="2"/>
  <c r="BF167" i="3"/>
  <c r="BF115" i="2"/>
  <c r="AS669" i="39"/>
  <c r="BQ669" i="39"/>
  <c r="BQ167" i="3"/>
  <c r="BQ115" i="2"/>
  <c r="AU669" i="39"/>
  <c r="BS669" i="39"/>
  <c r="BS167" i="3"/>
  <c r="BS115" i="2"/>
  <c r="AW669" i="39"/>
  <c r="BU669" i="39"/>
  <c r="BU167" i="3"/>
  <c r="BU115" i="2"/>
  <c r="AY669" i="39"/>
  <c r="BW167" i="3"/>
  <c r="BW669" i="39"/>
  <c r="BW115" i="2"/>
  <c r="BA669" i="39"/>
  <c r="BY669" i="39"/>
  <c r="BY167" i="3"/>
  <c r="BY115" i="2"/>
  <c r="BC669" i="39"/>
  <c r="CA669" i="39"/>
  <c r="CA167" i="3"/>
  <c r="CA115" i="2"/>
  <c r="CD669" i="39"/>
  <c r="AY80" i="2"/>
  <c r="CD115" i="2"/>
  <c r="E9" i="3"/>
  <c r="E59" i="3" s="1"/>
  <c r="E74" i="3" s="1"/>
  <c r="E82" i="3" s="1"/>
  <c r="I9" i="3"/>
  <c r="I104" i="3" s="1"/>
  <c r="M9" i="3"/>
  <c r="M104" i="3" s="1"/>
  <c r="Q9" i="3"/>
  <c r="Q104" i="3" s="1"/>
  <c r="U9" i="3"/>
  <c r="U104" i="3" s="1"/>
  <c r="Y9" i="3"/>
  <c r="Y104" i="3" s="1"/>
  <c r="AC9" i="3"/>
  <c r="AC104" i="3" s="1"/>
  <c r="AG9" i="3"/>
  <c r="AG104" i="3" s="1"/>
  <c r="AK9" i="3"/>
  <c r="AK104" i="3" s="1"/>
  <c r="AO9" i="3"/>
  <c r="AO104" i="3" s="1"/>
  <c r="AS9" i="3"/>
  <c r="AS104" i="3" s="1"/>
  <c r="AW9" i="3"/>
  <c r="AW104" i="3" s="1"/>
  <c r="BA9" i="3"/>
  <c r="BA59" i="3" s="1"/>
  <c r="BA74" i="3" s="1"/>
  <c r="BA82" i="3" s="1"/>
  <c r="BE9" i="3"/>
  <c r="BE104" i="3" s="1"/>
  <c r="BR9" i="3"/>
  <c r="BR59" i="3" s="1"/>
  <c r="BR74" i="3" s="1"/>
  <c r="BR82" i="3" s="1"/>
  <c r="BV9" i="3"/>
  <c r="BZ9" i="3"/>
  <c r="CD9" i="3"/>
  <c r="CD104" i="3" s="1"/>
  <c r="BW75" i="2"/>
  <c r="BW78" i="2" s="1"/>
  <c r="BY75" i="2"/>
  <c r="BY78" i="2" s="1"/>
  <c r="CA75" i="2"/>
  <c r="CA78" i="2" s="1"/>
  <c r="E669" i="39"/>
  <c r="E167" i="3"/>
  <c r="G669" i="39"/>
  <c r="I669" i="39"/>
  <c r="I167" i="3"/>
  <c r="K669" i="39"/>
  <c r="M669" i="39"/>
  <c r="M167" i="3"/>
  <c r="O669" i="39"/>
  <c r="Q669" i="39"/>
  <c r="Q167" i="3"/>
  <c r="S669" i="39"/>
  <c r="U669" i="39"/>
  <c r="U167" i="3"/>
  <c r="W669" i="39"/>
  <c r="O47" i="2"/>
  <c r="AE47" i="2"/>
  <c r="AI47" i="2"/>
  <c r="AM47" i="2"/>
  <c r="AQ47" i="2"/>
  <c r="AY47" i="2"/>
  <c r="E80" i="2"/>
  <c r="I80" i="2"/>
  <c r="M80" i="2"/>
  <c r="Q80" i="2"/>
  <c r="U80" i="2"/>
  <c r="Y80" i="2"/>
  <c r="AC80" i="2"/>
  <c r="AG80" i="2"/>
  <c r="AK80" i="2"/>
  <c r="AO80" i="2"/>
  <c r="AS80" i="2"/>
  <c r="AW80" i="2"/>
  <c r="BA80" i="2"/>
  <c r="E115" i="2"/>
  <c r="I115" i="2"/>
  <c r="M115" i="2"/>
  <c r="Q115" i="2"/>
  <c r="U115" i="2"/>
  <c r="G9" i="3"/>
  <c r="G59" i="3" s="1"/>
  <c r="G74" i="3" s="1"/>
  <c r="G82" i="3" s="1"/>
  <c r="K9" i="3"/>
  <c r="K59" i="3" s="1"/>
  <c r="K74" i="3" s="1"/>
  <c r="K82" i="3" s="1"/>
  <c r="O9" i="3"/>
  <c r="O59" i="3" s="1"/>
  <c r="O74" i="3" s="1"/>
  <c r="O82" i="3" s="1"/>
  <c r="S9" i="3"/>
  <c r="S59" i="3" s="1"/>
  <c r="S74" i="3" s="1"/>
  <c r="S82" i="3" s="1"/>
  <c r="W9" i="3"/>
  <c r="W59" i="3" s="1"/>
  <c r="W74" i="3" s="1"/>
  <c r="W82" i="3" s="1"/>
  <c r="AA9" i="3"/>
  <c r="AA104" i="3" s="1"/>
  <c r="AE9" i="3"/>
  <c r="AE59" i="3" s="1"/>
  <c r="AE74" i="3" s="1"/>
  <c r="AE82" i="3" s="1"/>
  <c r="AI9" i="3"/>
  <c r="AI104" i="3" s="1"/>
  <c r="AM9" i="3"/>
  <c r="AM59" i="3" s="1"/>
  <c r="AM74" i="3" s="1"/>
  <c r="AM82" i="3" s="1"/>
  <c r="AQ9" i="3"/>
  <c r="AQ104" i="3" s="1"/>
  <c r="AU9" i="3"/>
  <c r="AU59" i="3" s="1"/>
  <c r="AU74" i="3" s="1"/>
  <c r="AU82" i="3" s="1"/>
  <c r="AY9" i="3"/>
  <c r="AY104" i="3" s="1"/>
  <c r="BC9" i="3"/>
  <c r="BC59" i="3" s="1"/>
  <c r="BC74" i="3" s="1"/>
  <c r="BC82" i="3" s="1"/>
  <c r="BG9" i="3"/>
  <c r="BG59" i="3" s="1"/>
  <c r="BG74" i="3" s="1"/>
  <c r="BG82" i="3" s="1"/>
  <c r="BT9" i="3"/>
  <c r="BT59" i="3" s="1"/>
  <c r="BT74" i="3" s="1"/>
  <c r="BT82" i="3" s="1"/>
  <c r="BX9" i="3"/>
  <c r="CB9" i="3"/>
  <c r="K167" i="3"/>
  <c r="S167" i="3"/>
  <c r="CD167" i="3"/>
  <c r="Y669" i="39"/>
  <c r="AA669" i="39"/>
  <c r="AC669" i="39"/>
  <c r="AE669" i="39"/>
  <c r="AG669" i="39"/>
  <c r="AI669" i="39"/>
  <c r="AK669" i="39"/>
  <c r="AM669" i="39"/>
  <c r="AO669" i="39"/>
  <c r="AQ669" i="39"/>
  <c r="BR669" i="39"/>
  <c r="BT669" i="39"/>
  <c r="AV669" i="39"/>
  <c r="BV669" i="39"/>
  <c r="AX669" i="39"/>
  <c r="BX669" i="39"/>
  <c r="AZ669" i="39"/>
  <c r="BZ669" i="39"/>
  <c r="BB669" i="39"/>
  <c r="CC669" i="39"/>
  <c r="CC167" i="3"/>
  <c r="CE167" i="3"/>
  <c r="F78" i="2"/>
  <c r="V78" i="2"/>
  <c r="AH78" i="2"/>
  <c r="J80" i="2"/>
  <c r="N80" i="2"/>
  <c r="Z80" i="2"/>
  <c r="AD80" i="2"/>
  <c r="AP80" i="2"/>
  <c r="AT80" i="2"/>
  <c r="CC115" i="2"/>
  <c r="CE115" i="2"/>
  <c r="D9" i="3"/>
  <c r="D59" i="3" s="1"/>
  <c r="D74" i="3" s="1"/>
  <c r="D82" i="3" s="1"/>
  <c r="F9" i="3"/>
  <c r="F104" i="3" s="1"/>
  <c r="H9" i="3"/>
  <c r="H59" i="3" s="1"/>
  <c r="H74" i="3" s="1"/>
  <c r="H82" i="3" s="1"/>
  <c r="J9" i="3"/>
  <c r="J104" i="3" s="1"/>
  <c r="L9" i="3"/>
  <c r="L59" i="3" s="1"/>
  <c r="L74" i="3" s="1"/>
  <c r="L82" i="3" s="1"/>
  <c r="N9" i="3"/>
  <c r="N104" i="3" s="1"/>
  <c r="P9" i="3"/>
  <c r="P59" i="3" s="1"/>
  <c r="P74" i="3" s="1"/>
  <c r="P82" i="3" s="1"/>
  <c r="R9" i="3"/>
  <c r="R104" i="3" s="1"/>
  <c r="T9" i="3"/>
  <c r="T59" i="3" s="1"/>
  <c r="T74" i="3" s="1"/>
  <c r="T82" i="3" s="1"/>
  <c r="V9" i="3"/>
  <c r="V104" i="3" s="1"/>
  <c r="X9" i="3"/>
  <c r="X59" i="3" s="1"/>
  <c r="X74" i="3" s="1"/>
  <c r="X82" i="3" s="1"/>
  <c r="Z9" i="3"/>
  <c r="Z104" i="3" s="1"/>
  <c r="AB9" i="3"/>
  <c r="AB59" i="3" s="1"/>
  <c r="AB74" i="3" s="1"/>
  <c r="AB82" i="3" s="1"/>
  <c r="AD9" i="3"/>
  <c r="AD104" i="3" s="1"/>
  <c r="AF9" i="3"/>
  <c r="AF59" i="3" s="1"/>
  <c r="AF74" i="3" s="1"/>
  <c r="AF82" i="3" s="1"/>
  <c r="AH9" i="3"/>
  <c r="AH104" i="3" s="1"/>
  <c r="AJ9" i="3"/>
  <c r="AJ59" i="3" s="1"/>
  <c r="AJ74" i="3" s="1"/>
  <c r="AJ82" i="3" s="1"/>
  <c r="AL9" i="3"/>
  <c r="AL104" i="3" s="1"/>
  <c r="AN9" i="3"/>
  <c r="AN59" i="3" s="1"/>
  <c r="AN74" i="3" s="1"/>
  <c r="AN82" i="3" s="1"/>
  <c r="AP9" i="3"/>
  <c r="AP104" i="3" s="1"/>
  <c r="AR9" i="3"/>
  <c r="AR59" i="3" s="1"/>
  <c r="AR74" i="3" s="1"/>
  <c r="AR82" i="3" s="1"/>
  <c r="AT9" i="3"/>
  <c r="AT104" i="3" s="1"/>
  <c r="AV9" i="3"/>
  <c r="AV59" i="3" s="1"/>
  <c r="AV74" i="3" s="1"/>
  <c r="AV82" i="3" s="1"/>
  <c r="AX9" i="3"/>
  <c r="AX104" i="3" s="1"/>
  <c r="AZ9" i="3"/>
  <c r="AZ59" i="3" s="1"/>
  <c r="AZ74" i="3" s="1"/>
  <c r="AZ82" i="3" s="1"/>
  <c r="BB9" i="3"/>
  <c r="BB104" i="3" s="1"/>
  <c r="BD9" i="3"/>
  <c r="BD59" i="3" s="1"/>
  <c r="BD74" i="3" s="1"/>
  <c r="BD82" i="3" s="1"/>
  <c r="BF9" i="3"/>
  <c r="BF104" i="3" s="1"/>
  <c r="BQ9" i="3"/>
  <c r="BQ59" i="3" s="1"/>
  <c r="BQ74" i="3" s="1"/>
  <c r="BQ82" i="3" s="1"/>
  <c r="BS9" i="3"/>
  <c r="BS104" i="3" s="1"/>
  <c r="BU9" i="3"/>
  <c r="BU59" i="3" s="1"/>
  <c r="BU74" i="3" s="1"/>
  <c r="BU82" i="3" s="1"/>
  <c r="BW9" i="3"/>
  <c r="BY9" i="3"/>
  <c r="CA9" i="3"/>
  <c r="CC9" i="3"/>
  <c r="CC59" i="3" s="1"/>
  <c r="CC74" i="3" s="1"/>
  <c r="CC82" i="3" s="1"/>
  <c r="CE9" i="3"/>
  <c r="Y167" i="3"/>
  <c r="AC167" i="3"/>
  <c r="AG167" i="3"/>
  <c r="AK167" i="3"/>
  <c r="AO167" i="3"/>
  <c r="BT167" i="3"/>
  <c r="BX167" i="3"/>
  <c r="O469" i="39"/>
  <c r="O470" i="39" s="1"/>
  <c r="O472" i="39" s="1"/>
  <c r="AV358" i="39"/>
  <c r="L469" i="39"/>
  <c r="P469" i="39"/>
  <c r="T469" i="39"/>
  <c r="T470" i="39" s="1"/>
  <c r="T472" i="39" s="1"/>
  <c r="X469" i="39"/>
  <c r="AB469" i="39"/>
  <c r="N469" i="39"/>
  <c r="N470" i="39" s="1"/>
  <c r="N472" i="39" s="1"/>
  <c r="V469" i="39"/>
  <c r="AD469" i="39"/>
  <c r="T547" i="39"/>
  <c r="T549" i="39" s="1"/>
  <c r="V547" i="39"/>
  <c r="V549" i="39" s="1"/>
  <c r="AB547" i="39"/>
  <c r="AB549" i="39" s="1"/>
  <c r="AD547" i="39"/>
  <c r="AD549" i="39" s="1"/>
  <c r="R325" i="39"/>
  <c r="AH70" i="39"/>
  <c r="S42" i="39"/>
  <c r="AA35" i="39"/>
  <c r="AI35" i="39"/>
  <c r="AN410" i="39"/>
  <c r="AN413" i="39" s="1"/>
  <c r="AN414" i="39" s="1"/>
  <c r="AN415" i="39" s="1"/>
  <c r="AN416" i="39" s="1"/>
  <c r="AN399" i="39"/>
  <c r="AN373" i="39"/>
  <c r="BZ10" i="39"/>
  <c r="AR410" i="39"/>
  <c r="AR413" i="39" s="1"/>
  <c r="AR414" i="39" s="1"/>
  <c r="AR415" i="39" s="1"/>
  <c r="AR416" i="39" s="1"/>
  <c r="AR399" i="39"/>
  <c r="AR373" i="39"/>
  <c r="AV410" i="39"/>
  <c r="AV413" i="39" s="1"/>
  <c r="AV414" i="39" s="1"/>
  <c r="AV415" i="39" s="1"/>
  <c r="AV416" i="39" s="1"/>
  <c r="AV399" i="39"/>
  <c r="AZ399" i="39"/>
  <c r="N18" i="39"/>
  <c r="R18" i="39"/>
  <c r="V18" i="39"/>
  <c r="Z18" i="39"/>
  <c r="CA10" i="39"/>
  <c r="BW11" i="39"/>
  <c r="P26" i="39"/>
  <c r="P19" i="39"/>
  <c r="BU12" i="39"/>
  <c r="T26" i="39"/>
  <c r="T19" i="39"/>
  <c r="X26" i="39"/>
  <c r="X19" i="39"/>
  <c r="BV12" i="39"/>
  <c r="AB401" i="39"/>
  <c r="AB371" i="39"/>
  <c r="AB26" i="39"/>
  <c r="AB19" i="39"/>
  <c r="AF371" i="39"/>
  <c r="AF401" i="39"/>
  <c r="AF26" i="39"/>
  <c r="AF19" i="39"/>
  <c r="BS12" i="39"/>
  <c r="BS13" i="39"/>
  <c r="P20" i="39"/>
  <c r="T20" i="39"/>
  <c r="X20" i="39"/>
  <c r="AB20" i="39"/>
  <c r="AF20" i="39"/>
  <c r="AJ20" i="39"/>
  <c r="Z14" i="39"/>
  <c r="Z34" i="39" s="1"/>
  <c r="BY13" i="39"/>
  <c r="U19" i="39"/>
  <c r="AC19" i="39"/>
  <c r="N20" i="39"/>
  <c r="AD20" i="39"/>
  <c r="S27" i="39"/>
  <c r="CA54" i="39"/>
  <c r="X86" i="39"/>
  <c r="G594" i="39"/>
  <c r="G606" i="39"/>
  <c r="G577" i="39"/>
  <c r="G587" i="39"/>
  <c r="G541" i="39"/>
  <c r="G567" i="39"/>
  <c r="G531" i="39"/>
  <c r="G551" i="39"/>
  <c r="G557" i="39"/>
  <c r="G524" i="39"/>
  <c r="G448" i="39"/>
  <c r="G517" i="39"/>
  <c r="G422" i="39"/>
  <c r="K594" i="39"/>
  <c r="K587" i="39"/>
  <c r="K577" i="39"/>
  <c r="K606" i="39"/>
  <c r="K541" i="39"/>
  <c r="K557" i="39"/>
  <c r="K567" i="39"/>
  <c r="K551" i="39"/>
  <c r="K524" i="39"/>
  <c r="K517" i="39"/>
  <c r="K448" i="39"/>
  <c r="K531" i="39"/>
  <c r="K422" i="39"/>
  <c r="O594" i="39"/>
  <c r="O606" i="39"/>
  <c r="O587" i="39"/>
  <c r="O557" i="39"/>
  <c r="O541" i="39"/>
  <c r="O567" i="39"/>
  <c r="O551" i="39"/>
  <c r="O577" i="39"/>
  <c r="O531" i="39"/>
  <c r="O524" i="39"/>
  <c r="O448" i="39"/>
  <c r="O517" i="39"/>
  <c r="O422" i="39"/>
  <c r="S594" i="39"/>
  <c r="S606" i="39"/>
  <c r="S587" i="39"/>
  <c r="S577" i="39"/>
  <c r="S567" i="39"/>
  <c r="S541" i="39"/>
  <c r="S557" i="39"/>
  <c r="S531" i="39"/>
  <c r="S551" i="39"/>
  <c r="S524" i="39"/>
  <c r="S448" i="39"/>
  <c r="S517" i="39"/>
  <c r="S422" i="39"/>
  <c r="W594" i="39"/>
  <c r="W587" i="39"/>
  <c r="W577" i="39"/>
  <c r="W606" i="39"/>
  <c r="W541" i="39"/>
  <c r="W531" i="39"/>
  <c r="W557" i="39"/>
  <c r="W551" i="39"/>
  <c r="W567" i="39"/>
  <c r="W524" i="39"/>
  <c r="W448" i="39"/>
  <c r="W517" i="39"/>
  <c r="W422" i="39"/>
  <c r="AA594" i="39"/>
  <c r="AA587" i="39"/>
  <c r="AA606" i="39"/>
  <c r="AA577" i="39"/>
  <c r="AA541" i="39"/>
  <c r="AA557" i="39"/>
  <c r="AA567" i="39"/>
  <c r="AA551" i="39"/>
  <c r="AA524" i="39"/>
  <c r="AA531" i="39"/>
  <c r="AA517" i="39"/>
  <c r="AA448" i="39"/>
  <c r="AA422" i="39"/>
  <c r="AE594" i="39"/>
  <c r="AE606" i="39"/>
  <c r="AE587" i="39"/>
  <c r="AE557" i="39"/>
  <c r="AE541" i="39"/>
  <c r="AE551" i="39"/>
  <c r="AE577" i="39"/>
  <c r="AE567" i="39"/>
  <c r="AE531" i="39"/>
  <c r="AE524" i="39"/>
  <c r="AE448" i="39"/>
  <c r="AE517" i="39"/>
  <c r="AE422" i="39"/>
  <c r="AI594" i="39"/>
  <c r="AI606" i="39"/>
  <c r="AI587" i="39"/>
  <c r="AI577" i="39"/>
  <c r="AI567" i="39"/>
  <c r="AI541" i="39"/>
  <c r="AI531" i="39"/>
  <c r="AI551" i="39"/>
  <c r="AI557" i="39"/>
  <c r="AI524" i="39"/>
  <c r="AI448" i="39"/>
  <c r="AI517" i="39"/>
  <c r="AI422" i="39"/>
  <c r="AM594" i="39"/>
  <c r="AM606" i="39"/>
  <c r="AM577" i="39"/>
  <c r="AM587" i="39"/>
  <c r="AM541" i="39"/>
  <c r="AM557" i="39"/>
  <c r="AM531" i="39"/>
  <c r="AM567" i="39"/>
  <c r="AM551" i="39"/>
  <c r="AM524" i="39"/>
  <c r="AM448" i="39"/>
  <c r="AM517" i="39"/>
  <c r="AM422" i="39"/>
  <c r="AQ594" i="39"/>
  <c r="AQ587" i="39"/>
  <c r="AQ577" i="39"/>
  <c r="AQ606" i="39"/>
  <c r="AQ541" i="39"/>
  <c r="AQ567" i="39"/>
  <c r="AQ557" i="39"/>
  <c r="AQ551" i="39"/>
  <c r="AQ524" i="39"/>
  <c r="AQ517" i="39"/>
  <c r="AQ448" i="39"/>
  <c r="AQ531" i="39"/>
  <c r="AQ422" i="39"/>
  <c r="AU594" i="39"/>
  <c r="AU606" i="39"/>
  <c r="AU587" i="39"/>
  <c r="AU557" i="39"/>
  <c r="AU541" i="39"/>
  <c r="AU577" i="39"/>
  <c r="AU551" i="39"/>
  <c r="AU567" i="39"/>
  <c r="AU531" i="39"/>
  <c r="AU524" i="39"/>
  <c r="AU448" i="39"/>
  <c r="AU517" i="39"/>
  <c r="AU422" i="39"/>
  <c r="AY594" i="39"/>
  <c r="AY606" i="39"/>
  <c r="AY587" i="39"/>
  <c r="AY577" i="39"/>
  <c r="AY567" i="39"/>
  <c r="AY541" i="39"/>
  <c r="AY531" i="39"/>
  <c r="AY551" i="39"/>
  <c r="AY557" i="39"/>
  <c r="AY524" i="39"/>
  <c r="AY448" i="39"/>
  <c r="AY517" i="39"/>
  <c r="AY422" i="39"/>
  <c r="BC594" i="39"/>
  <c r="BC577" i="39"/>
  <c r="BC606" i="39"/>
  <c r="BC587" i="39"/>
  <c r="BC541" i="39"/>
  <c r="BC557" i="39"/>
  <c r="BC567" i="39"/>
  <c r="BC531" i="39"/>
  <c r="BC551" i="39"/>
  <c r="BC524" i="39"/>
  <c r="BC448" i="39"/>
  <c r="BC517" i="39"/>
  <c r="BC422" i="39"/>
  <c r="BT594" i="39"/>
  <c r="BT587" i="39"/>
  <c r="BT551" i="39"/>
  <c r="BT606" i="39"/>
  <c r="BT577" i="39"/>
  <c r="BT541" i="39"/>
  <c r="BT557" i="39"/>
  <c r="BT567" i="39"/>
  <c r="BT524" i="39"/>
  <c r="BT517" i="39"/>
  <c r="BT448" i="39"/>
  <c r="BT531" i="39"/>
  <c r="BT422" i="39"/>
  <c r="BX594" i="39"/>
  <c r="BX606" i="39"/>
  <c r="BX551" i="39"/>
  <c r="BX587" i="39"/>
  <c r="BX557" i="39"/>
  <c r="BX541" i="39"/>
  <c r="BX577" i="39"/>
  <c r="BX567" i="39"/>
  <c r="BX531" i="39"/>
  <c r="BX524" i="39"/>
  <c r="BX448" i="39"/>
  <c r="BX517" i="39"/>
  <c r="BX422" i="39"/>
  <c r="CB594" i="39"/>
  <c r="CB606" i="39"/>
  <c r="CB551" i="39"/>
  <c r="CB587" i="39"/>
  <c r="CB577" i="39"/>
  <c r="CB567" i="39"/>
  <c r="CB541" i="39"/>
  <c r="CB531" i="39"/>
  <c r="CB557" i="39"/>
  <c r="CB524" i="39"/>
  <c r="CB448" i="39"/>
  <c r="CB517" i="39"/>
  <c r="CB422" i="39"/>
  <c r="L14" i="39"/>
  <c r="P14" i="39"/>
  <c r="P31" i="39" s="1"/>
  <c r="T14" i="39"/>
  <c r="T33" i="39" s="1"/>
  <c r="BU10" i="39"/>
  <c r="X14" i="39"/>
  <c r="X315" i="39" s="1"/>
  <c r="BV10" i="39"/>
  <c r="AB399" i="39"/>
  <c r="AB373" i="39"/>
  <c r="AB14" i="39"/>
  <c r="AB32" i="39" s="1"/>
  <c r="AF373" i="39"/>
  <c r="AF399" i="39"/>
  <c r="AF14" i="39"/>
  <c r="AF33" i="39" s="1"/>
  <c r="AJ399" i="39"/>
  <c r="AJ373" i="39"/>
  <c r="AJ14" i="39"/>
  <c r="AO399" i="39"/>
  <c r="AO410" i="39"/>
  <c r="AO413" i="39" s="1"/>
  <c r="AO414" i="39" s="1"/>
  <c r="AO415" i="39" s="1"/>
  <c r="AO416" i="39" s="1"/>
  <c r="AO373" i="39"/>
  <c r="AO24" i="39"/>
  <c r="AO17" i="39"/>
  <c r="AS399" i="39"/>
  <c r="AS410" i="39"/>
  <c r="AS413" i="39" s="1"/>
  <c r="AS414" i="39" s="1"/>
  <c r="AS415" i="39" s="1"/>
  <c r="AS416" i="39" s="1"/>
  <c r="AS373" i="39"/>
  <c r="AS24" i="39"/>
  <c r="AS17" i="39"/>
  <c r="AW399" i="39"/>
  <c r="AW410" i="39"/>
  <c r="AW413" i="39" s="1"/>
  <c r="AW414" i="39" s="1"/>
  <c r="AW415" i="39" s="1"/>
  <c r="AW416" i="39" s="1"/>
  <c r="AW373" i="39"/>
  <c r="AW24" i="39"/>
  <c r="AW17" i="39"/>
  <c r="BA399" i="39"/>
  <c r="BA24" i="39"/>
  <c r="BA17" i="39"/>
  <c r="BT10" i="39"/>
  <c r="CB10" i="39"/>
  <c r="BX11" i="39"/>
  <c r="AC401" i="39"/>
  <c r="AC371" i="39"/>
  <c r="AG401" i="39"/>
  <c r="AG371" i="39"/>
  <c r="BT12" i="39"/>
  <c r="T17" i="39"/>
  <c r="AB17" i="39"/>
  <c r="AJ17" i="39"/>
  <c r="N19" i="39"/>
  <c r="V19" i="39"/>
  <c r="AD19" i="39"/>
  <c r="W20" i="39"/>
  <c r="T24" i="39"/>
  <c r="AB24" i="39"/>
  <c r="AJ24" i="39"/>
  <c r="CB41" i="39"/>
  <c r="CA41" i="39"/>
  <c r="V84" i="39"/>
  <c r="O146" i="39"/>
  <c r="N150" i="39"/>
  <c r="D606" i="39"/>
  <c r="D594" i="39"/>
  <c r="D577" i="39"/>
  <c r="D557" i="39"/>
  <c r="D587" i="39"/>
  <c r="D551" i="39"/>
  <c r="D531" i="39"/>
  <c r="D567" i="39"/>
  <c r="D524" i="39"/>
  <c r="D517" i="39"/>
  <c r="D541" i="39"/>
  <c r="D448" i="39"/>
  <c r="D422" i="39"/>
  <c r="H606" i="39"/>
  <c r="H594" i="39"/>
  <c r="H577" i="39"/>
  <c r="H557" i="39"/>
  <c r="H587" i="39"/>
  <c r="H567" i="39"/>
  <c r="H551" i="39"/>
  <c r="H531" i="39"/>
  <c r="H541" i="39"/>
  <c r="H524" i="39"/>
  <c r="H517" i="39"/>
  <c r="H448" i="39"/>
  <c r="H422" i="39"/>
  <c r="L577" i="39"/>
  <c r="L557" i="39"/>
  <c r="L606" i="39"/>
  <c r="L587" i="39"/>
  <c r="L594" i="39"/>
  <c r="L551" i="39"/>
  <c r="L531" i="39"/>
  <c r="L541" i="39"/>
  <c r="L567" i="39"/>
  <c r="L524" i="39"/>
  <c r="L517" i="39"/>
  <c r="L448" i="39"/>
  <c r="L422" i="39"/>
  <c r="P587" i="39"/>
  <c r="P577" i="39"/>
  <c r="P557" i="39"/>
  <c r="P606" i="39"/>
  <c r="P594" i="39"/>
  <c r="P551" i="39"/>
  <c r="P531" i="39"/>
  <c r="P541" i="39"/>
  <c r="P567" i="39"/>
  <c r="P517" i="39"/>
  <c r="P524" i="39"/>
  <c r="P448" i="39"/>
  <c r="P422" i="39"/>
  <c r="T606" i="39"/>
  <c r="T594" i="39"/>
  <c r="T577" i="39"/>
  <c r="T557" i="39"/>
  <c r="T587" i="39"/>
  <c r="T551" i="39"/>
  <c r="T531" i="39"/>
  <c r="T567" i="39"/>
  <c r="T541" i="39"/>
  <c r="T524" i="39"/>
  <c r="T517" i="39"/>
  <c r="T448" i="39"/>
  <c r="T422" i="39"/>
  <c r="X606" i="39"/>
  <c r="X594" i="39"/>
  <c r="X577" i="39"/>
  <c r="X557" i="39"/>
  <c r="X587" i="39"/>
  <c r="X567" i="39"/>
  <c r="X551" i="39"/>
  <c r="X531" i="39"/>
  <c r="X541" i="39"/>
  <c r="X524" i="39"/>
  <c r="X517" i="39"/>
  <c r="X448" i="39"/>
  <c r="X422" i="39"/>
  <c r="AB577" i="39"/>
  <c r="AB557" i="39"/>
  <c r="AB606" i="39"/>
  <c r="AB594" i="39"/>
  <c r="AB587" i="39"/>
  <c r="AB551" i="39"/>
  <c r="AB531" i="39"/>
  <c r="AB567" i="39"/>
  <c r="AB541" i="39"/>
  <c r="AB524" i="39"/>
  <c r="AB517" i="39"/>
  <c r="AB448" i="39"/>
  <c r="AB422" i="39"/>
  <c r="AF587" i="39"/>
  <c r="AF577" i="39"/>
  <c r="AF557" i="39"/>
  <c r="AF594" i="39"/>
  <c r="AF606" i="39"/>
  <c r="AF551" i="39"/>
  <c r="AF531" i="39"/>
  <c r="AF541" i="39"/>
  <c r="AF567" i="39"/>
  <c r="AF517" i="39"/>
  <c r="AF524" i="39"/>
  <c r="AF448" i="39"/>
  <c r="AF422" i="39"/>
  <c r="AJ606" i="39"/>
  <c r="AJ594" i="39"/>
  <c r="AJ577" i="39"/>
  <c r="AJ557" i="39"/>
  <c r="AJ587" i="39"/>
  <c r="AJ551" i="39"/>
  <c r="AJ531" i="39"/>
  <c r="AJ567" i="39"/>
  <c r="AJ524" i="39"/>
  <c r="AJ541" i="39"/>
  <c r="AJ517" i="39"/>
  <c r="AJ448" i="39"/>
  <c r="AJ422" i="39"/>
  <c r="AN606" i="39"/>
  <c r="AN594" i="39"/>
  <c r="AN577" i="39"/>
  <c r="AN557" i="39"/>
  <c r="AN587" i="39"/>
  <c r="AN567" i="39"/>
  <c r="AN551" i="39"/>
  <c r="AN531" i="39"/>
  <c r="AN541" i="39"/>
  <c r="AN524" i="39"/>
  <c r="AN517" i="39"/>
  <c r="AN448" i="39"/>
  <c r="AN422" i="39"/>
  <c r="AR577" i="39"/>
  <c r="AR557" i="39"/>
  <c r="AR587" i="39"/>
  <c r="AR606" i="39"/>
  <c r="AR594" i="39"/>
  <c r="AR551" i="39"/>
  <c r="AR531" i="39"/>
  <c r="AR541" i="39"/>
  <c r="AR567" i="39"/>
  <c r="AR524" i="39"/>
  <c r="AR517" i="39"/>
  <c r="AR448" i="39"/>
  <c r="AR422" i="39"/>
  <c r="AV587" i="39"/>
  <c r="AV577" i="39"/>
  <c r="AV557" i="39"/>
  <c r="AV606" i="39"/>
  <c r="AV594" i="39"/>
  <c r="AV551" i="39"/>
  <c r="AV531" i="39"/>
  <c r="AV567" i="39"/>
  <c r="AV541" i="39"/>
  <c r="AV517" i="39"/>
  <c r="AV524" i="39"/>
  <c r="AV448" i="39"/>
  <c r="AV422" i="39"/>
  <c r="AZ606" i="39"/>
  <c r="AZ594" i="39"/>
  <c r="AZ577" i="39"/>
  <c r="AZ557" i="39"/>
  <c r="AZ587" i="39"/>
  <c r="AZ551" i="39"/>
  <c r="AZ531" i="39"/>
  <c r="AZ567" i="39"/>
  <c r="AZ524" i="39"/>
  <c r="AZ517" i="39"/>
  <c r="AZ541" i="39"/>
  <c r="AZ448" i="39"/>
  <c r="AZ422" i="39"/>
  <c r="BQ606" i="39"/>
  <c r="BQ594" i="39"/>
  <c r="BQ577" i="39"/>
  <c r="BQ557" i="39"/>
  <c r="BQ587" i="39"/>
  <c r="BQ567" i="39"/>
  <c r="BQ551" i="39"/>
  <c r="BQ531" i="39"/>
  <c r="BQ541" i="39"/>
  <c r="BQ524" i="39"/>
  <c r="BQ517" i="39"/>
  <c r="BQ448" i="39"/>
  <c r="BQ422" i="39"/>
  <c r="BU577" i="39"/>
  <c r="BU557" i="39"/>
  <c r="BU606" i="39"/>
  <c r="BU567" i="39"/>
  <c r="BU594" i="39"/>
  <c r="BU587" i="39"/>
  <c r="BU531" i="39"/>
  <c r="BU541" i="39"/>
  <c r="BU551" i="39"/>
  <c r="BU524" i="39"/>
  <c r="BU517" i="39"/>
  <c r="BU448" i="39"/>
  <c r="BU422" i="39"/>
  <c r="BY587" i="39"/>
  <c r="BY577" i="39"/>
  <c r="BY557" i="39"/>
  <c r="BY594" i="39"/>
  <c r="BY606" i="39"/>
  <c r="BY531" i="39"/>
  <c r="BY567" i="39"/>
  <c r="BY551" i="39"/>
  <c r="BY541" i="39"/>
  <c r="BY517" i="39"/>
  <c r="BY524" i="39"/>
  <c r="BY448" i="39"/>
  <c r="BY422" i="39"/>
  <c r="CC606" i="39"/>
  <c r="CC594" i="39"/>
  <c r="CC577" i="39"/>
  <c r="CC557" i="39"/>
  <c r="CC587" i="39"/>
  <c r="CC531" i="39"/>
  <c r="CC567" i="39"/>
  <c r="CC551" i="39"/>
  <c r="CC524" i="39"/>
  <c r="CC517" i="39"/>
  <c r="CC541" i="39"/>
  <c r="CC448" i="39"/>
  <c r="CC422" i="39"/>
  <c r="M17" i="39"/>
  <c r="M14" i="39"/>
  <c r="Q24" i="39"/>
  <c r="Q17" i="39"/>
  <c r="Q14" i="39"/>
  <c r="Q31" i="39" s="1"/>
  <c r="U24" i="39"/>
  <c r="U17" i="39"/>
  <c r="U14" i="39"/>
  <c r="Y24" i="39"/>
  <c r="Y17" i="39"/>
  <c r="Y14" i="39"/>
  <c r="Y31" i="39" s="1"/>
  <c r="AC399" i="39"/>
  <c r="AC373" i="39"/>
  <c r="AC24" i="39"/>
  <c r="AC17" i="39"/>
  <c r="AC14" i="39"/>
  <c r="AC32" i="39" s="1"/>
  <c r="AG399" i="39"/>
  <c r="AG373" i="39"/>
  <c r="AG24" i="39"/>
  <c r="AG17" i="39"/>
  <c r="AG14" i="39"/>
  <c r="AG31" i="39" s="1"/>
  <c r="AK399" i="39"/>
  <c r="AK373" i="39"/>
  <c r="AK24" i="39"/>
  <c r="AK17" i="39"/>
  <c r="AK14" i="39"/>
  <c r="BU11" i="39"/>
  <c r="BV11" i="39"/>
  <c r="AB400" i="39"/>
  <c r="AB374" i="39"/>
  <c r="AF400" i="39"/>
  <c r="AF374" i="39"/>
  <c r="AJ400" i="39"/>
  <c r="AJ374" i="39"/>
  <c r="BY11" i="39"/>
  <c r="AJ32" i="39"/>
  <c r="AN400" i="39"/>
  <c r="AN374" i="39"/>
  <c r="BZ11" i="39"/>
  <c r="AR400" i="39"/>
  <c r="AR374" i="39"/>
  <c r="AV374" i="39"/>
  <c r="AV400" i="39"/>
  <c r="AZ400" i="39"/>
  <c r="AZ374" i="39"/>
  <c r="BW10" i="39"/>
  <c r="BS11" i="39"/>
  <c r="CA11" i="39"/>
  <c r="R27" i="39"/>
  <c r="V27" i="39"/>
  <c r="Z27" i="39"/>
  <c r="AD27" i="39"/>
  <c r="AH27" i="39"/>
  <c r="AL27" i="39"/>
  <c r="V14" i="39"/>
  <c r="V34" i="39" s="1"/>
  <c r="AD14" i="39"/>
  <c r="AD309" i="39" s="1"/>
  <c r="AL14" i="39"/>
  <c r="BU13" i="39"/>
  <c r="P18" i="39"/>
  <c r="X18" i="39"/>
  <c r="AF18" i="39"/>
  <c r="AN18" i="39"/>
  <c r="AV18" i="39"/>
  <c r="R20" i="39"/>
  <c r="Z20" i="39"/>
  <c r="AH20" i="39"/>
  <c r="Q26" i="39"/>
  <c r="Y26" i="39"/>
  <c r="AG26" i="39"/>
  <c r="BS49" i="39"/>
  <c r="BT41" i="39"/>
  <c r="BS41" i="39"/>
  <c r="BX41" i="39"/>
  <c r="BW41" i="39"/>
  <c r="AN40" i="39"/>
  <c r="AE84" i="39"/>
  <c r="E606" i="39"/>
  <c r="E587" i="39"/>
  <c r="E594" i="39"/>
  <c r="E557" i="39"/>
  <c r="E577" i="39"/>
  <c r="E551" i="39"/>
  <c r="E567" i="39"/>
  <c r="E541" i="39"/>
  <c r="E531" i="39"/>
  <c r="E517" i="39"/>
  <c r="E524" i="39"/>
  <c r="E422" i="39"/>
  <c r="E448" i="39"/>
  <c r="I606" i="39"/>
  <c r="I594" i="39"/>
  <c r="I587" i="39"/>
  <c r="I577" i="39"/>
  <c r="I531" i="39"/>
  <c r="I551" i="39"/>
  <c r="I557" i="39"/>
  <c r="I567" i="39"/>
  <c r="I524" i="39"/>
  <c r="I517" i="39"/>
  <c r="I541" i="39"/>
  <c r="I448" i="39"/>
  <c r="I422" i="39"/>
  <c r="M606" i="39"/>
  <c r="M594" i="39"/>
  <c r="M577" i="39"/>
  <c r="M587" i="39"/>
  <c r="M567" i="39"/>
  <c r="M557" i="39"/>
  <c r="M531" i="39"/>
  <c r="M551" i="39"/>
  <c r="M541" i="39"/>
  <c r="M524" i="39"/>
  <c r="M517" i="39"/>
  <c r="M448" i="39"/>
  <c r="M422" i="39"/>
  <c r="Q606" i="39"/>
  <c r="Q594" i="39"/>
  <c r="Q577" i="39"/>
  <c r="Q587" i="39"/>
  <c r="Q541" i="39"/>
  <c r="Q567" i="39"/>
  <c r="Q557" i="39"/>
  <c r="Q551" i="39"/>
  <c r="Q531" i="39"/>
  <c r="Q524" i="39"/>
  <c r="Q517" i="39"/>
  <c r="Q422" i="39"/>
  <c r="Q448" i="39"/>
  <c r="U606" i="39"/>
  <c r="U587" i="39"/>
  <c r="U594" i="39"/>
  <c r="U557" i="39"/>
  <c r="U567" i="39"/>
  <c r="U551" i="39"/>
  <c r="U577" i="39"/>
  <c r="U541" i="39"/>
  <c r="U531" i="39"/>
  <c r="U517" i="39"/>
  <c r="U524" i="39"/>
  <c r="U422" i="39"/>
  <c r="U448" i="39"/>
  <c r="Y606" i="39"/>
  <c r="Y594" i="39"/>
  <c r="Y587" i="39"/>
  <c r="Y577" i="39"/>
  <c r="Y531" i="39"/>
  <c r="Y557" i="39"/>
  <c r="Y551" i="39"/>
  <c r="Y567" i="39"/>
  <c r="Y524" i="39"/>
  <c r="Y517" i="39"/>
  <c r="Y541" i="39"/>
  <c r="Y448" i="39"/>
  <c r="Y422" i="39"/>
  <c r="AC606" i="39"/>
  <c r="AC594" i="39"/>
  <c r="AC587" i="39"/>
  <c r="AC577" i="39"/>
  <c r="AC567" i="39"/>
  <c r="AC531" i="39"/>
  <c r="AC551" i="39"/>
  <c r="AC557" i="39"/>
  <c r="AC541" i="39"/>
  <c r="AC524" i="39"/>
  <c r="AC517" i="39"/>
  <c r="AC448" i="39"/>
  <c r="AC422" i="39"/>
  <c r="AG606" i="39"/>
  <c r="AG577" i="39"/>
  <c r="AG587" i="39"/>
  <c r="AG594" i="39"/>
  <c r="AG541" i="39"/>
  <c r="AG567" i="39"/>
  <c r="AG557" i="39"/>
  <c r="AG551" i="39"/>
  <c r="AG524" i="39"/>
  <c r="AG531" i="39"/>
  <c r="AG517" i="39"/>
  <c r="AG422" i="39"/>
  <c r="AG448" i="39"/>
  <c r="AK606" i="39"/>
  <c r="AK587" i="39"/>
  <c r="AK594" i="39"/>
  <c r="AK557" i="39"/>
  <c r="AK551" i="39"/>
  <c r="AK541" i="39"/>
  <c r="AK577" i="39"/>
  <c r="AK567" i="39"/>
  <c r="AK531" i="39"/>
  <c r="AK517" i="39"/>
  <c r="AK524" i="39"/>
  <c r="AK422" i="39"/>
  <c r="AK448" i="39"/>
  <c r="N17" i="39"/>
  <c r="Q25" i="39"/>
  <c r="U25" i="39"/>
  <c r="Y25" i="39"/>
  <c r="AC400" i="39"/>
  <c r="AC374" i="39"/>
  <c r="AC25" i="39"/>
  <c r="AG400" i="39"/>
  <c r="AG374" i="39"/>
  <c r="AG25" i="39"/>
  <c r="AK400" i="39"/>
  <c r="AK374" i="39"/>
  <c r="AK25" i="39"/>
  <c r="AO400" i="39"/>
  <c r="AO374" i="39"/>
  <c r="AO25" i="39"/>
  <c r="AS400" i="39"/>
  <c r="AS374" i="39"/>
  <c r="AS25" i="39"/>
  <c r="AW400" i="39"/>
  <c r="AW374" i="39"/>
  <c r="AW25" i="39"/>
  <c r="BA400" i="39"/>
  <c r="BA374" i="39"/>
  <c r="BA25" i="39"/>
  <c r="BX10" i="39"/>
  <c r="BT11" i="39"/>
  <c r="CB11" i="39"/>
  <c r="AA27" i="39"/>
  <c r="AE27" i="39"/>
  <c r="AI27" i="39"/>
  <c r="AM27" i="39"/>
  <c r="O14" i="39"/>
  <c r="O34" i="39" s="1"/>
  <c r="W14" i="39"/>
  <c r="W303" i="39" s="1"/>
  <c r="AE14" i="39"/>
  <c r="AI28" i="39" s="1"/>
  <c r="BV13" i="39"/>
  <c r="P17" i="39"/>
  <c r="X17" i="39"/>
  <c r="AF17" i="39"/>
  <c r="Q18" i="39"/>
  <c r="Y18" i="39"/>
  <c r="AG18" i="39"/>
  <c r="AO18" i="39"/>
  <c r="AW18" i="39"/>
  <c r="R19" i="39"/>
  <c r="Z19" i="39"/>
  <c r="AH19" i="39"/>
  <c r="S20" i="39"/>
  <c r="AA20" i="39"/>
  <c r="AI20" i="39"/>
  <c r="P24" i="39"/>
  <c r="X24" i="39"/>
  <c r="AF24" i="39"/>
  <c r="AN24" i="39"/>
  <c r="T25" i="39"/>
  <c r="AB25" i="39"/>
  <c r="AJ25" i="39"/>
  <c r="AR25" i="39"/>
  <c r="AZ25" i="39"/>
  <c r="AO40" i="39"/>
  <c r="P86" i="39"/>
  <c r="AF86" i="39"/>
  <c r="F587" i="39"/>
  <c r="F567" i="39"/>
  <c r="F606" i="39"/>
  <c r="F594" i="39"/>
  <c r="F577" i="39"/>
  <c r="F557" i="39"/>
  <c r="F541" i="39"/>
  <c r="F551" i="39"/>
  <c r="F517" i="39"/>
  <c r="F531" i="39"/>
  <c r="F448" i="39"/>
  <c r="F524" i="39"/>
  <c r="F422" i="39"/>
  <c r="J587" i="39"/>
  <c r="J606" i="39"/>
  <c r="J567" i="39"/>
  <c r="J594" i="39"/>
  <c r="J557" i="39"/>
  <c r="J551" i="39"/>
  <c r="J541" i="39"/>
  <c r="J577" i="39"/>
  <c r="J531" i="39"/>
  <c r="J517" i="39"/>
  <c r="J448" i="39"/>
  <c r="J524" i="39"/>
  <c r="J422" i="39"/>
  <c r="N587" i="39"/>
  <c r="N606" i="39"/>
  <c r="N594" i="39"/>
  <c r="N567" i="39"/>
  <c r="N577" i="39"/>
  <c r="N531" i="39"/>
  <c r="N551" i="39"/>
  <c r="N557" i="39"/>
  <c r="N517" i="39"/>
  <c r="N524" i="39"/>
  <c r="N541" i="39"/>
  <c r="N448" i="39"/>
  <c r="N422" i="39"/>
  <c r="R587" i="39"/>
  <c r="R594" i="39"/>
  <c r="R567" i="39"/>
  <c r="R606" i="39"/>
  <c r="R577" i="39"/>
  <c r="R557" i="39"/>
  <c r="R531" i="39"/>
  <c r="R551" i="39"/>
  <c r="R541" i="39"/>
  <c r="R517" i="39"/>
  <c r="R524" i="39"/>
  <c r="R448" i="39"/>
  <c r="R422" i="39"/>
  <c r="V587" i="39"/>
  <c r="V567" i="39"/>
  <c r="V577" i="39"/>
  <c r="V606" i="39"/>
  <c r="V594" i="39"/>
  <c r="V541" i="39"/>
  <c r="V557" i="39"/>
  <c r="V551" i="39"/>
  <c r="V517" i="39"/>
  <c r="V531" i="39"/>
  <c r="V448" i="39"/>
  <c r="V524" i="39"/>
  <c r="V422" i="39"/>
  <c r="Z587" i="39"/>
  <c r="Z606" i="39"/>
  <c r="Z567" i="39"/>
  <c r="Z594" i="39"/>
  <c r="Z557" i="39"/>
  <c r="Z577" i="39"/>
  <c r="Z551" i="39"/>
  <c r="Z541" i="39"/>
  <c r="Z531" i="39"/>
  <c r="Z517" i="39"/>
  <c r="Z448" i="39"/>
  <c r="Z524" i="39"/>
  <c r="Z422" i="39"/>
  <c r="AD587" i="39"/>
  <c r="AD606" i="39"/>
  <c r="AD594" i="39"/>
  <c r="AD567" i="39"/>
  <c r="AD577" i="39"/>
  <c r="AD531" i="39"/>
  <c r="AD551" i="39"/>
  <c r="AD557" i="39"/>
  <c r="AD517" i="39"/>
  <c r="AD524" i="39"/>
  <c r="AD448" i="39"/>
  <c r="AD541" i="39"/>
  <c r="AD422" i="39"/>
  <c r="AH587" i="39"/>
  <c r="AH594" i="39"/>
  <c r="AH567" i="39"/>
  <c r="AH577" i="39"/>
  <c r="AH606" i="39"/>
  <c r="AH557" i="39"/>
  <c r="AH531" i="39"/>
  <c r="AH551" i="39"/>
  <c r="AH541" i="39"/>
  <c r="AH517" i="39"/>
  <c r="AH524" i="39"/>
  <c r="AH448" i="39"/>
  <c r="AH422" i="39"/>
  <c r="AL587" i="39"/>
  <c r="AL567" i="39"/>
  <c r="AL606" i="39"/>
  <c r="AL594" i="39"/>
  <c r="AL577" i="39"/>
  <c r="AL541" i="39"/>
  <c r="AL557" i="39"/>
  <c r="AL551" i="39"/>
  <c r="AL517" i="39"/>
  <c r="AL448" i="39"/>
  <c r="AL531" i="39"/>
  <c r="AL524" i="39"/>
  <c r="AL422" i="39"/>
  <c r="AP587" i="39"/>
  <c r="AP606" i="39"/>
  <c r="AP567" i="39"/>
  <c r="AP594" i="39"/>
  <c r="AP557" i="39"/>
  <c r="AP551" i="39"/>
  <c r="AP577" i="39"/>
  <c r="AP541" i="39"/>
  <c r="AP531" i="39"/>
  <c r="AP517" i="39"/>
  <c r="AP448" i="39"/>
  <c r="AP524" i="39"/>
  <c r="AP422" i="39"/>
  <c r="AT587" i="39"/>
  <c r="AT606" i="39"/>
  <c r="AT594" i="39"/>
  <c r="AT567" i="39"/>
  <c r="AT577" i="39"/>
  <c r="AT531" i="39"/>
  <c r="AT557" i="39"/>
  <c r="AT551" i="39"/>
  <c r="AT517" i="39"/>
  <c r="AT524" i="39"/>
  <c r="AT448" i="39"/>
  <c r="AT541" i="39"/>
  <c r="AT422" i="39"/>
  <c r="AX587" i="39"/>
  <c r="AX594" i="39"/>
  <c r="AX567" i="39"/>
  <c r="AX606" i="39"/>
  <c r="AX577" i="39"/>
  <c r="AX531" i="39"/>
  <c r="AX551" i="39"/>
  <c r="AX557" i="39"/>
  <c r="AX541" i="39"/>
  <c r="AX517" i="39"/>
  <c r="AX524" i="39"/>
  <c r="AX448" i="39"/>
  <c r="AX422" i="39"/>
  <c r="BB587" i="39"/>
  <c r="BB567" i="39"/>
  <c r="BB577" i="39"/>
  <c r="BB606" i="39"/>
  <c r="BB594" i="39"/>
  <c r="BB541" i="39"/>
  <c r="BB557" i="39"/>
  <c r="BB551" i="39"/>
  <c r="BB517" i="39"/>
  <c r="BB448" i="39"/>
  <c r="BB524" i="39"/>
  <c r="BB531" i="39"/>
  <c r="BB422" i="39"/>
  <c r="BS587" i="39"/>
  <c r="BS606" i="39"/>
  <c r="BS567" i="39"/>
  <c r="BS594" i="39"/>
  <c r="BS557" i="39"/>
  <c r="BS551" i="39"/>
  <c r="BS541" i="39"/>
  <c r="BS577" i="39"/>
  <c r="BS531" i="39"/>
  <c r="BS517" i="39"/>
  <c r="BS448" i="39"/>
  <c r="BS524" i="39"/>
  <c r="BS422" i="39"/>
  <c r="BW587" i="39"/>
  <c r="BW606" i="39"/>
  <c r="BW594" i="39"/>
  <c r="BW567" i="39"/>
  <c r="BW577" i="39"/>
  <c r="BW557" i="39"/>
  <c r="BW531" i="39"/>
  <c r="BW551" i="39"/>
  <c r="BW517" i="39"/>
  <c r="BW541" i="39"/>
  <c r="BW524" i="39"/>
  <c r="BW448" i="39"/>
  <c r="BW422" i="39"/>
  <c r="CA587" i="39"/>
  <c r="CA594" i="39"/>
  <c r="CA567" i="39"/>
  <c r="CA577" i="39"/>
  <c r="CA606" i="39"/>
  <c r="CA551" i="39"/>
  <c r="CA531" i="39"/>
  <c r="CA557" i="39"/>
  <c r="CA541" i="39"/>
  <c r="CA517" i="39"/>
  <c r="CA524" i="39"/>
  <c r="CA448" i="39"/>
  <c r="CA422" i="39"/>
  <c r="AE399" i="39"/>
  <c r="AE373" i="39"/>
  <c r="AI399" i="39"/>
  <c r="AI373" i="39"/>
  <c r="AQ410" i="39"/>
  <c r="AQ413" i="39" s="1"/>
  <c r="AQ414" i="39" s="1"/>
  <c r="AQ415" i="39" s="1"/>
  <c r="AQ416" i="39" s="1"/>
  <c r="AQ399" i="39"/>
  <c r="AQ373" i="39"/>
  <c r="AU410" i="39"/>
  <c r="AU413" i="39" s="1"/>
  <c r="AU414" i="39" s="1"/>
  <c r="AU415" i="39" s="1"/>
  <c r="AU416" i="39" s="1"/>
  <c r="AU399" i="39"/>
  <c r="AU373" i="39"/>
  <c r="AY410" i="39"/>
  <c r="AY413" i="39" s="1"/>
  <c r="AY414" i="39" s="1"/>
  <c r="AY415" i="39" s="1"/>
  <c r="AY416" i="39" s="1"/>
  <c r="AY399" i="39"/>
  <c r="AY373" i="39"/>
  <c r="AE400" i="39"/>
  <c r="AE374" i="39"/>
  <c r="AI400" i="39"/>
  <c r="AI374" i="39"/>
  <c r="AM400" i="39"/>
  <c r="AM374" i="39"/>
  <c r="AQ374" i="39"/>
  <c r="AQ400" i="39"/>
  <c r="AU374" i="39"/>
  <c r="AU400" i="39"/>
  <c r="AY374" i="39"/>
  <c r="AY400" i="39"/>
  <c r="AE401" i="39"/>
  <c r="AE371" i="39"/>
  <c r="AI401" i="39"/>
  <c r="AI371" i="39"/>
  <c r="BT13" i="39"/>
  <c r="BX13" i="39"/>
  <c r="R17" i="39"/>
  <c r="V17" i="39"/>
  <c r="Z17" i="39"/>
  <c r="AD17" i="39"/>
  <c r="AH17" i="39"/>
  <c r="AL17" i="39"/>
  <c r="AP17" i="39"/>
  <c r="AT17" i="39"/>
  <c r="AX17" i="39"/>
  <c r="BB17" i="39"/>
  <c r="O18" i="39"/>
  <c r="S18" i="39"/>
  <c r="W18" i="39"/>
  <c r="AA18" i="39"/>
  <c r="AE18" i="39"/>
  <c r="AI18" i="39"/>
  <c r="AM18" i="39"/>
  <c r="AQ18" i="39"/>
  <c r="AU18" i="39"/>
  <c r="AY18" i="39"/>
  <c r="Q20" i="39"/>
  <c r="U20" i="39"/>
  <c r="Y20" i="39"/>
  <c r="AC20" i="39"/>
  <c r="AG20" i="39"/>
  <c r="AK20" i="39"/>
  <c r="R25" i="39"/>
  <c r="V25" i="39"/>
  <c r="Z25" i="39"/>
  <c r="AE49" i="39"/>
  <c r="BV49" i="39"/>
  <c r="AD50" i="39"/>
  <c r="X59" i="39"/>
  <c r="AJ59" i="39"/>
  <c r="AN59" i="39"/>
  <c r="AR59" i="39"/>
  <c r="BY69" i="39"/>
  <c r="AF68" i="39"/>
  <c r="AV68" i="39"/>
  <c r="BZ69" i="39"/>
  <c r="BV72" i="39"/>
  <c r="X74" i="39"/>
  <c r="X78" i="39" s="1"/>
  <c r="P76" i="39"/>
  <c r="AF76" i="39"/>
  <c r="BU80" i="39"/>
  <c r="AM84" i="39"/>
  <c r="BS122" i="39"/>
  <c r="BX122" i="39"/>
  <c r="AM130" i="39"/>
  <c r="BU130" i="39"/>
  <c r="AJ132" i="39"/>
  <c r="M170" i="39"/>
  <c r="Q192" i="39"/>
  <c r="U170" i="39"/>
  <c r="Y192" i="39"/>
  <c r="AC170" i="39"/>
  <c r="AG192" i="39"/>
  <c r="P137" i="39"/>
  <c r="X137" i="39"/>
  <c r="AF137" i="39"/>
  <c r="L215" i="39"/>
  <c r="L193" i="39"/>
  <c r="L171" i="39"/>
  <c r="L149" i="39"/>
  <c r="P215" i="39"/>
  <c r="P193" i="39"/>
  <c r="P171" i="39"/>
  <c r="P139" i="39"/>
  <c r="T171" i="39"/>
  <c r="BU138" i="39"/>
  <c r="T193" i="39"/>
  <c r="T215" i="39"/>
  <c r="T139" i="39"/>
  <c r="X171" i="39"/>
  <c r="X215" i="39"/>
  <c r="X193" i="39"/>
  <c r="X149" i="39"/>
  <c r="X139" i="39"/>
  <c r="BV138" i="39"/>
  <c r="AB215" i="39"/>
  <c r="AB193" i="39"/>
  <c r="AB171" i="39"/>
  <c r="AB149" i="39"/>
  <c r="AB139" i="39"/>
  <c r="AF215" i="39"/>
  <c r="AF193" i="39"/>
  <c r="AF171" i="39"/>
  <c r="AF149" i="39"/>
  <c r="AF139" i="39"/>
  <c r="AJ171" i="39"/>
  <c r="BY138" i="39"/>
  <c r="AJ193" i="39"/>
  <c r="AJ149" i="39"/>
  <c r="AJ139" i="39"/>
  <c r="BW138" i="39"/>
  <c r="AK139" i="39"/>
  <c r="N194" i="39"/>
  <c r="N172" i="39"/>
  <c r="N216" i="39"/>
  <c r="R194" i="39"/>
  <c r="R172" i="39"/>
  <c r="R216" i="39"/>
  <c r="V194" i="39"/>
  <c r="V216" i="39"/>
  <c r="V172" i="39"/>
  <c r="Z194" i="39"/>
  <c r="Z216" i="39"/>
  <c r="Z172" i="39"/>
  <c r="AD194" i="39"/>
  <c r="AD172" i="39"/>
  <c r="AD216" i="39"/>
  <c r="AD150" i="39"/>
  <c r="AH150" i="39"/>
  <c r="AH172" i="39"/>
  <c r="R141" i="39"/>
  <c r="Z141" i="39"/>
  <c r="AH141" i="39"/>
  <c r="AL150" i="39"/>
  <c r="AR68" i="39"/>
  <c r="BV69" i="39"/>
  <c r="BW72" i="39"/>
  <c r="AE74" i="39"/>
  <c r="AE78" i="39" s="1"/>
  <c r="L76" i="39"/>
  <c r="AB76" i="39"/>
  <c r="BV80" i="39"/>
  <c r="L83" i="39"/>
  <c r="AB83" i="39"/>
  <c r="AD86" i="39"/>
  <c r="BT122" i="39"/>
  <c r="M132" i="39"/>
  <c r="U132" i="39"/>
  <c r="AC132" i="39"/>
  <c r="AK132" i="39"/>
  <c r="M215" i="39"/>
  <c r="M193" i="39"/>
  <c r="M171" i="39"/>
  <c r="Q215" i="39"/>
  <c r="Q193" i="39"/>
  <c r="Q171" i="39"/>
  <c r="U215" i="39"/>
  <c r="U193" i="39"/>
  <c r="U171" i="39"/>
  <c r="Y215" i="39"/>
  <c r="Y171" i="39"/>
  <c r="Y193" i="39"/>
  <c r="AC215" i="39"/>
  <c r="AC193" i="39"/>
  <c r="AC171" i="39"/>
  <c r="AG215" i="39"/>
  <c r="AG193" i="39"/>
  <c r="AG171" i="39"/>
  <c r="AK193" i="39"/>
  <c r="AK171" i="39"/>
  <c r="BX138" i="39"/>
  <c r="N139" i="39"/>
  <c r="V139" i="39"/>
  <c r="AD139" i="39"/>
  <c r="AL139" i="39"/>
  <c r="M148" i="39"/>
  <c r="AC148" i="39"/>
  <c r="AK148" i="39"/>
  <c r="M149" i="39"/>
  <c r="AG149" i="39"/>
  <c r="AK192" i="39"/>
  <c r="BU53" i="39"/>
  <c r="BU54" i="39" s="1"/>
  <c r="BT56" i="39"/>
  <c r="BX56" i="39"/>
  <c r="AO68" i="39"/>
  <c r="AS68" i="39"/>
  <c r="AW68" i="39"/>
  <c r="BA68" i="39"/>
  <c r="BE68" i="39"/>
  <c r="AF74" i="39"/>
  <c r="AF78" i="39" s="1"/>
  <c r="X76" i="39"/>
  <c r="BW80" i="39"/>
  <c r="M258" i="39"/>
  <c r="M259" i="39" s="1"/>
  <c r="M131" i="39"/>
  <c r="BS130" i="39"/>
  <c r="Q258" i="39"/>
  <c r="Q131" i="39"/>
  <c r="U258" i="39"/>
  <c r="U131" i="39"/>
  <c r="Y258" i="39"/>
  <c r="Y131" i="39"/>
  <c r="AC258" i="39"/>
  <c r="AC131" i="39"/>
  <c r="BW130" i="39"/>
  <c r="AG258" i="39"/>
  <c r="AH259" i="39" s="1"/>
  <c r="AG262" i="39"/>
  <c r="AG267" i="39"/>
  <c r="AH268" i="39" s="1"/>
  <c r="AG131" i="39"/>
  <c r="AH131" i="39"/>
  <c r="O214" i="39"/>
  <c r="O192" i="39"/>
  <c r="O170" i="39"/>
  <c r="O137" i="39"/>
  <c r="S214" i="39"/>
  <c r="S192" i="39"/>
  <c r="S170" i="39"/>
  <c r="S137" i="39"/>
  <c r="W214" i="39"/>
  <c r="W192" i="39"/>
  <c r="W170" i="39"/>
  <c r="W137" i="39"/>
  <c r="AA214" i="39"/>
  <c r="AA192" i="39"/>
  <c r="AA170" i="39"/>
  <c r="AA148" i="39"/>
  <c r="AA160" i="39" s="1"/>
  <c r="AA137" i="39"/>
  <c r="AE214" i="39"/>
  <c r="AE192" i="39"/>
  <c r="AE170" i="39"/>
  <c r="AE148" i="39"/>
  <c r="AE137" i="39"/>
  <c r="AI170" i="39"/>
  <c r="AI182" i="39" s="1"/>
  <c r="AI183" i="39" s="1"/>
  <c r="AI148" i="39"/>
  <c r="AI137" i="39"/>
  <c r="AM170" i="39"/>
  <c r="AM148" i="39"/>
  <c r="AM137" i="39"/>
  <c r="BV136" i="39"/>
  <c r="T137" i="39"/>
  <c r="AB137" i="39"/>
  <c r="AJ137" i="39"/>
  <c r="N149" i="39"/>
  <c r="AC149" i="39"/>
  <c r="AC156" i="39"/>
  <c r="AD156" i="39" s="1"/>
  <c r="AE156" i="39" s="1"/>
  <c r="AF156" i="39" s="1"/>
  <c r="AG156" i="39" s="1"/>
  <c r="AH156" i="39" s="1"/>
  <c r="AI156" i="39" s="1"/>
  <c r="AJ156" i="39" s="1"/>
  <c r="AK156" i="39" s="1"/>
  <c r="AL156" i="39" s="1"/>
  <c r="AM156" i="39" s="1"/>
  <c r="AK194" i="39"/>
  <c r="AO606" i="39"/>
  <c r="AO594" i="39"/>
  <c r="AO587" i="39"/>
  <c r="AO577" i="39"/>
  <c r="AO557" i="39"/>
  <c r="AO531" i="39"/>
  <c r="AO567" i="39"/>
  <c r="AO551" i="39"/>
  <c r="AO541" i="39"/>
  <c r="AO524" i="39"/>
  <c r="AO517" i="39"/>
  <c r="AO448" i="39"/>
  <c r="AO422" i="39"/>
  <c r="AS606" i="39"/>
  <c r="AS594" i="39"/>
  <c r="AS577" i="39"/>
  <c r="AS587" i="39"/>
  <c r="AS567" i="39"/>
  <c r="AS531" i="39"/>
  <c r="AS557" i="39"/>
  <c r="AS551" i="39"/>
  <c r="AS541" i="39"/>
  <c r="AS524" i="39"/>
  <c r="AS517" i="39"/>
  <c r="AS448" i="39"/>
  <c r="AS422" i="39"/>
  <c r="AW606" i="39"/>
  <c r="AW594" i="39"/>
  <c r="AW587" i="39"/>
  <c r="AW577" i="39"/>
  <c r="AW567" i="39"/>
  <c r="AW557" i="39"/>
  <c r="AW541" i="39"/>
  <c r="AW551" i="39"/>
  <c r="AW531" i="39"/>
  <c r="AW524" i="39"/>
  <c r="AW517" i="39"/>
  <c r="AW422" i="39"/>
  <c r="AW448" i="39"/>
  <c r="BA606" i="39"/>
  <c r="BA587" i="39"/>
  <c r="BA594" i="39"/>
  <c r="BA557" i="39"/>
  <c r="BA551" i="39"/>
  <c r="BA541" i="39"/>
  <c r="BA567" i="39"/>
  <c r="BA577" i="39"/>
  <c r="BA531" i="39"/>
  <c r="BA517" i="39"/>
  <c r="BA524" i="39"/>
  <c r="BA422" i="39"/>
  <c r="BA448" i="39"/>
  <c r="BR606" i="39"/>
  <c r="BR594" i="39"/>
  <c r="BR587" i="39"/>
  <c r="BR577" i="39"/>
  <c r="BR567" i="39"/>
  <c r="BR531" i="39"/>
  <c r="BR551" i="39"/>
  <c r="BR557" i="39"/>
  <c r="BR524" i="39"/>
  <c r="BR541" i="39"/>
  <c r="BR517" i="39"/>
  <c r="BR448" i="39"/>
  <c r="BR422" i="39"/>
  <c r="BV606" i="39"/>
  <c r="BV594" i="39"/>
  <c r="BV577" i="39"/>
  <c r="BV587" i="39"/>
  <c r="BV567" i="39"/>
  <c r="BV551" i="39"/>
  <c r="BV557" i="39"/>
  <c r="BV531" i="39"/>
  <c r="BV541" i="39"/>
  <c r="BV524" i="39"/>
  <c r="BV517" i="39"/>
  <c r="BV448" i="39"/>
  <c r="BV422" i="39"/>
  <c r="BZ606" i="39"/>
  <c r="BZ587" i="39"/>
  <c r="BZ567" i="39"/>
  <c r="BZ577" i="39"/>
  <c r="BZ594" i="39"/>
  <c r="BZ551" i="39"/>
  <c r="BZ541" i="39"/>
  <c r="BZ557" i="39"/>
  <c r="BZ531" i="39"/>
  <c r="BZ524" i="39"/>
  <c r="BZ448" i="39"/>
  <c r="BZ517" i="39"/>
  <c r="BZ422" i="39"/>
  <c r="CD606" i="39"/>
  <c r="CD587" i="39"/>
  <c r="CD594" i="39"/>
  <c r="CD557" i="39"/>
  <c r="CD577" i="39"/>
  <c r="CD541" i="39"/>
  <c r="CD551" i="39"/>
  <c r="CD567" i="39"/>
  <c r="CD531" i="39"/>
  <c r="CD517" i="39"/>
  <c r="CD448" i="39"/>
  <c r="CD524" i="39"/>
  <c r="CD422" i="39"/>
  <c r="AD399" i="39"/>
  <c r="AD373" i="39"/>
  <c r="AH399" i="39"/>
  <c r="AH373" i="39"/>
  <c r="AL373" i="39"/>
  <c r="AL399" i="39"/>
  <c r="AP410" i="39"/>
  <c r="AP413" i="39" s="1"/>
  <c r="AP414" i="39" s="1"/>
  <c r="AP415" i="39" s="1"/>
  <c r="AP416" i="39" s="1"/>
  <c r="AP399" i="39"/>
  <c r="AP373" i="39"/>
  <c r="AT399" i="39"/>
  <c r="AT410" i="39"/>
  <c r="AT413" i="39" s="1"/>
  <c r="AT414" i="39" s="1"/>
  <c r="AT415" i="39" s="1"/>
  <c r="AT416" i="39" s="1"/>
  <c r="AT373" i="39"/>
  <c r="AX410" i="39"/>
  <c r="AX413" i="39" s="1"/>
  <c r="AX414" i="39" s="1"/>
  <c r="AX415" i="39" s="1"/>
  <c r="AX416" i="39" s="1"/>
  <c r="AX399" i="39"/>
  <c r="AX373" i="39"/>
  <c r="AD400" i="39"/>
  <c r="AD374" i="39"/>
  <c r="AH400" i="39"/>
  <c r="AH374" i="39"/>
  <c r="AL374" i="39"/>
  <c r="AL400" i="39"/>
  <c r="AP400" i="39"/>
  <c r="AP374" i="39"/>
  <c r="AT400" i="39"/>
  <c r="AT374" i="39"/>
  <c r="AX400" i="39"/>
  <c r="AX374" i="39"/>
  <c r="AD401" i="39"/>
  <c r="AD371" i="39"/>
  <c r="AH401" i="39"/>
  <c r="AH371" i="39"/>
  <c r="BW13" i="39"/>
  <c r="AD18" i="39"/>
  <c r="AH18" i="39"/>
  <c r="AL18" i="39"/>
  <c r="AP18" i="39"/>
  <c r="AT18" i="39"/>
  <c r="AX18" i="39"/>
  <c r="BB18" i="39"/>
  <c r="AE19" i="39"/>
  <c r="AI19" i="39"/>
  <c r="S26" i="39"/>
  <c r="W26" i="39"/>
  <c r="AA26" i="39"/>
  <c r="AE26" i="39"/>
  <c r="AI26" i="39"/>
  <c r="AI32" i="39"/>
  <c r="AG328" i="39"/>
  <c r="BX65" i="39"/>
  <c r="AG68" i="39"/>
  <c r="AJ68" i="39"/>
  <c r="BX69" i="39"/>
  <c r="BU72" i="39"/>
  <c r="BT80" i="39"/>
  <c r="BX80" i="39"/>
  <c r="AN85" i="39"/>
  <c r="AJ85" i="39"/>
  <c r="BY83" i="39"/>
  <c r="AK84" i="39"/>
  <c r="AL86" i="39"/>
  <c r="BW122" i="39"/>
  <c r="J133" i="39"/>
  <c r="J132" i="39"/>
  <c r="J131" i="39"/>
  <c r="N258" i="39"/>
  <c r="O259" i="39" s="1"/>
  <c r="N133" i="39"/>
  <c r="N132" i="39"/>
  <c r="N131" i="39"/>
  <c r="R258" i="39"/>
  <c r="S259" i="39" s="1"/>
  <c r="R133" i="39"/>
  <c r="R132" i="39"/>
  <c r="R131" i="39"/>
  <c r="V258" i="39"/>
  <c r="W259" i="39" s="1"/>
  <c r="V133" i="39"/>
  <c r="V132" i="39"/>
  <c r="V131" i="39"/>
  <c r="Z258" i="39"/>
  <c r="AA259" i="39" s="1"/>
  <c r="Z133" i="39"/>
  <c r="Z132" i="39"/>
  <c r="Z131" i="39"/>
  <c r="AD258" i="39"/>
  <c r="AH260" i="39" s="1"/>
  <c r="AD133" i="39"/>
  <c r="AH132" i="39"/>
  <c r="AD132" i="39"/>
  <c r="AD131" i="39"/>
  <c r="I132" i="39"/>
  <c r="Q132" i="39"/>
  <c r="Y132" i="39"/>
  <c r="AG132" i="39"/>
  <c r="I133" i="39"/>
  <c r="Q133" i="39"/>
  <c r="Y133" i="39"/>
  <c r="L214" i="39"/>
  <c r="L192" i="39"/>
  <c r="L170" i="39"/>
  <c r="L148" i="39"/>
  <c r="P214" i="39"/>
  <c r="BT136" i="39"/>
  <c r="P192" i="39"/>
  <c r="P170" i="39"/>
  <c r="T214" i="39"/>
  <c r="T170" i="39"/>
  <c r="T192" i="39"/>
  <c r="BU136" i="39"/>
  <c r="X214" i="39"/>
  <c r="X170" i="39"/>
  <c r="X192" i="39"/>
  <c r="X148" i="39"/>
  <c r="AB214" i="39"/>
  <c r="AB192" i="39"/>
  <c r="AB170" i="39"/>
  <c r="AB148" i="39"/>
  <c r="AF214" i="39"/>
  <c r="BX136" i="39"/>
  <c r="AF192" i="39"/>
  <c r="AF170" i="39"/>
  <c r="AF148" i="39"/>
  <c r="AJ170" i="39"/>
  <c r="AJ192" i="39"/>
  <c r="AJ148" i="39"/>
  <c r="BY136" i="39"/>
  <c r="AN136" i="39"/>
  <c r="BW136" i="39"/>
  <c r="M137" i="39"/>
  <c r="U137" i="39"/>
  <c r="AC137" i="39"/>
  <c r="AK137" i="39"/>
  <c r="BT138" i="39"/>
  <c r="R139" i="39"/>
  <c r="Z139" i="39"/>
  <c r="AH139" i="39"/>
  <c r="M216" i="39"/>
  <c r="M194" i="39"/>
  <c r="M172" i="39"/>
  <c r="M141" i="39"/>
  <c r="Q216" i="39"/>
  <c r="Q194" i="39"/>
  <c r="Q172" i="39"/>
  <c r="Q141" i="39"/>
  <c r="U216" i="39"/>
  <c r="U194" i="39"/>
  <c r="U172" i="39"/>
  <c r="U141" i="39"/>
  <c r="Y216" i="39"/>
  <c r="Y150" i="39"/>
  <c r="Y172" i="39"/>
  <c r="BV140" i="39"/>
  <c r="Y194" i="39"/>
  <c r="Y141" i="39"/>
  <c r="AC216" i="39"/>
  <c r="AC150" i="39"/>
  <c r="AC194" i="39"/>
  <c r="AC172" i="39"/>
  <c r="AC141" i="39"/>
  <c r="AG216" i="39"/>
  <c r="BX216" i="39" s="1"/>
  <c r="AG150" i="39"/>
  <c r="AG194" i="39"/>
  <c r="AG172" i="39"/>
  <c r="AG141" i="39"/>
  <c r="AK150" i="39"/>
  <c r="AK172" i="39"/>
  <c r="BY172" i="39" s="1"/>
  <c r="AK141" i="39"/>
  <c r="BY140" i="39"/>
  <c r="P145" i="39"/>
  <c r="M150" i="39"/>
  <c r="Y148" i="39"/>
  <c r="AG148" i="39"/>
  <c r="Y149" i="39"/>
  <c r="AW190" i="39"/>
  <c r="Y74" i="39"/>
  <c r="Y78" i="39" s="1"/>
  <c r="AC74" i="39"/>
  <c r="AC78" i="39" s="1"/>
  <c r="AG74" i="39"/>
  <c r="AG78" i="39" s="1"/>
  <c r="P260" i="39"/>
  <c r="P259" i="39"/>
  <c r="T259" i="39"/>
  <c r="T260" i="39"/>
  <c r="X259" i="39"/>
  <c r="X260" i="39"/>
  <c r="X257" i="39"/>
  <c r="AB259" i="39"/>
  <c r="AB260" i="39"/>
  <c r="AB257" i="39"/>
  <c r="AF260" i="39"/>
  <c r="AF257" i="39"/>
  <c r="AF259" i="39"/>
  <c r="BT130" i="39"/>
  <c r="BX130" i="39"/>
  <c r="K132" i="39"/>
  <c r="O132" i="39"/>
  <c r="S132" i="39"/>
  <c r="W132" i="39"/>
  <c r="AA132" i="39"/>
  <c r="AE132" i="39"/>
  <c r="AI132" i="39"/>
  <c r="O133" i="39"/>
  <c r="S133" i="39"/>
  <c r="W133" i="39"/>
  <c r="AA133" i="39"/>
  <c r="AE133" i="39"/>
  <c r="N192" i="39"/>
  <c r="R192" i="39"/>
  <c r="V192" i="39"/>
  <c r="Z192" i="39"/>
  <c r="AD192" i="39"/>
  <c r="O215" i="39"/>
  <c r="O193" i="39"/>
  <c r="O171" i="39"/>
  <c r="S215" i="39"/>
  <c r="S193" i="39"/>
  <c r="S171" i="39"/>
  <c r="W215" i="39"/>
  <c r="W193" i="39"/>
  <c r="W171" i="39"/>
  <c r="AA215" i="39"/>
  <c r="AA193" i="39"/>
  <c r="AA171" i="39"/>
  <c r="AE215" i="39"/>
  <c r="AE193" i="39"/>
  <c r="AE171" i="39"/>
  <c r="AN140" i="39"/>
  <c r="BS140" i="39"/>
  <c r="BW140" i="39"/>
  <c r="X150" i="39"/>
  <c r="AI150" i="39"/>
  <c r="Z170" i="39"/>
  <c r="AK170" i="39"/>
  <c r="P172" i="39"/>
  <c r="AF172" i="39"/>
  <c r="AR188" i="39"/>
  <c r="AH193" i="39"/>
  <c r="AL189" i="39"/>
  <c r="AH194" i="39"/>
  <c r="AN190" i="39"/>
  <c r="P194" i="39"/>
  <c r="X194" i="39"/>
  <c r="AF194" i="39"/>
  <c r="Z214" i="39"/>
  <c r="BT232" i="39"/>
  <c r="P233" i="39"/>
  <c r="P262" i="39"/>
  <c r="P235" i="39"/>
  <c r="P234" i="39"/>
  <c r="Q233" i="39"/>
  <c r="U233" i="39"/>
  <c r="T233" i="39"/>
  <c r="T235" i="39"/>
  <c r="BU232" i="39"/>
  <c r="T234" i="39"/>
  <c r="BV232" i="39"/>
  <c r="X235" i="39"/>
  <c r="X234" i="39"/>
  <c r="Y233" i="39"/>
  <c r="X233" i="39"/>
  <c r="AB235" i="39"/>
  <c r="AB234" i="39"/>
  <c r="BW232" i="39"/>
  <c r="AC233" i="39"/>
  <c r="AB233" i="39"/>
  <c r="AF233" i="39"/>
  <c r="BX232" i="39"/>
  <c r="AF262" i="39"/>
  <c r="AF235" i="39"/>
  <c r="AF234" i="39"/>
  <c r="AG233" i="39"/>
  <c r="T262" i="39"/>
  <c r="AJ259" i="39"/>
  <c r="AJ260" i="39"/>
  <c r="BY258" i="39"/>
  <c r="AK259" i="39"/>
  <c r="R283" i="39"/>
  <c r="Q170" i="39"/>
  <c r="V170" i="39"/>
  <c r="AG170" i="39"/>
  <c r="AL170" i="39"/>
  <c r="AL171" i="39"/>
  <c r="AM189" i="39"/>
  <c r="AI194" i="39"/>
  <c r="AB223" i="39"/>
  <c r="AB224" i="39" s="1"/>
  <c r="AC222" i="39"/>
  <c r="R170" i="39"/>
  <c r="AH170" i="39"/>
  <c r="R171" i="39"/>
  <c r="AH171" i="39"/>
  <c r="AH192" i="39"/>
  <c r="N233" i="39"/>
  <c r="BS232" i="39"/>
  <c r="R234" i="39"/>
  <c r="N235" i="39"/>
  <c r="R265" i="39"/>
  <c r="S260" i="39"/>
  <c r="W260" i="39"/>
  <c r="AA260" i="39"/>
  <c r="AA257" i="39"/>
  <c r="AE260" i="39"/>
  <c r="AE257" i="39"/>
  <c r="AI260" i="39"/>
  <c r="M214" i="39"/>
  <c r="Q214" i="39"/>
  <c r="U214" i="39"/>
  <c r="Y214" i="39"/>
  <c r="AC214" i="39"/>
  <c r="AG214" i="39"/>
  <c r="N137" i="39"/>
  <c r="R137" i="39"/>
  <c r="V137" i="39"/>
  <c r="Z137" i="39"/>
  <c r="AD137" i="39"/>
  <c r="AH137" i="39"/>
  <c r="N215" i="39"/>
  <c r="N193" i="39"/>
  <c r="R215" i="39"/>
  <c r="R193" i="39"/>
  <c r="V215" i="39"/>
  <c r="V193" i="39"/>
  <c r="Z215" i="39"/>
  <c r="Z193" i="39"/>
  <c r="AD215" i="39"/>
  <c r="AD193" i="39"/>
  <c r="O139" i="39"/>
  <c r="S139" i="39"/>
  <c r="W139" i="39"/>
  <c r="AA139" i="39"/>
  <c r="AE139" i="39"/>
  <c r="O216" i="39"/>
  <c r="O194" i="39"/>
  <c r="O172" i="39"/>
  <c r="S216" i="39"/>
  <c r="S194" i="39"/>
  <c r="S172" i="39"/>
  <c r="W216" i="39"/>
  <c r="W194" i="39"/>
  <c r="W172" i="39"/>
  <c r="AA216" i="39"/>
  <c r="AA194" i="39"/>
  <c r="AA172" i="39"/>
  <c r="AE216" i="39"/>
  <c r="AE194" i="39"/>
  <c r="AE172" i="39"/>
  <c r="P141" i="39"/>
  <c r="T141" i="39"/>
  <c r="X141" i="39"/>
  <c r="AB141" i="39"/>
  <c r="AF141" i="39"/>
  <c r="AJ141" i="39"/>
  <c r="AM150" i="39"/>
  <c r="N170" i="39"/>
  <c r="Y170" i="39"/>
  <c r="AD170" i="39"/>
  <c r="N171" i="39"/>
  <c r="AD171" i="39"/>
  <c r="AI192" i="39"/>
  <c r="AO188" i="39"/>
  <c r="M192" i="39"/>
  <c r="U192" i="39"/>
  <c r="AC192" i="39"/>
  <c r="V214" i="39"/>
  <c r="Y283" i="39"/>
  <c r="AM188" i="39"/>
  <c r="AM190" i="39"/>
  <c r="O233" i="39"/>
  <c r="S235" i="39"/>
  <c r="S233" i="39"/>
  <c r="W235" i="39"/>
  <c r="W233" i="39"/>
  <c r="AA235" i="39"/>
  <c r="AA233" i="39"/>
  <c r="AE235" i="39"/>
  <c r="AE233" i="39"/>
  <c r="Z234" i="39"/>
  <c r="AE234" i="39"/>
  <c r="BZ234" i="39"/>
  <c r="CD234" i="39"/>
  <c r="CB234" i="39"/>
  <c r="AD235" i="39"/>
  <c r="Q240" i="39"/>
  <c r="AD239" i="39"/>
  <c r="R240" i="39"/>
  <c r="AB240" i="39"/>
  <c r="BS238" i="39"/>
  <c r="BX238" i="39"/>
  <c r="V241" i="39"/>
  <c r="AB241" i="39"/>
  <c r="Q245" i="39"/>
  <c r="V245" i="39"/>
  <c r="AG245" i="39"/>
  <c r="BW244" i="39"/>
  <c r="N247" i="39"/>
  <c r="AD247" i="39"/>
  <c r="O262" i="39"/>
  <c r="O251" i="39"/>
  <c r="Q253" i="39"/>
  <c r="Q251" i="39"/>
  <c r="U253" i="39"/>
  <c r="U251" i="39"/>
  <c r="Y253" i="39"/>
  <c r="Y251" i="39"/>
  <c r="AC253" i="39"/>
  <c r="AC251" i="39"/>
  <c r="AG253" i="39"/>
  <c r="AG251" i="39"/>
  <c r="T251" i="39"/>
  <c r="Z251" i="39"/>
  <c r="AE251" i="39"/>
  <c r="R252" i="39"/>
  <c r="X252" i="39"/>
  <c r="AC252" i="39"/>
  <c r="CA252" i="39"/>
  <c r="AD253" i="39"/>
  <c r="AY260" i="39"/>
  <c r="N262" i="39"/>
  <c r="R264" i="39" s="1"/>
  <c r="Y262" i="39"/>
  <c r="AD262" i="39"/>
  <c r="S268" i="39"/>
  <c r="W268" i="39"/>
  <c r="AA268" i="39"/>
  <c r="AE268" i="39"/>
  <c r="T268" i="39"/>
  <c r="Y268" i="39"/>
  <c r="BV267" i="39"/>
  <c r="X270" i="39"/>
  <c r="AC270" i="39"/>
  <c r="Q271" i="39"/>
  <c r="AB271" i="39"/>
  <c r="BV273" i="39"/>
  <c r="Q274" i="39"/>
  <c r="V274" i="39"/>
  <c r="AB274" i="39"/>
  <c r="AG274" i="39"/>
  <c r="R275" i="39"/>
  <c r="X275" i="39"/>
  <c r="AH275" i="39"/>
  <c r="N276" i="39"/>
  <c r="AD276" i="39"/>
  <c r="P280" i="39"/>
  <c r="BU278" i="39"/>
  <c r="T280" i="39"/>
  <c r="X280" i="39"/>
  <c r="Y281" i="39" s="1"/>
  <c r="BV278" i="39"/>
  <c r="AB280" i="39"/>
  <c r="AF280" i="39"/>
  <c r="AC280" i="39"/>
  <c r="Z239" i="39"/>
  <c r="AD240" i="39"/>
  <c r="BT238" i="39"/>
  <c r="R241" i="39"/>
  <c r="R245" i="39"/>
  <c r="BS244" i="39"/>
  <c r="Z247" i="39"/>
  <c r="M251" i="39"/>
  <c r="V251" i="39"/>
  <c r="AA251" i="39"/>
  <c r="AD252" i="39"/>
  <c r="BU250" i="39"/>
  <c r="Z253" i="39"/>
  <c r="AN260" i="39"/>
  <c r="Z262" i="39"/>
  <c r="U265" i="39"/>
  <c r="P268" i="39"/>
  <c r="U268" i="39"/>
  <c r="T270" i="39"/>
  <c r="X271" i="39"/>
  <c r="AC271" i="39"/>
  <c r="BW273" i="39"/>
  <c r="R274" i="39"/>
  <c r="AH274" i="39"/>
  <c r="AD275" i="39"/>
  <c r="Z276" i="39"/>
  <c r="BT278" i="39"/>
  <c r="V280" i="39"/>
  <c r="AD280" i="39"/>
  <c r="S241" i="39"/>
  <c r="S239" i="39"/>
  <c r="W241" i="39"/>
  <c r="W239" i="39"/>
  <c r="AA241" i="39"/>
  <c r="AA239" i="39"/>
  <c r="AE241" i="39"/>
  <c r="AE239" i="39"/>
  <c r="V239" i="39"/>
  <c r="AB239" i="39"/>
  <c r="Z240" i="39"/>
  <c r="AE240" i="39"/>
  <c r="BU238" i="39"/>
  <c r="BZ240" i="39"/>
  <c r="CD240" i="39"/>
  <c r="O245" i="39"/>
  <c r="S245" i="39"/>
  <c r="W245" i="39"/>
  <c r="AA245" i="39"/>
  <c r="AE245" i="39"/>
  <c r="T245" i="39"/>
  <c r="BU244" i="39"/>
  <c r="AA247" i="39"/>
  <c r="N251" i="39"/>
  <c r="S262" i="39"/>
  <c r="W262" i="39"/>
  <c r="AA262" i="39"/>
  <c r="AE262" i="39"/>
  <c r="R251" i="39"/>
  <c r="W251" i="39"/>
  <c r="P252" i="39"/>
  <c r="Z252" i="39"/>
  <c r="V253" i="39"/>
  <c r="BZ258" i="39"/>
  <c r="L262" i="39"/>
  <c r="V262" i="39"/>
  <c r="AB262" i="39"/>
  <c r="Q268" i="39"/>
  <c r="V268" i="39"/>
  <c r="AB268" i="39"/>
  <c r="AH270" i="39"/>
  <c r="BT267" i="39"/>
  <c r="P270" i="39"/>
  <c r="U270" i="39"/>
  <c r="AF270" i="39"/>
  <c r="T271" i="39"/>
  <c r="O274" i="39"/>
  <c r="S280" i="39"/>
  <c r="S275" i="39"/>
  <c r="S274" i="39"/>
  <c r="W280" i="39"/>
  <c r="W275" i="39"/>
  <c r="W274" i="39"/>
  <c r="AA280" i="39"/>
  <c r="AA275" i="39"/>
  <c r="AA274" i="39"/>
  <c r="AE280" i="39"/>
  <c r="AI282" i="39" s="1"/>
  <c r="AI275" i="39"/>
  <c r="AE275" i="39"/>
  <c r="AE274" i="39"/>
  <c r="BS273" i="39"/>
  <c r="BX273" i="39"/>
  <c r="T274" i="39"/>
  <c r="Z275" i="39"/>
  <c r="V276" i="39"/>
  <c r="AA276" i="39"/>
  <c r="N280" i="39"/>
  <c r="R282" i="39" s="1"/>
  <c r="AG280" i="39"/>
  <c r="AL188" i="39"/>
  <c r="AL190" i="39"/>
  <c r="S234" i="39"/>
  <c r="CA234" i="39"/>
  <c r="BV238" i="39"/>
  <c r="X239" i="39"/>
  <c r="AC239" i="39"/>
  <c r="P240" i="39"/>
  <c r="AA240" i="39"/>
  <c r="AF240" i="39"/>
  <c r="BT244" i="39"/>
  <c r="P245" i="39"/>
  <c r="Z245" i="39"/>
  <c r="AF245" i="39"/>
  <c r="W247" i="39"/>
  <c r="BT250" i="39"/>
  <c r="BX250" i="39"/>
  <c r="S251" i="39"/>
  <c r="X251" i="39"/>
  <c r="Q252" i="39"/>
  <c r="AB252" i="39"/>
  <c r="BW250" i="39"/>
  <c r="CB252" i="39"/>
  <c r="L253" i="39"/>
  <c r="R253" i="39"/>
  <c r="AB253" i="39"/>
  <c r="AH257" i="39"/>
  <c r="AL260" i="39"/>
  <c r="M262" i="39"/>
  <c r="X262" i="39"/>
  <c r="AC265" i="39"/>
  <c r="R271" i="39"/>
  <c r="R270" i="39"/>
  <c r="V271" i="39"/>
  <c r="V270" i="39"/>
  <c r="Z271" i="39"/>
  <c r="Z270" i="39"/>
  <c r="AD271" i="39"/>
  <c r="AD270" i="39"/>
  <c r="R268" i="39"/>
  <c r="AI267" i="39"/>
  <c r="AB270" i="39"/>
  <c r="T276" i="39"/>
  <c r="BU273" i="39"/>
  <c r="BT273" i="39"/>
  <c r="P274" i="39"/>
  <c r="U274" i="39"/>
  <c r="Z274" i="39"/>
  <c r="AF274" i="39"/>
  <c r="AB275" i="39"/>
  <c r="R276" i="39"/>
  <c r="W276" i="39"/>
  <c r="AH276" i="39"/>
  <c r="O280" i="39"/>
  <c r="AH280" i="39"/>
  <c r="AI281" i="39" s="1"/>
  <c r="AA319" i="39"/>
  <c r="AE319" i="39"/>
  <c r="S252" i="39"/>
  <c r="W252" i="39"/>
  <c r="AA252" i="39"/>
  <c r="AE252" i="39"/>
  <c r="AZ371" i="39"/>
  <c r="CC296" i="39"/>
  <c r="S302" i="39"/>
  <c r="W302" i="39"/>
  <c r="AH327" i="39"/>
  <c r="BX299" i="39"/>
  <c r="T300" i="39"/>
  <c r="Z300" i="39"/>
  <c r="AE300" i="39"/>
  <c r="X302" i="39"/>
  <c r="AC302" i="39"/>
  <c r="AH302" i="39"/>
  <c r="BT305" i="39"/>
  <c r="BU308" i="39" s="1"/>
  <c r="W306" i="39"/>
  <c r="BG307" i="39"/>
  <c r="P308" i="39"/>
  <c r="O312" i="39"/>
  <c r="T312" i="39"/>
  <c r="Y312" i="39"/>
  <c r="AE312" i="39"/>
  <c r="AM388" i="39"/>
  <c r="AQ314" i="39"/>
  <c r="AM314" i="39"/>
  <c r="BW311" i="39"/>
  <c r="T314" i="39"/>
  <c r="AA314" i="39"/>
  <c r="AI314" i="39"/>
  <c r="CD314" i="39"/>
  <c r="AA315" i="39"/>
  <c r="P319" i="39"/>
  <c r="P320" i="39"/>
  <c r="U319" i="39"/>
  <c r="AB317" i="39"/>
  <c r="AF319" i="39" s="1"/>
  <c r="BS317" i="39"/>
  <c r="Q320" i="39"/>
  <c r="Q323" i="39"/>
  <c r="U324" i="39"/>
  <c r="M349" i="39"/>
  <c r="AC349" i="39"/>
  <c r="AE349" i="39"/>
  <c r="AI347" i="39"/>
  <c r="AM402" i="39"/>
  <c r="AM371" i="39"/>
  <c r="CB371" i="39"/>
  <c r="AI303" i="39"/>
  <c r="AI302" i="39"/>
  <c r="BU299" i="39"/>
  <c r="P300" i="39"/>
  <c r="AS301" i="39"/>
  <c r="T302" i="39"/>
  <c r="Y302" i="39"/>
  <c r="N312" i="39"/>
  <c r="R314" i="39"/>
  <c r="R312" i="39"/>
  <c r="V317" i="39"/>
  <c r="V312" i="39"/>
  <c r="Z317" i="39"/>
  <c r="AA318" i="39" s="1"/>
  <c r="Z312" i="39"/>
  <c r="AD388" i="39"/>
  <c r="AD317" i="39"/>
  <c r="AE318" i="39" s="1"/>
  <c r="AD402" i="39"/>
  <c r="AH314" i="39"/>
  <c r="AD312" i="39"/>
  <c r="AA312" i="39"/>
  <c r="AG402" i="39"/>
  <c r="AK314" i="39"/>
  <c r="AG314" i="39"/>
  <c r="AG312" i="39"/>
  <c r="BX311" i="39"/>
  <c r="AG388" i="39"/>
  <c r="BX388" i="39" s="1"/>
  <c r="AG327" i="39"/>
  <c r="AN388" i="39"/>
  <c r="BZ388" i="39" s="1"/>
  <c r="V314" i="39"/>
  <c r="AD314" i="39"/>
  <c r="N320" i="39"/>
  <c r="N318" i="39"/>
  <c r="R319" i="39"/>
  <c r="U323" i="39"/>
  <c r="AI327" i="39"/>
  <c r="R347" i="39"/>
  <c r="AD347" i="39"/>
  <c r="AL348" i="39"/>
  <c r="AV373" i="39"/>
  <c r="BZ371" i="39"/>
  <c r="CA371" i="39"/>
  <c r="Q300" i="39"/>
  <c r="U300" i="39"/>
  <c r="AJ299" i="39"/>
  <c r="BV299" i="39"/>
  <c r="R300" i="39"/>
  <c r="AZ301" i="39"/>
  <c r="P302" i="39"/>
  <c r="U302" i="39"/>
  <c r="Z302" i="39"/>
  <c r="X306" i="39"/>
  <c r="BV305" i="39"/>
  <c r="AB372" i="39"/>
  <c r="AB306" i="39"/>
  <c r="BW305" i="39"/>
  <c r="AX307" i="39"/>
  <c r="X308" i="39"/>
  <c r="P309" i="39"/>
  <c r="S315" i="39"/>
  <c r="W314" i="39"/>
  <c r="AE388" i="39"/>
  <c r="AE402" i="39"/>
  <c r="Q312" i="39"/>
  <c r="W312" i="39"/>
  <c r="AJ402" i="39"/>
  <c r="AJ388" i="39"/>
  <c r="AK312" i="39"/>
  <c r="AJ312" i="39"/>
  <c r="BS311" i="39"/>
  <c r="AF312" i="39"/>
  <c r="P314" i="39"/>
  <c r="AE314" i="39"/>
  <c r="O320" i="39"/>
  <c r="S320" i="39" s="1"/>
  <c r="S317" i="39" s="1"/>
  <c r="W319" i="39" s="1"/>
  <c r="O318" i="39"/>
  <c r="R320" i="39"/>
  <c r="Q318" i="39"/>
  <c r="AF318" i="39"/>
  <c r="BY320" i="39"/>
  <c r="L320" i="39"/>
  <c r="BS322" i="39"/>
  <c r="BT322" i="39"/>
  <c r="BZ324" i="39"/>
  <c r="CD324" i="39"/>
  <c r="Q324" i="39"/>
  <c r="BV339" i="39"/>
  <c r="AA347" i="39"/>
  <c r="CB296" i="39"/>
  <c r="BW299" i="39"/>
  <c r="AD300" i="39"/>
  <c r="Q302" i="39"/>
  <c r="AG302" i="39"/>
  <c r="P303" i="39"/>
  <c r="Q308" i="39"/>
  <c r="U308" i="39"/>
  <c r="Y308" i="39"/>
  <c r="AC372" i="39"/>
  <c r="AG308" i="39"/>
  <c r="AC308" i="39"/>
  <c r="BS305" i="39"/>
  <c r="Q306" i="39"/>
  <c r="AG307" i="39" s="1"/>
  <c r="V306" i="39"/>
  <c r="T308" i="39"/>
  <c r="BT311" i="39"/>
  <c r="BU311" i="39"/>
  <c r="X317" i="39"/>
  <c r="AB402" i="39"/>
  <c r="AB388" i="39"/>
  <c r="AB314" i="39"/>
  <c r="S312" i="39"/>
  <c r="X312" i="39"/>
  <c r="AC312" i="39"/>
  <c r="BV311" i="39"/>
  <c r="AH312" i="39"/>
  <c r="S314" i="39"/>
  <c r="Z314" i="39"/>
  <c r="AF314" i="39"/>
  <c r="T317" i="39"/>
  <c r="U318" i="39" s="1"/>
  <c r="AG317" i="39"/>
  <c r="R318" i="39"/>
  <c r="M323" i="39"/>
  <c r="N323" i="39"/>
  <c r="Y324" i="39"/>
  <c r="Y323" i="39"/>
  <c r="AC324" i="39"/>
  <c r="AC323" i="39"/>
  <c r="BW322" i="39"/>
  <c r="BX324" i="39" s="1"/>
  <c r="AD323" i="39"/>
  <c r="BV322" i="39"/>
  <c r="Z323" i="39"/>
  <c r="AG324" i="39"/>
  <c r="S332" i="39"/>
  <c r="BA373" i="39"/>
  <c r="AA302" i="39"/>
  <c r="AE302" i="39"/>
  <c r="AF306" i="39"/>
  <c r="Q314" i="39"/>
  <c r="U314" i="39"/>
  <c r="Y314" i="39"/>
  <c r="AC402" i="39"/>
  <c r="AC314" i="39"/>
  <c r="AC317" i="39"/>
  <c r="BU322" i="39"/>
  <c r="T323" i="39"/>
  <c r="T324" i="39"/>
  <c r="Y329" i="39"/>
  <c r="AC329" i="39"/>
  <c r="BT327" i="39"/>
  <c r="AA329" i="39"/>
  <c r="AF329" i="39"/>
  <c r="AA330" i="39"/>
  <c r="Q331" i="39"/>
  <c r="W331" i="39"/>
  <c r="BW336" i="39"/>
  <c r="BW339" i="39" s="1"/>
  <c r="L339" i="39"/>
  <c r="L346" i="39"/>
  <c r="P346" i="39"/>
  <c r="Q347" i="39" s="1"/>
  <c r="T346" i="39"/>
  <c r="X346" i="39"/>
  <c r="AB346" i="39"/>
  <c r="AF346" i="39"/>
  <c r="BT342" i="39"/>
  <c r="BA366" i="39"/>
  <c r="BB366" i="39" s="1"/>
  <c r="AZ373" i="39"/>
  <c r="AC388" i="39"/>
  <c r="W330" i="39"/>
  <c r="AB330" i="39"/>
  <c r="S331" i="39"/>
  <c r="W332" i="39"/>
  <c r="BX336" i="39"/>
  <c r="BX339" i="39" s="1"/>
  <c r="X339" i="39"/>
  <c r="BU342" i="39"/>
  <c r="BX344" i="39"/>
  <c r="S346" i="39"/>
  <c r="Y346" i="39"/>
  <c r="AC348" i="39" s="1"/>
  <c r="BW327" i="39"/>
  <c r="S330" i="39"/>
  <c r="AE331" i="39"/>
  <c r="BT336" i="39"/>
  <c r="BT339" i="39" s="1"/>
  <c r="T339" i="39"/>
  <c r="BS344" i="39"/>
  <c r="BW344" i="39"/>
  <c r="AL388" i="39"/>
  <c r="O323" i="39"/>
  <c r="S325" i="39"/>
  <c r="S324" i="39"/>
  <c r="S323" i="39"/>
  <c r="W325" i="39"/>
  <c r="W324" i="39"/>
  <c r="W323" i="39"/>
  <c r="AA325" i="39"/>
  <c r="AA324" i="39"/>
  <c r="AA323" i="39"/>
  <c r="AI324" i="39"/>
  <c r="AE324" i="39"/>
  <c r="AE323" i="39"/>
  <c r="X323" i="39"/>
  <c r="L332" i="39"/>
  <c r="P332" i="39"/>
  <c r="T332" i="39"/>
  <c r="BU327" i="39"/>
  <c r="BV331" i="39" s="1"/>
  <c r="X332" i="39"/>
  <c r="BS327" i="39"/>
  <c r="AE329" i="39"/>
  <c r="O330" i="39"/>
  <c r="T330" i="39"/>
  <c r="Y330" i="39"/>
  <c r="AE330" i="39"/>
  <c r="P331" i="39"/>
  <c r="AF331" i="39"/>
  <c r="BX342" i="39"/>
  <c r="CB314" i="39"/>
  <c r="R330" i="39"/>
  <c r="V330" i="39"/>
  <c r="Z330" i="39"/>
  <c r="AD330" i="39"/>
  <c r="BS342" i="39"/>
  <c r="BW342" i="39"/>
  <c r="BV426" i="39"/>
  <c r="BU429" i="39"/>
  <c r="N444" i="39"/>
  <c r="N446" i="39" s="1"/>
  <c r="BV437" i="39"/>
  <c r="L452" i="39"/>
  <c r="BS426" i="39"/>
  <c r="AB452" i="39"/>
  <c r="BW426" i="39"/>
  <c r="V444" i="39"/>
  <c r="V446" i="39" s="1"/>
  <c r="V455" i="39"/>
  <c r="Z455" i="39"/>
  <c r="Z444" i="39"/>
  <c r="Z446" i="39" s="1"/>
  <c r="AD444" i="39"/>
  <c r="AD446" i="39" s="1"/>
  <c r="AD455" i="39"/>
  <c r="AE468" i="39"/>
  <c r="AE469" i="39" s="1"/>
  <c r="AE470" i="39" s="1"/>
  <c r="AE472" i="39" s="1"/>
  <c r="BW442" i="39"/>
  <c r="AA444" i="39"/>
  <c r="AE443" i="39"/>
  <c r="AB444" i="39"/>
  <c r="AB446" i="39" s="1"/>
  <c r="BU437" i="39"/>
  <c r="CC388" i="39"/>
  <c r="BT437" i="39"/>
  <c r="BW437" i="39"/>
  <c r="P455" i="39"/>
  <c r="BT429" i="39"/>
  <c r="BV429" i="39"/>
  <c r="X455" i="39"/>
  <c r="M444" i="39"/>
  <c r="M446" i="39" s="1"/>
  <c r="Q444" i="39"/>
  <c r="Q446" i="39" s="1"/>
  <c r="BT443" i="39"/>
  <c r="U444" i="39"/>
  <c r="U446" i="39" s="1"/>
  <c r="Y444" i="39"/>
  <c r="Y446" i="39" s="1"/>
  <c r="BV443" i="39"/>
  <c r="AC444" i="39"/>
  <c r="AC446" i="39" s="1"/>
  <c r="L444" i="39"/>
  <c r="L446" i="39" s="1"/>
  <c r="T444" i="39"/>
  <c r="T446" i="39" s="1"/>
  <c r="M469" i="39"/>
  <c r="M470" i="39" s="1"/>
  <c r="M472" i="39" s="1"/>
  <c r="Q469" i="39"/>
  <c r="Q470" i="39" s="1"/>
  <c r="Q472" i="39" s="1"/>
  <c r="U469" i="39"/>
  <c r="U470" i="39" s="1"/>
  <c r="U472" i="39" s="1"/>
  <c r="Y469" i="39"/>
  <c r="Y470" i="39" s="1"/>
  <c r="Y472" i="39" s="1"/>
  <c r="AC469" i="39"/>
  <c r="AC470" i="39" s="1"/>
  <c r="AC472" i="39" s="1"/>
  <c r="AF470" i="39"/>
  <c r="AF472" i="39" s="1"/>
  <c r="BQ561" i="39"/>
  <c r="BQ581" i="39" s="1"/>
  <c r="BQ578" i="39"/>
  <c r="BU561" i="39"/>
  <c r="BU581" i="39" s="1"/>
  <c r="BU578" i="39"/>
  <c r="BW561" i="39"/>
  <c r="BT564" i="39"/>
  <c r="BT582" i="39"/>
  <c r="I565" i="39"/>
  <c r="Q565" i="39"/>
  <c r="X565" i="39"/>
  <c r="X585" i="39" s="1"/>
  <c r="AD565" i="39"/>
  <c r="BQ582" i="39"/>
  <c r="BQ574" i="39"/>
  <c r="BQ575" i="39" s="1"/>
  <c r="BU582" i="39"/>
  <c r="BU574" i="39"/>
  <c r="E584" i="39"/>
  <c r="E565" i="39"/>
  <c r="U584" i="39"/>
  <c r="U565" i="39"/>
  <c r="R565" i="39"/>
  <c r="R585" i="39" s="1"/>
  <c r="Y565" i="39"/>
  <c r="BT561" i="39"/>
  <c r="BR582" i="39"/>
  <c r="BV582" i="39"/>
  <c r="BS583" i="39"/>
  <c r="BV584" i="39"/>
  <c r="J565" i="39"/>
  <c r="Z565" i="39"/>
  <c r="Z585" i="39" s="1"/>
  <c r="F565" i="39"/>
  <c r="F585" i="39" s="1"/>
  <c r="M565" i="39"/>
  <c r="T565" i="39"/>
  <c r="T585" i="39" s="1"/>
  <c r="AB565" i="39"/>
  <c r="AB585" i="39" s="1"/>
  <c r="BS574" i="39"/>
  <c r="BV561" i="39"/>
  <c r="BV581" i="39" s="1"/>
  <c r="BS582" i="39"/>
  <c r="BS564" i="39"/>
  <c r="BW564" i="39"/>
  <c r="P581" i="39"/>
  <c r="P565" i="39"/>
  <c r="AF581" i="39"/>
  <c r="AF565" i="39"/>
  <c r="G584" i="39"/>
  <c r="G565" i="39"/>
  <c r="G585" i="39" s="1"/>
  <c r="K584" i="39"/>
  <c r="K565" i="39"/>
  <c r="K585" i="39" s="1"/>
  <c r="O584" i="39"/>
  <c r="O565" i="39"/>
  <c r="S584" i="39"/>
  <c r="S565" i="39"/>
  <c r="S585" i="39" s="1"/>
  <c r="W584" i="39"/>
  <c r="W565" i="39"/>
  <c r="AA584" i="39"/>
  <c r="AA565" i="39"/>
  <c r="AE584" i="39"/>
  <c r="AE565" i="39"/>
  <c r="AE585" i="39" s="1"/>
  <c r="H565" i="39"/>
  <c r="H585" i="39" s="1"/>
  <c r="N565" i="39"/>
  <c r="N585" i="39" s="1"/>
  <c r="V565" i="39"/>
  <c r="AC565" i="39"/>
  <c r="BS571" i="39"/>
  <c r="BS581" i="39" s="1"/>
  <c r="BS578" i="39"/>
  <c r="BW571" i="39"/>
  <c r="BW578" i="39"/>
  <c r="BT571" i="39"/>
  <c r="BT575" i="39" s="1"/>
  <c r="P575" i="39"/>
  <c r="AF575" i="39"/>
  <c r="BS590" i="39"/>
  <c r="BS592" i="39" s="1"/>
  <c r="BT600" i="39"/>
  <c r="BX599" i="39"/>
  <c r="AI601" i="39"/>
  <c r="AI600" i="39"/>
  <c r="BX600" i="39" s="1"/>
  <c r="BV600" i="39"/>
  <c r="BS600" i="39"/>
  <c r="D584" i="39"/>
  <c r="T584" i="39"/>
  <c r="BQ592" i="39"/>
  <c r="BT590" i="39"/>
  <c r="BT592" i="39" s="1"/>
  <c r="BU590" i="39"/>
  <c r="BU592" i="39" s="1"/>
  <c r="BX590" i="39"/>
  <c r="BX592" i="39" s="1"/>
  <c r="BW590" i="39"/>
  <c r="BW592" i="39" s="1"/>
  <c r="BU612" i="39"/>
  <c r="E575" i="39"/>
  <c r="I575" i="39"/>
  <c r="M575" i="39"/>
  <c r="Q575" i="39"/>
  <c r="U575" i="39"/>
  <c r="Y575" i="39"/>
  <c r="AC575" i="39"/>
  <c r="BV592" i="39"/>
  <c r="BR590" i="39"/>
  <c r="BR592" i="39" s="1"/>
  <c r="P592" i="39"/>
  <c r="AF592" i="39"/>
  <c r="BS601" i="39"/>
  <c r="BT601" i="39"/>
  <c r="BT612" i="39"/>
  <c r="S14" i="3"/>
  <c r="BT14" i="3" s="1"/>
  <c r="AY14" i="3"/>
  <c r="CB14" i="3" s="1"/>
  <c r="Z15" i="3"/>
  <c r="AA15" i="3" s="1"/>
  <c r="BQ17" i="3"/>
  <c r="BU17" i="3"/>
  <c r="AP88" i="3"/>
  <c r="AQ30" i="3"/>
  <c r="BZ30" i="3" s="1"/>
  <c r="F15" i="3"/>
  <c r="G15" i="3" s="1"/>
  <c r="V15" i="3"/>
  <c r="W15" i="3" s="1"/>
  <c r="AI14" i="3"/>
  <c r="BX14" i="3" s="1"/>
  <c r="J15" i="3"/>
  <c r="K15" i="3" s="1"/>
  <c r="J60" i="3"/>
  <c r="J62" i="3" s="1"/>
  <c r="K30" i="3"/>
  <c r="J36" i="3"/>
  <c r="BR30" i="3"/>
  <c r="BR17" i="3"/>
  <c r="BV17" i="3"/>
  <c r="BZ17" i="3"/>
  <c r="BQ20" i="3"/>
  <c r="BU20" i="3"/>
  <c r="BY20" i="3"/>
  <c r="BQ21" i="3"/>
  <c r="BU21" i="3"/>
  <c r="BY21" i="3"/>
  <c r="BR22" i="3"/>
  <c r="BV22" i="3"/>
  <c r="BZ22" i="3"/>
  <c r="BT23" i="3"/>
  <c r="BX23" i="3"/>
  <c r="CB23" i="3"/>
  <c r="BQ24" i="3"/>
  <c r="BU24" i="3"/>
  <c r="BY24" i="3"/>
  <c r="BQ25" i="3"/>
  <c r="K104" i="3"/>
  <c r="E76" i="3"/>
  <c r="E75" i="3" s="1"/>
  <c r="E79" i="3" s="1"/>
  <c r="U76" i="3"/>
  <c r="U75" i="3" s="1"/>
  <c r="U79" i="3" s="1"/>
  <c r="AG86" i="3"/>
  <c r="AK78" i="3"/>
  <c r="AK86" i="3"/>
  <c r="AO86" i="3"/>
  <c r="AO78" i="3"/>
  <c r="AS86" i="3"/>
  <c r="AS78" i="3"/>
  <c r="AW86" i="3"/>
  <c r="AW78" i="3"/>
  <c r="BA78" i="3"/>
  <c r="BA86" i="3"/>
  <c r="BS14" i="3"/>
  <c r="BW14" i="3"/>
  <c r="CA14" i="3"/>
  <c r="BT15" i="3"/>
  <c r="AD15" i="3"/>
  <c r="AE15" i="3" s="1"/>
  <c r="BA17" i="3"/>
  <c r="BT16" i="3"/>
  <c r="BT18" i="3"/>
  <c r="BT26" i="3"/>
  <c r="BX26" i="3"/>
  <c r="E36" i="3"/>
  <c r="P36" i="3"/>
  <c r="U60" i="3"/>
  <c r="U62" i="3" s="1"/>
  <c r="U36" i="3"/>
  <c r="Z30" i="3"/>
  <c r="AK88" i="3"/>
  <c r="AK60" i="3"/>
  <c r="AK62" i="3" s="1"/>
  <c r="AK36" i="3"/>
  <c r="BA88" i="3"/>
  <c r="BA60" i="3"/>
  <c r="BA62" i="3" s="1"/>
  <c r="BA36" i="3"/>
  <c r="BS32" i="3"/>
  <c r="AD32" i="3"/>
  <c r="AE32" i="3" s="1"/>
  <c r="AL32" i="3"/>
  <c r="AM32" i="3" s="1"/>
  <c r="AT32" i="3"/>
  <c r="AU32" i="3" s="1"/>
  <c r="BS34" i="3"/>
  <c r="AD34" i="3"/>
  <c r="AE34" i="3" s="1"/>
  <c r="AL34" i="3"/>
  <c r="AM34" i="3" s="1"/>
  <c r="AT34" i="3"/>
  <c r="AU34" i="3" s="1"/>
  <c r="BV32" i="3"/>
  <c r="BY34" i="3"/>
  <c r="BQ35" i="3"/>
  <c r="BR35" i="3"/>
  <c r="BU35" i="3"/>
  <c r="BV35" i="3"/>
  <c r="BY35" i="3"/>
  <c r="BZ35" i="3"/>
  <c r="BS35" i="3"/>
  <c r="Q40" i="3"/>
  <c r="R40" i="3" s="1"/>
  <c r="S40" i="3" s="1"/>
  <c r="AG40" i="3"/>
  <c r="AO40" i="3"/>
  <c r="AP40" i="3" s="1"/>
  <c r="AQ40" i="3" s="1"/>
  <c r="AW40" i="3"/>
  <c r="AX40" i="3" s="1"/>
  <c r="AY40" i="3" s="1"/>
  <c r="BV40" i="3"/>
  <c r="BS41" i="3"/>
  <c r="BW41" i="3"/>
  <c r="CA41" i="3"/>
  <c r="CB41" i="3"/>
  <c r="BT42" i="3"/>
  <c r="BX42" i="3"/>
  <c r="CB42" i="3"/>
  <c r="AH78" i="3"/>
  <c r="AL78" i="3"/>
  <c r="AP78" i="3"/>
  <c r="AT78" i="3"/>
  <c r="BQ16" i="3"/>
  <c r="BU16" i="3"/>
  <c r="BS17" i="3"/>
  <c r="BQ18" i="3"/>
  <c r="BU18" i="3"/>
  <c r="BR20" i="3"/>
  <c r="BV20" i="3"/>
  <c r="BZ20" i="3"/>
  <c r="BS21" i="3"/>
  <c r="BW21" i="3"/>
  <c r="CA21" i="3"/>
  <c r="BT22" i="3"/>
  <c r="BX22" i="3"/>
  <c r="CB22" i="3"/>
  <c r="BQ23" i="3"/>
  <c r="BU23" i="3"/>
  <c r="BY23" i="3"/>
  <c r="BR24" i="3"/>
  <c r="BV24" i="3"/>
  <c r="BZ24" i="3"/>
  <c r="BS25" i="3"/>
  <c r="BW25" i="3"/>
  <c r="CA25" i="3"/>
  <c r="BU26" i="3"/>
  <c r="BZ26" i="3"/>
  <c r="F60" i="3"/>
  <c r="F62" i="3" s="1"/>
  <c r="Q60" i="3"/>
  <c r="Q62" i="3" s="1"/>
  <c r="V60" i="3"/>
  <c r="V62" i="3" s="1"/>
  <c r="W30" i="3"/>
  <c r="AG60" i="3"/>
  <c r="AG62" i="3" s="1"/>
  <c r="AW88" i="3"/>
  <c r="AW60" i="3"/>
  <c r="AW62" i="3" s="1"/>
  <c r="BQ32" i="3"/>
  <c r="BR34" i="3"/>
  <c r="BT35" i="3"/>
  <c r="CB35" i="3"/>
  <c r="H44" i="3"/>
  <c r="I39" i="3"/>
  <c r="P44" i="3"/>
  <c r="Q39" i="3"/>
  <c r="X44" i="3"/>
  <c r="Y39" i="3"/>
  <c r="AF44" i="3"/>
  <c r="AG39" i="3"/>
  <c r="AH39" i="3" s="1"/>
  <c r="AN44" i="3"/>
  <c r="AO39" i="3"/>
  <c r="AV44" i="3"/>
  <c r="AW39" i="3"/>
  <c r="AX39" i="3" s="1"/>
  <c r="BQ40" i="3"/>
  <c r="F41" i="3"/>
  <c r="G41" i="3" s="1"/>
  <c r="V41" i="3"/>
  <c r="W41" i="3" s="1"/>
  <c r="AL41" i="3"/>
  <c r="AM41" i="3" s="1"/>
  <c r="BR42" i="3"/>
  <c r="G13" i="3"/>
  <c r="O13" i="3"/>
  <c r="BS13" i="3" s="1"/>
  <c r="W13" i="3"/>
  <c r="BU13" i="3" s="1"/>
  <c r="AE13" i="3"/>
  <c r="AE405" i="39" s="1"/>
  <c r="AM13" i="3"/>
  <c r="AM405" i="39" s="1"/>
  <c r="AU13" i="3"/>
  <c r="AU405" i="39" s="1"/>
  <c r="AU358" i="39" s="1"/>
  <c r="BQ14" i="3"/>
  <c r="BU14" i="3"/>
  <c r="BY14" i="3"/>
  <c r="Z14" i="3"/>
  <c r="AA14" i="3" s="1"/>
  <c r="AP14" i="3"/>
  <c r="AQ14" i="3" s="1"/>
  <c r="BE110" i="3"/>
  <c r="BE87" i="3"/>
  <c r="I16" i="3"/>
  <c r="J16" i="3" s="1"/>
  <c r="K16" i="3" s="1"/>
  <c r="M16" i="3"/>
  <c r="N16" i="3" s="1"/>
  <c r="O16" i="3" s="1"/>
  <c r="Y16" i="3"/>
  <c r="Z16" i="3" s="1"/>
  <c r="AA16" i="3" s="1"/>
  <c r="AC16" i="3"/>
  <c r="AG16" i="3"/>
  <c r="AH16" i="3" s="1"/>
  <c r="AI16" i="3" s="1"/>
  <c r="AK16" i="3"/>
  <c r="AL16" i="3" s="1"/>
  <c r="AM16" i="3" s="1"/>
  <c r="AO16" i="3"/>
  <c r="AP16" i="3" s="1"/>
  <c r="AS16" i="3"/>
  <c r="AW16" i="3"/>
  <c r="S17" i="3"/>
  <c r="BT17" i="3" s="1"/>
  <c r="I18" i="3"/>
  <c r="J18" i="3" s="1"/>
  <c r="K18" i="3" s="1"/>
  <c r="M18" i="3"/>
  <c r="N18" i="3" s="1"/>
  <c r="O18" i="3" s="1"/>
  <c r="Y18" i="3"/>
  <c r="Z18" i="3" s="1"/>
  <c r="AA18" i="3" s="1"/>
  <c r="AC18" i="3"/>
  <c r="AG18" i="3"/>
  <c r="AH18" i="3" s="1"/>
  <c r="AI18" i="3" s="1"/>
  <c r="AK18" i="3"/>
  <c r="AL18" i="3" s="1"/>
  <c r="AM18" i="3" s="1"/>
  <c r="AO18" i="3"/>
  <c r="AP18" i="3" s="1"/>
  <c r="AQ18" i="3" s="1"/>
  <c r="AS18" i="3"/>
  <c r="AW18" i="3"/>
  <c r="AX18" i="3" s="1"/>
  <c r="AY18" i="3" s="1"/>
  <c r="CD18" i="3"/>
  <c r="N20" i="3"/>
  <c r="O20" i="3" s="1"/>
  <c r="AD20" i="3"/>
  <c r="AE20" i="3" s="1"/>
  <c r="AT20" i="3"/>
  <c r="AU20" i="3" s="1"/>
  <c r="R21" i="3"/>
  <c r="S21" i="3" s="1"/>
  <c r="AH21" i="3"/>
  <c r="AI21" i="3" s="1"/>
  <c r="AX21" i="3"/>
  <c r="AY21" i="3" s="1"/>
  <c r="F22" i="3"/>
  <c r="G22" i="3" s="1"/>
  <c r="V22" i="3"/>
  <c r="W22" i="3" s="1"/>
  <c r="AL22" i="3"/>
  <c r="AM22" i="3" s="1"/>
  <c r="J23" i="3"/>
  <c r="K23" i="3" s="1"/>
  <c r="Z23" i="3"/>
  <c r="AA23" i="3" s="1"/>
  <c r="AP23" i="3"/>
  <c r="AQ23" i="3" s="1"/>
  <c r="N24" i="3"/>
  <c r="O24" i="3" s="1"/>
  <c r="AD24" i="3"/>
  <c r="AE24" i="3" s="1"/>
  <c r="AT24" i="3"/>
  <c r="AU24" i="3" s="1"/>
  <c r="R25" i="3"/>
  <c r="S25" i="3" s="1"/>
  <c r="AH25" i="3"/>
  <c r="AI25" i="3" s="1"/>
  <c r="AX25" i="3"/>
  <c r="AY25" i="3" s="1"/>
  <c r="F26" i="3"/>
  <c r="G26" i="3" s="1"/>
  <c r="Z26" i="3"/>
  <c r="AA26" i="3" s="1"/>
  <c r="AT26" i="3"/>
  <c r="AU26" i="3" s="1"/>
  <c r="M60" i="3"/>
  <c r="M62" i="3" s="1"/>
  <c r="M36" i="3"/>
  <c r="R30" i="3"/>
  <c r="AC60" i="3"/>
  <c r="AC62" i="3" s="1"/>
  <c r="AC36" i="3"/>
  <c r="AH30" i="3"/>
  <c r="AS88" i="3"/>
  <c r="AS60" i="3"/>
  <c r="AS62" i="3" s="1"/>
  <c r="AS36" i="3"/>
  <c r="AX30" i="3"/>
  <c r="BQ31" i="3"/>
  <c r="BR31" i="3"/>
  <c r="BU31" i="3"/>
  <c r="BV31" i="3"/>
  <c r="BR32" i="3"/>
  <c r="M40" i="3"/>
  <c r="N40" i="3" s="1"/>
  <c r="O40" i="3" s="1"/>
  <c r="AC40" i="3"/>
  <c r="AD40" i="3" s="1"/>
  <c r="AK40" i="3"/>
  <c r="AS40" i="3"/>
  <c r="AT40" i="3" s="1"/>
  <c r="AU40" i="3" s="1"/>
  <c r="K43" i="3"/>
  <c r="BR43" i="3" s="1"/>
  <c r="D76" i="3"/>
  <c r="D75" i="3" s="1"/>
  <c r="D79" i="3" s="1"/>
  <c r="H76" i="3"/>
  <c r="H75" i="3" s="1"/>
  <c r="H79" i="3" s="1"/>
  <c r="L76" i="3"/>
  <c r="L75" i="3" s="1"/>
  <c r="L79" i="3" s="1"/>
  <c r="P76" i="3"/>
  <c r="P75" i="3" s="1"/>
  <c r="P79" i="3" s="1"/>
  <c r="T76" i="3"/>
  <c r="T75" i="3" s="1"/>
  <c r="T79" i="3" s="1"/>
  <c r="X76" i="3"/>
  <c r="X75" i="3" s="1"/>
  <c r="X79" i="3" s="1"/>
  <c r="AB76" i="3"/>
  <c r="AB75" i="3" s="1"/>
  <c r="AB79" i="3" s="1"/>
  <c r="AF86" i="3"/>
  <c r="AF78" i="3"/>
  <c r="AJ86" i="3"/>
  <c r="AJ78" i="3"/>
  <c r="AN86" i="3"/>
  <c r="AN78" i="3"/>
  <c r="AR86" i="3"/>
  <c r="AR78" i="3"/>
  <c r="AV86" i="3"/>
  <c r="AV78" i="3"/>
  <c r="AZ86" i="3"/>
  <c r="AZ78" i="3"/>
  <c r="BQ13" i="3"/>
  <c r="BY13" i="3"/>
  <c r="BS15" i="3"/>
  <c r="AG15" i="3"/>
  <c r="AG87" i="3" s="1"/>
  <c r="AK15" i="3"/>
  <c r="AL15" i="3" s="1"/>
  <c r="AO15" i="3"/>
  <c r="AS15" i="3"/>
  <c r="AS87" i="3" s="1"/>
  <c r="AW15" i="3"/>
  <c r="AW87" i="3" s="1"/>
  <c r="BA15" i="3"/>
  <c r="BB15" i="3" s="1"/>
  <c r="BC15" i="3" s="1"/>
  <c r="BF15" i="3"/>
  <c r="AD16" i="3"/>
  <c r="AE16" i="3" s="1"/>
  <c r="AT16" i="3"/>
  <c r="AU16" i="3" s="1"/>
  <c r="AT18" i="3"/>
  <c r="AU18" i="3" s="1"/>
  <c r="I60" i="3"/>
  <c r="I62" i="3" s="1"/>
  <c r="I36" i="3"/>
  <c r="N30" i="3"/>
  <c r="Y60" i="3"/>
  <c r="Y62" i="3" s="1"/>
  <c r="AD30" i="3"/>
  <c r="AO88" i="3"/>
  <c r="AT30" i="3"/>
  <c r="Q32" i="3"/>
  <c r="R32" i="3" s="1"/>
  <c r="S32" i="3" s="1"/>
  <c r="AG32" i="3"/>
  <c r="AO32" i="3"/>
  <c r="AP32" i="3" s="1"/>
  <c r="AW32" i="3"/>
  <c r="AX32" i="3" s="1"/>
  <c r="AY32" i="3" s="1"/>
  <c r="Q34" i="3"/>
  <c r="R34" i="3" s="1"/>
  <c r="S34" i="3" s="1"/>
  <c r="Y34" i="3"/>
  <c r="Z34" i="3" s="1"/>
  <c r="AA34" i="3" s="1"/>
  <c r="AG34" i="3"/>
  <c r="AH34" i="3" s="1"/>
  <c r="AI34" i="3" s="1"/>
  <c r="AO34" i="3"/>
  <c r="AW34" i="3"/>
  <c r="BU32" i="3"/>
  <c r="AI35" i="3"/>
  <c r="BX35" i="3" s="1"/>
  <c r="D44" i="3"/>
  <c r="E39" i="3"/>
  <c r="L44" i="3"/>
  <c r="M39" i="3"/>
  <c r="T44" i="3"/>
  <c r="U39" i="3"/>
  <c r="AB44" i="3"/>
  <c r="AC39" i="3"/>
  <c r="AD39" i="3" s="1"/>
  <c r="AJ44" i="3"/>
  <c r="AK39" i="3"/>
  <c r="AL39" i="3" s="1"/>
  <c r="AR44" i="3"/>
  <c r="AS39" i="3"/>
  <c r="AS44" i="3" s="1"/>
  <c r="AZ44" i="3"/>
  <c r="BA39" i="3"/>
  <c r="BA44" i="3" s="1"/>
  <c r="BU40" i="3"/>
  <c r="BX41" i="3"/>
  <c r="N42" i="3"/>
  <c r="O42" i="3" s="1"/>
  <c r="AD42" i="3"/>
  <c r="AE42" i="3" s="1"/>
  <c r="CA42" i="3"/>
  <c r="AT42" i="3"/>
  <c r="AU42" i="3" s="1"/>
  <c r="BZ42" i="3"/>
  <c r="G43" i="3"/>
  <c r="BQ43" i="3" s="1"/>
  <c r="BS43" i="3"/>
  <c r="W43" i="3"/>
  <c r="BU43" i="3" s="1"/>
  <c r="BW43" i="3"/>
  <c r="BX43" i="3"/>
  <c r="CA43" i="3"/>
  <c r="CB43" i="3"/>
  <c r="AR88" i="3"/>
  <c r="AR60" i="3"/>
  <c r="AR62" i="3" s="1"/>
  <c r="AV88" i="3"/>
  <c r="AV60" i="3"/>
  <c r="AV62" i="3" s="1"/>
  <c r="AZ88" i="3"/>
  <c r="AZ60" i="3"/>
  <c r="AZ62" i="3" s="1"/>
  <c r="BU30" i="3"/>
  <c r="I46" i="3"/>
  <c r="J46" i="3" s="1"/>
  <c r="K46" i="3" s="1"/>
  <c r="Y46" i="3"/>
  <c r="Z46" i="3" s="1"/>
  <c r="AA46" i="3" s="1"/>
  <c r="AO46" i="3"/>
  <c r="AP46" i="3" s="1"/>
  <c r="AQ46" i="3" s="1"/>
  <c r="BU46" i="3"/>
  <c r="BV47" i="3"/>
  <c r="BY66" i="3"/>
  <c r="BY67" i="3" s="1"/>
  <c r="BY70" i="3" s="1"/>
  <c r="BQ67" i="3"/>
  <c r="BQ70" i="3" s="1"/>
  <c r="BY43" i="3"/>
  <c r="M47" i="3"/>
  <c r="N47" i="3" s="1"/>
  <c r="O47" i="3" s="1"/>
  <c r="AC47" i="3"/>
  <c r="AD47" i="3" s="1"/>
  <c r="AE47" i="3" s="1"/>
  <c r="BQ46" i="3"/>
  <c r="BR47" i="3"/>
  <c r="BX47" i="3"/>
  <c r="H60" i="3"/>
  <c r="H62" i="3" s="1"/>
  <c r="P60" i="3"/>
  <c r="P62" i="3" s="1"/>
  <c r="X60" i="3"/>
  <c r="X62" i="3" s="1"/>
  <c r="AF60" i="3"/>
  <c r="AF62" i="3" s="1"/>
  <c r="AN60" i="3"/>
  <c r="AN62" i="3" s="1"/>
  <c r="BR67" i="3"/>
  <c r="BR70" i="3" s="1"/>
  <c r="BV67" i="3"/>
  <c r="BV70" i="3" s="1"/>
  <c r="BZ66" i="3"/>
  <c r="BZ67" i="3" s="1"/>
  <c r="BZ70" i="3" s="1"/>
  <c r="AA43" i="3"/>
  <c r="BV43" i="3" s="1"/>
  <c r="S47" i="3"/>
  <c r="BT47" i="3" s="1"/>
  <c r="BX46" i="3"/>
  <c r="D36" i="3"/>
  <c r="L36" i="3"/>
  <c r="T36" i="3"/>
  <c r="AB36" i="3"/>
  <c r="AF36" i="3"/>
  <c r="AJ36" i="3"/>
  <c r="AN36" i="3"/>
  <c r="AR36" i="3"/>
  <c r="AV36" i="3"/>
  <c r="AZ36" i="3"/>
  <c r="BT46" i="3"/>
  <c r="BY46" i="3"/>
  <c r="BU47" i="3"/>
  <c r="BZ47" i="3"/>
  <c r="CA47" i="3" s="1"/>
  <c r="CB47" i="3" s="1"/>
  <c r="CC47" i="3" s="1"/>
  <c r="CD47" i="3" s="1"/>
  <c r="CE47" i="3" s="1"/>
  <c r="CF47" i="3" s="1"/>
  <c r="AJ60" i="3"/>
  <c r="AJ62" i="3" s="1"/>
  <c r="BT70" i="3"/>
  <c r="BS67" i="3"/>
  <c r="BS70" i="3" s="1"/>
  <c r="BW67" i="3"/>
  <c r="BW70" i="3" s="1"/>
  <c r="E70" i="3"/>
  <c r="I70" i="3"/>
  <c r="M70" i="3"/>
  <c r="Q70" i="3"/>
  <c r="U70" i="3"/>
  <c r="Y70" i="3"/>
  <c r="AC70" i="3"/>
  <c r="AG70" i="3"/>
  <c r="AK70" i="3"/>
  <c r="BR138" i="3"/>
  <c r="BR139" i="3" s="1"/>
  <c r="AA131" i="3"/>
  <c r="AQ139" i="3"/>
  <c r="K131" i="3"/>
  <c r="AY139" i="3"/>
  <c r="CB134" i="3"/>
  <c r="CB139" i="3" s="1"/>
  <c r="AW139" i="3"/>
  <c r="F144" i="3"/>
  <c r="G144" i="3"/>
  <c r="BS26" i="2"/>
  <c r="BS65" i="3" s="1"/>
  <c r="O92" i="2"/>
  <c r="O26" i="2"/>
  <c r="O65" i="3" s="1"/>
  <c r="BT17" i="2"/>
  <c r="BX83" i="2"/>
  <c r="BX86" i="2" s="1"/>
  <c r="BX17" i="2"/>
  <c r="CB83" i="2"/>
  <c r="CB17" i="2"/>
  <c r="BY17" i="2"/>
  <c r="K92" i="2"/>
  <c r="K26" i="2"/>
  <c r="K65" i="3" s="1"/>
  <c r="BR17" i="2"/>
  <c r="BZ17" i="2"/>
  <c r="H51" i="2"/>
  <c r="H17" i="2"/>
  <c r="L51" i="2"/>
  <c r="L17" i="2"/>
  <c r="F92" i="2"/>
  <c r="F26" i="2"/>
  <c r="F65" i="3" s="1"/>
  <c r="I51" i="2"/>
  <c r="I17" i="2"/>
  <c r="AU51" i="2"/>
  <c r="AV51" i="2" s="1"/>
  <c r="CA16" i="2"/>
  <c r="CA17" i="2" s="1"/>
  <c r="G92" i="2"/>
  <c r="G26" i="2"/>
  <c r="N92" i="2"/>
  <c r="N26" i="2"/>
  <c r="R92" i="2"/>
  <c r="R26" i="2"/>
  <c r="R65" i="3" s="1"/>
  <c r="V92" i="2"/>
  <c r="V26" i="2"/>
  <c r="Z92" i="2"/>
  <c r="Z26" i="2"/>
  <c r="Z65" i="3" s="1"/>
  <c r="AD92" i="2"/>
  <c r="AD26" i="2"/>
  <c r="AH92" i="2"/>
  <c r="AH26" i="2"/>
  <c r="AH65" i="3" s="1"/>
  <c r="AL92" i="2"/>
  <c r="AL26" i="2"/>
  <c r="AP92" i="2"/>
  <c r="AP26" i="2"/>
  <c r="AP65" i="3" s="1"/>
  <c r="AT92" i="2"/>
  <c r="AT26" i="2"/>
  <c r="AX92" i="2"/>
  <c r="AX26" i="2"/>
  <c r="AX65" i="3" s="1"/>
  <c r="BE24" i="2"/>
  <c r="BF24" i="2" s="1"/>
  <c r="BG24" i="2" s="1"/>
  <c r="CC24" i="2"/>
  <c r="CC31" i="2"/>
  <c r="BE31" i="2"/>
  <c r="BF31" i="2" s="1"/>
  <c r="BG31" i="2" s="1"/>
  <c r="CC35" i="2"/>
  <c r="BE35" i="2"/>
  <c r="BF35" i="2" s="1"/>
  <c r="BG35" i="2" s="1"/>
  <c r="BW92" i="2"/>
  <c r="CA83" i="2"/>
  <c r="CA86" i="2" s="1"/>
  <c r="CC16" i="2"/>
  <c r="BV17" i="2"/>
  <c r="S92" i="2"/>
  <c r="S26" i="2"/>
  <c r="W92" i="2"/>
  <c r="W26" i="2"/>
  <c r="W65" i="3" s="1"/>
  <c r="AA92" i="2"/>
  <c r="AA26" i="2"/>
  <c r="AE92" i="2"/>
  <c r="AE26" i="2"/>
  <c r="AI92" i="2"/>
  <c r="AI26" i="2"/>
  <c r="AM92" i="2"/>
  <c r="AM26" i="2"/>
  <c r="AM65" i="3" s="1"/>
  <c r="AQ92" i="2"/>
  <c r="AQ26" i="2"/>
  <c r="AU17" i="2"/>
  <c r="AY92" i="2"/>
  <c r="AY26" i="2"/>
  <c r="AY65" i="3" s="1"/>
  <c r="CC23" i="2"/>
  <c r="BE23" i="2"/>
  <c r="BF23" i="2" s="1"/>
  <c r="BG23" i="2" s="1"/>
  <c r="J92" i="2"/>
  <c r="J26" i="2"/>
  <c r="J65" i="3" s="1"/>
  <c r="BZ86" i="2"/>
  <c r="E92" i="2"/>
  <c r="M92" i="2"/>
  <c r="Q92" i="2"/>
  <c r="U92" i="2"/>
  <c r="Y92" i="2"/>
  <c r="AC92" i="2"/>
  <c r="AG92" i="2"/>
  <c r="AK92" i="2"/>
  <c r="AO92" i="2"/>
  <c r="AS92" i="2"/>
  <c r="AW92" i="2"/>
  <c r="BA92" i="2"/>
  <c r="E26" i="2"/>
  <c r="M26" i="2"/>
  <c r="Q26" i="2"/>
  <c r="U26" i="2"/>
  <c r="Y26" i="2"/>
  <c r="Y65" i="3" s="1"/>
  <c r="AC26" i="2"/>
  <c r="AG26" i="2"/>
  <c r="AK26" i="2"/>
  <c r="AO26" i="2"/>
  <c r="AO43" i="2" s="1"/>
  <c r="AS26" i="2"/>
  <c r="AW26" i="2"/>
  <c r="AW43" i="2" s="1"/>
  <c r="BA26" i="2"/>
  <c r="BX31" i="2"/>
  <c r="BX33" i="2" s="1"/>
  <c r="BX41" i="2" s="1"/>
  <c r="BQ32" i="2"/>
  <c r="BQ33" i="2" s="1"/>
  <c r="BQ41" i="2" s="1"/>
  <c r="CC32" i="2"/>
  <c r="AX41" i="2"/>
  <c r="BZ68" i="2"/>
  <c r="BZ71" i="2" s="1"/>
  <c r="CC25" i="2"/>
  <c r="BS33" i="2"/>
  <c r="BS92" i="2" s="1"/>
  <c r="BS78" i="2"/>
  <c r="BS79" i="2"/>
  <c r="BS80" i="2" s="1"/>
  <c r="BW79" i="2"/>
  <c r="BW41" i="2"/>
  <c r="CA79" i="2"/>
  <c r="BE61" i="2"/>
  <c r="BF61" i="2" s="1"/>
  <c r="BG61" i="2" s="1"/>
  <c r="CC61" i="2"/>
  <c r="CC62" i="2" s="1"/>
  <c r="CC30" i="2"/>
  <c r="BT33" i="2"/>
  <c r="BT41" i="2" s="1"/>
  <c r="BT79" i="2"/>
  <c r="BT80" i="2" s="1"/>
  <c r="BT78" i="2"/>
  <c r="BX79" i="2"/>
  <c r="CB79" i="2"/>
  <c r="CD58" i="2"/>
  <c r="CE58" i="2" s="1"/>
  <c r="CF58" i="2" s="1"/>
  <c r="D26" i="2"/>
  <c r="P26" i="2"/>
  <c r="T26" i="2"/>
  <c r="X26" i="2"/>
  <c r="AB26" i="2"/>
  <c r="AF26" i="2"/>
  <c r="AJ26" i="2"/>
  <c r="AN26" i="2"/>
  <c r="AN65" i="3" s="1"/>
  <c r="AR26" i="2"/>
  <c r="AV26" i="2"/>
  <c r="AZ26" i="2"/>
  <c r="BU33" i="2"/>
  <c r="BU41" i="2" s="1"/>
  <c r="BR79" i="2"/>
  <c r="BR80" i="2" s="1"/>
  <c r="BR78" i="2"/>
  <c r="BV79" i="2"/>
  <c r="BZ79" i="2"/>
  <c r="CB62" i="2"/>
  <c r="F68" i="2"/>
  <c r="F71" i="2" s="1"/>
  <c r="V68" i="2"/>
  <c r="V71" i="2" s="1"/>
  <c r="AL68" i="2"/>
  <c r="AL71" i="2" s="1"/>
  <c r="BB62" i="2"/>
  <c r="R68" i="2"/>
  <c r="R71" i="2" s="1"/>
  <c r="AX68" i="2"/>
  <c r="AX71" i="2" s="1"/>
  <c r="Z71" i="2"/>
  <c r="AP71" i="2"/>
  <c r="D80" i="2"/>
  <c r="P80" i="2"/>
  <c r="T80" i="2"/>
  <c r="X80" i="2"/>
  <c r="AF80" i="2"/>
  <c r="AJ80" i="2"/>
  <c r="AN80" i="2"/>
  <c r="AV80" i="2"/>
  <c r="AZ80" i="2"/>
  <c r="BV68" i="2"/>
  <c r="BV71" i="2" s="1"/>
  <c r="G68" i="2"/>
  <c r="G71" i="2" s="1"/>
  <c r="K68" i="2"/>
  <c r="K71" i="2" s="1"/>
  <c r="O68" i="2"/>
  <c r="O71" i="2" s="1"/>
  <c r="S68" i="2"/>
  <c r="S71" i="2" s="1"/>
  <c r="W68" i="2"/>
  <c r="W71" i="2" s="1"/>
  <c r="AA68" i="2"/>
  <c r="AA71" i="2" s="1"/>
  <c r="AE68" i="2"/>
  <c r="AE71" i="2" s="1"/>
  <c r="AI68" i="2"/>
  <c r="AI71" i="2" s="1"/>
  <c r="AM68" i="2"/>
  <c r="AM71" i="2" s="1"/>
  <c r="AQ68" i="2"/>
  <c r="AU68" i="2"/>
  <c r="AU71" i="2" s="1"/>
  <c r="AY68" i="2"/>
  <c r="AY71" i="2" s="1"/>
  <c r="BY71" i="2"/>
  <c r="BS62" i="2"/>
  <c r="BW62" i="2"/>
  <c r="BQ68" i="2"/>
  <c r="BQ71" i="2" s="1"/>
  <c r="L68" i="2"/>
  <c r="L71" i="2" s="1"/>
  <c r="AB68" i="2"/>
  <c r="AR68" i="2"/>
  <c r="AR71" i="2" s="1"/>
  <c r="P68" i="2"/>
  <c r="P71" i="2" s="1"/>
  <c r="AV68" i="2"/>
  <c r="AV71" i="2" s="1"/>
  <c r="AB71" i="2"/>
  <c r="BQ79" i="2"/>
  <c r="BQ80" i="2" s="1"/>
  <c r="BQ78" i="2"/>
  <c r="BU79" i="2"/>
  <c r="BU80" i="2" s="1"/>
  <c r="BY79" i="2"/>
  <c r="BX62" i="2"/>
  <c r="D68" i="2"/>
  <c r="D71" i="2" s="1"/>
  <c r="X68" i="2"/>
  <c r="X71" i="2" s="1"/>
  <c r="AJ68" i="2"/>
  <c r="AJ71" i="2" s="1"/>
  <c r="U71" i="2"/>
  <c r="BA71" i="2"/>
  <c r="BU78" i="2"/>
  <c r="CA62" i="2"/>
  <c r="G80" i="2"/>
  <c r="K80" i="2"/>
  <c r="O80" i="2"/>
  <c r="S80" i="2"/>
  <c r="W80" i="2"/>
  <c r="AA80" i="2"/>
  <c r="AE80" i="2"/>
  <c r="AI80" i="2"/>
  <c r="AM80" i="2"/>
  <c r="AQ80" i="2"/>
  <c r="AU80" i="2"/>
  <c r="AJ86" i="2"/>
  <c r="AZ86" i="2"/>
  <c r="AQ71" i="2"/>
  <c r="AX80" i="2"/>
  <c r="AI86" i="2"/>
  <c r="AU86" i="2"/>
  <c r="AY86" i="2"/>
  <c r="BQ124" i="1"/>
  <c r="BR124" i="1" s="1"/>
  <c r="BS124" i="1" s="1"/>
  <c r="BT124" i="1" s="1"/>
  <c r="BU124" i="1" s="1"/>
  <c r="BV124" i="1" s="1"/>
  <c r="BW124" i="1" s="1"/>
  <c r="BX124" i="1" s="1"/>
  <c r="BY124" i="1" s="1"/>
  <c r="BZ124" i="1" s="1"/>
  <c r="CA124" i="1" s="1"/>
  <c r="CB124" i="1" s="1"/>
  <c r="CC124" i="1" s="1"/>
  <c r="CD124" i="1" s="1"/>
  <c r="CE124" i="1" s="1"/>
  <c r="CF124" i="1" s="1"/>
  <c r="AR124" i="1"/>
  <c r="AS124" i="1" s="1"/>
  <c r="AT124" i="1" s="1"/>
  <c r="AU124" i="1" s="1"/>
  <c r="AV124" i="1" s="1"/>
  <c r="AW124" i="1" s="1"/>
  <c r="AX124" i="1" s="1"/>
  <c r="AY124" i="1" s="1"/>
  <c r="AZ124" i="1" s="1"/>
  <c r="BA124" i="1" s="1"/>
  <c r="CC101" i="1"/>
  <c r="CA101" i="1"/>
  <c r="BR575" i="39" l="1"/>
  <c r="BR584" i="39"/>
  <c r="BW15" i="3"/>
  <c r="AO44" i="3"/>
  <c r="CC32" i="3"/>
  <c r="BC18" i="3"/>
  <c r="CC18" i="3" s="1"/>
  <c r="AM30" i="3"/>
  <c r="AL88" i="3"/>
  <c r="BY30" i="3"/>
  <c r="AL60" i="3"/>
  <c r="AL62" i="3" s="1"/>
  <c r="BC43" i="3"/>
  <c r="CC43" i="3" s="1"/>
  <c r="BC16" i="3"/>
  <c r="CC16" i="3" s="1"/>
  <c r="BC31" i="3"/>
  <c r="CC31" i="3" s="1"/>
  <c r="BC30" i="3"/>
  <c r="BB39" i="3"/>
  <c r="BB44" i="3" s="1"/>
  <c r="BY31" i="3"/>
  <c r="BB34" i="3"/>
  <c r="BC34" i="3" s="1"/>
  <c r="CC41" i="3"/>
  <c r="BB33" i="3"/>
  <c r="BC33" i="3" s="1"/>
  <c r="BC13" i="3"/>
  <c r="BB78" i="3"/>
  <c r="BB116" i="1"/>
  <c r="BB405" i="39"/>
  <c r="BB358" i="39" s="1"/>
  <c r="BQ34" i="3"/>
  <c r="BZ31" i="3"/>
  <c r="BB17" i="3"/>
  <c r="BC17" i="3" s="1"/>
  <c r="CC14" i="3"/>
  <c r="CE32" i="2"/>
  <c r="BL32" i="2"/>
  <c r="BM32" i="2" s="1"/>
  <c r="BN32" i="2" s="1"/>
  <c r="BO32" i="2" s="1"/>
  <c r="CF32" i="2" s="1"/>
  <c r="CE25" i="2"/>
  <c r="BL25" i="2"/>
  <c r="BM25" i="2" s="1"/>
  <c r="BN25" i="2" s="1"/>
  <c r="BO25" i="2" s="1"/>
  <c r="CF25" i="2" s="1"/>
  <c r="BN101" i="1"/>
  <c r="CB260" i="39"/>
  <c r="AE347" i="39"/>
  <c r="AA585" i="39"/>
  <c r="W585" i="39"/>
  <c r="O585" i="39"/>
  <c r="J585" i="39"/>
  <c r="BU575" i="39"/>
  <c r="AD585" i="39"/>
  <c r="BR565" i="39"/>
  <c r="BS444" i="39"/>
  <c r="W348" i="39"/>
  <c r="AC347" i="39"/>
  <c r="P325" i="39"/>
  <c r="AI308" i="39"/>
  <c r="Q332" i="39"/>
  <c r="AY313" i="39"/>
  <c r="AI309" i="39"/>
  <c r="Q303" i="39"/>
  <c r="P315" i="39"/>
  <c r="M281" i="39"/>
  <c r="AN193" i="39"/>
  <c r="O148" i="39"/>
  <c r="AP138" i="39"/>
  <c r="AN171" i="39"/>
  <c r="BY149" i="39"/>
  <c r="W86" i="39"/>
  <c r="BW49" i="39"/>
  <c r="BW51" i="39" s="1"/>
  <c r="AH34" i="39"/>
  <c r="AH33" i="39"/>
  <c r="AH303" i="39"/>
  <c r="N291" i="39"/>
  <c r="BC313" i="39"/>
  <c r="BR585" i="39"/>
  <c r="BX258" i="39"/>
  <c r="BY260" i="39" s="1"/>
  <c r="AH31" i="39"/>
  <c r="AH42" i="39"/>
  <c r="AH265" i="39"/>
  <c r="AI348" i="39"/>
  <c r="AS307" i="39"/>
  <c r="AR301" i="39"/>
  <c r="Q84" i="39"/>
  <c r="D585" i="39"/>
  <c r="AH89" i="2"/>
  <c r="AH90" i="2" s="1"/>
  <c r="Z470" i="39"/>
  <c r="Z472" i="39" s="1"/>
  <c r="AB470" i="39"/>
  <c r="AB472" i="39" s="1"/>
  <c r="O325" i="39"/>
  <c r="BX305" i="39"/>
  <c r="BX308" i="39" s="1"/>
  <c r="N315" i="39"/>
  <c r="AM348" i="39"/>
  <c r="AJ347" i="39"/>
  <c r="AK348" i="39"/>
  <c r="U348" i="39"/>
  <c r="AJ305" i="39"/>
  <c r="AK305" i="39" s="1"/>
  <c r="N309" i="39"/>
  <c r="AD303" i="39"/>
  <c r="Q263" i="39"/>
  <c r="AO149" i="39"/>
  <c r="AL85" i="39"/>
  <c r="Q144" i="39"/>
  <c r="Q148" i="39" s="1"/>
  <c r="U84" i="39"/>
  <c r="BX26" i="39"/>
  <c r="AA85" i="39"/>
  <c r="X85" i="39"/>
  <c r="N35" i="39"/>
  <c r="R263" i="39"/>
  <c r="AG182" i="39"/>
  <c r="AG184" i="39" s="1"/>
  <c r="Q182" i="39"/>
  <c r="Q183" i="39" s="1"/>
  <c r="BW150" i="39"/>
  <c r="Q348" i="39"/>
  <c r="AT307" i="39"/>
  <c r="Z281" i="39"/>
  <c r="BB390" i="39"/>
  <c r="W315" i="39"/>
  <c r="AH347" i="39"/>
  <c r="V348" i="39"/>
  <c r="AI349" i="39"/>
  <c r="BV252" i="39"/>
  <c r="Q282" i="39"/>
  <c r="N226" i="39"/>
  <c r="N228" i="39" s="1"/>
  <c r="N229" i="39" s="1"/>
  <c r="AE259" i="39"/>
  <c r="AF46" i="39"/>
  <c r="AO193" i="39"/>
  <c r="AN149" i="39"/>
  <c r="AC85" i="39"/>
  <c r="T86" i="39"/>
  <c r="BT83" i="39"/>
  <c r="AI84" i="39"/>
  <c r="AH84" i="39"/>
  <c r="N34" i="39"/>
  <c r="BT58" i="39"/>
  <c r="BT59" i="39" s="1"/>
  <c r="N32" i="39"/>
  <c r="N42" i="39"/>
  <c r="N325" i="39"/>
  <c r="Y282" i="39"/>
  <c r="AE348" i="39"/>
  <c r="AG348" i="39"/>
  <c r="BX83" i="39"/>
  <c r="BY85" i="39" s="1"/>
  <c r="BW26" i="39"/>
  <c r="F36" i="3"/>
  <c r="BA104" i="3"/>
  <c r="AR104" i="3"/>
  <c r="AI59" i="3"/>
  <c r="AI74" i="3" s="1"/>
  <c r="AI82" i="3" s="1"/>
  <c r="X470" i="39"/>
  <c r="X472" i="39" s="1"/>
  <c r="BC120" i="1"/>
  <c r="BD120" i="1" s="1"/>
  <c r="BE120" i="1" s="1"/>
  <c r="BF120" i="1" s="1"/>
  <c r="BG120" i="1" s="1"/>
  <c r="BH120" i="1" s="1"/>
  <c r="BI120" i="1" s="1"/>
  <c r="BJ120" i="1" s="1"/>
  <c r="BK120" i="1" s="1"/>
  <c r="BL120" i="1" s="1"/>
  <c r="BM120" i="1" s="1"/>
  <c r="BN120" i="1" s="1"/>
  <c r="BO120" i="1" s="1"/>
  <c r="AG315" i="39"/>
  <c r="X32" i="39"/>
  <c r="BV575" i="39"/>
  <c r="BB124" i="1"/>
  <c r="AK31" i="39"/>
  <c r="AK32" i="39"/>
  <c r="AC33" i="39"/>
  <c r="AC325" i="39"/>
  <c r="AC309" i="39"/>
  <c r="U33" i="39"/>
  <c r="U309" i="39"/>
  <c r="M31" i="39"/>
  <c r="M32" i="39"/>
  <c r="M309" i="39"/>
  <c r="AJ31" i="39"/>
  <c r="AJ34" i="39"/>
  <c r="AB33" i="39"/>
  <c r="AB315" i="39"/>
  <c r="AB309" i="39"/>
  <c r="L31" i="39"/>
  <c r="L34" i="39"/>
  <c r="BW575" i="39"/>
  <c r="V585" i="39"/>
  <c r="AR314" i="39"/>
  <c r="X309" i="39"/>
  <c r="AC204" i="39"/>
  <c r="AC206" i="39" s="1"/>
  <c r="AC207" i="39" s="1"/>
  <c r="Y182" i="39"/>
  <c r="Y184" i="39" s="1"/>
  <c r="Y185" i="39" s="1"/>
  <c r="BV216" i="39"/>
  <c r="U226" i="39"/>
  <c r="U227" i="39" s="1"/>
  <c r="M226" i="39"/>
  <c r="M227" i="39" s="1"/>
  <c r="Z283" i="39"/>
  <c r="X34" i="39"/>
  <c r="AD348" i="39"/>
  <c r="AH348" i="39"/>
  <c r="V349" i="39"/>
  <c r="V347" i="39"/>
  <c r="Z348" i="39"/>
  <c r="N347" i="39"/>
  <c r="R348" i="39"/>
  <c r="AY307" i="39"/>
  <c r="AU307" i="39"/>
  <c r="R281" i="39"/>
  <c r="Q283" i="39"/>
  <c r="U282" i="39"/>
  <c r="O347" i="39"/>
  <c r="W347" i="39"/>
  <c r="AA348" i="39"/>
  <c r="AW307" i="39"/>
  <c r="AO307" i="39"/>
  <c r="BS302" i="39"/>
  <c r="BT302" i="39"/>
  <c r="V86" i="39"/>
  <c r="V85" i="39"/>
  <c r="R84" i="39"/>
  <c r="R86" i="39"/>
  <c r="CC260" i="39"/>
  <c r="CD260" i="39"/>
  <c r="AI86" i="39"/>
  <c r="AJ84" i="39"/>
  <c r="AE85" i="39"/>
  <c r="AE86" i="39"/>
  <c r="W85" i="39"/>
  <c r="W84" i="39"/>
  <c r="S85" i="39"/>
  <c r="S86" i="39"/>
  <c r="T84" i="39"/>
  <c r="O84" i="39"/>
  <c r="P84" i="39"/>
  <c r="BX86" i="39"/>
  <c r="BX77" i="39"/>
  <c r="BS77" i="39"/>
  <c r="BS86" i="39"/>
  <c r="AI315" i="39"/>
  <c r="AI325" i="39"/>
  <c r="AI70" i="39"/>
  <c r="AI31" i="39"/>
  <c r="AI33" i="39"/>
  <c r="AA291" i="39"/>
  <c r="AA123" i="39"/>
  <c r="AA34" i="39"/>
  <c r="AA303" i="39"/>
  <c r="AA332" i="39"/>
  <c r="S309" i="39"/>
  <c r="S291" i="39"/>
  <c r="S47" i="39"/>
  <c r="S31" i="39"/>
  <c r="S32" i="39"/>
  <c r="S33" i="39"/>
  <c r="S303" i="39"/>
  <c r="R309" i="39"/>
  <c r="R332" i="39"/>
  <c r="R28" i="39"/>
  <c r="AC263" i="39"/>
  <c r="AH85" i="39"/>
  <c r="AD85" i="39"/>
  <c r="AF45" i="39"/>
  <c r="AG44" i="39"/>
  <c r="AG49" i="39" s="1"/>
  <c r="AO312" i="39"/>
  <c r="BI313" i="39" s="1"/>
  <c r="AN312" i="39"/>
  <c r="BH313" i="39" s="1"/>
  <c r="AN314" i="39"/>
  <c r="AL307" i="39"/>
  <c r="AQ307" i="39"/>
  <c r="AN301" i="39"/>
  <c r="BW240" i="39"/>
  <c r="Q281" i="39"/>
  <c r="V182" i="39"/>
  <c r="V184" i="39" s="1"/>
  <c r="V185" i="39" s="1"/>
  <c r="U263" i="39"/>
  <c r="M160" i="39"/>
  <c r="M162" i="39" s="1"/>
  <c r="M163" i="39" s="1"/>
  <c r="BV83" i="39"/>
  <c r="BR581" i="39"/>
  <c r="AK260" i="39"/>
  <c r="BU216" i="39"/>
  <c r="Y226" i="39"/>
  <c r="Y227" i="39" s="1"/>
  <c r="Q226" i="39"/>
  <c r="Q227" i="39" s="1"/>
  <c r="Z182" i="39"/>
  <c r="Z184" i="39" s="1"/>
  <c r="Z185" i="39" s="1"/>
  <c r="BU258" i="39"/>
  <c r="AB332" i="39"/>
  <c r="AE325" i="39"/>
  <c r="AC315" i="39"/>
  <c r="U315" i="39"/>
  <c r="M315" i="39"/>
  <c r="AE332" i="39"/>
  <c r="O332" i="39"/>
  <c r="U325" i="39"/>
  <c r="R315" i="39"/>
  <c r="AH309" i="39"/>
  <c r="U303" i="39"/>
  <c r="AE303" i="39"/>
  <c r="AE315" i="39"/>
  <c r="V315" i="39"/>
  <c r="T309" i="39"/>
  <c r="AC303" i="39"/>
  <c r="L315" i="39"/>
  <c r="O315" i="39"/>
  <c r="AB303" i="39"/>
  <c r="AH271" i="39"/>
  <c r="M325" i="39"/>
  <c r="L309" i="39"/>
  <c r="T315" i="39"/>
  <c r="T303" i="39"/>
  <c r="AB34" i="39"/>
  <c r="T34" i="39"/>
  <c r="U32" i="39"/>
  <c r="R34" i="39"/>
  <c r="AH28" i="39"/>
  <c r="T32" i="39"/>
  <c r="L32" i="39"/>
  <c r="AH32" i="39"/>
  <c r="AH35" i="39"/>
  <c r="AH123" i="39"/>
  <c r="AH133" i="39"/>
  <c r="AH315" i="39"/>
  <c r="R33" i="39"/>
  <c r="R42" i="39"/>
  <c r="R291" i="39"/>
  <c r="AS43" i="2"/>
  <c r="CB86" i="2"/>
  <c r="AL59" i="3"/>
  <c r="AL74" i="3" s="1"/>
  <c r="AL82" i="3" s="1"/>
  <c r="W104" i="3"/>
  <c r="CE104" i="3"/>
  <c r="CE59" i="3"/>
  <c r="CE74" i="3" s="1"/>
  <c r="CE82" i="3" s="1"/>
  <c r="BY240" i="39"/>
  <c r="BX150" i="39"/>
  <c r="AG160" i="39"/>
  <c r="AG162" i="39" s="1"/>
  <c r="BV132" i="39"/>
  <c r="M585" i="39"/>
  <c r="BK307" i="39"/>
  <c r="F43" i="2"/>
  <c r="BR46" i="3"/>
  <c r="BQ41" i="3"/>
  <c r="BW34" i="3"/>
  <c r="BU15" i="3"/>
  <c r="BH142" i="3"/>
  <c r="BI47" i="3"/>
  <c r="BJ47" i="3" s="1"/>
  <c r="BK47" i="3" s="1"/>
  <c r="BL47" i="3" s="1"/>
  <c r="BT43" i="3"/>
  <c r="BV41" i="3"/>
  <c r="BT41" i="3"/>
  <c r="BR41" i="3"/>
  <c r="BV33" i="3"/>
  <c r="BU33" i="3"/>
  <c r="BR33" i="3"/>
  <c r="V36" i="3"/>
  <c r="AS405" i="39"/>
  <c r="AS358" i="39" s="1"/>
  <c r="AS116" i="1"/>
  <c r="M78" i="3"/>
  <c r="M76" i="3" s="1"/>
  <c r="M75" i="3" s="1"/>
  <c r="M79" i="3" s="1"/>
  <c r="M116" i="1"/>
  <c r="E104" i="3"/>
  <c r="L104" i="3"/>
  <c r="BU43" i="2"/>
  <c r="BY41" i="2"/>
  <c r="AC59" i="3"/>
  <c r="AC74" i="3" s="1"/>
  <c r="AC82" i="3" s="1"/>
  <c r="BQ104" i="3"/>
  <c r="AB104" i="3"/>
  <c r="BG104" i="3"/>
  <c r="CD23" i="2"/>
  <c r="BH23" i="2"/>
  <c r="BI23" i="2" s="1"/>
  <c r="BJ23" i="2" s="1"/>
  <c r="BK23" i="2" s="1"/>
  <c r="CD24" i="2"/>
  <c r="BH24" i="2"/>
  <c r="BI24" i="2" s="1"/>
  <c r="BJ24" i="2" s="1"/>
  <c r="BK24" i="2" s="1"/>
  <c r="CC35" i="3"/>
  <c r="BS41" i="2"/>
  <c r="BS43" i="2" s="1"/>
  <c r="CD35" i="2"/>
  <c r="BH35" i="2"/>
  <c r="BI35" i="2" s="1"/>
  <c r="BJ35" i="2" s="1"/>
  <c r="BK35" i="2" s="1"/>
  <c r="CD31" i="2"/>
  <c r="BH31" i="2"/>
  <c r="BI31" i="2" s="1"/>
  <c r="BJ31" i="2" s="1"/>
  <c r="BK31" i="2" s="1"/>
  <c r="CD36" i="2"/>
  <c r="BH36" i="2"/>
  <c r="BI36" i="2" s="1"/>
  <c r="BJ36" i="2" s="1"/>
  <c r="BK36" i="2" s="1"/>
  <c r="BZ104" i="3"/>
  <c r="AS59" i="3"/>
  <c r="AS74" i="3" s="1"/>
  <c r="AS82" i="3" s="1"/>
  <c r="M59" i="3"/>
  <c r="M74" i="3" s="1"/>
  <c r="M82" i="3" s="1"/>
  <c r="BY104" i="3"/>
  <c r="AZ104" i="3"/>
  <c r="AJ104" i="3"/>
  <c r="T104" i="3"/>
  <c r="D104" i="3"/>
  <c r="AY59" i="3"/>
  <c r="AY74" i="3" s="1"/>
  <c r="AY82" i="3" s="1"/>
  <c r="CD61" i="2"/>
  <c r="BH61" i="2"/>
  <c r="BI61" i="2" s="1"/>
  <c r="BJ61" i="2" s="1"/>
  <c r="BK61" i="2" s="1"/>
  <c r="BL61" i="2" s="1"/>
  <c r="BM61" i="2" s="1"/>
  <c r="BN61" i="2" s="1"/>
  <c r="BO61" i="2" s="1"/>
  <c r="CD59" i="2"/>
  <c r="BH59" i="2"/>
  <c r="BQ565" i="39"/>
  <c r="BQ585" i="39" s="1"/>
  <c r="U585" i="39"/>
  <c r="E585" i="39"/>
  <c r="BU565" i="39"/>
  <c r="BU585" i="39" s="1"/>
  <c r="BW258" i="39"/>
  <c r="BV258" i="39"/>
  <c r="BT258" i="39"/>
  <c r="P585" i="39"/>
  <c r="CA59" i="3"/>
  <c r="CA74" i="3" s="1"/>
  <c r="CA82" i="3" s="1"/>
  <c r="F59" i="3"/>
  <c r="F74" i="3" s="1"/>
  <c r="F82" i="3" s="1"/>
  <c r="CB70" i="3"/>
  <c r="CC141" i="3"/>
  <c r="R43" i="2"/>
  <c r="BB59" i="3"/>
  <c r="BB74" i="3" s="1"/>
  <c r="BB82" i="3" s="1"/>
  <c r="V59" i="3"/>
  <c r="V74" i="3" s="1"/>
  <c r="V82" i="3" s="1"/>
  <c r="AW59" i="3"/>
  <c r="AW74" i="3" s="1"/>
  <c r="AW82" i="3" s="1"/>
  <c r="I59" i="3"/>
  <c r="I74" i="3" s="1"/>
  <c r="I82" i="3" s="1"/>
  <c r="BC104" i="3"/>
  <c r="AH43" i="2"/>
  <c r="CB80" i="2"/>
  <c r="CC21" i="2"/>
  <c r="BR104" i="3"/>
  <c r="AK59" i="3"/>
  <c r="AK74" i="3" s="1"/>
  <c r="AK82" i="3" s="1"/>
  <c r="U59" i="3"/>
  <c r="U74" i="3" s="1"/>
  <c r="U82" i="3" s="1"/>
  <c r="CC104" i="3"/>
  <c r="BU104" i="3"/>
  <c r="BD104" i="3"/>
  <c r="AV104" i="3"/>
  <c r="AN104" i="3"/>
  <c r="AF104" i="3"/>
  <c r="X104" i="3"/>
  <c r="P104" i="3"/>
  <c r="H104" i="3"/>
  <c r="BX104" i="3"/>
  <c r="AQ59" i="3"/>
  <c r="AQ74" i="3" s="1"/>
  <c r="AQ82" i="3" s="1"/>
  <c r="AA59" i="3"/>
  <c r="AA74" i="3" s="1"/>
  <c r="AA82" i="3" s="1"/>
  <c r="S104" i="3"/>
  <c r="CC25" i="3"/>
  <c r="K43" i="2"/>
  <c r="Z43" i="2"/>
  <c r="O43" i="2"/>
  <c r="AP43" i="2"/>
  <c r="BX70" i="3"/>
  <c r="AD470" i="39"/>
  <c r="AD472" i="39" s="1"/>
  <c r="BZ59" i="3"/>
  <c r="BZ74" i="3" s="1"/>
  <c r="BZ82" i="3" s="1"/>
  <c r="BY59" i="3"/>
  <c r="BY74" i="3" s="1"/>
  <c r="BY82" i="3" s="1"/>
  <c r="BX59" i="3"/>
  <c r="BX74" i="3" s="1"/>
  <c r="BX82" i="3" s="1"/>
  <c r="P470" i="39"/>
  <c r="P472" i="39" s="1"/>
  <c r="BY80" i="2"/>
  <c r="BX80" i="2"/>
  <c r="CA80" i="2"/>
  <c r="BS59" i="3"/>
  <c r="BS74" i="3" s="1"/>
  <c r="BS82" i="3" s="1"/>
  <c r="AT59" i="3"/>
  <c r="AT74" i="3" s="1"/>
  <c r="AT82" i="3" s="1"/>
  <c r="AD59" i="3"/>
  <c r="AD74" i="3" s="1"/>
  <c r="AD82" i="3" s="1"/>
  <c r="N59" i="3"/>
  <c r="N74" i="3" s="1"/>
  <c r="N82" i="3" s="1"/>
  <c r="BV59" i="3"/>
  <c r="BV74" i="3" s="1"/>
  <c r="BV82" i="3" s="1"/>
  <c r="Y59" i="3"/>
  <c r="Y74" i="3" s="1"/>
  <c r="Y82" i="3" s="1"/>
  <c r="CB104" i="3"/>
  <c r="AM104" i="3"/>
  <c r="G104" i="3"/>
  <c r="V470" i="39"/>
  <c r="V472" i="39" s="1"/>
  <c r="BV329" i="39"/>
  <c r="BV328" i="39" s="1"/>
  <c r="AF313" i="39"/>
  <c r="M204" i="39"/>
  <c r="M206" i="39" s="1"/>
  <c r="M207" i="39" s="1"/>
  <c r="BV150" i="39"/>
  <c r="BW148" i="39"/>
  <c r="AE33" i="39"/>
  <c r="AE32" i="39"/>
  <c r="AE31" i="39"/>
  <c r="AG32" i="39"/>
  <c r="Y32" i="39"/>
  <c r="Q32" i="39"/>
  <c r="AL178" i="39"/>
  <c r="BX58" i="39"/>
  <c r="BX59" i="39" s="1"/>
  <c r="U264" i="39"/>
  <c r="AF332" i="39"/>
  <c r="Y315" i="39"/>
  <c r="Q315" i="39"/>
  <c r="Q325" i="39"/>
  <c r="Y325" i="39"/>
  <c r="Z315" i="39"/>
  <c r="Y309" i="39"/>
  <c r="Q309" i="39"/>
  <c r="Y303" i="39"/>
  <c r="CB373" i="39"/>
  <c r="AD315" i="39"/>
  <c r="AJ301" i="39"/>
  <c r="Z303" i="39"/>
  <c r="V226" i="39"/>
  <c r="V228" i="39" s="1"/>
  <c r="V229" i="39" s="1"/>
  <c r="BV172" i="39"/>
  <c r="BT216" i="39"/>
  <c r="R226" i="39"/>
  <c r="R227" i="39" s="1"/>
  <c r="BX172" i="39"/>
  <c r="BS258" i="39"/>
  <c r="BS260" i="39" s="1"/>
  <c r="AG133" i="39"/>
  <c r="N259" i="39"/>
  <c r="N160" i="39"/>
  <c r="N162" i="39" s="1"/>
  <c r="N163" i="39" s="1"/>
  <c r="AM85" i="39"/>
  <c r="AI85" i="39"/>
  <c r="AA84" i="39"/>
  <c r="Z86" i="39"/>
  <c r="R32" i="39"/>
  <c r="R35" i="39"/>
  <c r="R47" i="39"/>
  <c r="R123" i="39"/>
  <c r="R303" i="39"/>
  <c r="Z160" i="39"/>
  <c r="Z162" i="39" s="1"/>
  <c r="Z163" i="39" s="1"/>
  <c r="AF84" i="39"/>
  <c r="AG84" i="39"/>
  <c r="Z84" i="39"/>
  <c r="BU83" i="39"/>
  <c r="BU85" i="39" s="1"/>
  <c r="BV58" i="39"/>
  <c r="BV59" i="39" s="1"/>
  <c r="AD160" i="39"/>
  <c r="AD162" i="39" s="1"/>
  <c r="AD163" i="39" s="1"/>
  <c r="AE160" i="39"/>
  <c r="AE161" i="39" s="1"/>
  <c r="BU58" i="39"/>
  <c r="BU59" i="39" s="1"/>
  <c r="BT86" i="39"/>
  <c r="AF34" i="39"/>
  <c r="P34" i="39"/>
  <c r="AF47" i="39"/>
  <c r="AI34" i="39"/>
  <c r="S34" i="39"/>
  <c r="AA33" i="39"/>
  <c r="S84" i="39"/>
  <c r="AF32" i="39"/>
  <c r="P32" i="39"/>
  <c r="Z85" i="39"/>
  <c r="R85" i="39"/>
  <c r="AA32" i="39"/>
  <c r="AA31" i="39"/>
  <c r="AI21" i="39"/>
  <c r="AI42" i="39"/>
  <c r="AI123" i="39"/>
  <c r="AA47" i="39"/>
  <c r="AA42" i="39"/>
  <c r="S21" i="39"/>
  <c r="S35" i="39"/>
  <c r="S123" i="39"/>
  <c r="N31" i="39"/>
  <c r="N33" i="39"/>
  <c r="N47" i="39"/>
  <c r="N123" i="39"/>
  <c r="BV444" i="39"/>
  <c r="AL313" i="39"/>
  <c r="AO313" i="39"/>
  <c r="AK301" i="39"/>
  <c r="BZ260" i="39"/>
  <c r="U204" i="39"/>
  <c r="U206" i="39" s="1"/>
  <c r="U207" i="39" s="1"/>
  <c r="AH390" i="39"/>
  <c r="BW329" i="39"/>
  <c r="BW328" i="39" s="1"/>
  <c r="AF307" i="39"/>
  <c r="AM307" i="39"/>
  <c r="AK307" i="39"/>
  <c r="AD182" i="39"/>
  <c r="AD184" i="39" s="1"/>
  <c r="AD185" i="39" s="1"/>
  <c r="CA260" i="39"/>
  <c r="R182" i="39"/>
  <c r="R183" i="39" s="1"/>
  <c r="BY150" i="39"/>
  <c r="BW194" i="39"/>
  <c r="BS172" i="39"/>
  <c r="AH160" i="39"/>
  <c r="AH161" i="39" s="1"/>
  <c r="AC31" i="39"/>
  <c r="U31" i="39"/>
  <c r="AF31" i="39"/>
  <c r="AB31" i="39"/>
  <c r="AA21" i="39"/>
  <c r="L470" i="39"/>
  <c r="L472" i="39" s="1"/>
  <c r="AG86" i="39"/>
  <c r="AG85" i="39"/>
  <c r="AK85" i="39"/>
  <c r="Y86" i="39"/>
  <c r="Y85" i="39"/>
  <c r="U86" i="39"/>
  <c r="U85" i="39"/>
  <c r="Q86" i="39"/>
  <c r="Q85" i="39"/>
  <c r="N84" i="39"/>
  <c r="BS58" i="39"/>
  <c r="BS59" i="39" s="1"/>
  <c r="BX327" i="39"/>
  <c r="BY331" i="39" s="1"/>
  <c r="AF301" i="39"/>
  <c r="AF269" i="39"/>
  <c r="AJ269" i="39" s="1"/>
  <c r="AN269" i="39" s="1"/>
  <c r="AR269" i="39" s="1"/>
  <c r="AV269" i="39" s="1"/>
  <c r="AZ269" i="39" s="1"/>
  <c r="BD269" i="39" s="1"/>
  <c r="BH269" i="39" s="1"/>
  <c r="BL269" i="39" s="1"/>
  <c r="BT172" i="39"/>
  <c r="BU194" i="39"/>
  <c r="BS194" i="39"/>
  <c r="AB160" i="39"/>
  <c r="AB162" i="39" s="1"/>
  <c r="AB163" i="39" s="1"/>
  <c r="AD84" i="39"/>
  <c r="BW58" i="39"/>
  <c r="BW59" i="39" s="1"/>
  <c r="CC38" i="39"/>
  <c r="CC41" i="39" s="1"/>
  <c r="BQ43" i="2"/>
  <c r="W43" i="2"/>
  <c r="BW43" i="2"/>
  <c r="BE21" i="2"/>
  <c r="BE35" i="3" s="1"/>
  <c r="BC85" i="2"/>
  <c r="CA70" i="3"/>
  <c r="BW59" i="3"/>
  <c r="BW74" i="3" s="1"/>
  <c r="BW82" i="3" s="1"/>
  <c r="BF59" i="3"/>
  <c r="BF74" i="3" s="1"/>
  <c r="BF82" i="3" s="1"/>
  <c r="AX59" i="3"/>
  <c r="AX74" i="3" s="1"/>
  <c r="AX82" i="3" s="1"/>
  <c r="AP59" i="3"/>
  <c r="AP74" i="3" s="1"/>
  <c r="AP82" i="3" s="1"/>
  <c r="AH59" i="3"/>
  <c r="AH74" i="3" s="1"/>
  <c r="AH82" i="3" s="1"/>
  <c r="Z59" i="3"/>
  <c r="Z74" i="3" s="1"/>
  <c r="Z82" i="3" s="1"/>
  <c r="R59" i="3"/>
  <c r="R74" i="3" s="1"/>
  <c r="R82" i="3" s="1"/>
  <c r="J59" i="3"/>
  <c r="J74" i="3" s="1"/>
  <c r="J82" i="3" s="1"/>
  <c r="CD59" i="3"/>
  <c r="CD74" i="3" s="1"/>
  <c r="CD82" i="3" s="1"/>
  <c r="BE59" i="3"/>
  <c r="BE74" i="3" s="1"/>
  <c r="BE82" i="3" s="1"/>
  <c r="AG59" i="3"/>
  <c r="AG74" i="3" s="1"/>
  <c r="AG82" i="3" s="1"/>
  <c r="Q59" i="3"/>
  <c r="Q74" i="3" s="1"/>
  <c r="Q82" i="3" s="1"/>
  <c r="BT104" i="3"/>
  <c r="AU104" i="3"/>
  <c r="AE104" i="3"/>
  <c r="O104" i="3"/>
  <c r="CC22" i="3"/>
  <c r="BZ80" i="2"/>
  <c r="BV80" i="2"/>
  <c r="BW80" i="2"/>
  <c r="CA104" i="3"/>
  <c r="BW104" i="3"/>
  <c r="BV104" i="3"/>
  <c r="CB59" i="3"/>
  <c r="CB74" i="3" s="1"/>
  <c r="CB82" i="3" s="1"/>
  <c r="AQ33" i="3"/>
  <c r="BZ33" i="3" s="1"/>
  <c r="AM17" i="3"/>
  <c r="BY17" i="3" s="1"/>
  <c r="AM33" i="3"/>
  <c r="BY33" i="3" s="1"/>
  <c r="AU17" i="3"/>
  <c r="CA17" i="3" s="1"/>
  <c r="CA40" i="3"/>
  <c r="AX405" i="39"/>
  <c r="AX358" i="39" s="1"/>
  <c r="AX116" i="1"/>
  <c r="AP405" i="39"/>
  <c r="AP116" i="1"/>
  <c r="AH405" i="39"/>
  <c r="AH116" i="1"/>
  <c r="AT405" i="39"/>
  <c r="AT116" i="1"/>
  <c r="AL405" i="39"/>
  <c r="BY405" i="39" s="1"/>
  <c r="AL116" i="1"/>
  <c r="AG405" i="39"/>
  <c r="AG116" i="1"/>
  <c r="Y78" i="3"/>
  <c r="Z13" i="3"/>
  <c r="Y116" i="1"/>
  <c r="Q78" i="3"/>
  <c r="R13" i="3"/>
  <c r="Q116" i="1"/>
  <c r="I78" i="3"/>
  <c r="J13" i="3"/>
  <c r="I116" i="1"/>
  <c r="CC20" i="2"/>
  <c r="BW47" i="3"/>
  <c r="CC142" i="3"/>
  <c r="BZ46" i="3"/>
  <c r="CA46" i="3" s="1"/>
  <c r="CB46" i="3" s="1"/>
  <c r="CC46" i="3" s="1"/>
  <c r="CD46" i="3" s="1"/>
  <c r="CE46" i="3" s="1"/>
  <c r="CF46" i="3" s="1"/>
  <c r="BS42" i="3"/>
  <c r="AW36" i="3"/>
  <c r="AG36" i="3"/>
  <c r="AL40" i="3"/>
  <c r="AM40" i="3" s="1"/>
  <c r="BW35" i="3"/>
  <c r="AP34" i="3"/>
  <c r="AQ34" i="3" s="1"/>
  <c r="BT32" i="3"/>
  <c r="CA18" i="3"/>
  <c r="CA16" i="3"/>
  <c r="BW16" i="3"/>
  <c r="AY13" i="3"/>
  <c r="AQ13" i="3"/>
  <c r="AQ405" i="39" s="1"/>
  <c r="AI13" i="3"/>
  <c r="AI405" i="39" s="1"/>
  <c r="BY41" i="3"/>
  <c r="AP39" i="3"/>
  <c r="AG44" i="3"/>
  <c r="G30" i="3"/>
  <c r="BQ30" i="3" s="1"/>
  <c r="BW17" i="3"/>
  <c r="AX86" i="3"/>
  <c r="AT86" i="3"/>
  <c r="AP86" i="3"/>
  <c r="AL86" i="3"/>
  <c r="AH86" i="3"/>
  <c r="BT40" i="3"/>
  <c r="CA35" i="3"/>
  <c r="CA34" i="3"/>
  <c r="E60" i="3"/>
  <c r="E62" i="3" s="1"/>
  <c r="AG78" i="3"/>
  <c r="AG76" i="3" s="1"/>
  <c r="AG75" i="3" s="1"/>
  <c r="AG79" i="3" s="1"/>
  <c r="CA20" i="3"/>
  <c r="BX33" i="3"/>
  <c r="AI33" i="3"/>
  <c r="AW405" i="39"/>
  <c r="AW116" i="1"/>
  <c r="AO405" i="39"/>
  <c r="BZ405" i="39" s="1"/>
  <c r="AO116" i="1"/>
  <c r="AD78" i="3"/>
  <c r="AD405" i="39"/>
  <c r="BW405" i="39" s="1"/>
  <c r="AD116" i="1"/>
  <c r="V78" i="3"/>
  <c r="V116" i="1"/>
  <c r="N78" i="3"/>
  <c r="N116" i="1"/>
  <c r="F78" i="3"/>
  <c r="F116" i="1"/>
  <c r="AM43" i="2"/>
  <c r="J43" i="2"/>
  <c r="AV43" i="2"/>
  <c r="AV65" i="3"/>
  <c r="AF43" i="2"/>
  <c r="AF65" i="3"/>
  <c r="X43" i="2"/>
  <c r="X65" i="3"/>
  <c r="P43" i="2"/>
  <c r="P65" i="3"/>
  <c r="AX43" i="2"/>
  <c r="BA43" i="2"/>
  <c r="BA65" i="3"/>
  <c r="AK43" i="2"/>
  <c r="AK65" i="3"/>
  <c r="AC43" i="2"/>
  <c r="AC65" i="3"/>
  <c r="U43" i="2"/>
  <c r="U65" i="3"/>
  <c r="M43" i="2"/>
  <c r="M65" i="3"/>
  <c r="AQ43" i="2"/>
  <c r="AQ65" i="3"/>
  <c r="AI43" i="2"/>
  <c r="AI65" i="3"/>
  <c r="AE43" i="2"/>
  <c r="AE65" i="3"/>
  <c r="AA43" i="2"/>
  <c r="AA65" i="3"/>
  <c r="S43" i="2"/>
  <c r="S65" i="3"/>
  <c r="AN43" i="2"/>
  <c r="AY43" i="2"/>
  <c r="CC85" i="2"/>
  <c r="Y43" i="2"/>
  <c r="CC26" i="3"/>
  <c r="CC37" i="2"/>
  <c r="CC15" i="2"/>
  <c r="AZ43" i="2"/>
  <c r="AZ65" i="3"/>
  <c r="AR43" i="2"/>
  <c r="AR65" i="3"/>
  <c r="AJ43" i="2"/>
  <c r="AJ65" i="3"/>
  <c r="AB43" i="2"/>
  <c r="AB65" i="3"/>
  <c r="T43" i="2"/>
  <c r="T65" i="3"/>
  <c r="D43" i="2"/>
  <c r="D65" i="3"/>
  <c r="AG43" i="2"/>
  <c r="AG65" i="3"/>
  <c r="Q43" i="2"/>
  <c r="Q65" i="3"/>
  <c r="E43" i="2"/>
  <c r="E65" i="3"/>
  <c r="AT43" i="2"/>
  <c r="AT65" i="3"/>
  <c r="AL43" i="2"/>
  <c r="AL65" i="3"/>
  <c r="AD43" i="2"/>
  <c r="AD65" i="3"/>
  <c r="V43" i="2"/>
  <c r="V65" i="3"/>
  <c r="N43" i="2"/>
  <c r="N65" i="3"/>
  <c r="G43" i="2"/>
  <c r="G65" i="3"/>
  <c r="BQ92" i="2"/>
  <c r="BU92" i="2"/>
  <c r="CC130" i="3"/>
  <c r="CC117" i="3"/>
  <c r="CC120" i="3"/>
  <c r="BC75" i="2"/>
  <c r="CC102" i="1"/>
  <c r="BB75" i="2"/>
  <c r="AF89" i="2"/>
  <c r="AF90" i="2" s="1"/>
  <c r="AI89" i="2"/>
  <c r="AI90" i="2" s="1"/>
  <c r="AJ89" i="2"/>
  <c r="AJ90" i="2" s="1"/>
  <c r="R228" i="39"/>
  <c r="R229" i="39" s="1"/>
  <c r="M161" i="39"/>
  <c r="X347" i="39"/>
  <c r="BV346" i="39"/>
  <c r="X348" i="39"/>
  <c r="X349" i="39"/>
  <c r="BT331" i="39"/>
  <c r="BV314" i="39"/>
  <c r="X319" i="39"/>
  <c r="BV317" i="39"/>
  <c r="X318" i="39"/>
  <c r="BX309" i="39"/>
  <c r="BB313" i="39"/>
  <c r="BS314" i="39"/>
  <c r="BS315" i="39"/>
  <c r="AH307" i="39"/>
  <c r="BV308" i="39"/>
  <c r="BX314" i="39"/>
  <c r="V319" i="39"/>
  <c r="V318" i="39"/>
  <c r="BS320" i="39"/>
  <c r="BS319" i="39"/>
  <c r="AT313" i="39"/>
  <c r="BT308" i="39"/>
  <c r="AY301" i="39"/>
  <c r="AU301" i="39"/>
  <c r="AQ301" i="39"/>
  <c r="AM301" i="39"/>
  <c r="AI301" i="39"/>
  <c r="AH331" i="39"/>
  <c r="AH330" i="39"/>
  <c r="AH332" i="39"/>
  <c r="AH329" i="39"/>
  <c r="BY314" i="39"/>
  <c r="BU276" i="39"/>
  <c r="BU275" i="39"/>
  <c r="AJ267" i="39"/>
  <c r="AI262" i="39"/>
  <c r="BX262" i="39" s="1"/>
  <c r="AI271" i="39"/>
  <c r="AI270" i="39"/>
  <c r="X265" i="39"/>
  <c r="X264" i="39"/>
  <c r="X263" i="39"/>
  <c r="BV262" i="39"/>
  <c r="BT252" i="39"/>
  <c r="AL192" i="39"/>
  <c r="AP188" i="39"/>
  <c r="BY275" i="39"/>
  <c r="BX276" i="39"/>
  <c r="BX275" i="39"/>
  <c r="AA283" i="39"/>
  <c r="AA282" i="39"/>
  <c r="AA281" i="39"/>
  <c r="BT270" i="39"/>
  <c r="V265" i="39"/>
  <c r="V264" i="39"/>
  <c r="V263" i="39"/>
  <c r="W265" i="39"/>
  <c r="W264" i="39"/>
  <c r="W263" i="39"/>
  <c r="AP313" i="39"/>
  <c r="BX280" i="39"/>
  <c r="AF283" i="39"/>
  <c r="AF282" i="39"/>
  <c r="AF281" i="39"/>
  <c r="BU280" i="39"/>
  <c r="T283" i="39"/>
  <c r="T282" i="39"/>
  <c r="T281" i="39"/>
  <c r="BV270" i="39"/>
  <c r="Y263" i="39"/>
  <c r="Y264" i="39"/>
  <c r="AC264" i="39"/>
  <c r="Y265" i="39"/>
  <c r="AM192" i="39"/>
  <c r="AQ188" i="39"/>
  <c r="AS188" i="39"/>
  <c r="BU270" i="39"/>
  <c r="BT234" i="39"/>
  <c r="BT194" i="39"/>
  <c r="Z183" i="39"/>
  <c r="R204" i="39"/>
  <c r="BA190" i="39"/>
  <c r="AF204" i="39"/>
  <c r="BX192" i="39"/>
  <c r="AB182" i="39"/>
  <c r="BW170" i="39"/>
  <c r="X204" i="39"/>
  <c r="BV192" i="39"/>
  <c r="T204" i="39"/>
  <c r="BU192" i="39"/>
  <c r="P204" i="39"/>
  <c r="BT192" i="39"/>
  <c r="L182" i="39"/>
  <c r="BS170" i="39"/>
  <c r="BU77" i="39"/>
  <c r="BU86" i="39"/>
  <c r="AH44" i="39"/>
  <c r="AH385" i="39"/>
  <c r="AH386" i="39" s="1"/>
  <c r="AH363" i="39" s="1"/>
  <c r="AH375" i="39"/>
  <c r="AH377" i="39" s="1"/>
  <c r="AE204" i="39"/>
  <c r="AA182" i="39"/>
  <c r="W182" i="39"/>
  <c r="S182" i="39"/>
  <c r="O182" i="39"/>
  <c r="BW132" i="39"/>
  <c r="Y260" i="39"/>
  <c r="Y259" i="39"/>
  <c r="Y257" i="39"/>
  <c r="Q260" i="39"/>
  <c r="Q259" i="39"/>
  <c r="AB85" i="39"/>
  <c r="AB86" i="39"/>
  <c r="BW83" i="39"/>
  <c r="BW85" i="39" s="1"/>
  <c r="AC84" i="39"/>
  <c r="AB84" i="39"/>
  <c r="BX149" i="39"/>
  <c r="BW215" i="39"/>
  <c r="BV193" i="39"/>
  <c r="BU215" i="39"/>
  <c r="BS149" i="39"/>
  <c r="AC182" i="39"/>
  <c r="M182" i="39"/>
  <c r="BV77" i="39"/>
  <c r="BV86" i="39"/>
  <c r="BT27" i="39"/>
  <c r="AF85" i="39"/>
  <c r="W309" i="39"/>
  <c r="W291" i="39"/>
  <c r="W123" i="39"/>
  <c r="W42" i="39"/>
  <c r="W35" i="39"/>
  <c r="W47" i="39"/>
  <c r="W28" i="39"/>
  <c r="W21" i="39"/>
  <c r="BX24" i="39"/>
  <c r="AL325" i="39"/>
  <c r="AL315" i="39"/>
  <c r="AL70" i="39"/>
  <c r="AL42" i="39"/>
  <c r="AL28" i="39"/>
  <c r="AL21" i="39"/>
  <c r="AL35" i="39"/>
  <c r="AL33" i="39"/>
  <c r="AL32" i="39"/>
  <c r="AL31" i="39"/>
  <c r="BY25" i="39"/>
  <c r="BU25" i="39"/>
  <c r="AK390" i="39"/>
  <c r="AC390" i="39"/>
  <c r="P146" i="39"/>
  <c r="O150" i="39"/>
  <c r="O160" i="39" s="1"/>
  <c r="BT26" i="39"/>
  <c r="CB24" i="39"/>
  <c r="AF390" i="39"/>
  <c r="X291" i="39"/>
  <c r="X325" i="39"/>
  <c r="X303" i="39"/>
  <c r="X47" i="39"/>
  <c r="X123" i="39"/>
  <c r="X42" i="39"/>
  <c r="X35" i="39"/>
  <c r="X28" i="39"/>
  <c r="X21" i="39"/>
  <c r="BV14" i="39"/>
  <c r="BV325" i="39" s="1"/>
  <c r="BY27" i="39"/>
  <c r="BV26" i="39"/>
  <c r="BW25" i="39"/>
  <c r="Q585" i="39"/>
  <c r="AC585" i="39"/>
  <c r="BQ584" i="39"/>
  <c r="BU584" i="39"/>
  <c r="I585" i="39"/>
  <c r="BT584" i="39"/>
  <c r="BT565" i="39"/>
  <c r="BT585" i="39" s="1"/>
  <c r="BT444" i="39"/>
  <c r="BU444" i="39"/>
  <c r="BW331" i="39"/>
  <c r="Y349" i="39"/>
  <c r="Y347" i="39"/>
  <c r="Y348" i="39"/>
  <c r="T347" i="39"/>
  <c r="T349" i="39"/>
  <c r="BU346" i="39"/>
  <c r="T348" i="39"/>
  <c r="BV324" i="39"/>
  <c r="AG313" i="39"/>
  <c r="BW388" i="39"/>
  <c r="BU314" i="39"/>
  <c r="BS308" i="39"/>
  <c r="AP301" i="39"/>
  <c r="AT301" i="39"/>
  <c r="AX301" i="39"/>
  <c r="AH301" i="39"/>
  <c r="AL301" i="39"/>
  <c r="BT324" i="39"/>
  <c r="BD313" i="39"/>
  <c r="AN313" i="39"/>
  <c r="BW308" i="39"/>
  <c r="AK313" i="39"/>
  <c r="U347" i="39"/>
  <c r="BW314" i="39"/>
  <c r="AI313" i="39"/>
  <c r="AM313" i="39"/>
  <c r="AP307" i="39"/>
  <c r="AJ372" i="39"/>
  <c r="AJ308" i="39"/>
  <c r="AH283" i="39"/>
  <c r="AH282" i="39"/>
  <c r="AH281" i="39"/>
  <c r="M263" i="39"/>
  <c r="M265" i="39"/>
  <c r="Q264" i="39"/>
  <c r="BW252" i="39"/>
  <c r="AQ313" i="39"/>
  <c r="BS276" i="39"/>
  <c r="BS275" i="39"/>
  <c r="AE283" i="39"/>
  <c r="AE282" i="39"/>
  <c r="AE281" i="39"/>
  <c r="S264" i="39"/>
  <c r="S263" i="39"/>
  <c r="S265" i="39"/>
  <c r="BU240" i="39"/>
  <c r="AI307" i="39"/>
  <c r="BS280" i="39"/>
  <c r="BW276" i="39"/>
  <c r="BW275" i="39"/>
  <c r="AU313" i="39"/>
  <c r="AB283" i="39"/>
  <c r="AB282" i="39"/>
  <c r="AB281" i="39"/>
  <c r="BW280" i="39"/>
  <c r="N263" i="39"/>
  <c r="N265" i="39"/>
  <c r="BX240" i="39"/>
  <c r="AD183" i="39"/>
  <c r="BS234" i="39"/>
  <c r="T265" i="39"/>
  <c r="T264" i="39"/>
  <c r="BU262" i="39"/>
  <c r="T263" i="39"/>
  <c r="AF265" i="39"/>
  <c r="AF264" i="39"/>
  <c r="AF263" i="39"/>
  <c r="BV234" i="39"/>
  <c r="Z226" i="39"/>
  <c r="AL193" i="39"/>
  <c r="AP189" i="39"/>
  <c r="AN172" i="39"/>
  <c r="AN150" i="39"/>
  <c r="AO140" i="39"/>
  <c r="AD204" i="39"/>
  <c r="N204" i="39"/>
  <c r="BW260" i="39"/>
  <c r="Y160" i="39"/>
  <c r="BW216" i="39"/>
  <c r="BU172" i="39"/>
  <c r="AO136" i="39"/>
  <c r="AN170" i="39"/>
  <c r="AN148" i="39"/>
  <c r="BY170" i="39"/>
  <c r="AJ182" i="39"/>
  <c r="AJ183" i="39" s="1"/>
  <c r="AB204" i="39"/>
  <c r="BW192" i="39"/>
  <c r="BV170" i="39"/>
  <c r="X182" i="39"/>
  <c r="BU170" i="39"/>
  <c r="T182" i="39"/>
  <c r="L204" i="39"/>
  <c r="BS192" i="39"/>
  <c r="AL390" i="39"/>
  <c r="AN192" i="39"/>
  <c r="AA204" i="39"/>
  <c r="W204" i="39"/>
  <c r="S204" i="39"/>
  <c r="O204" i="39"/>
  <c r="AG268" i="39"/>
  <c r="AG270" i="39"/>
  <c r="BX267" i="39"/>
  <c r="AG271" i="39"/>
  <c r="BS132" i="39"/>
  <c r="AP171" i="39"/>
  <c r="AQ138" i="39"/>
  <c r="AP149" i="39"/>
  <c r="L86" i="39"/>
  <c r="BS83" i="39"/>
  <c r="BS85" i="39" s="1"/>
  <c r="M84" i="39"/>
  <c r="AF51" i="39"/>
  <c r="AF50" i="39"/>
  <c r="BX171" i="39"/>
  <c r="BW149" i="39"/>
  <c r="BV215" i="39"/>
  <c r="BU193" i="39"/>
  <c r="BT171" i="39"/>
  <c r="BS171" i="39"/>
  <c r="Y204" i="39"/>
  <c r="AI375" i="39"/>
  <c r="AI377" i="39" s="1"/>
  <c r="AI385" i="39"/>
  <c r="AI386" i="39" s="1"/>
  <c r="AI363" i="39" s="1"/>
  <c r="AE390" i="39"/>
  <c r="P85" i="39"/>
  <c r="AL34" i="39"/>
  <c r="O309" i="39"/>
  <c r="O291" i="39"/>
  <c r="O123" i="39"/>
  <c r="O42" i="39"/>
  <c r="O35" i="39"/>
  <c r="O47" i="39"/>
  <c r="O21" i="39"/>
  <c r="O33" i="39"/>
  <c r="AD325" i="39"/>
  <c r="AD332" i="39"/>
  <c r="AD291" i="39"/>
  <c r="AD123" i="39"/>
  <c r="AD42" i="39"/>
  <c r="AD47" i="39"/>
  <c r="AD28" i="39"/>
  <c r="AD21" i="39"/>
  <c r="AD35" i="39"/>
  <c r="AD33" i="39"/>
  <c r="AD32" i="39"/>
  <c r="AD31" i="39"/>
  <c r="BW24" i="39"/>
  <c r="CA374" i="39"/>
  <c r="BZ374" i="39"/>
  <c r="BV25" i="39"/>
  <c r="AG309" i="39"/>
  <c r="AG325" i="39"/>
  <c r="AG303" i="39"/>
  <c r="AG28" i="39"/>
  <c r="AG21" i="39"/>
  <c r="AG70" i="39"/>
  <c r="AG123" i="39"/>
  <c r="AG42" i="39"/>
  <c r="AG35" i="39"/>
  <c r="AG34" i="39"/>
  <c r="Y332" i="39"/>
  <c r="Y291" i="39"/>
  <c r="Y123" i="39"/>
  <c r="Y28" i="39"/>
  <c r="Y21" i="39"/>
  <c r="Y42" i="39"/>
  <c r="Y35" i="39"/>
  <c r="Y34" i="39"/>
  <c r="Y47" i="39"/>
  <c r="U332" i="39"/>
  <c r="U291" i="39"/>
  <c r="U28" i="39"/>
  <c r="U21" i="39"/>
  <c r="U42" i="39"/>
  <c r="U35" i="39"/>
  <c r="U34" i="39"/>
  <c r="U123" i="39"/>
  <c r="U47" i="39"/>
  <c r="Q291" i="39"/>
  <c r="Q28" i="39"/>
  <c r="Q21" i="39"/>
  <c r="Q123" i="39"/>
  <c r="Q42" i="39"/>
  <c r="Q35" i="39"/>
  <c r="Q34" i="39"/>
  <c r="Q47" i="39"/>
  <c r="M332" i="39"/>
  <c r="M291" i="39"/>
  <c r="M21" i="39"/>
  <c r="M123" i="39"/>
  <c r="M42" i="39"/>
  <c r="M35" i="39"/>
  <c r="M34" i="39"/>
  <c r="M47" i="39"/>
  <c r="AG33" i="39"/>
  <c r="AC385" i="39"/>
  <c r="AC386" i="39" s="1"/>
  <c r="AC363" i="39" s="1"/>
  <c r="AC375" i="39"/>
  <c r="AC377" i="39" s="1"/>
  <c r="Q33" i="39"/>
  <c r="BT24" i="39"/>
  <c r="O32" i="39"/>
  <c r="AJ390" i="39"/>
  <c r="AB390" i="39"/>
  <c r="T31" i="39"/>
  <c r="P291" i="39"/>
  <c r="P47" i="39"/>
  <c r="P123" i="39"/>
  <c r="P42" i="39"/>
  <c r="P35" i="39"/>
  <c r="BT14" i="39"/>
  <c r="BT33" i="39" s="1"/>
  <c r="P21" i="39"/>
  <c r="P28" i="39"/>
  <c r="Z332" i="39"/>
  <c r="Z325" i="39"/>
  <c r="Z309" i="39"/>
  <c r="Z291" i="39"/>
  <c r="Z42" i="39"/>
  <c r="Z47" i="39"/>
  <c r="Z123" i="39"/>
  <c r="Z28" i="39"/>
  <c r="Z21" i="39"/>
  <c r="Z35" i="39"/>
  <c r="Z33" i="39"/>
  <c r="Z32" i="39"/>
  <c r="Z31" i="39"/>
  <c r="CA24" i="39"/>
  <c r="CA373" i="39"/>
  <c r="O31" i="39"/>
  <c r="AA28" i="39"/>
  <c r="S28" i="39"/>
  <c r="AD34" i="39"/>
  <c r="N21" i="39"/>
  <c r="Y585" i="39"/>
  <c r="BS331" i="39"/>
  <c r="S348" i="39"/>
  <c r="S347" i="39"/>
  <c r="S349" i="39"/>
  <c r="AF347" i="39"/>
  <c r="BX346" i="39"/>
  <c r="AF348" i="39"/>
  <c r="AF349" i="39"/>
  <c r="AJ348" i="39"/>
  <c r="P347" i="39"/>
  <c r="P348" i="39"/>
  <c r="P349" i="39"/>
  <c r="BT346" i="39"/>
  <c r="BU324" i="39"/>
  <c r="AG319" i="39"/>
  <c r="AG318" i="39"/>
  <c r="AH318" i="39"/>
  <c r="BT314" i="39"/>
  <c r="BW302" i="39"/>
  <c r="BX317" i="39"/>
  <c r="S318" i="39"/>
  <c r="S319" i="39"/>
  <c r="AJ313" i="39"/>
  <c r="BV302" i="39"/>
  <c r="AI332" i="39"/>
  <c r="AI330" i="39"/>
  <c r="AI329" i="39"/>
  <c r="AI331" i="39"/>
  <c r="CA314" i="39"/>
  <c r="BZ314" i="39"/>
  <c r="AG329" i="39"/>
  <c r="AG330" i="39"/>
  <c r="AG332" i="39"/>
  <c r="AG331" i="39"/>
  <c r="Z319" i="39"/>
  <c r="Z318" i="39"/>
  <c r="BU302" i="39"/>
  <c r="CD371" i="39"/>
  <c r="AG347" i="39"/>
  <c r="AB319" i="39"/>
  <c r="BW317" i="39"/>
  <c r="AB318" i="39"/>
  <c r="BT317" i="39"/>
  <c r="CC371" i="39"/>
  <c r="W318" i="39"/>
  <c r="O283" i="39"/>
  <c r="O281" i="39"/>
  <c r="AG282" i="39"/>
  <c r="AG281" i="39"/>
  <c r="AG283" i="39"/>
  <c r="S283" i="39"/>
  <c r="S282" i="39"/>
  <c r="S281" i="39"/>
  <c r="L265" i="39"/>
  <c r="BS262" i="39"/>
  <c r="AE265" i="39"/>
  <c r="AE264" i="39"/>
  <c r="AE263" i="39"/>
  <c r="AD283" i="39"/>
  <c r="AD282" i="39"/>
  <c r="AD281" i="39"/>
  <c r="Z265" i="39"/>
  <c r="Z264" i="39"/>
  <c r="Z263" i="39"/>
  <c r="BT240" i="39"/>
  <c r="BT280" i="39"/>
  <c r="P283" i="39"/>
  <c r="P282" i="39"/>
  <c r="P281" i="39"/>
  <c r="BV276" i="39"/>
  <c r="BV275" i="39"/>
  <c r="BS240" i="39"/>
  <c r="V227" i="39"/>
  <c r="Y228" i="39"/>
  <c r="Y229" i="39" s="1"/>
  <c r="BW270" i="39"/>
  <c r="AH182" i="39"/>
  <c r="AH183" i="39" s="1"/>
  <c r="BY234" i="39"/>
  <c r="BX234" i="39"/>
  <c r="BW234" i="39"/>
  <c r="P265" i="39"/>
  <c r="P264" i="39"/>
  <c r="BT262" i="39"/>
  <c r="P263" i="39"/>
  <c r="BX194" i="39"/>
  <c r="Z204" i="39"/>
  <c r="BX132" i="39"/>
  <c r="BW172" i="39"/>
  <c r="BX148" i="39"/>
  <c r="AF160" i="39"/>
  <c r="BX214" i="39"/>
  <c r="AB226" i="39"/>
  <c r="BW214" i="39"/>
  <c r="X226" i="39"/>
  <c r="BV214" i="39"/>
  <c r="T226" i="39"/>
  <c r="BU214" i="39"/>
  <c r="P226" i="39"/>
  <c r="BT214" i="39"/>
  <c r="L226" i="39"/>
  <c r="BS214" i="39"/>
  <c r="AD385" i="39"/>
  <c r="AD386" i="39" s="1"/>
  <c r="AD363" i="39" s="1"/>
  <c r="AD375" i="39"/>
  <c r="AD377" i="39" s="1"/>
  <c r="AD390" i="39"/>
  <c r="AA226" i="39"/>
  <c r="W226" i="39"/>
  <c r="S226" i="39"/>
  <c r="O226" i="39"/>
  <c r="AG263" i="39"/>
  <c r="AG265" i="39"/>
  <c r="AH263" i="39"/>
  <c r="AG264" i="39"/>
  <c r="AC260" i="39"/>
  <c r="AC259" i="39"/>
  <c r="AC257" i="39"/>
  <c r="U260" i="39"/>
  <c r="U259" i="39"/>
  <c r="AK160" i="39"/>
  <c r="AK161" i="39" s="1"/>
  <c r="Z161" i="39"/>
  <c r="BY171" i="39"/>
  <c r="BX193" i="39"/>
  <c r="BW171" i="39"/>
  <c r="BV171" i="39"/>
  <c r="BT193" i="39"/>
  <c r="BS193" i="39"/>
  <c r="U182" i="39"/>
  <c r="BU132" i="39"/>
  <c r="AE51" i="39"/>
  <c r="AE50" i="39"/>
  <c r="AM51" i="39" s="1"/>
  <c r="BV27" i="39"/>
  <c r="W34" i="39"/>
  <c r="CB25" i="39"/>
  <c r="V332" i="39"/>
  <c r="V309" i="39"/>
  <c r="V291" i="39"/>
  <c r="V325" i="39"/>
  <c r="V303" i="39"/>
  <c r="V42" i="39"/>
  <c r="V123" i="39"/>
  <c r="V47" i="39"/>
  <c r="V28" i="39"/>
  <c r="V21" i="39"/>
  <c r="V35" i="39"/>
  <c r="V33" i="39"/>
  <c r="V32" i="39"/>
  <c r="V31" i="39"/>
  <c r="AG390" i="39"/>
  <c r="AG385" i="39"/>
  <c r="AG386" i="39" s="1"/>
  <c r="AG363" i="39" s="1"/>
  <c r="AG375" i="39"/>
  <c r="AG377" i="39" s="1"/>
  <c r="M33" i="39"/>
  <c r="BV24" i="39"/>
  <c r="BU24" i="39"/>
  <c r="AF375" i="39"/>
  <c r="AF377" i="39" s="1"/>
  <c r="AF385" i="39"/>
  <c r="AF386" i="39" s="1"/>
  <c r="AF363" i="39" s="1"/>
  <c r="AB385" i="39"/>
  <c r="AB386" i="39" s="1"/>
  <c r="AB363" i="39" s="1"/>
  <c r="AB375" i="39"/>
  <c r="AB377" i="39" s="1"/>
  <c r="P33" i="39"/>
  <c r="BS584" i="39"/>
  <c r="BS565" i="39"/>
  <c r="BV565" i="39"/>
  <c r="BW581" i="39"/>
  <c r="BU331" i="39"/>
  <c r="AN307" i="39"/>
  <c r="AR307" i="39"/>
  <c r="AV307" i="39"/>
  <c r="AZ307" i="39"/>
  <c r="AJ307" i="39"/>
  <c r="AF585" i="39"/>
  <c r="BW584" i="39"/>
  <c r="BW565" i="39"/>
  <c r="BW585" i="39" s="1"/>
  <c r="BS575" i="39"/>
  <c r="BT581" i="39"/>
  <c r="AE444" i="39"/>
  <c r="AE446" i="39" s="1"/>
  <c r="BW443" i="39"/>
  <c r="BW444" i="39" s="1"/>
  <c r="AB347" i="39"/>
  <c r="AB348" i="39"/>
  <c r="BW346" i="39"/>
  <c r="AB349" i="39"/>
  <c r="BS346" i="39"/>
  <c r="L349" i="39"/>
  <c r="AC319" i="39"/>
  <c r="AC318" i="39"/>
  <c r="BW324" i="39"/>
  <c r="T319" i="39"/>
  <c r="BU317" i="39"/>
  <c r="T318" i="39"/>
  <c r="BS324" i="39"/>
  <c r="Y318" i="39"/>
  <c r="BY388" i="39"/>
  <c r="AO301" i="39"/>
  <c r="AJ329" i="39"/>
  <c r="AK299" i="39"/>
  <c r="AJ303" i="39"/>
  <c r="AJ302" i="39"/>
  <c r="Z347" i="39"/>
  <c r="AH313" i="39"/>
  <c r="AD318" i="39"/>
  <c r="AH319" i="39"/>
  <c r="AD319" i="39"/>
  <c r="M347" i="39"/>
  <c r="AX313" i="39"/>
  <c r="AG301" i="39"/>
  <c r="BX303" i="39"/>
  <c r="BX302" i="39"/>
  <c r="BT276" i="39"/>
  <c r="BT275" i="39"/>
  <c r="BX252" i="39"/>
  <c r="BY252" i="39"/>
  <c r="BV240" i="39"/>
  <c r="AL194" i="39"/>
  <c r="AP190" i="39"/>
  <c r="N283" i="39"/>
  <c r="N281" i="39"/>
  <c r="W283" i="39"/>
  <c r="W282" i="39"/>
  <c r="W281" i="39"/>
  <c r="AB265" i="39"/>
  <c r="AB264" i="39"/>
  <c r="BW262" i="39"/>
  <c r="AB263" i="39"/>
  <c r="AA265" i="39"/>
  <c r="AA264" i="39"/>
  <c r="AA263" i="39"/>
  <c r="V283" i="39"/>
  <c r="V282" i="39"/>
  <c r="V281" i="39"/>
  <c r="BU252" i="39"/>
  <c r="AC283" i="39"/>
  <c r="AC281" i="39"/>
  <c r="AC282" i="39"/>
  <c r="X283" i="39"/>
  <c r="BV280" i="39"/>
  <c r="X282" i="39"/>
  <c r="X281" i="39"/>
  <c r="AI269" i="39"/>
  <c r="AM269" i="39" s="1"/>
  <c r="AQ269" i="39" s="1"/>
  <c r="AU269" i="39" s="1"/>
  <c r="AY269" i="39" s="1"/>
  <c r="BC269" i="39" s="1"/>
  <c r="BG269" i="39" s="1"/>
  <c r="BK269" i="39" s="1"/>
  <c r="BO269" i="39" s="1"/>
  <c r="AD264" i="39"/>
  <c r="AD263" i="39"/>
  <c r="AH264" i="39"/>
  <c r="AD265" i="39"/>
  <c r="O265" i="39"/>
  <c r="O263" i="39"/>
  <c r="AM194" i="39"/>
  <c r="AQ190" i="39"/>
  <c r="U281" i="39"/>
  <c r="M205" i="39"/>
  <c r="N182" i="39"/>
  <c r="U228" i="39"/>
  <c r="U229" i="39" s="1"/>
  <c r="R184" i="39"/>
  <c r="R185" i="39" s="1"/>
  <c r="AD222" i="39"/>
  <c r="AC223" i="39"/>
  <c r="AC224" i="39" s="1"/>
  <c r="AM193" i="39"/>
  <c r="AQ189" i="39"/>
  <c r="Z282" i="39"/>
  <c r="BU234" i="39"/>
  <c r="BV194" i="39"/>
  <c r="AR190" i="39"/>
  <c r="AN194" i="39"/>
  <c r="AV188" i="39"/>
  <c r="AK182" i="39"/>
  <c r="AK183" i="39" s="1"/>
  <c r="V204" i="39"/>
  <c r="BT132" i="39"/>
  <c r="P149" i="39"/>
  <c r="Q145" i="39"/>
  <c r="BS216" i="39"/>
  <c r="BY148" i="39"/>
  <c r="AJ160" i="39"/>
  <c r="AJ161" i="39" s="1"/>
  <c r="AF182" i="39"/>
  <c r="BX170" i="39"/>
  <c r="X160" i="39"/>
  <c r="BV148" i="39"/>
  <c r="BT170" i="39"/>
  <c r="P182" i="39"/>
  <c r="BS148" i="39"/>
  <c r="L160" i="39"/>
  <c r="AD259" i="39"/>
  <c r="AD257" i="39"/>
  <c r="AD260" i="39"/>
  <c r="Z259" i="39"/>
  <c r="Z257" i="39"/>
  <c r="Z260" i="39"/>
  <c r="V259" i="39"/>
  <c r="V260" i="39"/>
  <c r="R259" i="39"/>
  <c r="R260" i="39"/>
  <c r="BY86" i="39"/>
  <c r="BW27" i="39"/>
  <c r="AN156" i="39"/>
  <c r="AO156" i="39" s="1"/>
  <c r="AP156" i="39" s="1"/>
  <c r="AQ156" i="39" s="1"/>
  <c r="AR156" i="39" s="1"/>
  <c r="AS156" i="39" s="1"/>
  <c r="AT156" i="39" s="1"/>
  <c r="AU156" i="39" s="1"/>
  <c r="AV156" i="39" s="1"/>
  <c r="AW156" i="39" s="1"/>
  <c r="AX156" i="39" s="1"/>
  <c r="AY156" i="39" s="1"/>
  <c r="AZ156" i="39" s="1"/>
  <c r="BA156" i="39" s="1"/>
  <c r="BB156" i="39" s="1"/>
  <c r="BC156" i="39" s="1"/>
  <c r="BD156" i="39" s="1"/>
  <c r="BE156" i="39" s="1"/>
  <c r="BF156" i="39" s="1"/>
  <c r="BG156" i="39" s="1"/>
  <c r="BH156" i="39" s="1"/>
  <c r="BI156" i="39" s="1"/>
  <c r="BJ156" i="39" s="1"/>
  <c r="BK156" i="39" s="1"/>
  <c r="BL156" i="39" s="1"/>
  <c r="BM156" i="39" s="1"/>
  <c r="BN156" i="39" s="1"/>
  <c r="BO156" i="39" s="1"/>
  <c r="AM160" i="39"/>
  <c r="AM161" i="39" s="1"/>
  <c r="AL160" i="39"/>
  <c r="AL161" i="39" s="1"/>
  <c r="R144" i="39"/>
  <c r="AI160" i="39"/>
  <c r="AI161" i="39" s="1"/>
  <c r="AE182" i="39"/>
  <c r="AA161" i="39"/>
  <c r="AA162" i="39"/>
  <c r="AA163" i="39" s="1"/>
  <c r="AG260" i="39"/>
  <c r="AG259" i="39"/>
  <c r="AG257" i="39"/>
  <c r="AC160" i="39"/>
  <c r="BW86" i="39"/>
  <c r="BW77" i="39"/>
  <c r="BX215" i="39"/>
  <c r="BW193" i="39"/>
  <c r="BV149" i="39"/>
  <c r="BU171" i="39"/>
  <c r="BT215" i="39"/>
  <c r="BS215" i="39"/>
  <c r="AG204" i="39"/>
  <c r="Q204" i="39"/>
  <c r="AM132" i="39"/>
  <c r="BY130" i="39"/>
  <c r="AN130" i="39"/>
  <c r="BX27" i="39"/>
  <c r="AE375" i="39"/>
  <c r="AE377" i="39" s="1"/>
  <c r="AE385" i="39"/>
  <c r="AE386" i="39" s="1"/>
  <c r="AE363" i="39" s="1"/>
  <c r="AI390" i="39"/>
  <c r="AE309" i="39"/>
  <c r="AE291" i="39"/>
  <c r="AE123" i="39"/>
  <c r="AE42" i="39"/>
  <c r="AE35" i="39"/>
  <c r="AE47" i="39"/>
  <c r="AE28" i="39"/>
  <c r="AE21" i="39"/>
  <c r="AE34" i="39"/>
  <c r="W33" i="39"/>
  <c r="BT25" i="39"/>
  <c r="BU27" i="39"/>
  <c r="CA25" i="39"/>
  <c r="CB374" i="39"/>
  <c r="BZ25" i="39"/>
  <c r="AK315" i="39"/>
  <c r="AK325" i="39"/>
  <c r="AK28" i="39"/>
  <c r="AK21" i="39"/>
  <c r="AK70" i="39"/>
  <c r="AK42" i="39"/>
  <c r="AK35" i="39"/>
  <c r="AK34" i="39"/>
  <c r="AK33" i="39"/>
  <c r="AC332" i="39"/>
  <c r="AC291" i="39"/>
  <c r="AC28" i="39"/>
  <c r="AC21" i="39"/>
  <c r="AC123" i="39"/>
  <c r="AC42" i="39"/>
  <c r="AC35" i="39"/>
  <c r="AC34" i="39"/>
  <c r="AC47" i="39"/>
  <c r="Y33" i="39"/>
  <c r="BX25" i="39"/>
  <c r="W32" i="39"/>
  <c r="AJ325" i="39"/>
  <c r="AJ315" i="39"/>
  <c r="AJ70" i="39"/>
  <c r="AJ42" i="39"/>
  <c r="AJ35" i="39"/>
  <c r="AJ33" i="39"/>
  <c r="AJ21" i="39"/>
  <c r="AJ28" i="39"/>
  <c r="AF325" i="39"/>
  <c r="AF291" i="39"/>
  <c r="AF315" i="39"/>
  <c r="AF303" i="39"/>
  <c r="AF309" i="39"/>
  <c r="AF271" i="39"/>
  <c r="AF133" i="39"/>
  <c r="AF123" i="39"/>
  <c r="AF42" i="39"/>
  <c r="AF35" i="39"/>
  <c r="BX14" i="39"/>
  <c r="AF21" i="39"/>
  <c r="AF28" i="39"/>
  <c r="AB291" i="39"/>
  <c r="AB325" i="39"/>
  <c r="AB47" i="39"/>
  <c r="BW14" i="39"/>
  <c r="BW247" i="39" s="1"/>
  <c r="AB123" i="39"/>
  <c r="AB42" i="39"/>
  <c r="AB35" i="39"/>
  <c r="AB28" i="39"/>
  <c r="AB21" i="39"/>
  <c r="X31" i="39"/>
  <c r="T325" i="39"/>
  <c r="T291" i="39"/>
  <c r="T123" i="39"/>
  <c r="T47" i="39"/>
  <c r="T42" i="39"/>
  <c r="T35" i="39"/>
  <c r="T21" i="39"/>
  <c r="T28" i="39"/>
  <c r="BU14" i="39"/>
  <c r="BU303" i="39" s="1"/>
  <c r="L291" i="39"/>
  <c r="L325" i="39"/>
  <c r="L47" i="39"/>
  <c r="BS14" i="39"/>
  <c r="BS309" i="39" s="1"/>
  <c r="L123" i="39"/>
  <c r="L42" i="39"/>
  <c r="L35" i="39"/>
  <c r="X33" i="39"/>
  <c r="BU26" i="39"/>
  <c r="L33" i="39"/>
  <c r="BZ373" i="39"/>
  <c r="W31" i="39"/>
  <c r="AH21" i="39"/>
  <c r="R21" i="39"/>
  <c r="AQ16" i="3"/>
  <c r="BZ16" i="3" s="1"/>
  <c r="BS78" i="3"/>
  <c r="BS116" i="1"/>
  <c r="AQ32" i="3"/>
  <c r="AP36" i="3"/>
  <c r="AE40" i="3"/>
  <c r="BW40" i="3" s="1"/>
  <c r="BE42" i="3"/>
  <c r="AT39" i="3"/>
  <c r="AL44" i="3"/>
  <c r="AM39" i="3"/>
  <c r="E44" i="3"/>
  <c r="F39" i="3"/>
  <c r="BF87" i="3"/>
  <c r="BG15" i="3"/>
  <c r="BG87" i="3" s="1"/>
  <c r="AV76" i="3"/>
  <c r="AV75" i="3" s="1"/>
  <c r="AV79" i="3" s="1"/>
  <c r="BS47" i="3"/>
  <c r="CC137" i="3"/>
  <c r="BW42" i="3"/>
  <c r="AK44" i="3"/>
  <c r="BY39" i="3"/>
  <c r="AC44" i="3"/>
  <c r="AT88" i="3"/>
  <c r="AU30" i="3"/>
  <c r="AT60" i="3"/>
  <c r="AT62" i="3" s="1"/>
  <c r="AT36" i="3"/>
  <c r="Y36" i="3"/>
  <c r="AD18" i="3"/>
  <c r="AE18" i="3" s="1"/>
  <c r="BA87" i="3"/>
  <c r="AK87" i="3"/>
  <c r="BQ78" i="3"/>
  <c r="BQ116" i="1"/>
  <c r="CC42" i="3"/>
  <c r="BS40" i="3"/>
  <c r="AX34" i="3"/>
  <c r="AY34" i="3" s="1"/>
  <c r="BT34" i="3"/>
  <c r="BZ18" i="3"/>
  <c r="BF110" i="3"/>
  <c r="AM86" i="3"/>
  <c r="AM78" i="3"/>
  <c r="AM116" i="1"/>
  <c r="W78" i="3"/>
  <c r="W116" i="1"/>
  <c r="G78" i="3"/>
  <c r="G116" i="1"/>
  <c r="AW44" i="3"/>
  <c r="Q44" i="3"/>
  <c r="R39" i="3"/>
  <c r="BY18" i="3"/>
  <c r="BE142" i="3"/>
  <c r="BF142" i="3" s="1"/>
  <c r="BG142" i="3" s="1"/>
  <c r="CD142" i="3" s="1"/>
  <c r="CB40" i="3"/>
  <c r="CB106" i="1" s="1"/>
  <c r="AH40" i="3"/>
  <c r="AI40" i="3" s="1"/>
  <c r="CA32" i="3"/>
  <c r="CB18" i="3"/>
  <c r="BX16" i="3"/>
  <c r="AT15" i="3"/>
  <c r="AW76" i="3"/>
  <c r="AW75" i="3" s="1"/>
  <c r="AW79" i="3" s="1"/>
  <c r="AO76" i="3"/>
  <c r="AO75" i="3" s="1"/>
  <c r="AO79" i="3" s="1"/>
  <c r="AL36" i="3"/>
  <c r="BQ22" i="3"/>
  <c r="BR15" i="3"/>
  <c r="BS18" i="3"/>
  <c r="BW24" i="3"/>
  <c r="BR23" i="3"/>
  <c r="BV16" i="3"/>
  <c r="BY88" i="3"/>
  <c r="BY60" i="3"/>
  <c r="M44" i="3"/>
  <c r="N39" i="3"/>
  <c r="AO36" i="3"/>
  <c r="AZ76" i="3"/>
  <c r="AZ75" i="3" s="1"/>
  <c r="AR76" i="3"/>
  <c r="AR75" i="3" s="1"/>
  <c r="AR79" i="3" s="1"/>
  <c r="AJ76" i="3"/>
  <c r="AJ75" i="3" s="1"/>
  <c r="AJ79" i="3" s="1"/>
  <c r="BZ32" i="3"/>
  <c r="CB32" i="3"/>
  <c r="AH32" i="3"/>
  <c r="AI32" i="3" s="1"/>
  <c r="AY86" i="3"/>
  <c r="AY78" i="3"/>
  <c r="AY116" i="1"/>
  <c r="AI86" i="3"/>
  <c r="AI78" i="3"/>
  <c r="AI116" i="1"/>
  <c r="Y44" i="3"/>
  <c r="Z39" i="3"/>
  <c r="W60" i="3"/>
  <c r="W36" i="3"/>
  <c r="G60" i="3"/>
  <c r="G62" i="3" s="1"/>
  <c r="G36" i="3"/>
  <c r="AX76" i="3"/>
  <c r="AX75" i="3" s="1"/>
  <c r="AP76" i="3"/>
  <c r="AP75" i="3" s="1"/>
  <c r="AP79" i="3" s="1"/>
  <c r="AH76" i="3"/>
  <c r="AH75" i="3" s="1"/>
  <c r="AH79" i="3" s="1"/>
  <c r="BE46" i="3"/>
  <c r="BF46" i="3" s="1"/>
  <c r="BG46" i="3" s="1"/>
  <c r="BH46" i="3" s="1"/>
  <c r="BX18" i="3"/>
  <c r="AP15" i="3"/>
  <c r="BY32" i="3"/>
  <c r="BU22" i="3"/>
  <c r="BR60" i="3"/>
  <c r="BR36" i="3"/>
  <c r="BV26" i="3"/>
  <c r="BV34" i="3"/>
  <c r="BZ88" i="3"/>
  <c r="BZ60" i="3"/>
  <c r="CA26" i="3"/>
  <c r="BS24" i="3"/>
  <c r="BV18" i="3"/>
  <c r="BR16" i="3"/>
  <c r="BY22" i="3"/>
  <c r="AX16" i="3"/>
  <c r="AY16" i="3" s="1"/>
  <c r="BU60" i="3"/>
  <c r="BU36" i="3"/>
  <c r="AD44" i="3"/>
  <c r="AE39" i="3"/>
  <c r="BW39" i="3" s="1"/>
  <c r="U44" i="3"/>
  <c r="V39" i="3"/>
  <c r="N60" i="3"/>
  <c r="N62" i="3" s="1"/>
  <c r="O30" i="3"/>
  <c r="N36" i="3"/>
  <c r="BY86" i="3"/>
  <c r="BY78" i="3"/>
  <c r="BY116" i="1"/>
  <c r="BX34" i="3"/>
  <c r="R60" i="3"/>
  <c r="R62" i="3" s="1"/>
  <c r="S30" i="3"/>
  <c r="R36" i="3"/>
  <c r="AU86" i="3"/>
  <c r="AU78" i="3"/>
  <c r="AU116" i="1"/>
  <c r="AE78" i="3"/>
  <c r="AE116" i="1"/>
  <c r="O78" i="3"/>
  <c r="O116" i="1"/>
  <c r="AP44" i="3"/>
  <c r="AQ39" i="3"/>
  <c r="AQ44" i="3" s="1"/>
  <c r="AH44" i="3"/>
  <c r="AI39" i="3"/>
  <c r="AI44" i="3" s="1"/>
  <c r="I44" i="3"/>
  <c r="J39" i="3"/>
  <c r="CA13" i="3"/>
  <c r="AL87" i="3"/>
  <c r="AM15" i="3"/>
  <c r="BY15" i="3" s="1"/>
  <c r="BY87" i="3" s="1"/>
  <c r="AS76" i="3"/>
  <c r="AS75" i="3" s="1"/>
  <c r="AS79" i="3" s="1"/>
  <c r="CB21" i="3"/>
  <c r="CB25" i="3"/>
  <c r="BQ26" i="3"/>
  <c r="BZ23" i="3"/>
  <c r="BW20" i="3"/>
  <c r="BR18" i="3"/>
  <c r="BX21" i="3"/>
  <c r="BV14" i="3"/>
  <c r="BV46" i="3"/>
  <c r="AD60" i="3"/>
  <c r="AD62" i="3" s="1"/>
  <c r="AE30" i="3"/>
  <c r="BW30" i="3" s="1"/>
  <c r="AD36" i="3"/>
  <c r="AO87" i="3"/>
  <c r="BU78" i="3"/>
  <c r="BU116" i="1"/>
  <c r="AN76" i="3"/>
  <c r="AN75" i="3" s="1"/>
  <c r="AN79" i="3" s="1"/>
  <c r="AF76" i="3"/>
  <c r="AF75" i="3" s="1"/>
  <c r="AF79" i="3" s="1"/>
  <c r="AX88" i="3"/>
  <c r="AY30" i="3"/>
  <c r="CB30" i="3" s="1"/>
  <c r="AX60" i="3"/>
  <c r="AX62" i="3" s="1"/>
  <c r="AH60" i="3"/>
  <c r="AH62" i="3" s="1"/>
  <c r="AH88" i="3"/>
  <c r="AI30" i="3"/>
  <c r="AH36" i="3"/>
  <c r="BX13" i="3"/>
  <c r="AQ78" i="3"/>
  <c r="BU41" i="3"/>
  <c r="AX44" i="3"/>
  <c r="AY39" i="3"/>
  <c r="AM88" i="3"/>
  <c r="AM60" i="3"/>
  <c r="AM62" i="3" s="1"/>
  <c r="AM36" i="3"/>
  <c r="Q36" i="3"/>
  <c r="BY16" i="3"/>
  <c r="BW13" i="3"/>
  <c r="AT76" i="3"/>
  <c r="AT75" i="3" s="1"/>
  <c r="AT79" i="3" s="1"/>
  <c r="AL76" i="3"/>
  <c r="AL75" i="3" s="1"/>
  <c r="AL79" i="3" s="1"/>
  <c r="BZ40" i="3"/>
  <c r="BW32" i="3"/>
  <c r="Z60" i="3"/>
  <c r="Z62" i="3" s="1"/>
  <c r="AA30" i="3"/>
  <c r="BV30" i="3" s="1"/>
  <c r="Z36" i="3"/>
  <c r="AX15" i="3"/>
  <c r="AH15" i="3"/>
  <c r="BA76" i="3"/>
  <c r="BA75" i="3" s="1"/>
  <c r="BE75" i="3" s="1"/>
  <c r="AK76" i="3"/>
  <c r="AK75" i="3" s="1"/>
  <c r="AK79" i="3" s="1"/>
  <c r="BX25" i="3"/>
  <c r="BZ14" i="3"/>
  <c r="K60" i="3"/>
  <c r="K62" i="3" s="1"/>
  <c r="K36" i="3"/>
  <c r="BT25" i="3"/>
  <c r="BS16" i="3"/>
  <c r="BQ15" i="3"/>
  <c r="AQ88" i="3"/>
  <c r="CA24" i="3"/>
  <c r="BV23" i="3"/>
  <c r="BS20" i="3"/>
  <c r="BT21" i="3"/>
  <c r="BV15" i="3"/>
  <c r="CA92" i="2"/>
  <c r="CA26" i="2"/>
  <c r="CA65" i="3" s="1"/>
  <c r="BD85" i="2"/>
  <c r="BE20" i="2"/>
  <c r="BX92" i="2"/>
  <c r="BX26" i="2"/>
  <c r="BX68" i="2"/>
  <c r="BX71" i="2" s="1"/>
  <c r="L92" i="2"/>
  <c r="L26" i="2"/>
  <c r="BZ92" i="2"/>
  <c r="BZ26" i="2"/>
  <c r="BY92" i="2"/>
  <c r="BY26" i="2"/>
  <c r="BY65" i="3" s="1"/>
  <c r="BE62" i="2"/>
  <c r="BF58" i="2"/>
  <c r="BW68" i="2"/>
  <c r="BW71" i="2" s="1"/>
  <c r="CB68" i="2"/>
  <c r="CB71" i="2" s="1"/>
  <c r="BV92" i="2"/>
  <c r="BV26" i="2"/>
  <c r="I92" i="2"/>
  <c r="I26" i="2"/>
  <c r="BR92" i="2"/>
  <c r="BR26" i="2"/>
  <c r="CB92" i="2"/>
  <c r="CB26" i="2"/>
  <c r="BT92" i="2"/>
  <c r="BT26" i="2"/>
  <c r="CA68" i="2"/>
  <c r="CA71" i="2" s="1"/>
  <c r="BS68" i="2"/>
  <c r="BS71" i="2" s="1"/>
  <c r="AU92" i="2"/>
  <c r="AU26" i="2"/>
  <c r="H92" i="2"/>
  <c r="H26" i="2"/>
  <c r="BC84" i="2"/>
  <c r="CC12" i="2"/>
  <c r="BE16" i="2"/>
  <c r="BX90" i="1"/>
  <c r="BW90" i="1"/>
  <c r="BV90" i="1"/>
  <c r="BU90" i="1"/>
  <c r="BT90" i="1"/>
  <c r="BS90" i="1"/>
  <c r="BR90" i="1"/>
  <c r="BQ90" i="1"/>
  <c r="CB89" i="1"/>
  <c r="CA89" i="1"/>
  <c r="BZ89" i="1"/>
  <c r="BY89" i="1"/>
  <c r="BX89" i="1"/>
  <c r="BW89" i="1"/>
  <c r="BV89" i="1"/>
  <c r="BU89" i="1"/>
  <c r="BT89" i="1"/>
  <c r="BS89" i="1"/>
  <c r="BR89" i="1"/>
  <c r="BQ89" i="1"/>
  <c r="BZ85" i="1"/>
  <c r="BY85" i="1"/>
  <c r="BX85" i="1"/>
  <c r="BW85" i="1"/>
  <c r="BV85" i="1"/>
  <c r="BU85" i="1"/>
  <c r="BT85" i="1"/>
  <c r="BR85" i="1"/>
  <c r="BQ85" i="1"/>
  <c r="O85" i="1"/>
  <c r="N85" i="1"/>
  <c r="M85" i="1"/>
  <c r="BS85" i="1" s="1"/>
  <c r="Z76" i="1"/>
  <c r="Y76" i="1"/>
  <c r="X76" i="1"/>
  <c r="V76" i="1"/>
  <c r="U76" i="1"/>
  <c r="T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BV74" i="1"/>
  <c r="BU74" i="1"/>
  <c r="BT74" i="1"/>
  <c r="BS74" i="1"/>
  <c r="BR74" i="1"/>
  <c r="BQ74" i="1"/>
  <c r="AM74" i="1"/>
  <c r="AM76" i="1" s="1"/>
  <c r="AI74" i="1"/>
  <c r="AI76" i="1" s="1"/>
  <c r="CB71" i="1"/>
  <c r="CA71" i="1"/>
  <c r="BZ71" i="1"/>
  <c r="BY71" i="1"/>
  <c r="BX71" i="1"/>
  <c r="BW71" i="1"/>
  <c r="BS71" i="1"/>
  <c r="BR71" i="1"/>
  <c r="BQ71" i="1"/>
  <c r="AH71" i="1"/>
  <c r="AA71" i="1"/>
  <c r="W71" i="1"/>
  <c r="BU71" i="1" s="1"/>
  <c r="S71" i="1"/>
  <c r="BT71" i="1" s="1"/>
  <c r="BZ61" i="1"/>
  <c r="BY61" i="1"/>
  <c r="BX61" i="1"/>
  <c r="BW61" i="1"/>
  <c r="BV61" i="1"/>
  <c r="BU61" i="1"/>
  <c r="BT61" i="1"/>
  <c r="BS61" i="1"/>
  <c r="BR61" i="1"/>
  <c r="BQ61" i="1"/>
  <c r="CB60" i="1"/>
  <c r="CA60" i="1"/>
  <c r="BZ60" i="1"/>
  <c r="BY60" i="1"/>
  <c r="BX60" i="1"/>
  <c r="BW60" i="1"/>
  <c r="BS60" i="1"/>
  <c r="BR60" i="1"/>
  <c r="BQ60" i="1"/>
  <c r="AA60" i="1"/>
  <c r="BV60" i="1" s="1"/>
  <c r="W60" i="1"/>
  <c r="BU60" i="1" s="1"/>
  <c r="S60" i="1"/>
  <c r="BT60" i="1" s="1"/>
  <c r="CB59" i="1"/>
  <c r="CA59" i="1"/>
  <c r="BZ59" i="1"/>
  <c r="BZ58" i="1" s="1"/>
  <c r="BZ63" i="1" s="1"/>
  <c r="BZ90" i="3" s="1"/>
  <c r="BY59" i="1"/>
  <c r="BY58" i="1" s="1"/>
  <c r="BY63" i="1" s="1"/>
  <c r="BY90" i="3" s="1"/>
  <c r="BX59" i="1"/>
  <c r="BX58" i="1" s="1"/>
  <c r="BX63" i="1" s="1"/>
  <c r="BX90" i="3" s="1"/>
  <c r="BW59" i="1"/>
  <c r="BV59" i="1"/>
  <c r="BU59" i="1"/>
  <c r="BT59" i="1"/>
  <c r="BS59" i="1"/>
  <c r="BR59" i="1"/>
  <c r="BQ59" i="1"/>
  <c r="CB58" i="1"/>
  <c r="CB63" i="1" s="1"/>
  <c r="BA58" i="1"/>
  <c r="BA63" i="1" s="1"/>
  <c r="BA90" i="3" s="1"/>
  <c r="AZ58" i="1"/>
  <c r="AZ63" i="1" s="1"/>
  <c r="AZ90" i="3" s="1"/>
  <c r="AY58" i="1"/>
  <c r="AY63" i="1" s="1"/>
  <c r="AY90" i="3" s="1"/>
  <c r="AX58" i="1"/>
  <c r="AX63" i="1" s="1"/>
  <c r="AX90" i="3" s="1"/>
  <c r="AW58" i="1"/>
  <c r="AW63" i="1" s="1"/>
  <c r="AW90" i="3" s="1"/>
  <c r="AV58" i="1"/>
  <c r="AV63" i="1" s="1"/>
  <c r="AV90" i="3" s="1"/>
  <c r="AU58" i="1"/>
  <c r="AU63" i="1" s="1"/>
  <c r="AU90" i="3" s="1"/>
  <c r="AT58" i="1"/>
  <c r="AT63" i="1" s="1"/>
  <c r="AT90" i="3" s="1"/>
  <c r="AS58" i="1"/>
  <c r="AS63" i="1" s="1"/>
  <c r="AS90" i="3" s="1"/>
  <c r="AR58" i="1"/>
  <c r="AR63" i="1" s="1"/>
  <c r="AR90" i="3" s="1"/>
  <c r="AQ58" i="1"/>
  <c r="AQ63" i="1" s="1"/>
  <c r="AQ90" i="3" s="1"/>
  <c r="AP58" i="1"/>
  <c r="AP63" i="1" s="1"/>
  <c r="AP90" i="3" s="1"/>
  <c r="AO58" i="1"/>
  <c r="AO63" i="1" s="1"/>
  <c r="AO90" i="3" s="1"/>
  <c r="AN58" i="1"/>
  <c r="AN63" i="1" s="1"/>
  <c r="AN90" i="3" s="1"/>
  <c r="AM58" i="1"/>
  <c r="AM63" i="1" s="1"/>
  <c r="AM90" i="3" s="1"/>
  <c r="AL58" i="1"/>
  <c r="AL63" i="1" s="1"/>
  <c r="AL90" i="3" s="1"/>
  <c r="AK58" i="1"/>
  <c r="AK63" i="1" s="1"/>
  <c r="AK90" i="3" s="1"/>
  <c r="AJ58" i="1"/>
  <c r="AJ63" i="1" s="1"/>
  <c r="AJ90" i="3" s="1"/>
  <c r="AI58" i="1"/>
  <c r="AI63" i="1" s="1"/>
  <c r="AI90" i="3" s="1"/>
  <c r="AH58" i="1"/>
  <c r="AH63" i="1" s="1"/>
  <c r="AH90" i="3" s="1"/>
  <c r="AG58" i="1"/>
  <c r="AG63" i="1" s="1"/>
  <c r="AG90" i="3" s="1"/>
  <c r="AF58" i="1"/>
  <c r="AF63" i="1" s="1"/>
  <c r="AF90" i="3" s="1"/>
  <c r="AE58" i="1"/>
  <c r="AE63" i="1" s="1"/>
  <c r="AD58" i="1"/>
  <c r="AD63" i="1" s="1"/>
  <c r="AC58" i="1"/>
  <c r="AC63" i="1" s="1"/>
  <c r="AB58" i="1"/>
  <c r="AB63" i="1" s="1"/>
  <c r="Z58" i="1"/>
  <c r="Z63" i="1" s="1"/>
  <c r="Y58" i="1"/>
  <c r="Y63" i="1" s="1"/>
  <c r="X58" i="1"/>
  <c r="X63" i="1" s="1"/>
  <c r="V58" i="1"/>
  <c r="V63" i="1" s="1"/>
  <c r="U58" i="1"/>
  <c r="U63" i="1" s="1"/>
  <c r="T58" i="1"/>
  <c r="T63" i="1" s="1"/>
  <c r="R58" i="1"/>
  <c r="R63" i="1" s="1"/>
  <c r="Q58" i="1"/>
  <c r="Q63" i="1" s="1"/>
  <c r="P58" i="1"/>
  <c r="P63" i="1" s="1"/>
  <c r="O58" i="1"/>
  <c r="O63" i="1" s="1"/>
  <c r="N58" i="1"/>
  <c r="N63" i="1" s="1"/>
  <c r="M58" i="1"/>
  <c r="M63" i="1" s="1"/>
  <c r="L58" i="1"/>
  <c r="L63" i="1" s="1"/>
  <c r="K58" i="1"/>
  <c r="K63" i="1" s="1"/>
  <c r="J58" i="1"/>
  <c r="J63" i="1" s="1"/>
  <c r="I58" i="1"/>
  <c r="I63" i="1" s="1"/>
  <c r="H58" i="1"/>
  <c r="H63" i="1" s="1"/>
  <c r="G58" i="1"/>
  <c r="G63" i="1" s="1"/>
  <c r="F58" i="1"/>
  <c r="F63" i="1" s="1"/>
  <c r="E58" i="1"/>
  <c r="E63" i="1" s="1"/>
  <c r="D58" i="1"/>
  <c r="D63" i="1" s="1"/>
  <c r="AA41" i="1"/>
  <c r="AA614" i="39" s="1"/>
  <c r="W41" i="1"/>
  <c r="W614" i="39" s="1"/>
  <c r="BZ44" i="1"/>
  <c r="CA44" i="1" s="1"/>
  <c r="CB44" i="1" s="1"/>
  <c r="CC44" i="1" s="1"/>
  <c r="CD44" i="1" s="1"/>
  <c r="CE44" i="1" s="1"/>
  <c r="CF44" i="1" s="1"/>
  <c r="BY44" i="1"/>
  <c r="BX44" i="1"/>
  <c r="BW44" i="1"/>
  <c r="BV44" i="1"/>
  <c r="BU44" i="1"/>
  <c r="BT44" i="1"/>
  <c r="BS44" i="1"/>
  <c r="BR44" i="1"/>
  <c r="BQ44" i="1"/>
  <c r="BZ43" i="1"/>
  <c r="CA43" i="1" s="1"/>
  <c r="CB43" i="1" s="1"/>
  <c r="CC43" i="1" s="1"/>
  <c r="CD43" i="1" s="1"/>
  <c r="CE43" i="1" s="1"/>
  <c r="BY43" i="1"/>
  <c r="BX43" i="1"/>
  <c r="BW43" i="1"/>
  <c r="BV43" i="1"/>
  <c r="BU43" i="1"/>
  <c r="BT43" i="1"/>
  <c r="BS43" i="1"/>
  <c r="BR43" i="1"/>
  <c r="BQ43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CD41" i="1"/>
  <c r="CC41" i="1"/>
  <c r="CB41" i="1"/>
  <c r="CA41" i="1"/>
  <c r="BZ41" i="1"/>
  <c r="BY41" i="1"/>
  <c r="BX41" i="1"/>
  <c r="BW41" i="1"/>
  <c r="BT41" i="1"/>
  <c r="BS41" i="1"/>
  <c r="BR41" i="1"/>
  <c r="BQ41" i="1"/>
  <c r="BG40" i="1"/>
  <c r="BG45" i="1" s="1"/>
  <c r="BF40" i="1"/>
  <c r="BF47" i="1" s="1"/>
  <c r="BE40" i="1"/>
  <c r="BE47" i="1" s="1"/>
  <c r="BA40" i="1"/>
  <c r="BA47" i="1" s="1"/>
  <c r="AZ40" i="1"/>
  <c r="AZ47" i="1" s="1"/>
  <c r="AZ48" i="1" s="1"/>
  <c r="AY40" i="1"/>
  <c r="AY47" i="1" s="1"/>
  <c r="AY48" i="1" s="1"/>
  <c r="AX40" i="1"/>
  <c r="AX47" i="1" s="1"/>
  <c r="AX48" i="1" s="1"/>
  <c r="AW40" i="1"/>
  <c r="AW47" i="1" s="1"/>
  <c r="AV40" i="1"/>
  <c r="AV47" i="1" s="1"/>
  <c r="AV48" i="1" s="1"/>
  <c r="AU40" i="1"/>
  <c r="AU47" i="1" s="1"/>
  <c r="AU48" i="1" s="1"/>
  <c r="AT40" i="1"/>
  <c r="AT47" i="1" s="1"/>
  <c r="AT48" i="1" s="1"/>
  <c r="AS40" i="1"/>
  <c r="AS47" i="1" s="1"/>
  <c r="AS48" i="1" s="1"/>
  <c r="AR40" i="1"/>
  <c r="AR47" i="1" s="1"/>
  <c r="AR48" i="1" s="1"/>
  <c r="AQ40" i="1"/>
  <c r="AQ47" i="1" s="1"/>
  <c r="AQ48" i="1" s="1"/>
  <c r="AP40" i="1"/>
  <c r="AP47" i="1" s="1"/>
  <c r="AP48" i="1" s="1"/>
  <c r="AO40" i="1"/>
  <c r="AO47" i="1" s="1"/>
  <c r="AO48" i="1" s="1"/>
  <c r="AN40" i="1"/>
  <c r="AN47" i="1" s="1"/>
  <c r="AN48" i="1" s="1"/>
  <c r="AM40" i="1"/>
  <c r="AM47" i="1" s="1"/>
  <c r="AM48" i="1" s="1"/>
  <c r="AL40" i="1"/>
  <c r="AL45" i="1" s="1"/>
  <c r="AK40" i="1"/>
  <c r="AK45" i="1" s="1"/>
  <c r="AJ40" i="1"/>
  <c r="AJ47" i="1" s="1"/>
  <c r="AJ48" i="1" s="1"/>
  <c r="AI40" i="1"/>
  <c r="AI47" i="1" s="1"/>
  <c r="AI48" i="1" s="1"/>
  <c r="AH40" i="1"/>
  <c r="AH47" i="1" s="1"/>
  <c r="AH48" i="1" s="1"/>
  <c r="AG40" i="1"/>
  <c r="AG45" i="1" s="1"/>
  <c r="AF40" i="1"/>
  <c r="AF45" i="1" s="1"/>
  <c r="AE40" i="1"/>
  <c r="AE45" i="1" s="1"/>
  <c r="AD40" i="1"/>
  <c r="AD47" i="1" s="1"/>
  <c r="AD48" i="1" s="1"/>
  <c r="AC40" i="1"/>
  <c r="AC47" i="1" s="1"/>
  <c r="AC48" i="1" s="1"/>
  <c r="AB40" i="1"/>
  <c r="AB45" i="1" s="1"/>
  <c r="Z40" i="1"/>
  <c r="Z81" i="1" s="1"/>
  <c r="Y40" i="1"/>
  <c r="Y81" i="1" s="1"/>
  <c r="X40" i="1"/>
  <c r="V40" i="1"/>
  <c r="V81" i="1" s="1"/>
  <c r="U40" i="1"/>
  <c r="U81" i="1" s="1"/>
  <c r="T40" i="1"/>
  <c r="T81" i="1" s="1"/>
  <c r="S40" i="1"/>
  <c r="S81" i="1" s="1"/>
  <c r="R40" i="1"/>
  <c r="R81" i="1" s="1"/>
  <c r="Q40" i="1"/>
  <c r="Q81" i="1" s="1"/>
  <c r="P40" i="1"/>
  <c r="P81" i="1" s="1"/>
  <c r="O40" i="1"/>
  <c r="O45" i="1" s="1"/>
  <c r="N40" i="1"/>
  <c r="N81" i="1" s="1"/>
  <c r="M40" i="1"/>
  <c r="M81" i="1" s="1"/>
  <c r="L40" i="1"/>
  <c r="L81" i="1" s="1"/>
  <c r="K40" i="1"/>
  <c r="J40" i="1"/>
  <c r="J81" i="1" s="1"/>
  <c r="I40" i="1"/>
  <c r="I81" i="1" s="1"/>
  <c r="H40" i="1"/>
  <c r="H45" i="1" s="1"/>
  <c r="G40" i="1"/>
  <c r="F40" i="1"/>
  <c r="F81" i="1" s="1"/>
  <c r="E40" i="1"/>
  <c r="E81" i="1" s="1"/>
  <c r="D40" i="1"/>
  <c r="D81" i="1" s="1"/>
  <c r="BA37" i="1"/>
  <c r="AZ37" i="1"/>
  <c r="AY37" i="1"/>
  <c r="AX37" i="1"/>
  <c r="AW37" i="1"/>
  <c r="AV37" i="1"/>
  <c r="AU37" i="1"/>
  <c r="AT37" i="1"/>
  <c r="AS37" i="1"/>
  <c r="AR37" i="1"/>
  <c r="AQ37" i="1"/>
  <c r="AM37" i="1"/>
  <c r="AI37" i="1"/>
  <c r="AF37" i="1"/>
  <c r="AE37" i="1"/>
  <c r="AD37" i="1"/>
  <c r="AC37" i="1"/>
  <c r="AB37" i="1"/>
  <c r="Z37" i="1"/>
  <c r="Y37" i="1"/>
  <c r="X37" i="1"/>
  <c r="V37" i="1"/>
  <c r="U37" i="1"/>
  <c r="T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BW36" i="1"/>
  <c r="BV36" i="1"/>
  <c r="BU36" i="1"/>
  <c r="BT36" i="1"/>
  <c r="BS36" i="1"/>
  <c r="BR36" i="1"/>
  <c r="BQ36" i="1"/>
  <c r="BE36" i="1"/>
  <c r="AN36" i="1"/>
  <c r="AO36" i="1" s="1"/>
  <c r="AJ36" i="1"/>
  <c r="AK36" i="1" s="1"/>
  <c r="AK37" i="1" s="1"/>
  <c r="AG36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Z34" i="1"/>
  <c r="Y34" i="1"/>
  <c r="X34" i="1"/>
  <c r="V34" i="1"/>
  <c r="U34" i="1"/>
  <c r="T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B33" i="1"/>
  <c r="CA33" i="1"/>
  <c r="BZ33" i="1"/>
  <c r="BY33" i="1"/>
  <c r="BX33" i="1"/>
  <c r="BW33" i="1"/>
  <c r="BS33" i="1"/>
  <c r="BR33" i="1"/>
  <c r="BQ33" i="1"/>
  <c r="AA33" i="1"/>
  <c r="AA37" i="1" s="1"/>
  <c r="W33" i="1"/>
  <c r="BU33" i="1" s="1"/>
  <c r="S33" i="1"/>
  <c r="BA30" i="1"/>
  <c r="AZ30" i="1"/>
  <c r="AY30" i="1"/>
  <c r="AX30" i="1"/>
  <c r="AW30" i="1"/>
  <c r="AV30" i="1"/>
  <c r="AU30" i="1"/>
  <c r="AT30" i="1"/>
  <c r="AS30" i="1"/>
  <c r="AR30" i="1"/>
  <c r="AM30" i="1"/>
  <c r="AI30" i="1"/>
  <c r="AF30" i="1"/>
  <c r="AE30" i="1"/>
  <c r="AD30" i="1"/>
  <c r="AC30" i="1"/>
  <c r="AB30" i="1"/>
  <c r="Z30" i="1"/>
  <c r="Y30" i="1"/>
  <c r="X30" i="1"/>
  <c r="V30" i="1"/>
  <c r="U30" i="1"/>
  <c r="T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BW29" i="1"/>
  <c r="BV29" i="1"/>
  <c r="BU29" i="1"/>
  <c r="BT29" i="1"/>
  <c r="BS29" i="1"/>
  <c r="BR29" i="1"/>
  <c r="BQ29" i="1"/>
  <c r="BE29" i="1"/>
  <c r="AN29" i="1"/>
  <c r="AO29" i="1" s="1"/>
  <c r="AJ29" i="1"/>
  <c r="AK29" i="1" s="1"/>
  <c r="AG29" i="1"/>
  <c r="AG30" i="1" s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Z27" i="1"/>
  <c r="Y27" i="1"/>
  <c r="X27" i="1"/>
  <c r="V27" i="1"/>
  <c r="U27" i="1"/>
  <c r="T27" i="1"/>
  <c r="R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D26" i="1"/>
  <c r="CC26" i="1"/>
  <c r="CB26" i="1"/>
  <c r="CA26" i="1"/>
  <c r="BZ26" i="1"/>
  <c r="BY26" i="1"/>
  <c r="BX26" i="1"/>
  <c r="BW26" i="1"/>
  <c r="BW30" i="1" s="1"/>
  <c r="BS26" i="1"/>
  <c r="BR26" i="1"/>
  <c r="BQ26" i="1"/>
  <c r="AA26" i="1"/>
  <c r="AA30" i="1" s="1"/>
  <c r="W26" i="1"/>
  <c r="W30" i="1" s="1"/>
  <c r="S26" i="1"/>
  <c r="AM19" i="1"/>
  <c r="AI19" i="1"/>
  <c r="AF19" i="1"/>
  <c r="AF353" i="39" s="1"/>
  <c r="AE19" i="1"/>
  <c r="AD19" i="1"/>
  <c r="AC19" i="1"/>
  <c r="AC353" i="39" s="1"/>
  <c r="AB19" i="1"/>
  <c r="AB353" i="39" s="1"/>
  <c r="Z19" i="1"/>
  <c r="Y19" i="1"/>
  <c r="X19" i="1"/>
  <c r="X353" i="39" s="1"/>
  <c r="V19" i="1"/>
  <c r="U19" i="1"/>
  <c r="T19" i="1"/>
  <c r="T353" i="39" s="1"/>
  <c r="R19" i="1"/>
  <c r="R353" i="39" s="1"/>
  <c r="Q19" i="1"/>
  <c r="P19" i="1"/>
  <c r="P353" i="39" s="1"/>
  <c r="O19" i="1"/>
  <c r="N19" i="1"/>
  <c r="M19" i="1"/>
  <c r="M353" i="39" s="1"/>
  <c r="L19" i="1"/>
  <c r="L353" i="39" s="1"/>
  <c r="K19" i="1"/>
  <c r="J19" i="1"/>
  <c r="I19" i="1"/>
  <c r="H19" i="1"/>
  <c r="H353" i="39" s="1"/>
  <c r="G19" i="1"/>
  <c r="F19" i="1"/>
  <c r="E19" i="1"/>
  <c r="E353" i="39" s="1"/>
  <c r="D19" i="1"/>
  <c r="D353" i="39" s="1"/>
  <c r="BA17" i="1"/>
  <c r="AZ17" i="1"/>
  <c r="AY17" i="1"/>
  <c r="AX17" i="1"/>
  <c r="AX54" i="2" s="1"/>
  <c r="AW17" i="1"/>
  <c r="AW54" i="2" s="1"/>
  <c r="AV17" i="1"/>
  <c r="AU17" i="1"/>
  <c r="AT17" i="1"/>
  <c r="AT54" i="2" s="1"/>
  <c r="AS17" i="1"/>
  <c r="AR17" i="1"/>
  <c r="AQ17" i="1"/>
  <c r="AP17" i="1"/>
  <c r="AP54" i="2" s="1"/>
  <c r="AO17" i="1"/>
  <c r="AO54" i="2" s="1"/>
  <c r="AN17" i="1"/>
  <c r="AM17" i="1"/>
  <c r="AM54" i="2" s="1"/>
  <c r="AL17" i="1"/>
  <c r="AK17" i="1"/>
  <c r="AJ17" i="1"/>
  <c r="AI17" i="1"/>
  <c r="AI54" i="2" s="1"/>
  <c r="AH17" i="1"/>
  <c r="AG17" i="1"/>
  <c r="AF17" i="1"/>
  <c r="AF54" i="2" s="1"/>
  <c r="AE17" i="1"/>
  <c r="AE54" i="2" s="1"/>
  <c r="AD17" i="1"/>
  <c r="AD54" i="2" s="1"/>
  <c r="AC17" i="1"/>
  <c r="AC54" i="2" s="1"/>
  <c r="AB17" i="1"/>
  <c r="AB54" i="2" s="1"/>
  <c r="Z17" i="1"/>
  <c r="Z54" i="2" s="1"/>
  <c r="Y17" i="1"/>
  <c r="Y54" i="2" s="1"/>
  <c r="X17" i="1"/>
  <c r="X54" i="2" s="1"/>
  <c r="V17" i="1"/>
  <c r="V54" i="2" s="1"/>
  <c r="U17" i="1"/>
  <c r="U54" i="2" s="1"/>
  <c r="T17" i="1"/>
  <c r="T54" i="2" s="1"/>
  <c r="R17" i="1"/>
  <c r="R54" i="2" s="1"/>
  <c r="Q17" i="1"/>
  <c r="Q54" i="2" s="1"/>
  <c r="P17" i="1"/>
  <c r="P54" i="2" s="1"/>
  <c r="O17" i="1"/>
  <c r="O54" i="2" s="1"/>
  <c r="N17" i="1"/>
  <c r="N54" i="2" s="1"/>
  <c r="M17" i="1"/>
  <c r="M54" i="2" s="1"/>
  <c r="L17" i="1"/>
  <c r="L54" i="2" s="1"/>
  <c r="K17" i="1"/>
  <c r="K54" i="2" s="1"/>
  <c r="J17" i="1"/>
  <c r="J54" i="2" s="1"/>
  <c r="I17" i="1"/>
  <c r="I54" i="2" s="1"/>
  <c r="H17" i="1"/>
  <c r="H54" i="2" s="1"/>
  <c r="G17" i="1"/>
  <c r="G54" i="2" s="1"/>
  <c r="F17" i="1"/>
  <c r="F54" i="2" s="1"/>
  <c r="E17" i="1"/>
  <c r="E54" i="2" s="1"/>
  <c r="D17" i="1"/>
  <c r="BZ16" i="1"/>
  <c r="BY16" i="1"/>
  <c r="BX16" i="1"/>
  <c r="BW16" i="1"/>
  <c r="BV16" i="1"/>
  <c r="BU16" i="1"/>
  <c r="BT16" i="1"/>
  <c r="BS16" i="1"/>
  <c r="BR16" i="1"/>
  <c r="BQ16" i="1"/>
  <c r="CB14" i="1"/>
  <c r="CB17" i="1" s="1"/>
  <c r="CA14" i="1"/>
  <c r="CA17" i="1" s="1"/>
  <c r="CA54" i="2" s="1"/>
  <c r="BZ14" i="1"/>
  <c r="BZ17" i="1" s="1"/>
  <c r="BZ54" i="2" s="1"/>
  <c r="BY14" i="1"/>
  <c r="BY17" i="1" s="1"/>
  <c r="BY54" i="2" s="1"/>
  <c r="BX14" i="1"/>
  <c r="BW14" i="1"/>
  <c r="BS14" i="1"/>
  <c r="BR14" i="1"/>
  <c r="BQ14" i="1"/>
  <c r="AA14" i="1"/>
  <c r="BV14" i="1" s="1"/>
  <c r="W14" i="1"/>
  <c r="W17" i="1" s="1"/>
  <c r="W54" i="2" s="1"/>
  <c r="S14" i="1"/>
  <c r="BT14" i="1" s="1"/>
  <c r="BA12" i="1"/>
  <c r="AW12" i="1"/>
  <c r="AW117" i="39" s="1"/>
  <c r="AS12" i="1"/>
  <c r="AS117" i="39" s="1"/>
  <c r="AO12" i="1"/>
  <c r="AN12" i="1"/>
  <c r="AM12" i="1"/>
  <c r="AK12" i="1"/>
  <c r="AJ12" i="1"/>
  <c r="AI12" i="1"/>
  <c r="AH12" i="1"/>
  <c r="AG12" i="1"/>
  <c r="AF12" i="1"/>
  <c r="AD12" i="1"/>
  <c r="AC12" i="1"/>
  <c r="AB12" i="1"/>
  <c r="Z12" i="1"/>
  <c r="Y12" i="1"/>
  <c r="X12" i="1"/>
  <c r="V12" i="1"/>
  <c r="U12" i="1"/>
  <c r="T12" i="1"/>
  <c r="R12" i="1"/>
  <c r="Q12" i="1"/>
  <c r="P12" i="1"/>
  <c r="O12" i="1"/>
  <c r="N12" i="1"/>
  <c r="M12" i="1"/>
  <c r="L12" i="1"/>
  <c r="K12" i="1"/>
  <c r="J12" i="1"/>
  <c r="I12" i="1"/>
  <c r="H12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Z11" i="1"/>
  <c r="Y11" i="1"/>
  <c r="V11" i="1"/>
  <c r="U11" i="1"/>
  <c r="R11" i="1"/>
  <c r="Q11" i="1"/>
  <c r="P11" i="1"/>
  <c r="O11" i="1"/>
  <c r="N11" i="1"/>
  <c r="M11" i="1"/>
  <c r="L11" i="1"/>
  <c r="K11" i="1"/>
  <c r="J11" i="1"/>
  <c r="I11" i="1"/>
  <c r="H11" i="1"/>
  <c r="AF10" i="1"/>
  <c r="AE10" i="1"/>
  <c r="AE23" i="1" s="1"/>
  <c r="AC10" i="1"/>
  <c r="AB10" i="1"/>
  <c r="Z10" i="1"/>
  <c r="Y10" i="1"/>
  <c r="X10" i="1"/>
  <c r="V10" i="1"/>
  <c r="U10" i="1"/>
  <c r="T10" i="1"/>
  <c r="R10" i="1"/>
  <c r="Q10" i="1"/>
  <c r="P10" i="1"/>
  <c r="O10" i="1"/>
  <c r="N10" i="1"/>
  <c r="M10" i="1"/>
  <c r="L10" i="1"/>
  <c r="K10" i="1"/>
  <c r="J10" i="1"/>
  <c r="I10" i="1"/>
  <c r="H10" i="1"/>
  <c r="G11" i="1"/>
  <c r="F11" i="1"/>
  <c r="E11" i="1"/>
  <c r="G10" i="1"/>
  <c r="F10" i="1"/>
  <c r="F23" i="1" s="1"/>
  <c r="E10" i="1"/>
  <c r="D10" i="1"/>
  <c r="BV9" i="1"/>
  <c r="BU9" i="1"/>
  <c r="BT9" i="1"/>
  <c r="BS9" i="1"/>
  <c r="BR9" i="1"/>
  <c r="BQ9" i="1"/>
  <c r="AG9" i="1"/>
  <c r="AD9" i="1"/>
  <c r="AD10" i="1" s="1"/>
  <c r="CB7" i="1"/>
  <c r="CA7" i="1"/>
  <c r="BZ7" i="1"/>
  <c r="BZ10" i="1" s="1"/>
  <c r="BY7" i="1"/>
  <c r="BX7" i="1"/>
  <c r="BW7" i="1"/>
  <c r="BW463" i="39" s="1"/>
  <c r="BS7" i="1"/>
  <c r="BS452" i="39" s="1"/>
  <c r="BR7" i="1"/>
  <c r="BQ7" i="1"/>
  <c r="AA7" i="1"/>
  <c r="AB11" i="1" s="1"/>
  <c r="W7" i="1"/>
  <c r="W11" i="1" s="1"/>
  <c r="S7" i="1"/>
  <c r="BV260" i="39" l="1"/>
  <c r="CC34" i="3"/>
  <c r="BB27" i="3"/>
  <c r="BC78" i="3"/>
  <c r="BC76" i="3" s="1"/>
  <c r="BC75" i="3" s="1"/>
  <c r="BC79" i="3" s="1"/>
  <c r="BC405" i="39"/>
  <c r="BC358" i="39" s="1"/>
  <c r="BC27" i="3"/>
  <c r="BB36" i="3"/>
  <c r="CC33" i="3"/>
  <c r="CC17" i="3"/>
  <c r="BB76" i="3"/>
  <c r="BB75" i="3" s="1"/>
  <c r="BB79" i="3" s="1"/>
  <c r="BC60" i="3"/>
  <c r="BC62" i="3" s="1"/>
  <c r="BC36" i="3"/>
  <c r="CE31" i="2"/>
  <c r="BL31" i="2"/>
  <c r="BM31" i="2" s="1"/>
  <c r="BN31" i="2" s="1"/>
  <c r="BO31" i="2" s="1"/>
  <c r="CF31" i="2" s="1"/>
  <c r="CE23" i="2"/>
  <c r="BL23" i="2"/>
  <c r="BM23" i="2" s="1"/>
  <c r="BN23" i="2" s="1"/>
  <c r="BO23" i="2" s="1"/>
  <c r="CF23" i="2" s="1"/>
  <c r="CE36" i="2"/>
  <c r="BL36" i="2"/>
  <c r="BM36" i="2" s="1"/>
  <c r="BN36" i="2" s="1"/>
  <c r="BO36" i="2" s="1"/>
  <c r="CF36" i="2" s="1"/>
  <c r="CE35" i="2"/>
  <c r="BL35" i="2"/>
  <c r="BM35" i="2" s="1"/>
  <c r="BN35" i="2" s="1"/>
  <c r="BO35" i="2" s="1"/>
  <c r="CF35" i="2" s="1"/>
  <c r="CE24" i="2"/>
  <c r="BL24" i="2"/>
  <c r="BM24" i="2" s="1"/>
  <c r="BN24" i="2" s="1"/>
  <c r="BO24" i="2" s="1"/>
  <c r="CF24" i="2" s="1"/>
  <c r="CE40" i="1"/>
  <c r="CF43" i="1"/>
  <c r="CF40" i="1" s="1"/>
  <c r="BO101" i="1"/>
  <c r="BL142" i="3"/>
  <c r="BM47" i="3"/>
  <c r="BN47" i="3" s="1"/>
  <c r="BO47" i="3" s="1"/>
  <c r="AE407" i="39"/>
  <c r="Y183" i="39"/>
  <c r="AZ313" i="39"/>
  <c r="AG47" i="39"/>
  <c r="N161" i="39"/>
  <c r="BX85" i="39"/>
  <c r="BV585" i="39"/>
  <c r="AB161" i="39"/>
  <c r="U205" i="39"/>
  <c r="AR313" i="39"/>
  <c r="AV313" i="39"/>
  <c r="AG46" i="39"/>
  <c r="BX260" i="39"/>
  <c r="AH291" i="39"/>
  <c r="CE61" i="2"/>
  <c r="CF61" i="2"/>
  <c r="BX89" i="2"/>
  <c r="BX90" i="2" s="1"/>
  <c r="V183" i="39"/>
  <c r="M228" i="39"/>
  <c r="M229" i="39" s="1"/>
  <c r="AC205" i="39"/>
  <c r="AJ309" i="39"/>
  <c r="BV85" i="39"/>
  <c r="AD161" i="39"/>
  <c r="AS313" i="39"/>
  <c r="N227" i="39"/>
  <c r="AW313" i="39"/>
  <c r="BU260" i="39"/>
  <c r="Q184" i="39"/>
  <c r="Q185" i="39" s="1"/>
  <c r="BA313" i="39"/>
  <c r="BT260" i="39"/>
  <c r="Q228" i="39"/>
  <c r="Q229" i="39" s="1"/>
  <c r="BX331" i="39"/>
  <c r="BE313" i="39"/>
  <c r="BI142" i="3"/>
  <c r="BJ142" i="3" s="1"/>
  <c r="BK142" i="3" s="1"/>
  <c r="CE142" i="3" s="1"/>
  <c r="BC124" i="1"/>
  <c r="BD124" i="1" s="1"/>
  <c r="BE124" i="1" s="1"/>
  <c r="BF124" i="1" s="1"/>
  <c r="BG124" i="1" s="1"/>
  <c r="BH124" i="1" s="1"/>
  <c r="BI124" i="1" s="1"/>
  <c r="BJ124" i="1" s="1"/>
  <c r="BK124" i="1" s="1"/>
  <c r="BL124" i="1" s="1"/>
  <c r="BM124" i="1" s="1"/>
  <c r="BN124" i="1" s="1"/>
  <c r="BO124" i="1" s="1"/>
  <c r="BQ17" i="1"/>
  <c r="BQ54" i="2" s="1"/>
  <c r="BQ49" i="2" s="1"/>
  <c r="BQ48" i="2" s="1"/>
  <c r="AA58" i="1"/>
  <c r="AA63" i="1" s="1"/>
  <c r="AM49" i="1"/>
  <c r="BZ40" i="1"/>
  <c r="BZ45" i="1" s="1"/>
  <c r="H49" i="1"/>
  <c r="BR58" i="1"/>
  <c r="BR63" i="1" s="1"/>
  <c r="AI49" i="1"/>
  <c r="BX332" i="39"/>
  <c r="BS150" i="39"/>
  <c r="AC407" i="39"/>
  <c r="CC121" i="3"/>
  <c r="BU41" i="1"/>
  <c r="BU614" i="39" s="1"/>
  <c r="S58" i="1"/>
  <c r="S63" i="1" s="1"/>
  <c r="BT58" i="1"/>
  <c r="BT63" i="1" s="1"/>
  <c r="BR76" i="1"/>
  <c r="BX271" i="39"/>
  <c r="BX265" i="39"/>
  <c r="BX247" i="39"/>
  <c r="BX133" i="39"/>
  <c r="BX253" i="39"/>
  <c r="BU133" i="39"/>
  <c r="BS133" i="39"/>
  <c r="BT133" i="39"/>
  <c r="BX241" i="39"/>
  <c r="BV133" i="39"/>
  <c r="BW133" i="39"/>
  <c r="BX235" i="39"/>
  <c r="CD62" i="2"/>
  <c r="BX32" i="3"/>
  <c r="BE13" i="3"/>
  <c r="BE405" i="39" s="1"/>
  <c r="BI75" i="3"/>
  <c r="BH141" i="3"/>
  <c r="BI46" i="3"/>
  <c r="BJ46" i="3" s="1"/>
  <c r="BK46" i="3" s="1"/>
  <c r="BL46" i="3" s="1"/>
  <c r="BH75" i="3"/>
  <c r="BI59" i="2"/>
  <c r="AH407" i="39"/>
  <c r="BR10" i="1"/>
  <c r="K23" i="1"/>
  <c r="K24" i="1" s="1"/>
  <c r="O23" i="1"/>
  <c r="O24" i="1" s="1"/>
  <c r="T23" i="1"/>
  <c r="T24" i="1" s="1"/>
  <c r="V23" i="1"/>
  <c r="S47" i="1"/>
  <c r="CA37" i="1"/>
  <c r="H23" i="1"/>
  <c r="H24" i="1" s="1"/>
  <c r="J23" i="1"/>
  <c r="J24" i="1" s="1"/>
  <c r="L23" i="1"/>
  <c r="N23" i="1"/>
  <c r="N24" i="1" s="1"/>
  <c r="R23" i="1"/>
  <c r="R24" i="1" s="1"/>
  <c r="X23" i="1"/>
  <c r="X24" i="1" s="1"/>
  <c r="Z23" i="1"/>
  <c r="Z24" i="1" s="1"/>
  <c r="AH29" i="1"/>
  <c r="AH30" i="1" s="1"/>
  <c r="AL36" i="1"/>
  <c r="AL37" i="1" s="1"/>
  <c r="AI291" i="39"/>
  <c r="AM178" i="39"/>
  <c r="AL179" i="39"/>
  <c r="BV31" i="39"/>
  <c r="BV32" i="39"/>
  <c r="CC60" i="1"/>
  <c r="AE162" i="39"/>
  <c r="AE163" i="39" s="1"/>
  <c r="BV241" i="39"/>
  <c r="BV34" i="39"/>
  <c r="BX329" i="39"/>
  <c r="BX328" i="39" s="1"/>
  <c r="BX32" i="39"/>
  <c r="BW34" i="39"/>
  <c r="BY194" i="39"/>
  <c r="AG407" i="39"/>
  <c r="BV33" i="39"/>
  <c r="BY192" i="39"/>
  <c r="AZ410" i="39"/>
  <c r="AZ413" i="39" s="1"/>
  <c r="AZ414" i="39" s="1"/>
  <c r="AZ415" i="39" s="1"/>
  <c r="AZ416" i="39" s="1"/>
  <c r="CC10" i="39"/>
  <c r="BA410" i="39"/>
  <c r="BA413" i="39" s="1"/>
  <c r="BA414" i="39" s="1"/>
  <c r="BA415" i="39" s="1"/>
  <c r="BA416" i="39" s="1"/>
  <c r="BC410" i="39"/>
  <c r="BC413" i="39" s="1"/>
  <c r="BC414" i="39" s="1"/>
  <c r="BC415" i="39" s="1"/>
  <c r="BC416" i="39" s="1"/>
  <c r="BB410" i="39"/>
  <c r="BB413" i="39" s="1"/>
  <c r="BB414" i="39" s="1"/>
  <c r="BB415" i="39" s="1"/>
  <c r="BB416" i="39" s="1"/>
  <c r="CC11" i="39"/>
  <c r="CC374" i="39"/>
  <c r="BE66" i="39"/>
  <c r="BX34" i="39"/>
  <c r="AD407" i="39"/>
  <c r="AI407" i="39"/>
  <c r="BY193" i="39"/>
  <c r="BE38" i="39"/>
  <c r="G23" i="1"/>
  <c r="G24" i="1" s="1"/>
  <c r="W10" i="1"/>
  <c r="W23" i="1" s="1"/>
  <c r="W24" i="1" s="1"/>
  <c r="AB23" i="1"/>
  <c r="AB24" i="1" s="1"/>
  <c r="BT17" i="1"/>
  <c r="BT54" i="2" s="1"/>
  <c r="BT49" i="2" s="1"/>
  <c r="BT48" i="2" s="1"/>
  <c r="BV17" i="1"/>
  <c r="BV54" i="2" s="1"/>
  <c r="BV49" i="2" s="1"/>
  <c r="BV48" i="2" s="1"/>
  <c r="BR17" i="1"/>
  <c r="BR54" i="2" s="1"/>
  <c r="BR49" i="2" s="1"/>
  <c r="BR48" i="2" s="1"/>
  <c r="BQ27" i="1"/>
  <c r="BS30" i="1"/>
  <c r="BZ47" i="1"/>
  <c r="BZ48" i="1" s="1"/>
  <c r="H38" i="1"/>
  <c r="P38" i="1"/>
  <c r="X38" i="1"/>
  <c r="BR40" i="1"/>
  <c r="BR45" i="1" s="1"/>
  <c r="BT614" i="39"/>
  <c r="CA40" i="1"/>
  <c r="CA45" i="1" s="1"/>
  <c r="W40" i="1"/>
  <c r="W81" i="1" s="1"/>
  <c r="W58" i="1"/>
  <c r="W63" i="1" s="1"/>
  <c r="BQ58" i="1"/>
  <c r="BQ63" i="1" s="1"/>
  <c r="BS58" i="1"/>
  <c r="BS63" i="1" s="1"/>
  <c r="BU58" i="1"/>
  <c r="BU63" i="1" s="1"/>
  <c r="BS76" i="1"/>
  <c r="BS122" i="1" s="1"/>
  <c r="BY27" i="1"/>
  <c r="AF38" i="1"/>
  <c r="BQ60" i="3"/>
  <c r="BQ62" i="3" s="1"/>
  <c r="BQ36" i="3"/>
  <c r="AD76" i="3"/>
  <c r="AD75" i="3" s="1"/>
  <c r="AD79" i="3" s="1"/>
  <c r="AW358" i="39"/>
  <c r="I76" i="3"/>
  <c r="I75" i="3" s="1"/>
  <c r="I79" i="3" s="1"/>
  <c r="R78" i="3"/>
  <c r="R76" i="3" s="1"/>
  <c r="R75" i="3" s="1"/>
  <c r="R79" i="3" s="1"/>
  <c r="R116" i="1"/>
  <c r="S13" i="3"/>
  <c r="Y76" i="3"/>
  <c r="Y75" i="3" s="1"/>
  <c r="Y79" i="3" s="1"/>
  <c r="BZ13" i="3"/>
  <c r="AQ116" i="1"/>
  <c r="AQ86" i="3"/>
  <c r="AX36" i="3"/>
  <c r="BY36" i="3"/>
  <c r="AX79" i="3"/>
  <c r="BZ39" i="3"/>
  <c r="BZ44" i="3" s="1"/>
  <c r="AM44" i="3"/>
  <c r="AQ36" i="3"/>
  <c r="F76" i="3"/>
  <c r="F75" i="3" s="1"/>
  <c r="F79" i="3" s="1"/>
  <c r="N76" i="3"/>
  <c r="N75" i="3" s="1"/>
  <c r="N79" i="3" s="1"/>
  <c r="V76" i="3"/>
  <c r="V75" i="3" s="1"/>
  <c r="V79" i="3" s="1"/>
  <c r="AY405" i="39"/>
  <c r="AY358" i="39" s="1"/>
  <c r="CB13" i="3"/>
  <c r="BZ34" i="3"/>
  <c r="BZ36" i="3" s="1"/>
  <c r="J78" i="3"/>
  <c r="J76" i="3" s="1"/>
  <c r="J75" i="3" s="1"/>
  <c r="J79" i="3" s="1"/>
  <c r="J116" i="1"/>
  <c r="K13" i="3"/>
  <c r="Q76" i="3"/>
  <c r="Q75" i="3" s="1"/>
  <c r="Q79" i="3" s="1"/>
  <c r="Z78" i="3"/>
  <c r="Z76" i="3" s="1"/>
  <c r="Z75" i="3" s="1"/>
  <c r="Z79" i="3" s="1"/>
  <c r="Z116" i="1"/>
  <c r="AA13" i="3"/>
  <c r="BX405" i="39"/>
  <c r="AT358" i="39"/>
  <c r="CA405" i="39"/>
  <c r="BY40" i="3"/>
  <c r="BY44" i="3" s="1"/>
  <c r="BX43" i="2"/>
  <c r="BX65" i="3"/>
  <c r="CA43" i="2"/>
  <c r="BE130" i="3"/>
  <c r="CC119" i="3"/>
  <c r="CC24" i="3"/>
  <c r="CC84" i="2"/>
  <c r="H43" i="2"/>
  <c r="H65" i="3"/>
  <c r="AU43" i="2"/>
  <c r="AU65" i="3"/>
  <c r="BT43" i="2"/>
  <c r="BT65" i="3"/>
  <c r="CB43" i="2"/>
  <c r="CB65" i="3"/>
  <c r="BR43" i="2"/>
  <c r="BR65" i="3"/>
  <c r="I43" i="2"/>
  <c r="I65" i="3"/>
  <c r="BV43" i="2"/>
  <c r="BV65" i="3"/>
  <c r="BZ43" i="2"/>
  <c r="BZ65" i="3"/>
  <c r="L43" i="2"/>
  <c r="L65" i="3"/>
  <c r="BY43" i="2"/>
  <c r="BE22" i="3"/>
  <c r="BF21" i="2"/>
  <c r="BF35" i="3" s="1"/>
  <c r="BE15" i="2"/>
  <c r="BE25" i="3" s="1"/>
  <c r="BE30" i="2"/>
  <c r="BE37" i="2"/>
  <c r="BY49" i="2"/>
  <c r="BY48" i="2" s="1"/>
  <c r="BY50" i="2"/>
  <c r="CA49" i="2"/>
  <c r="CA48" i="2" s="1"/>
  <c r="CA50" i="2"/>
  <c r="D23" i="1"/>
  <c r="D24" i="1" s="1"/>
  <c r="D54" i="2"/>
  <c r="F50" i="2"/>
  <c r="F49" i="2"/>
  <c r="F48" i="2" s="1"/>
  <c r="H49" i="2"/>
  <c r="H48" i="2" s="1"/>
  <c r="H50" i="2"/>
  <c r="J50" i="2"/>
  <c r="J49" i="2"/>
  <c r="J48" i="2" s="1"/>
  <c r="L49" i="2"/>
  <c r="L48" i="2" s="1"/>
  <c r="L50" i="2"/>
  <c r="N50" i="2"/>
  <c r="N49" i="2"/>
  <c r="N48" i="2" s="1"/>
  <c r="P49" i="2"/>
  <c r="P48" i="2" s="1"/>
  <c r="P50" i="2"/>
  <c r="R50" i="2"/>
  <c r="R49" i="2"/>
  <c r="R48" i="2" s="1"/>
  <c r="U49" i="2"/>
  <c r="U48" i="2" s="1"/>
  <c r="U50" i="2"/>
  <c r="X49" i="2"/>
  <c r="X48" i="2" s="1"/>
  <c r="X50" i="2"/>
  <c r="Z50" i="2"/>
  <c r="Z49" i="2"/>
  <c r="Z48" i="2" s="1"/>
  <c r="AC49" i="2"/>
  <c r="AC48" i="2" s="1"/>
  <c r="AC50" i="2"/>
  <c r="AE49" i="2"/>
  <c r="AE48" i="2" s="1"/>
  <c r="AE50" i="2"/>
  <c r="AG19" i="1"/>
  <c r="AG353" i="39" s="1"/>
  <c r="AG54" i="2"/>
  <c r="AI49" i="2"/>
  <c r="AI48" i="2" s="1"/>
  <c r="AI50" i="2"/>
  <c r="AJ50" i="2" s="1"/>
  <c r="AK19" i="1"/>
  <c r="AK353" i="39" s="1"/>
  <c r="AK54" i="2"/>
  <c r="AM49" i="2"/>
  <c r="AM48" i="2" s="1"/>
  <c r="AM50" i="2"/>
  <c r="AN50" i="2" s="1"/>
  <c r="AO50" i="2"/>
  <c r="AO49" i="2"/>
  <c r="AO48" i="2" s="1"/>
  <c r="AQ19" i="1"/>
  <c r="AQ353" i="39" s="1"/>
  <c r="AQ54" i="2"/>
  <c r="AS19" i="1"/>
  <c r="AS353" i="39" s="1"/>
  <c r="AS54" i="2"/>
  <c r="AU19" i="1"/>
  <c r="AU353" i="39" s="1"/>
  <c r="AU54" i="2"/>
  <c r="AW50" i="2"/>
  <c r="AW49" i="2"/>
  <c r="AW48" i="2" s="1"/>
  <c r="AY19" i="1"/>
  <c r="AY20" i="1" s="1"/>
  <c r="AY54" i="2"/>
  <c r="BA19" i="1"/>
  <c r="BA353" i="39" s="1"/>
  <c r="BA54" i="2"/>
  <c r="G20" i="1"/>
  <c r="G354" i="39" s="1"/>
  <c r="G353" i="39"/>
  <c r="I353" i="39"/>
  <c r="K20" i="1"/>
  <c r="K354" i="39" s="1"/>
  <c r="K353" i="39"/>
  <c r="O20" i="1"/>
  <c r="O354" i="39" s="1"/>
  <c r="O353" i="39"/>
  <c r="Q353" i="39"/>
  <c r="V353" i="39"/>
  <c r="Y353" i="39"/>
  <c r="AD52" i="1"/>
  <c r="AD604" i="39" s="1"/>
  <c r="AD353" i="39"/>
  <c r="AM20" i="1"/>
  <c r="AM354" i="39" s="1"/>
  <c r="AM353" i="39"/>
  <c r="AP19" i="1"/>
  <c r="AP20" i="1" s="1"/>
  <c r="AP354" i="39" s="1"/>
  <c r="AW19" i="1"/>
  <c r="AW353" i="39" s="1"/>
  <c r="I20" i="1"/>
  <c r="I354" i="39" s="1"/>
  <c r="Q20" i="1"/>
  <c r="Q354" i="39" s="1"/>
  <c r="Y20" i="1"/>
  <c r="Y354" i="39" s="1"/>
  <c r="BR30" i="1"/>
  <c r="BR31" i="1" s="1"/>
  <c r="K31" i="1"/>
  <c r="S30" i="1"/>
  <c r="AE49" i="1"/>
  <c r="AE55" i="1" s="1"/>
  <c r="AN30" i="1"/>
  <c r="BS34" i="1"/>
  <c r="BZ34" i="1"/>
  <c r="CB34" i="1"/>
  <c r="BR37" i="1"/>
  <c r="G38" i="1"/>
  <c r="K38" i="1"/>
  <c r="O38" i="1"/>
  <c r="T38" i="1"/>
  <c r="V38" i="1"/>
  <c r="Z38" i="1"/>
  <c r="AB38" i="1"/>
  <c r="AJ37" i="1"/>
  <c r="BW40" i="1"/>
  <c r="BW45" i="1" s="1"/>
  <c r="BW614" i="39"/>
  <c r="S45" i="1"/>
  <c r="AS45" i="1"/>
  <c r="AS49" i="1" s="1"/>
  <c r="AS50" i="1" s="1"/>
  <c r="F47" i="1"/>
  <c r="F48" i="1" s="1"/>
  <c r="J47" i="1"/>
  <c r="J48" i="1" s="1"/>
  <c r="N47" i="1"/>
  <c r="N48" i="1" s="1"/>
  <c r="R47" i="1"/>
  <c r="R48" i="1" s="1"/>
  <c r="V47" i="1"/>
  <c r="V48" i="1" s="1"/>
  <c r="Z47" i="1"/>
  <c r="Z48" i="1" s="1"/>
  <c r="CB90" i="3"/>
  <c r="H81" i="1"/>
  <c r="BD75" i="2"/>
  <c r="BR62" i="3"/>
  <c r="W62" i="3"/>
  <c r="BW446" i="39"/>
  <c r="CC104" i="1"/>
  <c r="CC75" i="2"/>
  <c r="BW468" i="39"/>
  <c r="S19" i="1"/>
  <c r="S353" i="39" s="1"/>
  <c r="S546" i="39"/>
  <c r="S545" i="39"/>
  <c r="S544" i="39"/>
  <c r="S543" i="39"/>
  <c r="S542" i="39"/>
  <c r="S522" i="39"/>
  <c r="S467" i="39"/>
  <c r="S465" i="39"/>
  <c r="S462" i="39"/>
  <c r="S460" i="39"/>
  <c r="S458" i="39"/>
  <c r="S456" i="39"/>
  <c r="S453" i="39"/>
  <c r="S451" i="39"/>
  <c r="S449" i="39"/>
  <c r="S466" i="39"/>
  <c r="S461" i="39"/>
  <c r="S457" i="39"/>
  <c r="S464" i="39"/>
  <c r="S454" i="39"/>
  <c r="S459" i="39"/>
  <c r="S468" i="39"/>
  <c r="S450" i="39"/>
  <c r="S53" i="2"/>
  <c r="S452" i="39"/>
  <c r="S455" i="39"/>
  <c r="S446" i="39"/>
  <c r="S463" i="39"/>
  <c r="S539" i="39"/>
  <c r="AA546" i="39"/>
  <c r="AA545" i="39"/>
  <c r="AA544" i="39"/>
  <c r="AA543" i="39"/>
  <c r="AA542" i="39"/>
  <c r="AA467" i="39"/>
  <c r="AA465" i="39"/>
  <c r="AA462" i="39"/>
  <c r="AA460" i="39"/>
  <c r="AA458" i="39"/>
  <c r="AA456" i="39"/>
  <c r="AA453" i="39"/>
  <c r="AA451" i="39"/>
  <c r="AA449" i="39"/>
  <c r="AA466" i="39"/>
  <c r="AA461" i="39"/>
  <c r="AA457" i="39"/>
  <c r="AA452" i="39"/>
  <c r="AA522" i="39"/>
  <c r="AA464" i="39"/>
  <c r="AA454" i="39"/>
  <c r="AA459" i="39"/>
  <c r="AA468" i="39"/>
  <c r="AA450" i="39"/>
  <c r="AA53" i="2"/>
  <c r="AA455" i="39"/>
  <c r="AA463" i="39"/>
  <c r="AA539" i="39"/>
  <c r="BR19" i="1"/>
  <c r="BR20" i="1" s="1"/>
  <c r="BR546" i="39"/>
  <c r="BR545" i="39"/>
  <c r="BR544" i="39"/>
  <c r="BR543" i="39"/>
  <c r="BR542" i="39"/>
  <c r="BR539" i="39"/>
  <c r="BR519" i="39"/>
  <c r="BR518" i="39"/>
  <c r="BR53" i="2"/>
  <c r="BW546" i="39"/>
  <c r="BW545" i="39"/>
  <c r="BW544" i="39"/>
  <c r="BW543" i="39"/>
  <c r="BW542" i="39"/>
  <c r="BW518" i="39"/>
  <c r="BW519" i="39"/>
  <c r="BW53" i="2"/>
  <c r="BW450" i="39"/>
  <c r="BW453" i="39"/>
  <c r="BW456" i="39"/>
  <c r="BW460" i="39"/>
  <c r="BW464" i="39"/>
  <c r="BW449" i="39"/>
  <c r="BW455" i="39"/>
  <c r="BW459" i="39"/>
  <c r="BW467" i="39"/>
  <c r="BW539" i="39"/>
  <c r="BW458" i="39"/>
  <c r="BW462" i="39"/>
  <c r="BW466" i="39"/>
  <c r="BW451" i="39"/>
  <c r="BW454" i="39"/>
  <c r="BW457" i="39"/>
  <c r="BW461" i="39"/>
  <c r="BW465" i="39"/>
  <c r="BY19" i="1"/>
  <c r="BY20" i="1" s="1"/>
  <c r="BY546" i="39"/>
  <c r="BY545" i="39"/>
  <c r="BY544" i="39"/>
  <c r="BY543" i="39"/>
  <c r="BY542" i="39"/>
  <c r="BY53" i="2"/>
  <c r="CA19" i="1"/>
  <c r="CA20" i="1" s="1"/>
  <c r="CA53" i="2"/>
  <c r="AA10" i="1"/>
  <c r="AA31" i="1" s="1"/>
  <c r="W19" i="1"/>
  <c r="W353" i="39" s="1"/>
  <c r="W546" i="39"/>
  <c r="W545" i="39"/>
  <c r="W544" i="39"/>
  <c r="W543" i="39"/>
  <c r="W542" i="39"/>
  <c r="W467" i="39"/>
  <c r="W465" i="39"/>
  <c r="W462" i="39"/>
  <c r="W460" i="39"/>
  <c r="W458" i="39"/>
  <c r="W456" i="39"/>
  <c r="W453" i="39"/>
  <c r="W451" i="39"/>
  <c r="W449" i="39"/>
  <c r="W466" i="39"/>
  <c r="W461" i="39"/>
  <c r="W457" i="39"/>
  <c r="W464" i="39"/>
  <c r="W454" i="39"/>
  <c r="W459" i="39"/>
  <c r="W468" i="39"/>
  <c r="W450" i="39"/>
  <c r="W53" i="2"/>
  <c r="W463" i="39"/>
  <c r="W522" i="39"/>
  <c r="W539" i="39"/>
  <c r="W452" i="39"/>
  <c r="W455" i="39"/>
  <c r="W446" i="39"/>
  <c r="BQ19" i="1"/>
  <c r="BQ20" i="1" s="1"/>
  <c r="BQ53" i="2"/>
  <c r="BS19" i="1"/>
  <c r="BS546" i="39"/>
  <c r="BS545" i="39"/>
  <c r="BS544" i="39"/>
  <c r="BS543" i="39"/>
  <c r="BS542" i="39"/>
  <c r="BS518" i="39"/>
  <c r="BS53" i="2"/>
  <c r="BS519" i="39"/>
  <c r="BS450" i="39"/>
  <c r="BS453" i="39"/>
  <c r="BS456" i="39"/>
  <c r="BS460" i="39"/>
  <c r="BS464" i="39"/>
  <c r="BS468" i="39"/>
  <c r="BS449" i="39"/>
  <c r="BS459" i="39"/>
  <c r="BS463" i="39"/>
  <c r="BS467" i="39"/>
  <c r="BS539" i="39"/>
  <c r="BS455" i="39"/>
  <c r="BS458" i="39"/>
  <c r="BS462" i="39"/>
  <c r="BS466" i="39"/>
  <c r="BS451" i="39"/>
  <c r="BS454" i="39"/>
  <c r="BS457" i="39"/>
  <c r="BS461" i="39"/>
  <c r="BS465" i="39"/>
  <c r="BX19" i="1"/>
  <c r="BX20" i="1" s="1"/>
  <c r="BX545" i="39"/>
  <c r="BX543" i="39"/>
  <c r="BX546" i="39"/>
  <c r="BX542" i="39"/>
  <c r="BX53" i="2"/>
  <c r="BX544" i="39"/>
  <c r="BZ19" i="1"/>
  <c r="BZ20" i="1" s="1"/>
  <c r="BZ53" i="2"/>
  <c r="CB19" i="1"/>
  <c r="CB53" i="2"/>
  <c r="BQ10" i="1"/>
  <c r="AA11" i="1"/>
  <c r="AA12" i="1"/>
  <c r="AE12" i="1"/>
  <c r="W49" i="2"/>
  <c r="W48" i="2" s="1"/>
  <c r="W50" i="2"/>
  <c r="BZ50" i="2"/>
  <c r="BZ49" i="2"/>
  <c r="BZ48" i="2" s="1"/>
  <c r="CB54" i="2"/>
  <c r="E49" i="2"/>
  <c r="E48" i="2" s="1"/>
  <c r="E50" i="2"/>
  <c r="G49" i="2"/>
  <c r="G48" i="2" s="1"/>
  <c r="G50" i="2"/>
  <c r="I50" i="2"/>
  <c r="I49" i="2"/>
  <c r="I48" i="2" s="1"/>
  <c r="K49" i="2"/>
  <c r="K48" i="2" s="1"/>
  <c r="K50" i="2"/>
  <c r="M49" i="2"/>
  <c r="M48" i="2" s="1"/>
  <c r="M50" i="2"/>
  <c r="O49" i="2"/>
  <c r="O48" i="2" s="1"/>
  <c r="O50" i="2"/>
  <c r="Q50" i="2"/>
  <c r="Q49" i="2"/>
  <c r="Q48" i="2" s="1"/>
  <c r="T49" i="2"/>
  <c r="T48" i="2" s="1"/>
  <c r="T50" i="2"/>
  <c r="V50" i="2"/>
  <c r="V49" i="2"/>
  <c r="V48" i="2" s="1"/>
  <c r="Y50" i="2"/>
  <c r="Y49" i="2"/>
  <c r="Y48" i="2" s="1"/>
  <c r="AB49" i="2"/>
  <c r="AB48" i="2" s="1"/>
  <c r="AB50" i="2"/>
  <c r="AD50" i="2"/>
  <c r="AD49" i="2"/>
  <c r="AD48" i="2" s="1"/>
  <c r="AF49" i="2"/>
  <c r="AF48" i="2" s="1"/>
  <c r="AF50" i="2"/>
  <c r="AH19" i="1"/>
  <c r="AH353" i="39" s="1"/>
  <c r="AH54" i="2"/>
  <c r="AJ19" i="1"/>
  <c r="AJ353" i="39" s="1"/>
  <c r="AJ54" i="2"/>
  <c r="AJ49" i="2" s="1"/>
  <c r="AJ48" i="2" s="1"/>
  <c r="AL19" i="1"/>
  <c r="AL353" i="39" s="1"/>
  <c r="AL54" i="2"/>
  <c r="AN19" i="1"/>
  <c r="AN353" i="39" s="1"/>
  <c r="AN54" i="2"/>
  <c r="AN49" i="2" s="1"/>
  <c r="AN48" i="2" s="1"/>
  <c r="AP50" i="2"/>
  <c r="AP49" i="2"/>
  <c r="AP48" i="2" s="1"/>
  <c r="AR19" i="1"/>
  <c r="AR353" i="39" s="1"/>
  <c r="AR54" i="2"/>
  <c r="AR49" i="2" s="1"/>
  <c r="AR48" i="2" s="1"/>
  <c r="AT49" i="2"/>
  <c r="AT48" i="2" s="1"/>
  <c r="AT50" i="2"/>
  <c r="AV19" i="1"/>
  <c r="AV353" i="39" s="1"/>
  <c r="AV54" i="2"/>
  <c r="AV49" i="2" s="1"/>
  <c r="AV48" i="2" s="1"/>
  <c r="AX50" i="2"/>
  <c r="AX49" i="2"/>
  <c r="AX48" i="2" s="1"/>
  <c r="AZ19" i="1"/>
  <c r="AZ52" i="1" s="1"/>
  <c r="AZ54" i="2"/>
  <c r="AZ49" i="2" s="1"/>
  <c r="AZ48" i="2" s="1"/>
  <c r="F20" i="1"/>
  <c r="F354" i="39" s="1"/>
  <c r="F353" i="39"/>
  <c r="BQ353" i="39" s="1"/>
  <c r="J353" i="39"/>
  <c r="N52" i="1"/>
  <c r="N604" i="39" s="1"/>
  <c r="N353" i="39"/>
  <c r="U353" i="39"/>
  <c r="Z353" i="39"/>
  <c r="AE20" i="1"/>
  <c r="AE354" i="39" s="1"/>
  <c r="AE353" i="39"/>
  <c r="AI20" i="1"/>
  <c r="AI354" i="39" s="1"/>
  <c r="AI353" i="39"/>
  <c r="AO19" i="1"/>
  <c r="AO52" i="1" s="1"/>
  <c r="AT19" i="1"/>
  <c r="AT20" i="1" s="1"/>
  <c r="AT354" i="39" s="1"/>
  <c r="AX19" i="1"/>
  <c r="J20" i="1"/>
  <c r="J354" i="39" s="1"/>
  <c r="R20" i="1"/>
  <c r="R354" i="39" s="1"/>
  <c r="BR27" i="1"/>
  <c r="BT26" i="1"/>
  <c r="BX27" i="1"/>
  <c r="P31" i="1"/>
  <c r="X31" i="1"/>
  <c r="AB49" i="1"/>
  <c r="AF49" i="1"/>
  <c r="D38" i="1"/>
  <c r="J38" i="1"/>
  <c r="L38" i="1"/>
  <c r="N38" i="1"/>
  <c r="R38" i="1"/>
  <c r="W37" i="1"/>
  <c r="W38" i="1" s="1"/>
  <c r="AE38" i="1"/>
  <c r="BS40" i="1"/>
  <c r="BS45" i="1" s="1"/>
  <c r="BS614" i="39"/>
  <c r="W45" i="1"/>
  <c r="AJ45" i="1"/>
  <c r="E47" i="1"/>
  <c r="E48" i="1" s="1"/>
  <c r="I47" i="1"/>
  <c r="I48" i="1" s="1"/>
  <c r="M47" i="1"/>
  <c r="M48" i="1" s="1"/>
  <c r="Q47" i="1"/>
  <c r="Q48" i="1" s="1"/>
  <c r="U47" i="1"/>
  <c r="U48" i="1" s="1"/>
  <c r="Y47" i="1"/>
  <c r="Y48" i="1" s="1"/>
  <c r="BV58" i="1"/>
  <c r="BV63" i="1" s="1"/>
  <c r="BZ62" i="3"/>
  <c r="BY62" i="3"/>
  <c r="CC135" i="3"/>
  <c r="CC40" i="3"/>
  <c r="BS446" i="39"/>
  <c r="AA446" i="39"/>
  <c r="BW452" i="39"/>
  <c r="O161" i="39"/>
  <c r="O162" i="39"/>
  <c r="O163" i="39" s="1"/>
  <c r="BU33" i="39"/>
  <c r="BW35" i="39"/>
  <c r="BW28" i="39"/>
  <c r="BW70" i="39"/>
  <c r="BW42" i="39"/>
  <c r="BW47" i="39"/>
  <c r="BW291" i="39"/>
  <c r="BW271" i="39"/>
  <c r="BW123" i="39"/>
  <c r="BW33" i="39"/>
  <c r="BW241" i="39"/>
  <c r="BU34" i="39"/>
  <c r="BT32" i="39"/>
  <c r="S144" i="39"/>
  <c r="R148" i="39"/>
  <c r="AF183" i="39"/>
  <c r="AF184" i="39"/>
  <c r="AF185" i="39" s="1"/>
  <c r="R145" i="39"/>
  <c r="Q149" i="39"/>
  <c r="BU235" i="39"/>
  <c r="AE222" i="39"/>
  <c r="AD223" i="39"/>
  <c r="AD224" i="39" s="1"/>
  <c r="BV283" i="39"/>
  <c r="BV282" i="39"/>
  <c r="AK303" i="39"/>
  <c r="AL299" i="39"/>
  <c r="AK302" i="39"/>
  <c r="BS348" i="39"/>
  <c r="BS349" i="39"/>
  <c r="BU332" i="39"/>
  <c r="BS585" i="39"/>
  <c r="BU31" i="39"/>
  <c r="W228" i="39"/>
  <c r="W229" i="39" s="1"/>
  <c r="W227" i="39"/>
  <c r="Z205" i="39"/>
  <c r="Z206" i="39"/>
  <c r="Z207" i="39" s="1"/>
  <c r="BT264" i="39"/>
  <c r="BT265" i="39"/>
  <c r="BW235" i="39"/>
  <c r="BT283" i="39"/>
  <c r="BT282" i="39"/>
  <c r="BW303" i="39"/>
  <c r="AA205" i="39"/>
  <c r="AA206" i="39"/>
  <c r="AA207" i="39" s="1"/>
  <c r="L206" i="39"/>
  <c r="L207" i="39" s="1"/>
  <c r="L205" i="39"/>
  <c r="AO170" i="39"/>
  <c r="AP136" i="39"/>
  <c r="AP192" i="39" s="1"/>
  <c r="AO148" i="39"/>
  <c r="AO150" i="39"/>
  <c r="AO172" i="39"/>
  <c r="AP140" i="39"/>
  <c r="AP194" i="39" s="1"/>
  <c r="AO194" i="39"/>
  <c r="AP193" i="39"/>
  <c r="AT189" i="39"/>
  <c r="AJ375" i="39"/>
  <c r="AJ377" i="39" s="1"/>
  <c r="AJ385" i="39"/>
  <c r="AJ386" i="39" s="1"/>
  <c r="AJ363" i="39" s="1"/>
  <c r="BW315" i="39"/>
  <c r="BX31" i="39"/>
  <c r="M183" i="39"/>
  <c r="M184" i="39"/>
  <c r="M185" i="39" s="1"/>
  <c r="AA184" i="39"/>
  <c r="AA185" i="39" s="1"/>
  <c r="AA183" i="39"/>
  <c r="AO192" i="39"/>
  <c r="BU283" i="39"/>
  <c r="BU282" i="39"/>
  <c r="BX283" i="39"/>
  <c r="BX282" i="39"/>
  <c r="BY282" i="39"/>
  <c r="AJ271" i="39"/>
  <c r="AJ270" i="39"/>
  <c r="AK267" i="39"/>
  <c r="AJ262" i="39"/>
  <c r="BV349" i="39"/>
  <c r="BV348" i="39"/>
  <c r="BS70" i="39"/>
  <c r="BS47" i="39"/>
  <c r="BS42" i="39"/>
  <c r="BS303" i="39"/>
  <c r="BS123" i="39"/>
  <c r="BS253" i="39"/>
  <c r="BS271" i="39"/>
  <c r="BS291" i="39"/>
  <c r="BU291" i="39"/>
  <c r="BU42" i="39"/>
  <c r="BU47" i="39"/>
  <c r="BU35" i="39"/>
  <c r="BU28" i="39"/>
  <c r="BU271" i="39"/>
  <c r="BU309" i="39"/>
  <c r="BU123" i="39"/>
  <c r="BU70" i="39"/>
  <c r="Q206" i="39"/>
  <c r="Q207" i="39" s="1"/>
  <c r="Q205" i="39"/>
  <c r="AE184" i="39"/>
  <c r="AE185" i="39" s="1"/>
  <c r="AE183" i="39"/>
  <c r="L162" i="39"/>
  <c r="L163" i="39" s="1"/>
  <c r="L161" i="39"/>
  <c r="V205" i="39"/>
  <c r="V206" i="39"/>
  <c r="V207" i="39" s="1"/>
  <c r="AQ193" i="39"/>
  <c r="AU189" i="39"/>
  <c r="N183" i="39"/>
  <c r="N184" i="39"/>
  <c r="N185" i="39" s="1"/>
  <c r="AU190" i="39"/>
  <c r="AK329" i="39"/>
  <c r="AL329" i="39" s="1"/>
  <c r="AM329" i="39" s="1"/>
  <c r="AN329" i="39" s="1"/>
  <c r="BS325" i="39"/>
  <c r="BU320" i="39"/>
  <c r="BU319" i="39"/>
  <c r="BW363" i="39"/>
  <c r="AB407" i="39"/>
  <c r="AA227" i="39"/>
  <c r="AA228" i="39"/>
  <c r="AA229" i="39" s="1"/>
  <c r="P227" i="39"/>
  <c r="P228" i="39"/>
  <c r="P229" i="39" s="1"/>
  <c r="X227" i="39"/>
  <c r="X228" i="39"/>
  <c r="X229" i="39" s="1"/>
  <c r="BS241" i="39"/>
  <c r="BS264" i="39"/>
  <c r="BS265" i="39"/>
  <c r="BW319" i="39"/>
  <c r="BW320" i="39"/>
  <c r="BU325" i="39"/>
  <c r="BT291" i="39"/>
  <c r="BT42" i="39"/>
  <c r="BT47" i="39"/>
  <c r="BT28" i="39"/>
  <c r="BT35" i="39"/>
  <c r="BT123" i="39"/>
  <c r="BT303" i="39"/>
  <c r="BT70" i="39"/>
  <c r="BT31" i="39"/>
  <c r="AQ171" i="39"/>
  <c r="BZ171" i="39" s="1"/>
  <c r="AQ149" i="39"/>
  <c r="BZ149" i="39" s="1"/>
  <c r="AR138" i="39"/>
  <c r="BZ138" i="39"/>
  <c r="O205" i="39"/>
  <c r="O206" i="39"/>
  <c r="O207" i="39" s="1"/>
  <c r="T183" i="39"/>
  <c r="T184" i="39"/>
  <c r="T185" i="39" s="1"/>
  <c r="BX264" i="39"/>
  <c r="BU241" i="39"/>
  <c r="BW253" i="39"/>
  <c r="BW309" i="39"/>
  <c r="BT325" i="39"/>
  <c r="BU315" i="39"/>
  <c r="BV70" i="39"/>
  <c r="BV47" i="39"/>
  <c r="BV28" i="39"/>
  <c r="BV35" i="39"/>
  <c r="BV332" i="39"/>
  <c r="BV247" i="39"/>
  <c r="BV253" i="39"/>
  <c r="BV42" i="39"/>
  <c r="BV123" i="39"/>
  <c r="BV291" i="39"/>
  <c r="BT85" i="39"/>
  <c r="BT34" i="39"/>
  <c r="AC183" i="39"/>
  <c r="AC184" i="39"/>
  <c r="AC185" i="39" s="1"/>
  <c r="O184" i="39"/>
  <c r="O185" i="39" s="1"/>
  <c r="O183" i="39"/>
  <c r="AE205" i="39"/>
  <c r="AE206" i="39"/>
  <c r="AE207" i="39" s="1"/>
  <c r="AG51" i="39"/>
  <c r="AG50" i="39"/>
  <c r="L184" i="39"/>
  <c r="L185" i="39" s="1"/>
  <c r="L183" i="39"/>
  <c r="T206" i="39"/>
  <c r="T207" i="39" s="1"/>
  <c r="T205" i="39"/>
  <c r="AB183" i="39"/>
  <c r="AB184" i="39"/>
  <c r="AB185" i="39" s="1"/>
  <c r="AU188" i="39"/>
  <c r="AT188" i="39"/>
  <c r="BV265" i="39"/>
  <c r="BV264" i="39"/>
  <c r="BV309" i="39"/>
  <c r="BV315" i="39"/>
  <c r="BT332" i="39"/>
  <c r="BX42" i="39"/>
  <c r="BX28" i="39"/>
  <c r="BX35" i="39"/>
  <c r="BX70" i="39"/>
  <c r="BX123" i="39"/>
  <c r="BX33" i="39"/>
  <c r="BX291" i="39"/>
  <c r="AO130" i="39"/>
  <c r="AN132" i="39"/>
  <c r="AG206" i="39"/>
  <c r="AG207" i="39" s="1"/>
  <c r="AG205" i="39"/>
  <c r="X162" i="39"/>
  <c r="X163" i="39" s="1"/>
  <c r="X161" i="39"/>
  <c r="AV190" i="39"/>
  <c r="BU253" i="39"/>
  <c r="BW264" i="39"/>
  <c r="BW265" i="39"/>
  <c r="AT190" i="39"/>
  <c r="BW348" i="39"/>
  <c r="BW349" i="39"/>
  <c r="BX363" i="39"/>
  <c r="AF407" i="39"/>
  <c r="O227" i="39"/>
  <c r="O228" i="39"/>
  <c r="O229" i="39" s="1"/>
  <c r="AF162" i="39"/>
  <c r="AF163" i="39" s="1"/>
  <c r="AF161" i="39"/>
  <c r="BT241" i="39"/>
  <c r="BX349" i="39"/>
  <c r="BX348" i="39"/>
  <c r="BX270" i="39"/>
  <c r="S205" i="39"/>
  <c r="S206" i="39"/>
  <c r="S207" i="39" s="1"/>
  <c r="AB206" i="39"/>
  <c r="AB207" i="39" s="1"/>
  <c r="AB205" i="39"/>
  <c r="AN160" i="39"/>
  <c r="AN161" i="39" s="1"/>
  <c r="N205" i="39"/>
  <c r="N206" i="39"/>
  <c r="N207" i="39" s="1"/>
  <c r="Z227" i="39"/>
  <c r="Z228" i="39"/>
  <c r="Z229" i="39" s="1"/>
  <c r="BU264" i="39"/>
  <c r="BU265" i="39"/>
  <c r="AC226" i="39"/>
  <c r="BS283" i="39"/>
  <c r="BS282" i="39"/>
  <c r="BW32" i="39"/>
  <c r="S184" i="39"/>
  <c r="S185" i="39" s="1"/>
  <c r="S183" i="39"/>
  <c r="AH49" i="39"/>
  <c r="AH47" i="39"/>
  <c r="AH46" i="39"/>
  <c r="BE190" i="39"/>
  <c r="BI190" i="39" s="1"/>
  <c r="BM190" i="39" s="1"/>
  <c r="BU247" i="39"/>
  <c r="BT271" i="39"/>
  <c r="BT309" i="39"/>
  <c r="BV320" i="39"/>
  <c r="BV319" i="39"/>
  <c r="CC373" i="39"/>
  <c r="BY132" i="39"/>
  <c r="AC162" i="39"/>
  <c r="AC163" i="39" s="1"/>
  <c r="AC161" i="39"/>
  <c r="P183" i="39"/>
  <c r="P184" i="39"/>
  <c r="P185" i="39" s="1"/>
  <c r="AZ188" i="39"/>
  <c r="BW325" i="39"/>
  <c r="U183" i="39"/>
  <c r="U184" i="39"/>
  <c r="U185" i="39" s="1"/>
  <c r="S228" i="39"/>
  <c r="S229" i="39" s="1"/>
  <c r="S227" i="39"/>
  <c r="L227" i="39"/>
  <c r="L228" i="39"/>
  <c r="L229" i="39" s="1"/>
  <c r="T227" i="39"/>
  <c r="T228" i="39"/>
  <c r="T229" i="39" s="1"/>
  <c r="AB227" i="39"/>
  <c r="AB228" i="39"/>
  <c r="AB229" i="39" s="1"/>
  <c r="BS247" i="39"/>
  <c r="BT319" i="39"/>
  <c r="BT320" i="39"/>
  <c r="BV303" i="39"/>
  <c r="BX319" i="39"/>
  <c r="BX320" i="39"/>
  <c r="BY319" i="39"/>
  <c r="BT315" i="39"/>
  <c r="BT349" i="39"/>
  <c r="BT348" i="39"/>
  <c r="BS332" i="39"/>
  <c r="AG291" i="39"/>
  <c r="BW31" i="39"/>
  <c r="Y206" i="39"/>
  <c r="Y207" i="39" s="1"/>
  <c r="Y205" i="39"/>
  <c r="W205" i="39"/>
  <c r="W206" i="39"/>
  <c r="W207" i="39" s="1"/>
  <c r="X183" i="39"/>
  <c r="X184" i="39"/>
  <c r="X185" i="39" s="1"/>
  <c r="Y162" i="39"/>
  <c r="Y163" i="39" s="1"/>
  <c r="Y161" i="39"/>
  <c r="AD205" i="39"/>
  <c r="AD206" i="39"/>
  <c r="AD207" i="39" s="1"/>
  <c r="BV235" i="39"/>
  <c r="BS235" i="39"/>
  <c r="BW283" i="39"/>
  <c r="BW282" i="39"/>
  <c r="BT247" i="39"/>
  <c r="AK372" i="39"/>
  <c r="AK309" i="39"/>
  <c r="AK308" i="39"/>
  <c r="AL305" i="39"/>
  <c r="BU348" i="39"/>
  <c r="BU349" i="39"/>
  <c r="BW332" i="39"/>
  <c r="P150" i="39"/>
  <c r="P160" i="39" s="1"/>
  <c r="Q146" i="39"/>
  <c r="BU32" i="39"/>
  <c r="W184" i="39"/>
  <c r="W185" i="39" s="1"/>
  <c r="W183" i="39"/>
  <c r="P206" i="39"/>
  <c r="P207" i="39" s="1"/>
  <c r="P205" i="39"/>
  <c r="X206" i="39"/>
  <c r="X207" i="39" s="1"/>
  <c r="X205" i="39"/>
  <c r="AF206" i="39"/>
  <c r="AF207" i="39" s="1"/>
  <c r="AF205" i="39"/>
  <c r="R205" i="39"/>
  <c r="R206" i="39"/>
  <c r="R207" i="39" s="1"/>
  <c r="BT235" i="39"/>
  <c r="AW188" i="39"/>
  <c r="BV271" i="39"/>
  <c r="BT253" i="39"/>
  <c r="AI264" i="39"/>
  <c r="AI263" i="39"/>
  <c r="AI265" i="39"/>
  <c r="BX315" i="39"/>
  <c r="CB88" i="3"/>
  <c r="CB60" i="3"/>
  <c r="CB62" i="3" s="1"/>
  <c r="BW60" i="3"/>
  <c r="BW62" i="3" s="1"/>
  <c r="BW36" i="3"/>
  <c r="AH87" i="3"/>
  <c r="AI15" i="3"/>
  <c r="BX15" i="3" s="1"/>
  <c r="G76" i="3"/>
  <c r="G75" i="3" s="1"/>
  <c r="G79" i="3" s="1"/>
  <c r="BA79" i="3"/>
  <c r="J44" i="3"/>
  <c r="K39" i="3"/>
  <c r="O76" i="3"/>
  <c r="O75" i="3" s="1"/>
  <c r="O79" i="3" s="1"/>
  <c r="AU76" i="3"/>
  <c r="AU75" i="3" s="1"/>
  <c r="AU79" i="3" s="1"/>
  <c r="AE44" i="3"/>
  <c r="AP87" i="3"/>
  <c r="AQ15" i="3"/>
  <c r="AI76" i="3"/>
  <c r="AI75" i="3" s="1"/>
  <c r="AI79" i="3" s="1"/>
  <c r="R44" i="3"/>
  <c r="S39" i="3"/>
  <c r="S44" i="3" s="1"/>
  <c r="W76" i="3"/>
  <c r="W75" i="3" s="1"/>
  <c r="W79" i="3" s="1"/>
  <c r="BG110" i="3"/>
  <c r="CD110" i="3" s="1"/>
  <c r="AU88" i="3"/>
  <c r="AU60" i="3"/>
  <c r="AU62" i="3" s="1"/>
  <c r="AU36" i="3"/>
  <c r="CA30" i="3"/>
  <c r="BW18" i="3"/>
  <c r="BX40" i="3"/>
  <c r="CB34" i="3"/>
  <c r="CB36" i="3" s="1"/>
  <c r="BS76" i="3"/>
  <c r="BS75" i="3" s="1"/>
  <c r="BS79" i="3" s="1"/>
  <c r="AI88" i="3"/>
  <c r="AI60" i="3"/>
  <c r="AI62" i="3" s="1"/>
  <c r="AI36" i="3"/>
  <c r="BX30" i="3"/>
  <c r="CA86" i="3"/>
  <c r="CA78" i="3"/>
  <c r="CA116" i="1"/>
  <c r="S60" i="3"/>
  <c r="S62" i="3" s="1"/>
  <c r="S36" i="3"/>
  <c r="BT30" i="3"/>
  <c r="V44" i="3"/>
  <c r="W39" i="3"/>
  <c r="BD86" i="3"/>
  <c r="BZ86" i="3"/>
  <c r="BZ78" i="3"/>
  <c r="BZ116" i="1"/>
  <c r="AA60" i="3"/>
  <c r="AA62" i="3" s="1"/>
  <c r="AA36" i="3"/>
  <c r="AY44" i="3"/>
  <c r="CB39" i="3"/>
  <c r="CB44" i="3" s="1"/>
  <c r="AQ76" i="3"/>
  <c r="AQ75" i="3" s="1"/>
  <c r="AQ79" i="3" s="1"/>
  <c r="CC66" i="2"/>
  <c r="BE66" i="2"/>
  <c r="AM87" i="3"/>
  <c r="N44" i="3"/>
  <c r="O39" i="3"/>
  <c r="BX39" i="3"/>
  <c r="AT87" i="3"/>
  <c r="AU15" i="3"/>
  <c r="BB87" i="3"/>
  <c r="BE137" i="3"/>
  <c r="CB16" i="3"/>
  <c r="BQ76" i="3"/>
  <c r="BQ75" i="3" s="1"/>
  <c r="BQ79" i="3" s="1"/>
  <c r="F44" i="3"/>
  <c r="G39" i="3"/>
  <c r="G44" i="3" s="1"/>
  <c r="AT44" i="3"/>
  <c r="AU39" i="3"/>
  <c r="BW44" i="3"/>
  <c r="BW78" i="3"/>
  <c r="BW116" i="1"/>
  <c r="AE76" i="3"/>
  <c r="AE75" i="3" s="1"/>
  <c r="AE79" i="3" s="1"/>
  <c r="AM76" i="3"/>
  <c r="AM75" i="3" s="1"/>
  <c r="AM79" i="3" s="1"/>
  <c r="BE86" i="3"/>
  <c r="BE116" i="1"/>
  <c r="AX87" i="3"/>
  <c r="AY15" i="3"/>
  <c r="CB15" i="3" s="1"/>
  <c r="BX78" i="3"/>
  <c r="BX86" i="3"/>
  <c r="BX116" i="1"/>
  <c r="AY88" i="3"/>
  <c r="AY60" i="3"/>
  <c r="AY62" i="3" s="1"/>
  <c r="AY36" i="3"/>
  <c r="BU76" i="3"/>
  <c r="BU75" i="3" s="1"/>
  <c r="BU79" i="3" s="1"/>
  <c r="AE60" i="3"/>
  <c r="AE62" i="3" s="1"/>
  <c r="AE36" i="3"/>
  <c r="BY76" i="3"/>
  <c r="BY75" i="3" s="1"/>
  <c r="BY79" i="3" s="1"/>
  <c r="O60" i="3"/>
  <c r="O62" i="3" s="1"/>
  <c r="O36" i="3"/>
  <c r="BE141" i="3"/>
  <c r="BF141" i="3" s="1"/>
  <c r="BG141" i="3" s="1"/>
  <c r="CD141" i="3" s="1"/>
  <c r="BF75" i="3"/>
  <c r="Z44" i="3"/>
  <c r="AA39" i="3"/>
  <c r="AA44" i="3" s="1"/>
  <c r="AY76" i="3"/>
  <c r="AY75" i="3" s="1"/>
  <c r="AZ79" i="3"/>
  <c r="CD15" i="3"/>
  <c r="BF42" i="3"/>
  <c r="BV60" i="3"/>
  <c r="BV36" i="3"/>
  <c r="BS30" i="3"/>
  <c r="BF16" i="2"/>
  <c r="BD84" i="2"/>
  <c r="BE12" i="2"/>
  <c r="BG58" i="2"/>
  <c r="BF62" i="2"/>
  <c r="BE85" i="2"/>
  <c r="BF20" i="2"/>
  <c r="BE30" i="1"/>
  <c r="BF29" i="1"/>
  <c r="AE24" i="1"/>
  <c r="AD65" i="1"/>
  <c r="BE37" i="1"/>
  <c r="BF36" i="1"/>
  <c r="AW48" i="1"/>
  <c r="BA48" i="1"/>
  <c r="AD23" i="1"/>
  <c r="BW10" i="1"/>
  <c r="BS20" i="1"/>
  <c r="AB55" i="1"/>
  <c r="BA20" i="1"/>
  <c r="CD40" i="1"/>
  <c r="H55" i="1"/>
  <c r="L24" i="1"/>
  <c r="S10" i="1"/>
  <c r="BT10" i="1" s="1"/>
  <c r="E23" i="1"/>
  <c r="V24" i="1"/>
  <c r="BU14" i="1"/>
  <c r="BU17" i="1" s="1"/>
  <c r="BU54" i="2" s="1"/>
  <c r="S17" i="1"/>
  <c r="S54" i="2" s="1"/>
  <c r="AA17" i="1"/>
  <c r="AU52" i="1"/>
  <c r="N20" i="1"/>
  <c r="N354" i="39" s="1"/>
  <c r="V20" i="1"/>
  <c r="V354" i="39" s="1"/>
  <c r="AD20" i="1"/>
  <c r="AD354" i="39" s="1"/>
  <c r="P23" i="1"/>
  <c r="AF23" i="1"/>
  <c r="BW47" i="1"/>
  <c r="BW48" i="1" s="1"/>
  <c r="BW27" i="1"/>
  <c r="CA27" i="1"/>
  <c r="F31" i="1"/>
  <c r="J31" i="1"/>
  <c r="N31" i="1"/>
  <c r="R31" i="1"/>
  <c r="V31" i="1"/>
  <c r="Z31" i="1"/>
  <c r="AD31" i="1"/>
  <c r="AJ30" i="1"/>
  <c r="H31" i="1"/>
  <c r="AF31" i="1"/>
  <c r="AA34" i="1"/>
  <c r="BR34" i="1"/>
  <c r="BY36" i="1"/>
  <c r="BY37" i="1" s="1"/>
  <c r="E38" i="1"/>
  <c r="I38" i="1"/>
  <c r="M38" i="1"/>
  <c r="Q38" i="1"/>
  <c r="U38" i="1"/>
  <c r="Y38" i="1"/>
  <c r="AC38" i="1"/>
  <c r="BT40" i="1"/>
  <c r="BT45" i="1" s="1"/>
  <c r="CC40" i="1"/>
  <c r="AO45" i="1"/>
  <c r="BE45" i="1"/>
  <c r="BZ23" i="1"/>
  <c r="S11" i="1"/>
  <c r="BT7" i="1"/>
  <c r="S12" i="1"/>
  <c r="O49" i="1"/>
  <c r="AA40" i="1"/>
  <c r="AA47" i="1" s="1"/>
  <c r="AA48" i="1" s="1"/>
  <c r="BV41" i="1"/>
  <c r="BU7" i="1"/>
  <c r="BU446" i="39" s="1"/>
  <c r="BS10" i="1"/>
  <c r="T11" i="1"/>
  <c r="X11" i="1"/>
  <c r="BS17" i="1"/>
  <c r="BS54" i="2" s="1"/>
  <c r="BW17" i="1"/>
  <c r="BW54" i="2" s="1"/>
  <c r="Z20" i="1"/>
  <c r="Z354" i="39" s="1"/>
  <c r="BW19" i="1"/>
  <c r="W27" i="1"/>
  <c r="BU26" i="1"/>
  <c r="BS27" i="1"/>
  <c r="CB27" i="1"/>
  <c r="D31" i="1"/>
  <c r="L31" i="1"/>
  <c r="T31" i="1"/>
  <c r="AB31" i="1"/>
  <c r="S34" i="1"/>
  <c r="BG47" i="1"/>
  <c r="CD33" i="1"/>
  <c r="BT33" i="1"/>
  <c r="BQ34" i="1"/>
  <c r="BY34" i="1"/>
  <c r="AG37" i="1"/>
  <c r="AO37" i="1"/>
  <c r="AP36" i="1"/>
  <c r="S37" i="1"/>
  <c r="G81" i="1"/>
  <c r="G47" i="1"/>
  <c r="G48" i="1" s="1"/>
  <c r="K81" i="1"/>
  <c r="K47" i="1"/>
  <c r="K48" i="1" s="1"/>
  <c r="O81" i="1"/>
  <c r="O47" i="1"/>
  <c r="O48" i="1" s="1"/>
  <c r="X81" i="1"/>
  <c r="X45" i="1"/>
  <c r="X49" i="1" s="1"/>
  <c r="X47" i="1"/>
  <c r="X48" i="1" s="1"/>
  <c r="AC45" i="1"/>
  <c r="AC49" i="1" s="1"/>
  <c r="G45" i="1"/>
  <c r="G49" i="1" s="1"/>
  <c r="AW45" i="1"/>
  <c r="AW49" i="1" s="1"/>
  <c r="AW50" i="1" s="1"/>
  <c r="AG47" i="1"/>
  <c r="AG48" i="1" s="1"/>
  <c r="F24" i="1"/>
  <c r="W12" i="1"/>
  <c r="AZ20" i="1"/>
  <c r="S48" i="1"/>
  <c r="AO30" i="1"/>
  <c r="AP29" i="1"/>
  <c r="CC33" i="1"/>
  <c r="BX34" i="1"/>
  <c r="BS37" i="1"/>
  <c r="F38" i="1"/>
  <c r="AD38" i="1"/>
  <c r="CB37" i="1"/>
  <c r="CC37" i="1"/>
  <c r="AA19" i="1"/>
  <c r="AA353" i="39" s="1"/>
  <c r="BV7" i="1"/>
  <c r="AH9" i="1"/>
  <c r="BW9" i="1"/>
  <c r="I23" i="1"/>
  <c r="M23" i="1"/>
  <c r="Q23" i="1"/>
  <c r="U23" i="1"/>
  <c r="Y23" i="1"/>
  <c r="AC23" i="1"/>
  <c r="AG10" i="1"/>
  <c r="AG23" i="1" s="1"/>
  <c r="BX17" i="1"/>
  <c r="BX54" i="2" s="1"/>
  <c r="AC52" i="1"/>
  <c r="AC604" i="39" s="1"/>
  <c r="E20" i="1"/>
  <c r="E354" i="39" s="1"/>
  <c r="M20" i="1"/>
  <c r="M354" i="39" s="1"/>
  <c r="U20" i="1"/>
  <c r="U354" i="39" s="1"/>
  <c r="AC20" i="1"/>
  <c r="AC354" i="39" s="1"/>
  <c r="AA27" i="1"/>
  <c r="BV26" i="1"/>
  <c r="BT30" i="1"/>
  <c r="AK30" i="1"/>
  <c r="AL29" i="1"/>
  <c r="AL30" i="1" s="1"/>
  <c r="E31" i="1"/>
  <c r="I31" i="1"/>
  <c r="M31" i="1"/>
  <c r="Q31" i="1"/>
  <c r="U31" i="1"/>
  <c r="Y31" i="1"/>
  <c r="AC31" i="1"/>
  <c r="G31" i="1"/>
  <c r="O31" i="1"/>
  <c r="AE31" i="1"/>
  <c r="BU37" i="1"/>
  <c r="BQ37" i="1"/>
  <c r="BQ38" i="1" s="1"/>
  <c r="BW34" i="1"/>
  <c r="CA34" i="1"/>
  <c r="AH36" i="1"/>
  <c r="AH37" i="1" s="1"/>
  <c r="BW37" i="1"/>
  <c r="AN37" i="1"/>
  <c r="BX40" i="1"/>
  <c r="BX45" i="1" s="1"/>
  <c r="CB40" i="1"/>
  <c r="BQ40" i="1"/>
  <c r="BQ45" i="1" s="1"/>
  <c r="BY40" i="1"/>
  <c r="BY45" i="1" s="1"/>
  <c r="K45" i="1"/>
  <c r="K49" i="1" s="1"/>
  <c r="BA45" i="1"/>
  <c r="BA49" i="1" s="1"/>
  <c r="BA50" i="1" s="1"/>
  <c r="AK47" i="1"/>
  <c r="AK48" i="1" s="1"/>
  <c r="D20" i="1"/>
  <c r="D354" i="39" s="1"/>
  <c r="H20" i="1"/>
  <c r="H354" i="39" s="1"/>
  <c r="L20" i="1"/>
  <c r="L354" i="39" s="1"/>
  <c r="P20" i="1"/>
  <c r="P354" i="39" s="1"/>
  <c r="T20" i="1"/>
  <c r="T354" i="39" s="1"/>
  <c r="X20" i="1"/>
  <c r="X354" i="39" s="1"/>
  <c r="AB20" i="1"/>
  <c r="AB354" i="39" s="1"/>
  <c r="AF20" i="1"/>
  <c r="AF354" i="39" s="1"/>
  <c r="BQ30" i="1"/>
  <c r="BV33" i="1"/>
  <c r="W34" i="1"/>
  <c r="F45" i="1"/>
  <c r="F49" i="1" s="1"/>
  <c r="F55" i="1" s="1"/>
  <c r="J45" i="1"/>
  <c r="J49" i="1" s="1"/>
  <c r="N45" i="1"/>
  <c r="N49" i="1" s="1"/>
  <c r="R45" i="1"/>
  <c r="R49" i="1" s="1"/>
  <c r="R55" i="1" s="1"/>
  <c r="V45" i="1"/>
  <c r="V49" i="1" s="1"/>
  <c r="Z45" i="1"/>
  <c r="Z49" i="1" s="1"/>
  <c r="Z55" i="1" s="1"/>
  <c r="AD45" i="1"/>
  <c r="AD49" i="1" s="1"/>
  <c r="AH45" i="1"/>
  <c r="AN45" i="1"/>
  <c r="AR45" i="1"/>
  <c r="AR49" i="1" s="1"/>
  <c r="AR50" i="1" s="1"/>
  <c r="AV45" i="1"/>
  <c r="AV49" i="1" s="1"/>
  <c r="AV50" i="1" s="1"/>
  <c r="AZ45" i="1"/>
  <c r="AZ49" i="1" s="1"/>
  <c r="AZ50" i="1" s="1"/>
  <c r="D47" i="1"/>
  <c r="D48" i="1" s="1"/>
  <c r="H47" i="1"/>
  <c r="H48" i="1" s="1"/>
  <c r="L47" i="1"/>
  <c r="L48" i="1" s="1"/>
  <c r="P47" i="1"/>
  <c r="P48" i="1" s="1"/>
  <c r="T47" i="1"/>
  <c r="T48" i="1" s="1"/>
  <c r="AB47" i="1"/>
  <c r="AB48" i="1" s="1"/>
  <c r="AF47" i="1"/>
  <c r="AF48" i="1" s="1"/>
  <c r="CD60" i="1"/>
  <c r="BQ76" i="1"/>
  <c r="BU76" i="1"/>
  <c r="BR122" i="1"/>
  <c r="D45" i="1"/>
  <c r="D49" i="1" s="1"/>
  <c r="L45" i="1"/>
  <c r="L49" i="1" s="1"/>
  <c r="L55" i="1" s="1"/>
  <c r="P45" i="1"/>
  <c r="P49" i="1" s="1"/>
  <c r="T45" i="1"/>
  <c r="T49" i="1" s="1"/>
  <c r="AP45" i="1"/>
  <c r="AT45" i="1"/>
  <c r="AT49" i="1" s="1"/>
  <c r="AT50" i="1" s="1"/>
  <c r="AX45" i="1"/>
  <c r="AX49" i="1" s="1"/>
  <c r="AX50" i="1" s="1"/>
  <c r="BF45" i="1"/>
  <c r="AL47" i="1"/>
  <c r="AL48" i="1" s="1"/>
  <c r="K52" i="1"/>
  <c r="AI52" i="1"/>
  <c r="AM52" i="1"/>
  <c r="BZ27" i="1"/>
  <c r="S27" i="1"/>
  <c r="AE74" i="1"/>
  <c r="AE76" i="1" s="1"/>
  <c r="E45" i="1"/>
  <c r="E49" i="1" s="1"/>
  <c r="I45" i="1"/>
  <c r="I49" i="1" s="1"/>
  <c r="M45" i="1"/>
  <c r="M49" i="1" s="1"/>
  <c r="Q45" i="1"/>
  <c r="Q49" i="1" s="1"/>
  <c r="U45" i="1"/>
  <c r="U49" i="1" s="1"/>
  <c r="Y45" i="1"/>
  <c r="Y49" i="1" s="1"/>
  <c r="AQ45" i="1"/>
  <c r="AU45" i="1"/>
  <c r="AU49" i="1" s="1"/>
  <c r="AU50" i="1" s="1"/>
  <c r="AY45" i="1"/>
  <c r="AY49" i="1" s="1"/>
  <c r="AY50" i="1" s="1"/>
  <c r="AE47" i="1"/>
  <c r="AE48" i="1" s="1"/>
  <c r="BW58" i="1"/>
  <c r="BW63" i="1" s="1"/>
  <c r="CA58" i="1"/>
  <c r="CA63" i="1" s="1"/>
  <c r="CA90" i="3" s="1"/>
  <c r="AI122" i="1"/>
  <c r="W76" i="1"/>
  <c r="AM122" i="1"/>
  <c r="BV71" i="1"/>
  <c r="AA76" i="1"/>
  <c r="BT76" i="1"/>
  <c r="S76" i="1"/>
  <c r="BE102" i="1"/>
  <c r="CE47" i="1" l="1"/>
  <c r="CE45" i="1"/>
  <c r="BD399" i="39"/>
  <c r="BD373" i="39"/>
  <c r="BD374" i="39"/>
  <c r="BD400" i="39"/>
  <c r="BA354" i="39"/>
  <c r="BH13" i="3"/>
  <c r="BL75" i="3"/>
  <c r="BL13" i="3" s="1"/>
  <c r="BI13" i="3"/>
  <c r="BI78" i="3" s="1"/>
  <c r="BM75" i="3"/>
  <c r="BM13" i="3" s="1"/>
  <c r="BB51" i="3"/>
  <c r="CF101" i="1"/>
  <c r="CF45" i="1"/>
  <c r="CF47" i="1"/>
  <c r="BL141" i="3"/>
  <c r="BM46" i="3"/>
  <c r="BN46" i="3" s="1"/>
  <c r="BO46" i="3" s="1"/>
  <c r="BM142" i="3"/>
  <c r="BN142" i="3" s="1"/>
  <c r="BO142" i="3" s="1"/>
  <c r="CF142" i="3" s="1"/>
  <c r="BQ50" i="2"/>
  <c r="BE78" i="3"/>
  <c r="BD116" i="1"/>
  <c r="BE108" i="3"/>
  <c r="W20" i="1"/>
  <c r="W354" i="39" s="1"/>
  <c r="AW52" i="1"/>
  <c r="AW65" i="1" s="1"/>
  <c r="BV39" i="3"/>
  <c r="BV44" i="3" s="1"/>
  <c r="K55" i="1"/>
  <c r="K115" i="1" s="1"/>
  <c r="BU40" i="1"/>
  <c r="BU45" i="1" s="1"/>
  <c r="BS81" i="1"/>
  <c r="BS38" i="1"/>
  <c r="E52" i="1"/>
  <c r="E53" i="1" s="1"/>
  <c r="Z52" i="1"/>
  <c r="Z604" i="39" s="1"/>
  <c r="AZ354" i="39"/>
  <c r="BZ52" i="1"/>
  <c r="BZ65" i="1" s="1"/>
  <c r="V55" i="1"/>
  <c r="V115" i="1" s="1"/>
  <c r="V117" i="1" s="1"/>
  <c r="BR81" i="1"/>
  <c r="AW20" i="1"/>
  <c r="AW354" i="39" s="1"/>
  <c r="G55" i="1"/>
  <c r="G56" i="1" s="1"/>
  <c r="O55" i="1"/>
  <c r="O115" i="1" s="1"/>
  <c r="O117" i="1" s="1"/>
  <c r="CA47" i="1"/>
  <c r="CA48" i="1" s="1"/>
  <c r="Z53" i="1"/>
  <c r="J52" i="1"/>
  <c r="BQ23" i="1"/>
  <c r="BQ24" i="1" s="1"/>
  <c r="X52" i="1"/>
  <c r="X604" i="39" s="1"/>
  <c r="BR38" i="1"/>
  <c r="T55" i="1"/>
  <c r="T68" i="1" s="1"/>
  <c r="J55" i="1"/>
  <c r="J68" i="1" s="1"/>
  <c r="S52" i="1"/>
  <c r="S604" i="39" s="1"/>
  <c r="X55" i="1"/>
  <c r="X56" i="1" s="1"/>
  <c r="S49" i="1"/>
  <c r="BS47" i="1"/>
  <c r="BS48" i="1" s="1"/>
  <c r="AV20" i="1"/>
  <c r="AV354" i="39" s="1"/>
  <c r="BR23" i="1"/>
  <c r="BR24" i="1" s="1"/>
  <c r="AN52" i="1"/>
  <c r="AN65" i="1" s="1"/>
  <c r="BR49" i="1"/>
  <c r="BT47" i="1"/>
  <c r="BT48" i="1" s="1"/>
  <c r="BV50" i="2"/>
  <c r="BI141" i="3"/>
  <c r="BJ141" i="3" s="1"/>
  <c r="BK141" i="3" s="1"/>
  <c r="CE141" i="3" s="1"/>
  <c r="BF13" i="3"/>
  <c r="BF405" i="39" s="1"/>
  <c r="BJ75" i="3"/>
  <c r="BH405" i="39"/>
  <c r="BH116" i="1"/>
  <c r="BH86" i="3"/>
  <c r="BH108" i="3"/>
  <c r="BH78" i="3"/>
  <c r="BI116" i="1"/>
  <c r="BG62" i="2"/>
  <c r="BH58" i="2"/>
  <c r="BJ59" i="2"/>
  <c r="BR50" i="2"/>
  <c r="BT50" i="2"/>
  <c r="O52" i="1"/>
  <c r="O604" i="39" s="1"/>
  <c r="G52" i="1"/>
  <c r="G65" i="1" s="1"/>
  <c r="N55" i="1"/>
  <c r="N68" i="1" s="1"/>
  <c r="BX29" i="1"/>
  <c r="BX30" i="1" s="1"/>
  <c r="W31" i="1"/>
  <c r="AR20" i="1"/>
  <c r="AR354" i="39" s="1"/>
  <c r="W47" i="1"/>
  <c r="W48" i="1" s="1"/>
  <c r="M52" i="1"/>
  <c r="M604" i="39" s="1"/>
  <c r="BR12" i="1"/>
  <c r="AJ20" i="1"/>
  <c r="AJ354" i="39" s="1"/>
  <c r="AY52" i="1"/>
  <c r="AQ52" i="1"/>
  <c r="AQ53" i="1" s="1"/>
  <c r="BU10" i="1"/>
  <c r="BU38" i="1" s="1"/>
  <c r="N65" i="1"/>
  <c r="N79" i="1" s="1"/>
  <c r="AH52" i="1"/>
  <c r="AK20" i="1"/>
  <c r="AK354" i="39" s="1"/>
  <c r="AS52" i="1"/>
  <c r="CC67" i="2"/>
  <c r="AM179" i="39"/>
  <c r="AM180" i="39" s="1"/>
  <c r="AN178" i="39"/>
  <c r="AM182" i="39"/>
  <c r="AM183" i="39" s="1"/>
  <c r="BY329" i="39"/>
  <c r="AL180" i="39"/>
  <c r="AL182" i="39" s="1"/>
  <c r="AL183" i="39" s="1"/>
  <c r="BT353" i="39"/>
  <c r="BT354" i="39" s="1"/>
  <c r="BY353" i="39"/>
  <c r="BX353" i="39"/>
  <c r="BX354" i="39" s="1"/>
  <c r="BS547" i="39"/>
  <c r="BS549" i="39" s="1"/>
  <c r="W547" i="39"/>
  <c r="W549" i="39" s="1"/>
  <c r="BW547" i="39"/>
  <c r="BW549" i="39" s="1"/>
  <c r="BR520" i="39"/>
  <c r="BR522" i="39" s="1"/>
  <c r="AA547" i="39"/>
  <c r="AA549" i="39" s="1"/>
  <c r="BF66" i="39"/>
  <c r="BE11" i="39"/>
  <c r="BE69" i="39"/>
  <c r="CC24" i="39"/>
  <c r="AD226" i="39"/>
  <c r="AD228" i="39" s="1"/>
  <c r="AD229" i="39" s="1"/>
  <c r="BF38" i="39"/>
  <c r="BE41" i="39"/>
  <c r="BE10" i="39"/>
  <c r="CC25" i="39"/>
  <c r="AY354" i="39"/>
  <c r="D55" i="1"/>
  <c r="D68" i="1" s="1"/>
  <c r="S31" i="1"/>
  <c r="AR52" i="1"/>
  <c r="AR53" i="1" s="1"/>
  <c r="S20" i="1"/>
  <c r="S354" i="39" s="1"/>
  <c r="S38" i="1"/>
  <c r="BR47" i="1"/>
  <c r="BR48" i="1" s="1"/>
  <c r="AV52" i="1"/>
  <c r="AV65" i="1" s="1"/>
  <c r="AJ52" i="1"/>
  <c r="AJ65" i="1" s="1"/>
  <c r="AN20" i="1"/>
  <c r="AN354" i="39" s="1"/>
  <c r="CB20" i="1"/>
  <c r="AU20" i="1"/>
  <c r="AU354" i="39" s="1"/>
  <c r="AQ20" i="1"/>
  <c r="AQ354" i="39" s="1"/>
  <c r="N53" i="1"/>
  <c r="AL20" i="1"/>
  <c r="AL354" i="39" s="1"/>
  <c r="AH20" i="1"/>
  <c r="AH354" i="39" s="1"/>
  <c r="BA52" i="1"/>
  <c r="BA53" i="1" s="1"/>
  <c r="Z65" i="1"/>
  <c r="Z72" i="1" s="1"/>
  <c r="AD53" i="1"/>
  <c r="AS20" i="1"/>
  <c r="AS354" i="39" s="1"/>
  <c r="AG20" i="1"/>
  <c r="AG354" i="39" s="1"/>
  <c r="F52" i="1"/>
  <c r="BV353" i="39"/>
  <c r="BV354" i="39" s="1"/>
  <c r="BU353" i="39"/>
  <c r="BU354" i="39" s="1"/>
  <c r="BS353" i="39"/>
  <c r="BS354" i="39" s="1"/>
  <c r="BR353" i="39"/>
  <c r="BR354" i="39" s="1"/>
  <c r="BW353" i="39"/>
  <c r="BW354" i="39" s="1"/>
  <c r="BR13" i="3"/>
  <c r="K116" i="1"/>
  <c r="K78" i="3"/>
  <c r="CB78" i="3"/>
  <c r="CB116" i="1"/>
  <c r="CB86" i="3"/>
  <c r="BT13" i="3"/>
  <c r="S116" i="1"/>
  <c r="S78" i="3"/>
  <c r="S76" i="3" s="1"/>
  <c r="S75" i="3" s="1"/>
  <c r="S79" i="3" s="1"/>
  <c r="BX44" i="3"/>
  <c r="BT39" i="3"/>
  <c r="BT44" i="3" s="1"/>
  <c r="BV13" i="3"/>
  <c r="AA116" i="1"/>
  <c r="AA78" i="3"/>
  <c r="AA76" i="3" s="1"/>
  <c r="AA75" i="3" s="1"/>
  <c r="AA79" i="3" s="1"/>
  <c r="CB405" i="39"/>
  <c r="BF37" i="2"/>
  <c r="BE26" i="3"/>
  <c r="BE117" i="3"/>
  <c r="BF22" i="3"/>
  <c r="BF130" i="3"/>
  <c r="BE121" i="3"/>
  <c r="BF30" i="2"/>
  <c r="BE24" i="3"/>
  <c r="BE119" i="3" s="1"/>
  <c r="BF15" i="2"/>
  <c r="BG21" i="2"/>
  <c r="BE120" i="3"/>
  <c r="BE104" i="1"/>
  <c r="BE40" i="3"/>
  <c r="BE75" i="2"/>
  <c r="AE81" i="1"/>
  <c r="BY29" i="1"/>
  <c r="BY30" i="1" s="1"/>
  <c r="BY49" i="1" s="1"/>
  <c r="BX50" i="2"/>
  <c r="BX49" i="2"/>
  <c r="BX48" i="2" s="1"/>
  <c r="BS49" i="2"/>
  <c r="BS48" i="2" s="1"/>
  <c r="BS50" i="2"/>
  <c r="W52" i="1"/>
  <c r="W604" i="39" s="1"/>
  <c r="AG31" i="1"/>
  <c r="L52" i="1"/>
  <c r="L604" i="39" s="1"/>
  <c r="BT539" i="39"/>
  <c r="BT519" i="39"/>
  <c r="BT518" i="39"/>
  <c r="BT546" i="39"/>
  <c r="BT545" i="39"/>
  <c r="BT544" i="39"/>
  <c r="BT543" i="39"/>
  <c r="BT542" i="39"/>
  <c r="BT53" i="2"/>
  <c r="BT449" i="39"/>
  <c r="BT459" i="39"/>
  <c r="BT467" i="39"/>
  <c r="BT458" i="39"/>
  <c r="BT462" i="39"/>
  <c r="BT466" i="39"/>
  <c r="BT451" i="39"/>
  <c r="BT452" i="39"/>
  <c r="BT454" i="39"/>
  <c r="BT457" i="39"/>
  <c r="BT461" i="39"/>
  <c r="BT465" i="39"/>
  <c r="BT450" i="39"/>
  <c r="BT453" i="39"/>
  <c r="BT460" i="39"/>
  <c r="BT464" i="39"/>
  <c r="BT468" i="39"/>
  <c r="BT456" i="39"/>
  <c r="BT455" i="39"/>
  <c r="BT463" i="39"/>
  <c r="CC45" i="1"/>
  <c r="S49" i="2"/>
  <c r="S48" i="2" s="1"/>
  <c r="S50" i="2"/>
  <c r="BS49" i="1"/>
  <c r="AG52" i="1"/>
  <c r="AG604" i="39" s="1"/>
  <c r="AT52" i="1"/>
  <c r="AT353" i="39"/>
  <c r="U52" i="1"/>
  <c r="AZ353" i="39"/>
  <c r="BX547" i="39"/>
  <c r="BS51" i="2"/>
  <c r="BS47" i="2"/>
  <c r="BQ47" i="2"/>
  <c r="BQ51" i="2"/>
  <c r="W51" i="2"/>
  <c r="W47" i="2"/>
  <c r="BY47" i="2"/>
  <c r="BY51" i="2"/>
  <c r="BW469" i="39"/>
  <c r="BW470" i="39" s="1"/>
  <c r="BW472" i="39" s="1"/>
  <c r="AA51" i="2"/>
  <c r="AA47" i="2"/>
  <c r="AA469" i="39"/>
  <c r="AA470" i="39" s="1"/>
  <c r="AA472" i="39" s="1"/>
  <c r="S51" i="2"/>
  <c r="S47" i="2"/>
  <c r="S469" i="39"/>
  <c r="S470" i="39" s="1"/>
  <c r="S472" i="39" s="1"/>
  <c r="Q52" i="1"/>
  <c r="I52" i="1"/>
  <c r="AY353" i="39"/>
  <c r="W49" i="1"/>
  <c r="W55" i="1" s="1"/>
  <c r="W115" i="1" s="1"/>
  <c r="W117" i="1" s="1"/>
  <c r="AE52" i="1"/>
  <c r="AE604" i="39" s="1"/>
  <c r="CB45" i="1"/>
  <c r="BV19" i="1"/>
  <c r="BV20" i="1" s="1"/>
  <c r="BV546" i="39"/>
  <c r="BV545" i="39"/>
  <c r="BV544" i="39"/>
  <c r="BV543" i="39"/>
  <c r="BV542" i="39"/>
  <c r="BV519" i="39"/>
  <c r="BV518" i="39"/>
  <c r="BV53" i="2"/>
  <c r="BV451" i="39"/>
  <c r="BV454" i="39"/>
  <c r="BV457" i="39"/>
  <c r="BV461" i="39"/>
  <c r="BV465" i="39"/>
  <c r="BV450" i="39"/>
  <c r="BV453" i="39"/>
  <c r="BV460" i="39"/>
  <c r="BV464" i="39"/>
  <c r="BV468" i="39"/>
  <c r="BV456" i="39"/>
  <c r="BV449" i="39"/>
  <c r="BV459" i="39"/>
  <c r="BV467" i="39"/>
  <c r="BV458" i="39"/>
  <c r="BV462" i="39"/>
  <c r="BV466" i="39"/>
  <c r="BV539" i="39"/>
  <c r="BV455" i="39"/>
  <c r="BV463" i="39"/>
  <c r="BV446" i="39"/>
  <c r="BV452" i="39"/>
  <c r="AG38" i="1"/>
  <c r="BW49" i="2"/>
  <c r="BW48" i="2" s="1"/>
  <c r="BW50" i="2"/>
  <c r="BU19" i="1"/>
  <c r="BU546" i="39"/>
  <c r="BU545" i="39"/>
  <c r="BU544" i="39"/>
  <c r="BU543" i="39"/>
  <c r="BU542" i="39"/>
  <c r="BU519" i="39"/>
  <c r="BU518" i="39"/>
  <c r="BU53" i="2"/>
  <c r="BU458" i="39"/>
  <c r="BU462" i="39"/>
  <c r="BU466" i="39"/>
  <c r="BU451" i="39"/>
  <c r="BU452" i="39"/>
  <c r="BU454" i="39"/>
  <c r="BU457" i="39"/>
  <c r="BU461" i="39"/>
  <c r="BU465" i="39"/>
  <c r="BU450" i="39"/>
  <c r="BU453" i="39"/>
  <c r="BU456" i="39"/>
  <c r="BU460" i="39"/>
  <c r="BU464" i="39"/>
  <c r="BU468" i="39"/>
  <c r="BU449" i="39"/>
  <c r="BU459" i="39"/>
  <c r="BU467" i="39"/>
  <c r="BU539" i="39"/>
  <c r="BU463" i="39"/>
  <c r="BU455" i="39"/>
  <c r="BV40" i="1"/>
  <c r="BV47" i="1" s="1"/>
  <c r="BV614" i="39"/>
  <c r="BQ47" i="1"/>
  <c r="AA23" i="1"/>
  <c r="AA24" i="1" s="1"/>
  <c r="AA54" i="2"/>
  <c r="BU49" i="2"/>
  <c r="BU48" i="2" s="1"/>
  <c r="BU50" i="2"/>
  <c r="BT81" i="1"/>
  <c r="CD45" i="1"/>
  <c r="BV62" i="3"/>
  <c r="BU62" i="3"/>
  <c r="AX20" i="1"/>
  <c r="AX354" i="39" s="1"/>
  <c r="AX353" i="39"/>
  <c r="AX52" i="1"/>
  <c r="AO20" i="1"/>
  <c r="AO354" i="39" s="1"/>
  <c r="AO353" i="39"/>
  <c r="AL49" i="2"/>
  <c r="AL48" i="2" s="1"/>
  <c r="AL50" i="2"/>
  <c r="AH50" i="2"/>
  <c r="AH49" i="2"/>
  <c r="AH48" i="2" s="1"/>
  <c r="CB49" i="2"/>
  <c r="CB48" i="2" s="1"/>
  <c r="CB50" i="2"/>
  <c r="CB51" i="2"/>
  <c r="CB47" i="2"/>
  <c r="BZ47" i="2"/>
  <c r="BZ51" i="2"/>
  <c r="BX47" i="2"/>
  <c r="BX51" i="2"/>
  <c r="BS469" i="39"/>
  <c r="BS470" i="39" s="1"/>
  <c r="BS472" i="39" s="1"/>
  <c r="BS520" i="39"/>
  <c r="BS522" i="39" s="1"/>
  <c r="W469" i="39"/>
  <c r="W470" i="39" s="1"/>
  <c r="W472" i="39" s="1"/>
  <c r="CA47" i="2"/>
  <c r="CA51" i="2"/>
  <c r="BY547" i="39"/>
  <c r="BW51" i="2"/>
  <c r="BW47" i="2"/>
  <c r="BW520" i="39"/>
  <c r="BW522" i="39" s="1"/>
  <c r="BR51" i="2"/>
  <c r="BR47" i="2"/>
  <c r="BR547" i="39"/>
  <c r="BR549" i="39" s="1"/>
  <c r="S547" i="39"/>
  <c r="S549" i="39" s="1"/>
  <c r="BT446" i="39"/>
  <c r="R52" i="1"/>
  <c r="AP52" i="1"/>
  <c r="AP353" i="39"/>
  <c r="Y52" i="1"/>
  <c r="V52" i="1"/>
  <c r="BA50" i="2"/>
  <c r="BA49" i="2"/>
  <c r="BA48" i="2" s="1"/>
  <c r="AY49" i="2"/>
  <c r="AY48" i="2" s="1"/>
  <c r="AY50" i="2"/>
  <c r="AZ50" i="2" s="1"/>
  <c r="AU49" i="2"/>
  <c r="AU48" i="2" s="1"/>
  <c r="AU50" i="2"/>
  <c r="AV50" i="2" s="1"/>
  <c r="AS50" i="2"/>
  <c r="AS49" i="2"/>
  <c r="AS48" i="2" s="1"/>
  <c r="AQ49" i="2"/>
  <c r="AQ48" i="2" s="1"/>
  <c r="AQ50" i="2"/>
  <c r="AR50" i="2" s="1"/>
  <c r="AK50" i="2"/>
  <c r="AK49" i="2"/>
  <c r="AK48" i="2" s="1"/>
  <c r="AG50" i="2"/>
  <c r="AG49" i="2"/>
  <c r="AG48" i="2" s="1"/>
  <c r="D49" i="2"/>
  <c r="D48" i="2" s="1"/>
  <c r="D50" i="2"/>
  <c r="AA38" i="1"/>
  <c r="BV10" i="1"/>
  <c r="BW12" i="1" s="1"/>
  <c r="AG89" i="2"/>
  <c r="AG90" i="2" s="1"/>
  <c r="AK89" i="2"/>
  <c r="AK90" i="2" s="1"/>
  <c r="P162" i="39"/>
  <c r="P163" i="39" s="1"/>
  <c r="P161" i="39"/>
  <c r="AL372" i="39"/>
  <c r="AL309" i="39"/>
  <c r="AM305" i="39"/>
  <c r="BY305" i="39" s="1"/>
  <c r="AL308" i="39"/>
  <c r="AX190" i="39"/>
  <c r="AX188" i="39"/>
  <c r="AR171" i="39"/>
  <c r="AR149" i="39"/>
  <c r="AS138" i="39"/>
  <c r="AR193" i="39"/>
  <c r="AO329" i="39"/>
  <c r="AP329" i="39" s="1"/>
  <c r="AQ329" i="39" s="1"/>
  <c r="AR329" i="39" s="1"/>
  <c r="AK271" i="39"/>
  <c r="AK270" i="39"/>
  <c r="AL267" i="39"/>
  <c r="AQ140" i="39"/>
  <c r="BZ140" i="39" s="1"/>
  <c r="AP172" i="39"/>
  <c r="AP150" i="39"/>
  <c r="AP170" i="39"/>
  <c r="AP148" i="39"/>
  <c r="AQ136" i="39"/>
  <c r="BZ136" i="39" s="1"/>
  <c r="BA188" i="39"/>
  <c r="AH51" i="39"/>
  <c r="AH50" i="39"/>
  <c r="AI49" i="39"/>
  <c r="AZ190" i="39"/>
  <c r="AP130" i="39"/>
  <c r="AO132" i="39"/>
  <c r="AY190" i="39"/>
  <c r="AY189" i="39"/>
  <c r="AX189" i="39"/>
  <c r="AE223" i="39"/>
  <c r="AE224" i="39" s="1"/>
  <c r="AF222" i="39"/>
  <c r="S145" i="39"/>
  <c r="R149" i="39"/>
  <c r="S148" i="39"/>
  <c r="BT148" i="39" s="1"/>
  <c r="T144" i="39"/>
  <c r="BD188" i="39"/>
  <c r="BH188" i="39" s="1"/>
  <c r="BL188" i="39" s="1"/>
  <c r="AC228" i="39"/>
  <c r="AC229" i="39" s="1"/>
  <c r="AC227" i="39"/>
  <c r="AY188" i="39"/>
  <c r="AJ265" i="39"/>
  <c r="AJ264" i="39"/>
  <c r="AJ263" i="39"/>
  <c r="AK262" i="39"/>
  <c r="AK120" i="39" s="1"/>
  <c r="BZ193" i="39"/>
  <c r="Q150" i="39"/>
  <c r="R146" i="39"/>
  <c r="AK375" i="39"/>
  <c r="AK377" i="39" s="1"/>
  <c r="AK385" i="39"/>
  <c r="AK386" i="39" s="1"/>
  <c r="AK363" i="39" s="1"/>
  <c r="AK407" i="39" s="1"/>
  <c r="BE367" i="39"/>
  <c r="AJ120" i="39"/>
  <c r="AJ407" i="39"/>
  <c r="AO160" i="39"/>
  <c r="AO161" i="39" s="1"/>
  <c r="AL302" i="39"/>
  <c r="AL303" i="39"/>
  <c r="AM299" i="39"/>
  <c r="BY299" i="39" s="1"/>
  <c r="BX87" i="3"/>
  <c r="CD87" i="3"/>
  <c r="AY79" i="3"/>
  <c r="BW76" i="3"/>
  <c r="BW75" i="3" s="1"/>
  <c r="BW79" i="3" s="1"/>
  <c r="AU44" i="3"/>
  <c r="CA39" i="3"/>
  <c r="CA44" i="3" s="1"/>
  <c r="CC110" i="3"/>
  <c r="BF66" i="2"/>
  <c r="K44" i="3"/>
  <c r="BR39" i="3"/>
  <c r="BR44" i="3" s="1"/>
  <c r="BG75" i="3"/>
  <c r="BC116" i="1"/>
  <c r="BX76" i="3"/>
  <c r="BX75" i="3" s="1"/>
  <c r="BX79" i="3" s="1"/>
  <c r="BE79" i="3"/>
  <c r="BF137" i="3"/>
  <c r="W44" i="3"/>
  <c r="BU39" i="3"/>
  <c r="BU44" i="3" s="1"/>
  <c r="CA88" i="3"/>
  <c r="CA60" i="3"/>
  <c r="CA62" i="3" s="1"/>
  <c r="CA36" i="3"/>
  <c r="BG42" i="3"/>
  <c r="BH42" i="3" s="1"/>
  <c r="BB86" i="3"/>
  <c r="AY87" i="3"/>
  <c r="BC87" i="3"/>
  <c r="CC15" i="3"/>
  <c r="CC87" i="3" s="1"/>
  <c r="O44" i="3"/>
  <c r="BS39" i="3"/>
  <c r="BS44" i="3" s="1"/>
  <c r="AQ87" i="3"/>
  <c r="BZ15" i="3"/>
  <c r="BS60" i="3"/>
  <c r="BS62" i="3" s="1"/>
  <c r="BS36" i="3"/>
  <c r="CB87" i="3"/>
  <c r="BE66" i="3"/>
  <c r="BF66" i="3" s="1"/>
  <c r="AU87" i="3"/>
  <c r="CA15" i="3"/>
  <c r="BZ76" i="3"/>
  <c r="BZ75" i="3" s="1"/>
  <c r="BZ79" i="3" s="1"/>
  <c r="BT60" i="3"/>
  <c r="BT62" i="3" s="1"/>
  <c r="BT36" i="3"/>
  <c r="CA76" i="3"/>
  <c r="CA75" i="3" s="1"/>
  <c r="CA79" i="3" s="1"/>
  <c r="BX88" i="3"/>
  <c r="BX60" i="3"/>
  <c r="BX62" i="3" s="1"/>
  <c r="BX36" i="3"/>
  <c r="AI87" i="3"/>
  <c r="BQ39" i="3"/>
  <c r="BQ44" i="3" s="1"/>
  <c r="BF85" i="2"/>
  <c r="BG20" i="2"/>
  <c r="BG16" i="2"/>
  <c r="BE84" i="2"/>
  <c r="BF12" i="2"/>
  <c r="L115" i="1"/>
  <c r="L117" i="1" s="1"/>
  <c r="L68" i="1"/>
  <c r="L56" i="1"/>
  <c r="Z115" i="1"/>
  <c r="Z117" i="1" s="1"/>
  <c r="Z68" i="1"/>
  <c r="Z56" i="1"/>
  <c r="D115" i="1"/>
  <c r="D117" i="1" s="1"/>
  <c r="D56" i="1"/>
  <c r="V68" i="1"/>
  <c r="G115" i="1"/>
  <c r="G117" i="1" s="1"/>
  <c r="G68" i="1"/>
  <c r="R115" i="1"/>
  <c r="R117" i="1" s="1"/>
  <c r="R68" i="1"/>
  <c r="R56" i="1"/>
  <c r="Y24" i="1"/>
  <c r="Y55" i="1"/>
  <c r="S53" i="1"/>
  <c r="BW52" i="1"/>
  <c r="BW604" i="39" s="1"/>
  <c r="BW20" i="1"/>
  <c r="AJ49" i="1"/>
  <c r="E24" i="1"/>
  <c r="E55" i="1"/>
  <c r="AH65" i="1"/>
  <c r="AH53" i="1"/>
  <c r="BT122" i="1"/>
  <c r="BQ122" i="1"/>
  <c r="BW38" i="1"/>
  <c r="AL49" i="1"/>
  <c r="AC65" i="1"/>
  <c r="AC53" i="1"/>
  <c r="U24" i="1"/>
  <c r="U55" i="1"/>
  <c r="BX47" i="1"/>
  <c r="AZ65" i="1"/>
  <c r="AZ53" i="1"/>
  <c r="AP37" i="1"/>
  <c r="BZ36" i="1"/>
  <c r="BW49" i="1"/>
  <c r="CC47" i="1"/>
  <c r="BU30" i="1"/>
  <c r="BU27" i="1"/>
  <c r="D52" i="1"/>
  <c r="BT19" i="1"/>
  <c r="BT27" i="1"/>
  <c r="BZ24" i="1"/>
  <c r="AF55" i="1"/>
  <c r="AF24" i="1"/>
  <c r="BU12" i="1"/>
  <c r="BU23" i="1"/>
  <c r="CA52" i="1"/>
  <c r="AB115" i="1"/>
  <c r="AB117" i="1" s="1"/>
  <c r="AB68" i="1"/>
  <c r="AB56" i="1"/>
  <c r="AD55" i="1"/>
  <c r="AD24" i="1"/>
  <c r="BF37" i="1"/>
  <c r="BG36" i="1"/>
  <c r="BF30" i="1"/>
  <c r="BG29" i="1"/>
  <c r="BT31" i="1"/>
  <c r="AH74" i="1"/>
  <c r="AH76" i="1" s="1"/>
  <c r="AH10" i="1"/>
  <c r="AH38" i="1" s="1"/>
  <c r="AI9" i="1"/>
  <c r="BX9" i="1" s="1"/>
  <c r="BW23" i="1"/>
  <c r="BW31" i="1"/>
  <c r="BF102" i="1"/>
  <c r="AM65" i="1"/>
  <c r="AM53" i="1"/>
  <c r="K53" i="1"/>
  <c r="K65" i="1"/>
  <c r="BQ31" i="1"/>
  <c r="BQ49" i="1"/>
  <c r="AK49" i="1"/>
  <c r="BV27" i="1"/>
  <c r="BV30" i="1"/>
  <c r="AG24" i="1"/>
  <c r="Q24" i="1"/>
  <c r="Q55" i="1"/>
  <c r="AP30" i="1"/>
  <c r="AQ29" i="1"/>
  <c r="AQ30" i="1" s="1"/>
  <c r="AG49" i="1"/>
  <c r="AG55" i="1" s="1"/>
  <c r="BY47" i="1"/>
  <c r="E65" i="1"/>
  <c r="BU20" i="1"/>
  <c r="AA81" i="1"/>
  <c r="AA45" i="1"/>
  <c r="AA49" i="1" s="1"/>
  <c r="AW53" i="1"/>
  <c r="AN53" i="1"/>
  <c r="BQ81" i="1"/>
  <c r="P55" i="1"/>
  <c r="P24" i="1"/>
  <c r="AU53" i="1"/>
  <c r="AU65" i="1"/>
  <c r="BT23" i="1"/>
  <c r="BT12" i="1"/>
  <c r="H115" i="1"/>
  <c r="H117" i="1" s="1"/>
  <c r="H56" i="1"/>
  <c r="H68" i="1"/>
  <c r="AD79" i="1"/>
  <c r="AD66" i="1"/>
  <c r="AD72" i="1"/>
  <c r="AD74" i="1" s="1"/>
  <c r="AE115" i="1"/>
  <c r="AE117" i="1" s="1"/>
  <c r="AE56" i="1"/>
  <c r="AE68" i="1"/>
  <c r="AE77" i="1" s="1"/>
  <c r="AS65" i="1"/>
  <c r="AS53" i="1"/>
  <c r="BE49" i="1"/>
  <c r="BU122" i="1"/>
  <c r="I24" i="1"/>
  <c r="I55" i="1"/>
  <c r="AO65" i="1"/>
  <c r="AO53" i="1"/>
  <c r="F115" i="1"/>
  <c r="F117" i="1" s="1"/>
  <c r="F68" i="1"/>
  <c r="F56" i="1"/>
  <c r="AB52" i="1"/>
  <c r="AB604" i="39" s="1"/>
  <c r="AY65" i="1"/>
  <c r="AY53" i="1"/>
  <c r="BV76" i="1"/>
  <c r="AI65" i="1"/>
  <c r="AI53" i="1"/>
  <c r="G53" i="1"/>
  <c r="BV34" i="1"/>
  <c r="BV37" i="1"/>
  <c r="CD47" i="1"/>
  <c r="AC24" i="1"/>
  <c r="AC55" i="1"/>
  <c r="M24" i="1"/>
  <c r="M55" i="1"/>
  <c r="AA20" i="1"/>
  <c r="AA354" i="39" s="1"/>
  <c r="AA52" i="1"/>
  <c r="AA604" i="39" s="1"/>
  <c r="AO49" i="1"/>
  <c r="H52" i="1"/>
  <c r="BX36" i="1"/>
  <c r="BX37" i="1" s="1"/>
  <c r="BX49" i="1" s="1"/>
  <c r="BT37" i="1"/>
  <c r="BT38" i="1" s="1"/>
  <c r="BT34" i="1"/>
  <c r="AN49" i="1"/>
  <c r="AH49" i="1"/>
  <c r="AF52" i="1"/>
  <c r="AF604" i="39" s="1"/>
  <c r="BS23" i="1"/>
  <c r="BS12" i="1"/>
  <c r="P52" i="1"/>
  <c r="P604" i="39" s="1"/>
  <c r="T52" i="1"/>
  <c r="T604" i="39" s="1"/>
  <c r="S23" i="1"/>
  <c r="BU34" i="1"/>
  <c r="CB47" i="1"/>
  <c r="AL52" i="1"/>
  <c r="AK52" i="1"/>
  <c r="W56" i="1"/>
  <c r="BS31" i="1"/>
  <c r="BR52" i="1"/>
  <c r="BI405" i="39" l="1"/>
  <c r="BI108" i="3"/>
  <c r="BM86" i="3"/>
  <c r="BM116" i="1"/>
  <c r="BM405" i="39"/>
  <c r="BM78" i="3"/>
  <c r="BM79" i="3" s="1"/>
  <c r="BI86" i="3"/>
  <c r="BL108" i="3"/>
  <c r="BM108" i="3" s="1"/>
  <c r="BL405" i="39"/>
  <c r="BL116" i="1"/>
  <c r="BL86" i="3"/>
  <c r="BL78" i="3"/>
  <c r="BL79" i="3" s="1"/>
  <c r="BF108" i="3"/>
  <c r="BF116" i="1"/>
  <c r="BJ13" i="3"/>
  <c r="BN75" i="3"/>
  <c r="BN13" i="3" s="1"/>
  <c r="BM141" i="3"/>
  <c r="BN141" i="3" s="1"/>
  <c r="BO141" i="3" s="1"/>
  <c r="CF141" i="3" s="1"/>
  <c r="BF86" i="3"/>
  <c r="AJ53" i="1"/>
  <c r="W65" i="1"/>
  <c r="W79" i="1" s="1"/>
  <c r="K68" i="1"/>
  <c r="T115" i="1"/>
  <c r="T117" i="1" s="1"/>
  <c r="L53" i="1"/>
  <c r="K56" i="1"/>
  <c r="T56" i="1"/>
  <c r="O56" i="1"/>
  <c r="BZ53" i="1"/>
  <c r="W53" i="1"/>
  <c r="BU47" i="1"/>
  <c r="BU48" i="1" s="1"/>
  <c r="L65" i="1"/>
  <c r="L79" i="1" s="1"/>
  <c r="S65" i="1"/>
  <c r="S66" i="1" s="1"/>
  <c r="BU81" i="1"/>
  <c r="BS52" i="1"/>
  <c r="BS604" i="39" s="1"/>
  <c r="AA55" i="1"/>
  <c r="AA115" i="1" s="1"/>
  <c r="AA117" i="1" s="1"/>
  <c r="X65" i="1"/>
  <c r="X79" i="1" s="1"/>
  <c r="BQ55" i="1"/>
  <c r="BQ56" i="1" s="1"/>
  <c r="X115" i="1"/>
  <c r="X117" i="1" s="1"/>
  <c r="O68" i="1"/>
  <c r="O82" i="1" s="1"/>
  <c r="V56" i="1"/>
  <c r="J115" i="1"/>
  <c r="J117" i="1" s="1"/>
  <c r="J53" i="1"/>
  <c r="J65" i="1"/>
  <c r="W68" i="1"/>
  <c r="W77" i="1" s="1"/>
  <c r="AV53" i="1"/>
  <c r="M65" i="1"/>
  <c r="M66" i="1" s="1"/>
  <c r="X53" i="1"/>
  <c r="AQ65" i="1"/>
  <c r="AQ72" i="1" s="1"/>
  <c r="X68" i="1"/>
  <c r="X69" i="1" s="1"/>
  <c r="N115" i="1"/>
  <c r="N117" i="1" s="1"/>
  <c r="J56" i="1"/>
  <c r="BV38" i="1"/>
  <c r="BR55" i="1"/>
  <c r="BR115" i="1" s="1"/>
  <c r="BE67" i="2"/>
  <c r="Z66" i="1"/>
  <c r="Z79" i="1"/>
  <c r="Z86" i="1" s="1"/>
  <c r="BF78" i="3"/>
  <c r="BF79" i="3" s="1"/>
  <c r="BV48" i="1"/>
  <c r="BV52" i="1"/>
  <c r="BV604" i="39" s="1"/>
  <c r="BG30" i="1"/>
  <c r="BH29" i="1"/>
  <c r="BG37" i="1"/>
  <c r="CD37" i="1" s="1"/>
  <c r="BH36" i="1"/>
  <c r="N66" i="1"/>
  <c r="AR65" i="1"/>
  <c r="AR79" i="1" s="1"/>
  <c r="BU52" i="1"/>
  <c r="BU604" i="39" s="1"/>
  <c r="AG65" i="1"/>
  <c r="AG79" i="1" s="1"/>
  <c r="AE65" i="1"/>
  <c r="AE72" i="1" s="1"/>
  <c r="BA65" i="1"/>
  <c r="BA72" i="1" s="1"/>
  <c r="O65" i="1"/>
  <c r="O72" i="1" s="1"/>
  <c r="N56" i="1"/>
  <c r="BH137" i="3"/>
  <c r="BI42" i="3"/>
  <c r="BG13" i="3"/>
  <c r="BG108" i="3" s="1"/>
  <c r="CD108" i="3" s="1"/>
  <c r="BK75" i="3"/>
  <c r="BJ86" i="3"/>
  <c r="BJ116" i="1"/>
  <c r="BJ405" i="39"/>
  <c r="BJ78" i="3"/>
  <c r="BI79" i="3"/>
  <c r="BH79" i="3"/>
  <c r="AM89" i="2"/>
  <c r="AM90" i="2" s="1"/>
  <c r="BH20" i="2"/>
  <c r="BH85" i="2" s="1"/>
  <c r="CD21" i="2"/>
  <c r="BH21" i="2"/>
  <c r="BG22" i="3"/>
  <c r="CD22" i="3" s="1"/>
  <c r="BH16" i="2"/>
  <c r="BI58" i="2"/>
  <c r="BH62" i="2"/>
  <c r="BK59" i="2"/>
  <c r="BL59" i="2" s="1"/>
  <c r="BM59" i="2" s="1"/>
  <c r="BN59" i="2" s="1"/>
  <c r="BO59" i="2" s="1"/>
  <c r="AD227" i="39"/>
  <c r="BG66" i="3"/>
  <c r="BH66" i="3" s="1"/>
  <c r="BI66" i="3" s="1"/>
  <c r="BJ66" i="3" s="1"/>
  <c r="BE135" i="3"/>
  <c r="N72" i="1"/>
  <c r="M53" i="1"/>
  <c r="AG53" i="1"/>
  <c r="AE53" i="1"/>
  <c r="O53" i="1"/>
  <c r="K117" i="1"/>
  <c r="AN179" i="39"/>
  <c r="AN180" i="39" s="1"/>
  <c r="AO178" i="39"/>
  <c r="AN182" i="39"/>
  <c r="AN183" i="39" s="1"/>
  <c r="BV520" i="39"/>
  <c r="BV522" i="39" s="1"/>
  <c r="BV547" i="39"/>
  <c r="BV549" i="39" s="1"/>
  <c r="BT469" i="39"/>
  <c r="BT470" i="39" s="1"/>
  <c r="BT472" i="39" s="1"/>
  <c r="BE24" i="39"/>
  <c r="BE399" i="39"/>
  <c r="BE17" i="39"/>
  <c r="BF10" i="39"/>
  <c r="BG38" i="39"/>
  <c r="BH38" i="39" s="1"/>
  <c r="BF41" i="39"/>
  <c r="BF69" i="39"/>
  <c r="BG66" i="39"/>
  <c r="BF11" i="39"/>
  <c r="BZ329" i="39"/>
  <c r="BZ331" i="39" s="1"/>
  <c r="BE400" i="39"/>
  <c r="BE25" i="39"/>
  <c r="BE374" i="39"/>
  <c r="BE18" i="39"/>
  <c r="BZ353" i="39"/>
  <c r="F65" i="1"/>
  <c r="F53" i="1"/>
  <c r="BG102" i="1"/>
  <c r="CD102" i="1" s="1"/>
  <c r="BT520" i="39"/>
  <c r="BT522" i="39" s="1"/>
  <c r="BV116" i="1"/>
  <c r="BV78" i="3"/>
  <c r="BT78" i="3"/>
  <c r="BT76" i="3" s="1"/>
  <c r="BT75" i="3" s="1"/>
  <c r="BT79" i="3" s="1"/>
  <c r="BT116" i="1"/>
  <c r="CC13" i="3"/>
  <c r="CC405" i="39"/>
  <c r="CB76" i="3"/>
  <c r="CB75" i="3" s="1"/>
  <c r="CB79" i="3" s="1"/>
  <c r="K76" i="3"/>
  <c r="K75" i="3" s="1"/>
  <c r="K79" i="3" s="1"/>
  <c r="BR116" i="1"/>
  <c r="BR78" i="3"/>
  <c r="BG15" i="2"/>
  <c r="BG30" i="2"/>
  <c r="BH30" i="2" s="1"/>
  <c r="BH24" i="3" s="1"/>
  <c r="BF24" i="3"/>
  <c r="BF119" i="3" s="1"/>
  <c r="BG37" i="2"/>
  <c r="BH37" i="2" s="1"/>
  <c r="BH26" i="3" s="1"/>
  <c r="BF26" i="3"/>
  <c r="BG35" i="3"/>
  <c r="CD35" i="3" s="1"/>
  <c r="BF25" i="3"/>
  <c r="BG130" i="3"/>
  <c r="CD130" i="3" s="1"/>
  <c r="BF117" i="3"/>
  <c r="AD86" i="1"/>
  <c r="AD11" i="3" s="1"/>
  <c r="AD27" i="3" s="1"/>
  <c r="AD117" i="2"/>
  <c r="Y604" i="39"/>
  <c r="Y53" i="1"/>
  <c r="Y65" i="1"/>
  <c r="AP53" i="1"/>
  <c r="AP65" i="1"/>
  <c r="AX65" i="1"/>
  <c r="AX53" i="1"/>
  <c r="AA49" i="2"/>
  <c r="AA48" i="2" s="1"/>
  <c r="AA50" i="2"/>
  <c r="BQ48" i="1"/>
  <c r="BQ52" i="1"/>
  <c r="BU520" i="39"/>
  <c r="BU522" i="39" s="1"/>
  <c r="BU547" i="39"/>
  <c r="BU549" i="39" s="1"/>
  <c r="BV51" i="2"/>
  <c r="BV47" i="2"/>
  <c r="Q604" i="39"/>
  <c r="Q53" i="1"/>
  <c r="Q65" i="1"/>
  <c r="BT47" i="2"/>
  <c r="BT51" i="2"/>
  <c r="N86" i="1"/>
  <c r="N11" i="3" s="1"/>
  <c r="N27" i="3" s="1"/>
  <c r="N117" i="2"/>
  <c r="CD101" i="1"/>
  <c r="BF104" i="1"/>
  <c r="BF40" i="3"/>
  <c r="BF75" i="2"/>
  <c r="BV23" i="1"/>
  <c r="BV24" i="1" s="1"/>
  <c r="BV12" i="1"/>
  <c r="V604" i="39"/>
  <c r="V53" i="1"/>
  <c r="V65" i="1"/>
  <c r="R65" i="1"/>
  <c r="R604" i="39"/>
  <c r="R53" i="1"/>
  <c r="BV45" i="1"/>
  <c r="BV49" i="1" s="1"/>
  <c r="BV55" i="1" s="1"/>
  <c r="BV81" i="1"/>
  <c r="BU469" i="39"/>
  <c r="BU470" i="39" s="1"/>
  <c r="BU472" i="39" s="1"/>
  <c r="BU47" i="2"/>
  <c r="BU51" i="2"/>
  <c r="BV469" i="39"/>
  <c r="BV470" i="39" s="1"/>
  <c r="BV472" i="39" s="1"/>
  <c r="I65" i="1"/>
  <c r="I53" i="1"/>
  <c r="U604" i="39"/>
  <c r="U65" i="1"/>
  <c r="U53" i="1"/>
  <c r="AT65" i="1"/>
  <c r="AT53" i="1"/>
  <c r="BT547" i="39"/>
  <c r="BT549" i="39" s="1"/>
  <c r="AL89" i="2"/>
  <c r="AL90" i="2" s="1"/>
  <c r="BY303" i="39"/>
  <c r="BY302" i="39"/>
  <c r="U144" i="39"/>
  <c r="T148" i="39"/>
  <c r="S149" i="39"/>
  <c r="BT149" i="39" s="1"/>
  <c r="T145" i="39"/>
  <c r="BE373" i="39"/>
  <c r="BF367" i="39"/>
  <c r="Q160" i="39"/>
  <c r="AK265" i="39"/>
  <c r="AL262" i="39"/>
  <c r="AL120" i="39" s="1"/>
  <c r="AK264" i="39"/>
  <c r="AE226" i="39"/>
  <c r="BB189" i="39"/>
  <c r="BC190" i="39"/>
  <c r="BB188" i="39"/>
  <c r="AM302" i="39"/>
  <c r="AN299" i="39"/>
  <c r="R150" i="39"/>
  <c r="R160" i="39" s="1"/>
  <c r="S146" i="39"/>
  <c r="BC188" i="39"/>
  <c r="AF223" i="39"/>
  <c r="AF224" i="39" s="1"/>
  <c r="AG222" i="39"/>
  <c r="AF226" i="39"/>
  <c r="BD190" i="39"/>
  <c r="BH190" i="39" s="1"/>
  <c r="BL190" i="39" s="1"/>
  <c r="BE366" i="39"/>
  <c r="AQ170" i="39"/>
  <c r="BZ170" i="39" s="1"/>
  <c r="AQ148" i="39"/>
  <c r="BZ148" i="39" s="1"/>
  <c r="AR136" i="39"/>
  <c r="AQ192" i="39"/>
  <c r="BZ192" i="39" s="1"/>
  <c r="AK122" i="39"/>
  <c r="AK121" i="39"/>
  <c r="AK123" i="39"/>
  <c r="AK291" i="39" s="1"/>
  <c r="AT138" i="39"/>
  <c r="AS171" i="39"/>
  <c r="AS149" i="39"/>
  <c r="AS193" i="39"/>
  <c r="AM372" i="39"/>
  <c r="AN305" i="39"/>
  <c r="AM308" i="39"/>
  <c r="BY309" i="39"/>
  <c r="BY308" i="39"/>
  <c r="BC189" i="39"/>
  <c r="AP160" i="39"/>
  <c r="AP161" i="39" s="1"/>
  <c r="AL271" i="39"/>
  <c r="AL270" i="39"/>
  <c r="AM267" i="39"/>
  <c r="AS329" i="39"/>
  <c r="AT329" i="39" s="1"/>
  <c r="AU329" i="39" s="1"/>
  <c r="AV329" i="39" s="1"/>
  <c r="BB190" i="39"/>
  <c r="AJ123" i="39"/>
  <c r="AJ291" i="39" s="1"/>
  <c r="AJ122" i="39"/>
  <c r="AJ121" i="39"/>
  <c r="AP132" i="39"/>
  <c r="AQ130" i="39"/>
  <c r="AI51" i="39"/>
  <c r="AI44" i="39"/>
  <c r="BE188" i="39"/>
  <c r="BI188" i="39" s="1"/>
  <c r="BM188" i="39" s="1"/>
  <c r="AQ172" i="39"/>
  <c r="BZ172" i="39" s="1"/>
  <c r="AR140" i="39"/>
  <c r="AQ150" i="39"/>
  <c r="BZ150" i="39" s="1"/>
  <c r="AQ194" i="39"/>
  <c r="BZ194" i="39" s="1"/>
  <c r="AL385" i="39"/>
  <c r="AL386" i="39" s="1"/>
  <c r="AL363" i="39" s="1"/>
  <c r="AL375" i="39"/>
  <c r="AL377" i="39" s="1"/>
  <c r="BZ130" i="39"/>
  <c r="CC116" i="1"/>
  <c r="BZ87" i="3"/>
  <c r="BE22" i="2"/>
  <c r="BF22" i="2" s="1"/>
  <c r="BG22" i="2" s="1"/>
  <c r="CC22" i="2"/>
  <c r="BC86" i="3"/>
  <c r="BG66" i="2"/>
  <c r="BG137" i="3"/>
  <c r="CD137" i="3" s="1"/>
  <c r="BG78" i="3"/>
  <c r="CA87" i="3"/>
  <c r="CC108" i="3"/>
  <c r="CD42" i="3"/>
  <c r="BG85" i="2"/>
  <c r="CD20" i="2"/>
  <c r="BF84" i="2"/>
  <c r="BG12" i="2"/>
  <c r="CD16" i="2"/>
  <c r="AG115" i="1"/>
  <c r="AG117" i="1" s="1"/>
  <c r="AG68" i="1"/>
  <c r="AG56" i="1"/>
  <c r="AA68" i="1"/>
  <c r="T65" i="1"/>
  <c r="T53" i="1"/>
  <c r="BR56" i="1"/>
  <c r="AF65" i="1"/>
  <c r="AF53" i="1"/>
  <c r="H65" i="1"/>
  <c r="H53" i="1"/>
  <c r="M115" i="1"/>
  <c r="M117" i="1" s="1"/>
  <c r="M68" i="1"/>
  <c r="M56" i="1"/>
  <c r="G72" i="1"/>
  <c r="G79" i="1"/>
  <c r="G66" i="1"/>
  <c r="AO79" i="1"/>
  <c r="AO66" i="1"/>
  <c r="AO72" i="1"/>
  <c r="AE69" i="1"/>
  <c r="AE82" i="1"/>
  <c r="AU72" i="1"/>
  <c r="AU66" i="1"/>
  <c r="AU79" i="1"/>
  <c r="K72" i="1"/>
  <c r="K79" i="1"/>
  <c r="K66" i="1"/>
  <c r="AH23" i="1"/>
  <c r="AH31" i="1"/>
  <c r="BT49" i="1"/>
  <c r="BT55" i="1" s="1"/>
  <c r="D65" i="1"/>
  <c r="D53" i="1"/>
  <c r="L72" i="1"/>
  <c r="BW65" i="1"/>
  <c r="BW53" i="1"/>
  <c r="N82" i="1"/>
  <c r="N69" i="1"/>
  <c r="N77" i="1"/>
  <c r="J82" i="1"/>
  <c r="J69" i="1"/>
  <c r="J77" i="1"/>
  <c r="AL65" i="1"/>
  <c r="AL53" i="1"/>
  <c r="AB65" i="1"/>
  <c r="AB53" i="1"/>
  <c r="F82" i="1"/>
  <c r="F69" i="1"/>
  <c r="F77" i="1"/>
  <c r="AN79" i="1"/>
  <c r="AN72" i="1"/>
  <c r="AN66" i="1"/>
  <c r="AW79" i="1"/>
  <c r="AW66" i="1"/>
  <c r="AW72" i="1"/>
  <c r="AQ49" i="1"/>
  <c r="BV31" i="1"/>
  <c r="AH122" i="1"/>
  <c r="AE79" i="1"/>
  <c r="BF49" i="1"/>
  <c r="AD115" i="1"/>
  <c r="AD117" i="1" s="1"/>
  <c r="AD56" i="1"/>
  <c r="AD68" i="1"/>
  <c r="AF115" i="1"/>
  <c r="AF117" i="1" s="1"/>
  <c r="AF68" i="1"/>
  <c r="AF56" i="1"/>
  <c r="BT52" i="1"/>
  <c r="BT604" i="39" s="1"/>
  <c r="BT20" i="1"/>
  <c r="AH72" i="1"/>
  <c r="AH79" i="1"/>
  <c r="AH66" i="1"/>
  <c r="Y115" i="1"/>
  <c r="Y117" i="1" s="1"/>
  <c r="Y68" i="1"/>
  <c r="Y56" i="1"/>
  <c r="T82" i="1"/>
  <c r="T69" i="1"/>
  <c r="T77" i="1"/>
  <c r="D82" i="1"/>
  <c r="D69" i="1"/>
  <c r="D77" i="1"/>
  <c r="BZ79" i="1"/>
  <c r="BZ72" i="1"/>
  <c r="BZ66" i="1"/>
  <c r="CB48" i="1"/>
  <c r="CB52" i="1"/>
  <c r="BS55" i="1"/>
  <c r="BS24" i="1"/>
  <c r="BR65" i="1"/>
  <c r="BR53" i="1"/>
  <c r="AK65" i="1"/>
  <c r="AK53" i="1"/>
  <c r="AV79" i="1"/>
  <c r="AV72" i="1"/>
  <c r="AV66" i="1"/>
  <c r="AA53" i="1"/>
  <c r="AA65" i="1"/>
  <c r="AC115" i="1"/>
  <c r="AC117" i="1" s="1"/>
  <c r="AC68" i="1"/>
  <c r="AC56" i="1"/>
  <c r="AI72" i="1"/>
  <c r="AI79" i="1"/>
  <c r="AI66" i="1"/>
  <c r="BV122" i="1"/>
  <c r="BS65" i="1"/>
  <c r="AY72" i="1"/>
  <c r="AY79" i="1"/>
  <c r="AY66" i="1"/>
  <c r="I115" i="1"/>
  <c r="I117" i="1" s="1"/>
  <c r="I68" i="1"/>
  <c r="I56" i="1"/>
  <c r="H82" i="1"/>
  <c r="H69" i="1"/>
  <c r="H77" i="1"/>
  <c r="BT24" i="1"/>
  <c r="P115" i="1"/>
  <c r="P117" i="1" s="1"/>
  <c r="P68" i="1"/>
  <c r="P56" i="1"/>
  <c r="AP49" i="1"/>
  <c r="Q115" i="1"/>
  <c r="Q117" i="1" s="1"/>
  <c r="Q68" i="1"/>
  <c r="Q56" i="1"/>
  <c r="BQ115" i="1"/>
  <c r="BQ117" i="1" s="1"/>
  <c r="BW55" i="1"/>
  <c r="BW24" i="1"/>
  <c r="AH81" i="1"/>
  <c r="BU24" i="1"/>
  <c r="W66" i="1"/>
  <c r="AZ79" i="1"/>
  <c r="AZ72" i="1"/>
  <c r="AZ66" i="1"/>
  <c r="AC79" i="1"/>
  <c r="AC66" i="1"/>
  <c r="AC72" i="1"/>
  <c r="AC74" i="1" s="1"/>
  <c r="E115" i="1"/>
  <c r="E117" i="1" s="1"/>
  <c r="E68" i="1"/>
  <c r="E56" i="1"/>
  <c r="X82" i="1"/>
  <c r="R82" i="1"/>
  <c r="R69" i="1"/>
  <c r="R77" i="1"/>
  <c r="G82" i="1"/>
  <c r="G69" i="1"/>
  <c r="G77" i="1"/>
  <c r="V82" i="1"/>
  <c r="V69" i="1"/>
  <c r="V77" i="1"/>
  <c r="L82" i="1"/>
  <c r="L69" i="1"/>
  <c r="L77" i="1"/>
  <c r="S55" i="1"/>
  <c r="S24" i="1"/>
  <c r="P65" i="1"/>
  <c r="P53" i="1"/>
  <c r="M72" i="1"/>
  <c r="AS79" i="1"/>
  <c r="AS66" i="1"/>
  <c r="AS72" i="1"/>
  <c r="AD76" i="1"/>
  <c r="AD81" i="1"/>
  <c r="BZ29" i="1"/>
  <c r="E79" i="1"/>
  <c r="E66" i="1"/>
  <c r="E72" i="1"/>
  <c r="BY48" i="1"/>
  <c r="BY52" i="1"/>
  <c r="X72" i="1"/>
  <c r="AM72" i="1"/>
  <c r="AM79" i="1"/>
  <c r="AM66" i="1"/>
  <c r="AG66" i="1"/>
  <c r="AI81" i="1"/>
  <c r="AI10" i="1"/>
  <c r="AJ9" i="1"/>
  <c r="AB69" i="1"/>
  <c r="CA65" i="1"/>
  <c r="CA53" i="1"/>
  <c r="AJ79" i="1"/>
  <c r="AJ72" i="1"/>
  <c r="AJ66" i="1"/>
  <c r="BU31" i="1"/>
  <c r="BU49" i="1"/>
  <c r="BU55" i="1" s="1"/>
  <c r="CA36" i="1"/>
  <c r="CB36" i="1" s="1"/>
  <c r="CC36" i="1" s="1"/>
  <c r="CD36" i="1" s="1"/>
  <c r="CE36" i="1" s="1"/>
  <c r="CF36" i="1" s="1"/>
  <c r="BZ37" i="1"/>
  <c r="BZ38" i="1" s="1"/>
  <c r="BX48" i="1"/>
  <c r="BX52" i="1"/>
  <c r="U115" i="1"/>
  <c r="U117" i="1" s="1"/>
  <c r="U68" i="1"/>
  <c r="U56" i="1"/>
  <c r="K82" i="1"/>
  <c r="K69" i="1"/>
  <c r="K77" i="1"/>
  <c r="Z82" i="1"/>
  <c r="Z69" i="1"/>
  <c r="Z77" i="1"/>
  <c r="BG49" i="1" l="1"/>
  <c r="BJ108" i="3"/>
  <c r="O69" i="1"/>
  <c r="S72" i="1"/>
  <c r="BK13" i="3"/>
  <c r="CE13" i="3" s="1"/>
  <c r="CE116" i="1" s="1"/>
  <c r="BO75" i="3"/>
  <c r="BO13" i="3" s="1"/>
  <c r="BN86" i="3"/>
  <c r="CF13" i="3"/>
  <c r="BN116" i="1"/>
  <c r="BN405" i="39"/>
  <c r="BN78" i="3"/>
  <c r="BN79" i="3" s="1"/>
  <c r="BN108" i="3"/>
  <c r="BO108" i="3" s="1"/>
  <c r="CF108" i="3" s="1"/>
  <c r="CE59" i="2"/>
  <c r="CE62" i="2" s="1"/>
  <c r="CD13" i="3"/>
  <c r="BG405" i="39"/>
  <c r="CD405" i="39" s="1"/>
  <c r="S79" i="1"/>
  <c r="W72" i="1"/>
  <c r="O77" i="1"/>
  <c r="BQ68" i="1"/>
  <c r="BQ119" i="1" s="1"/>
  <c r="BG116" i="1"/>
  <c r="BG86" i="3"/>
  <c r="CE78" i="3"/>
  <c r="X77" i="1"/>
  <c r="BA79" i="1"/>
  <c r="BA86" i="1" s="1"/>
  <c r="BA92" i="1" s="1"/>
  <c r="L66" i="1"/>
  <c r="AG72" i="1"/>
  <c r="AG74" i="1" s="1"/>
  <c r="AG76" i="1" s="1"/>
  <c r="AG82" i="1" s="1"/>
  <c r="X66" i="1"/>
  <c r="BA66" i="1"/>
  <c r="BS53" i="1"/>
  <c r="BR68" i="1"/>
  <c r="BR119" i="1" s="1"/>
  <c r="M79" i="1"/>
  <c r="M117" i="2" s="1"/>
  <c r="W82" i="1"/>
  <c r="W97" i="1" s="1"/>
  <c r="W96" i="1" s="1"/>
  <c r="AQ79" i="1"/>
  <c r="AQ117" i="2" s="1"/>
  <c r="AA56" i="1"/>
  <c r="Z117" i="2"/>
  <c r="J72" i="1"/>
  <c r="J66" i="1"/>
  <c r="J79" i="1"/>
  <c r="Z11" i="3"/>
  <c r="Z27" i="3" s="1"/>
  <c r="Z51" i="3" s="1"/>
  <c r="Z87" i="1"/>
  <c r="W69" i="1"/>
  <c r="AQ66" i="1"/>
  <c r="BV65" i="1"/>
  <c r="BV66" i="1" s="1"/>
  <c r="BF67" i="2"/>
  <c r="N92" i="1"/>
  <c r="CD75" i="2"/>
  <c r="BU53" i="1"/>
  <c r="AD87" i="1"/>
  <c r="AR72" i="1"/>
  <c r="BU65" i="1"/>
  <c r="BU66" i="1" s="1"/>
  <c r="BV53" i="1"/>
  <c r="CD104" i="1"/>
  <c r="Z92" i="1"/>
  <c r="AD92" i="1"/>
  <c r="O66" i="1"/>
  <c r="N87" i="1"/>
  <c r="BH121" i="3"/>
  <c r="BH119" i="3"/>
  <c r="BG40" i="3"/>
  <c r="BH102" i="1"/>
  <c r="BI102" i="1" s="1"/>
  <c r="AR66" i="1"/>
  <c r="AE66" i="1"/>
  <c r="AD94" i="1"/>
  <c r="AD142" i="1"/>
  <c r="O79" i="1"/>
  <c r="O117" i="2" s="1"/>
  <c r="BH37" i="1"/>
  <c r="BI36" i="1"/>
  <c r="BH30" i="1"/>
  <c r="BI29" i="1"/>
  <c r="BI38" i="39"/>
  <c r="BH10" i="39"/>
  <c r="BH41" i="39"/>
  <c r="CD66" i="39"/>
  <c r="CD69" i="39" s="1"/>
  <c r="BH66" i="39"/>
  <c r="BG117" i="3"/>
  <c r="CD117" i="3" s="1"/>
  <c r="BH22" i="3"/>
  <c r="BH35" i="3"/>
  <c r="BK78" i="3"/>
  <c r="BK116" i="1"/>
  <c r="BK405" i="39"/>
  <c r="CE405" i="39" s="1"/>
  <c r="BK86" i="3"/>
  <c r="BI137" i="3"/>
  <c r="CC86" i="3"/>
  <c r="BK66" i="3"/>
  <c r="BL66" i="3" s="1"/>
  <c r="BM66" i="3" s="1"/>
  <c r="BN66" i="3" s="1"/>
  <c r="BJ79" i="3"/>
  <c r="BK108" i="3"/>
  <c r="CE108" i="3" s="1"/>
  <c r="BJ42" i="3"/>
  <c r="BI20" i="2"/>
  <c r="BI85" i="2" s="1"/>
  <c r="BH12" i="2"/>
  <c r="BH84" i="2" s="1"/>
  <c r="BI30" i="2"/>
  <c r="BI24" i="3" s="1"/>
  <c r="BJ58" i="2"/>
  <c r="BI62" i="2"/>
  <c r="BI16" i="2"/>
  <c r="BI37" i="2"/>
  <c r="BI26" i="3" s="1"/>
  <c r="CD15" i="2"/>
  <c r="BH15" i="2"/>
  <c r="BI21" i="2"/>
  <c r="CD22" i="2"/>
  <c r="BH22" i="2"/>
  <c r="BI22" i="2" s="1"/>
  <c r="BJ22" i="2" s="1"/>
  <c r="BK22" i="2" s="1"/>
  <c r="BL22" i="2" s="1"/>
  <c r="BM22" i="2" s="1"/>
  <c r="BN22" i="2" s="1"/>
  <c r="BO22" i="2" s="1"/>
  <c r="CD66" i="2"/>
  <c r="BH66" i="2"/>
  <c r="BI66" i="2" s="1"/>
  <c r="CC78" i="3"/>
  <c r="Z94" i="1"/>
  <c r="Z142" i="1"/>
  <c r="BR117" i="1"/>
  <c r="N94" i="1"/>
  <c r="N142" i="1"/>
  <c r="BG75" i="2"/>
  <c r="BG104" i="1"/>
  <c r="AP178" i="39"/>
  <c r="AO179" i="39"/>
  <c r="AO180" i="39" s="1"/>
  <c r="BF374" i="39"/>
  <c r="BF25" i="39"/>
  <c r="BF400" i="39"/>
  <c r="BF18" i="39"/>
  <c r="BG10" i="39"/>
  <c r="BG41" i="39"/>
  <c r="CD38" i="39"/>
  <c r="CD41" i="39" s="1"/>
  <c r="CA329" i="39"/>
  <c r="BG69" i="39"/>
  <c r="BG11" i="39"/>
  <c r="BF24" i="39"/>
  <c r="BF399" i="39"/>
  <c r="BF17" i="39"/>
  <c r="F72" i="1"/>
  <c r="F79" i="1"/>
  <c r="F66" i="1"/>
  <c r="BR76" i="3"/>
  <c r="BR75" i="3" s="1"/>
  <c r="BR79" i="3" s="1"/>
  <c r="BV76" i="3"/>
  <c r="BV75" i="3" s="1"/>
  <c r="BV79" i="3" s="1"/>
  <c r="BG25" i="3"/>
  <c r="CD25" i="3" s="1"/>
  <c r="BF120" i="3"/>
  <c r="CD37" i="2"/>
  <c r="BG26" i="3"/>
  <c r="CD26" i="3" s="1"/>
  <c r="BF121" i="3"/>
  <c r="CD30" i="2"/>
  <c r="BG24" i="3"/>
  <c r="BG119" i="3" s="1"/>
  <c r="CD119" i="3" s="1"/>
  <c r="AJ86" i="1"/>
  <c r="AJ11" i="3" s="1"/>
  <c r="AJ117" i="2"/>
  <c r="AG86" i="1"/>
  <c r="AG11" i="3" s="1"/>
  <c r="AG117" i="2"/>
  <c r="AM86" i="1"/>
  <c r="AM11" i="3" s="1"/>
  <c r="AM117" i="2"/>
  <c r="X86" i="1"/>
  <c r="X11" i="3" s="1"/>
  <c r="X117" i="2"/>
  <c r="S86" i="1"/>
  <c r="S11" i="3" s="1"/>
  <c r="S27" i="3" s="1"/>
  <c r="S117" i="2"/>
  <c r="AZ86" i="1"/>
  <c r="AZ11" i="3" s="1"/>
  <c r="AZ117" i="2"/>
  <c r="AY86" i="1"/>
  <c r="AY11" i="3" s="1"/>
  <c r="AY85" i="3" s="1"/>
  <c r="AY89" i="3" s="1"/>
  <c r="AY117" i="2"/>
  <c r="AI86" i="1"/>
  <c r="AI11" i="3" s="1"/>
  <c r="AI117" i="2"/>
  <c r="BZ86" i="1"/>
  <c r="BZ117" i="2"/>
  <c r="AN86" i="1"/>
  <c r="AN11" i="3" s="1"/>
  <c r="AN117" i="2"/>
  <c r="L86" i="1"/>
  <c r="L11" i="3" s="1"/>
  <c r="L117" i="2"/>
  <c r="K86" i="1"/>
  <c r="K11" i="3" s="1"/>
  <c r="K27" i="3" s="1"/>
  <c r="K117" i="2"/>
  <c r="AU86" i="1"/>
  <c r="AU11" i="3" s="1"/>
  <c r="AU117" i="2"/>
  <c r="I66" i="1"/>
  <c r="I79" i="1"/>
  <c r="I72" i="1"/>
  <c r="V79" i="1"/>
  <c r="V72" i="1"/>
  <c r="V66" i="1"/>
  <c r="Q79" i="1"/>
  <c r="Q72" i="1"/>
  <c r="Q66" i="1"/>
  <c r="BQ65" i="1"/>
  <c r="BQ53" i="1"/>
  <c r="AP72" i="1"/>
  <c r="AP66" i="1"/>
  <c r="AP79" i="1"/>
  <c r="Y79" i="1"/>
  <c r="Y72" i="1"/>
  <c r="Y66" i="1"/>
  <c r="AD83" i="3"/>
  <c r="AD98" i="3" s="1"/>
  <c r="AD51" i="3"/>
  <c r="E86" i="1"/>
  <c r="E11" i="3" s="1"/>
  <c r="E27" i="3" s="1"/>
  <c r="E117" i="2"/>
  <c r="AS86" i="1"/>
  <c r="AS11" i="3" s="1"/>
  <c r="AS117" i="2"/>
  <c r="AR86" i="1"/>
  <c r="AR11" i="3" s="1"/>
  <c r="AR117" i="2"/>
  <c r="AC86" i="1"/>
  <c r="AC11" i="3" s="1"/>
  <c r="AC117" i="2"/>
  <c r="W86" i="1"/>
  <c r="W11" i="3" s="1"/>
  <c r="W27" i="3" s="1"/>
  <c r="W117" i="2"/>
  <c r="BA117" i="2"/>
  <c r="AV86" i="1"/>
  <c r="AV11" i="3" s="1"/>
  <c r="AV117" i="2"/>
  <c r="AH86" i="1"/>
  <c r="AH11" i="3" s="1"/>
  <c r="AH117" i="2"/>
  <c r="AE86" i="1"/>
  <c r="AE11" i="3" s="1"/>
  <c r="AE27" i="3" s="1"/>
  <c r="AE117" i="2"/>
  <c r="AW86" i="1"/>
  <c r="AW11" i="3" s="1"/>
  <c r="AW117" i="2"/>
  <c r="AO86" i="1"/>
  <c r="AO11" i="3" s="1"/>
  <c r="AO117" i="2"/>
  <c r="G86" i="1"/>
  <c r="G11" i="3" s="1"/>
  <c r="G27" i="3" s="1"/>
  <c r="G117" i="2"/>
  <c r="AT79" i="1"/>
  <c r="AT72" i="1"/>
  <c r="AT66" i="1"/>
  <c r="U66" i="1"/>
  <c r="U79" i="1"/>
  <c r="U72" i="1"/>
  <c r="R72" i="1"/>
  <c r="R66" i="1"/>
  <c r="R79" i="1"/>
  <c r="N83" i="3"/>
  <c r="N98" i="3" s="1"/>
  <c r="N51" i="3"/>
  <c r="AX72" i="1"/>
  <c r="AX66" i="1"/>
  <c r="AX79" i="1"/>
  <c r="BF135" i="3"/>
  <c r="R162" i="39"/>
  <c r="R163" i="39" s="1"/>
  <c r="R161" i="39"/>
  <c r="AW329" i="39"/>
  <c r="AX329" i="39" s="1"/>
  <c r="AY329" i="39" s="1"/>
  <c r="AZ329" i="39" s="1"/>
  <c r="BF366" i="39"/>
  <c r="AE227" i="39"/>
  <c r="AE228" i="39"/>
  <c r="AE229" i="39" s="1"/>
  <c r="BF373" i="39"/>
  <c r="BG367" i="39"/>
  <c r="BH367" i="39" s="1"/>
  <c r="AR150" i="39"/>
  <c r="AR172" i="39"/>
  <c r="AS140" i="39"/>
  <c r="AR194" i="39"/>
  <c r="AI47" i="39"/>
  <c r="AI46" i="39"/>
  <c r="AJ44" i="39"/>
  <c r="BX44" i="39"/>
  <c r="AL121" i="39"/>
  <c r="AL123" i="39"/>
  <c r="AL291" i="39" s="1"/>
  <c r="AL122" i="39"/>
  <c r="AQ160" i="39"/>
  <c r="AQ161" i="39" s="1"/>
  <c r="S150" i="39"/>
  <c r="BT150" i="39" s="1"/>
  <c r="T146" i="39"/>
  <c r="S160" i="39"/>
  <c r="BF188" i="39"/>
  <c r="BJ188" i="39" s="1"/>
  <c r="BN188" i="39" s="1"/>
  <c r="BF189" i="39"/>
  <c r="BJ189" i="39" s="1"/>
  <c r="BN189" i="39" s="1"/>
  <c r="T149" i="39"/>
  <c r="U145" i="39"/>
  <c r="V144" i="39"/>
  <c r="U148" i="39"/>
  <c r="CA331" i="39"/>
  <c r="BZ132" i="39"/>
  <c r="BG188" i="39"/>
  <c r="BK188" i="39" s="1"/>
  <c r="BO188" i="39" s="1"/>
  <c r="AQ132" i="39"/>
  <c r="AR130" i="39"/>
  <c r="BF190" i="39"/>
  <c r="BJ190" i="39" s="1"/>
  <c r="BN190" i="39" s="1"/>
  <c r="AF227" i="39"/>
  <c r="AF228" i="39"/>
  <c r="AF229" i="39" s="1"/>
  <c r="AN267" i="39"/>
  <c r="AM270" i="39"/>
  <c r="AN372" i="39"/>
  <c r="AO305" i="39"/>
  <c r="AN308" i="39"/>
  <c r="Q162" i="39"/>
  <c r="Q163" i="39" s="1"/>
  <c r="Q161" i="39"/>
  <c r="BG190" i="39"/>
  <c r="BK190" i="39" s="1"/>
  <c r="BO190" i="39" s="1"/>
  <c r="AL407" i="39"/>
  <c r="BY267" i="39"/>
  <c r="BG189" i="39"/>
  <c r="BK189" i="39" s="1"/>
  <c r="BO189" i="39" s="1"/>
  <c r="AT171" i="39"/>
  <c r="AU138" i="39"/>
  <c r="AT149" i="39"/>
  <c r="AT193" i="39"/>
  <c r="AS136" i="39"/>
  <c r="AR170" i="39"/>
  <c r="AR148" i="39"/>
  <c r="AR192" i="39"/>
  <c r="AG223" i="39"/>
  <c r="AG224" i="39" s="1"/>
  <c r="AO299" i="39"/>
  <c r="AN288" i="39"/>
  <c r="AN302" i="39"/>
  <c r="AL265" i="39"/>
  <c r="AM262" i="39"/>
  <c r="AM120" i="39" s="1"/>
  <c r="AL264" i="39"/>
  <c r="CA138" i="39"/>
  <c r="CD86" i="3"/>
  <c r="CD78" i="3"/>
  <c r="CD116" i="1"/>
  <c r="BG79" i="3"/>
  <c r="BG84" i="2"/>
  <c r="CD12" i="2"/>
  <c r="CD85" i="2"/>
  <c r="BU115" i="1"/>
  <c r="BU117" i="1" s="1"/>
  <c r="BU56" i="1"/>
  <c r="BU68" i="1"/>
  <c r="BT115" i="1"/>
  <c r="BT117" i="1" s="1"/>
  <c r="BT68" i="1"/>
  <c r="BT56" i="1"/>
  <c r="K97" i="1"/>
  <c r="K96" i="1" s="1"/>
  <c r="K83" i="1"/>
  <c r="H97" i="1"/>
  <c r="H96" i="1" s="1"/>
  <c r="H83" i="1"/>
  <c r="AA79" i="1"/>
  <c r="AA66" i="1"/>
  <c r="AA72" i="1"/>
  <c r="CA66" i="1"/>
  <c r="CA79" i="1"/>
  <c r="CA72" i="1"/>
  <c r="AG81" i="1"/>
  <c r="AD77" i="1"/>
  <c r="S115" i="1"/>
  <c r="S117" i="1" s="1"/>
  <c r="S56" i="1"/>
  <c r="S68" i="1"/>
  <c r="L97" i="1"/>
  <c r="L96" i="1" s="1"/>
  <c r="L83" i="1"/>
  <c r="X97" i="1"/>
  <c r="X96" i="1" s="1"/>
  <c r="X83" i="1"/>
  <c r="E69" i="1"/>
  <c r="E82" i="1"/>
  <c r="E77" i="1"/>
  <c r="W87" i="1"/>
  <c r="T97" i="1"/>
  <c r="T96" i="1" s="1"/>
  <c r="T83" i="1"/>
  <c r="BT65" i="1"/>
  <c r="BT53" i="1"/>
  <c r="BV115" i="1"/>
  <c r="BV117" i="1" s="1"/>
  <c r="BV68" i="1"/>
  <c r="BV56" i="1"/>
  <c r="BU79" i="1"/>
  <c r="F97" i="1"/>
  <c r="F96" i="1" s="1"/>
  <c r="F83" i="1"/>
  <c r="AL79" i="1"/>
  <c r="AL66" i="1"/>
  <c r="AL72" i="1"/>
  <c r="N97" i="1"/>
  <c r="N96" i="1" s="1"/>
  <c r="N83" i="1"/>
  <c r="AH55" i="1"/>
  <c r="AH24" i="1"/>
  <c r="M69" i="1"/>
  <c r="M82" i="1"/>
  <c r="M77" i="1"/>
  <c r="Z97" i="1"/>
  <c r="Z96" i="1" s="1"/>
  <c r="Z83" i="1"/>
  <c r="P82" i="1"/>
  <c r="P69" i="1"/>
  <c r="P77" i="1"/>
  <c r="I69" i="1"/>
  <c r="I82" i="1"/>
  <c r="I77" i="1"/>
  <c r="AC69" i="1"/>
  <c r="AK79" i="1"/>
  <c r="AK66" i="1"/>
  <c r="AK72" i="1"/>
  <c r="BS115" i="1"/>
  <c r="BS117" i="1" s="1"/>
  <c r="BS68" i="1"/>
  <c r="BS56" i="1"/>
  <c r="D97" i="1"/>
  <c r="D96" i="1" s="1"/>
  <c r="D83" i="1"/>
  <c r="AH94" i="1"/>
  <c r="AD82" i="1"/>
  <c r="AD69" i="1"/>
  <c r="W83" i="1"/>
  <c r="J97" i="1"/>
  <c r="J96" i="1" s="1"/>
  <c r="J83" i="1"/>
  <c r="L87" i="1"/>
  <c r="BV79" i="1"/>
  <c r="AE97" i="1"/>
  <c r="AE96" i="1" s="1"/>
  <c r="AE83" i="1"/>
  <c r="AF79" i="1"/>
  <c r="AF72" i="1"/>
  <c r="AF74" i="1" s="1"/>
  <c r="AF66" i="1"/>
  <c r="R97" i="1"/>
  <c r="R96" i="1" s="1"/>
  <c r="R83" i="1"/>
  <c r="BW115" i="1"/>
  <c r="BW117" i="1" s="1"/>
  <c r="BW68" i="1"/>
  <c r="BW56" i="1"/>
  <c r="U69" i="1"/>
  <c r="U82" i="1"/>
  <c r="U77" i="1"/>
  <c r="BX65" i="1"/>
  <c r="BX53" i="1"/>
  <c r="AI31" i="1"/>
  <c r="AI38" i="1"/>
  <c r="AI23" i="1"/>
  <c r="BX10" i="1"/>
  <c r="CA29" i="1"/>
  <c r="BZ30" i="1"/>
  <c r="P79" i="1"/>
  <c r="P72" i="1"/>
  <c r="P66" i="1"/>
  <c r="G97" i="1"/>
  <c r="G96" i="1" s="1"/>
  <c r="G83" i="1"/>
  <c r="AC76" i="1"/>
  <c r="AC77" i="1" s="1"/>
  <c r="AC81" i="1"/>
  <c r="AZ94" i="1"/>
  <c r="Q69" i="1"/>
  <c r="Q82" i="1"/>
  <c r="Q77" i="1"/>
  <c r="BS66" i="1"/>
  <c r="BS79" i="1"/>
  <c r="BS72" i="1"/>
  <c r="CB65" i="1"/>
  <c r="CB53" i="1"/>
  <c r="Y69" i="1"/>
  <c r="Y82" i="1"/>
  <c r="Y77" i="1"/>
  <c r="AF119" i="1"/>
  <c r="AF69" i="1"/>
  <c r="AB79" i="1"/>
  <c r="AB72" i="1"/>
  <c r="AB74" i="1" s="1"/>
  <c r="AB66" i="1"/>
  <c r="BW66" i="1"/>
  <c r="BW79" i="1"/>
  <c r="BW72" i="1"/>
  <c r="T79" i="1"/>
  <c r="T72" i="1"/>
  <c r="T66" i="1"/>
  <c r="AG119" i="1"/>
  <c r="AG69" i="1"/>
  <c r="AJ74" i="1"/>
  <c r="AJ81" i="1" s="1"/>
  <c r="AJ10" i="1"/>
  <c r="AK9" i="1"/>
  <c r="BY65" i="1"/>
  <c r="BY53" i="1"/>
  <c r="O97" i="1"/>
  <c r="O96" i="1" s="1"/>
  <c r="O83" i="1"/>
  <c r="V97" i="1"/>
  <c r="V96" i="1" s="1"/>
  <c r="V83" i="1"/>
  <c r="BR79" i="1"/>
  <c r="BR66" i="1"/>
  <c r="BR72" i="1"/>
  <c r="D79" i="1"/>
  <c r="D72" i="1"/>
  <c r="D66" i="1"/>
  <c r="H79" i="1"/>
  <c r="H72" i="1"/>
  <c r="H66" i="1"/>
  <c r="BR82" i="1"/>
  <c r="BR77" i="1"/>
  <c r="AA82" i="1"/>
  <c r="AA69" i="1"/>
  <c r="AA77" i="1"/>
  <c r="CE86" i="3" l="1"/>
  <c r="BI119" i="3"/>
  <c r="BQ77" i="1"/>
  <c r="AS95" i="1"/>
  <c r="CF78" i="3"/>
  <c r="CF86" i="3"/>
  <c r="BO86" i="3"/>
  <c r="BO116" i="1"/>
  <c r="BO405" i="39"/>
  <c r="CF405" i="39" s="1"/>
  <c r="BO78" i="3"/>
  <c r="BO79" i="3" s="1"/>
  <c r="BO66" i="3"/>
  <c r="CE22" i="2"/>
  <c r="CF22" i="2"/>
  <c r="BQ82" i="1"/>
  <c r="Z83" i="3"/>
  <c r="Z98" i="3" s="1"/>
  <c r="AQ86" i="1"/>
  <c r="AQ11" i="3" s="1"/>
  <c r="AQ27" i="3" s="1"/>
  <c r="BQ69" i="1"/>
  <c r="AY142" i="1"/>
  <c r="M86" i="1"/>
  <c r="M11" i="3" s="1"/>
  <c r="M27" i="3" s="1"/>
  <c r="BR69" i="1"/>
  <c r="K87" i="1"/>
  <c r="AG95" i="1"/>
  <c r="BV72" i="1"/>
  <c r="X87" i="1"/>
  <c r="BZ87" i="1"/>
  <c r="S87" i="1"/>
  <c r="AN92" i="1"/>
  <c r="BZ92" i="1"/>
  <c r="BZ142" i="1"/>
  <c r="AY94" i="1"/>
  <c r="BG67" i="2"/>
  <c r="CD67" i="2" s="1"/>
  <c r="J86" i="1"/>
  <c r="J117" i="2"/>
  <c r="BG135" i="3"/>
  <c r="CD135" i="3" s="1"/>
  <c r="AE87" i="1"/>
  <c r="AV95" i="1"/>
  <c r="AN142" i="1"/>
  <c r="E94" i="1"/>
  <c r="AO92" i="1"/>
  <c r="BU72" i="1"/>
  <c r="AM95" i="1"/>
  <c r="AU95" i="1"/>
  <c r="AJ95" i="1"/>
  <c r="AQ94" i="1"/>
  <c r="AN95" i="1"/>
  <c r="AI94" i="1"/>
  <c r="BH40" i="3"/>
  <c r="BH135" i="3" s="1"/>
  <c r="BH49" i="1"/>
  <c r="G92" i="1"/>
  <c r="AW94" i="1"/>
  <c r="AR95" i="1"/>
  <c r="BA11" i="3"/>
  <c r="BA85" i="3" s="1"/>
  <c r="BA89" i="3" s="1"/>
  <c r="BA142" i="1"/>
  <c r="AO95" i="1"/>
  <c r="AC94" i="1"/>
  <c r="O86" i="1"/>
  <c r="O87" i="1" s="1"/>
  <c r="BJ66" i="2"/>
  <c r="BI121" i="3"/>
  <c r="BH117" i="3"/>
  <c r="CD40" i="3"/>
  <c r="BH75" i="2"/>
  <c r="BH104" i="1"/>
  <c r="BI104" i="1"/>
  <c r="BI75" i="2"/>
  <c r="BI40" i="3"/>
  <c r="G94" i="1"/>
  <c r="AW87" i="1"/>
  <c r="AW142" i="1"/>
  <c r="AE142" i="1"/>
  <c r="AV92" i="1"/>
  <c r="AV142" i="1"/>
  <c r="S142" i="1"/>
  <c r="AU92" i="1"/>
  <c r="AU142" i="1"/>
  <c r="K142" i="1"/>
  <c r="AQ87" i="1"/>
  <c r="AN94" i="1"/>
  <c r="AN87" i="1"/>
  <c r="BZ94" i="1"/>
  <c r="BZ95" i="1"/>
  <c r="AI95" i="1"/>
  <c r="AZ87" i="1"/>
  <c r="AG94" i="1"/>
  <c r="AJ94" i="1"/>
  <c r="AJ142" i="1"/>
  <c r="E142" i="1"/>
  <c r="AO87" i="1"/>
  <c r="AO94" i="1"/>
  <c r="AO142" i="1"/>
  <c r="L94" i="1"/>
  <c r="AH95" i="1"/>
  <c r="AH142" i="1"/>
  <c r="BA95" i="1"/>
  <c r="O92" i="1"/>
  <c r="W142" i="1"/>
  <c r="AC142" i="1"/>
  <c r="X94" i="1"/>
  <c r="AM94" i="1"/>
  <c r="AM142" i="1"/>
  <c r="AY95" i="1"/>
  <c r="AS92" i="1"/>
  <c r="AR92" i="1"/>
  <c r="AR142" i="1"/>
  <c r="BI30" i="1"/>
  <c r="BJ29" i="1"/>
  <c r="BI37" i="1"/>
  <c r="BJ36" i="1"/>
  <c r="BJ102" i="1"/>
  <c r="BY89" i="2"/>
  <c r="BY90" i="2" s="1"/>
  <c r="BI367" i="39"/>
  <c r="BH373" i="39"/>
  <c r="AO182" i="39"/>
  <c r="AO183" i="39" s="1"/>
  <c r="BH69" i="39"/>
  <c r="BH11" i="39"/>
  <c r="BI66" i="39"/>
  <c r="BH399" i="39"/>
  <c r="BH24" i="39"/>
  <c r="BH410" i="39"/>
  <c r="BH413" i="39" s="1"/>
  <c r="BH414" i="39" s="1"/>
  <c r="BH415" i="39" s="1"/>
  <c r="BH416" i="39" s="1"/>
  <c r="BH17" i="39"/>
  <c r="BJ38" i="39"/>
  <c r="BI10" i="39"/>
  <c r="BI41" i="39"/>
  <c r="BH25" i="3"/>
  <c r="BI22" i="3"/>
  <c r="BH130" i="3"/>
  <c r="BI35" i="3"/>
  <c r="BJ137" i="3"/>
  <c r="BK79" i="3"/>
  <c r="BK42" i="3"/>
  <c r="BJ20" i="2"/>
  <c r="BJ85" i="2" s="1"/>
  <c r="BI12" i="2"/>
  <c r="BI84" i="2" s="1"/>
  <c r="BI15" i="2"/>
  <c r="BJ16" i="2"/>
  <c r="BJ22" i="3" s="1"/>
  <c r="BK58" i="2"/>
  <c r="BJ62" i="2"/>
  <c r="BJ30" i="2"/>
  <c r="BJ24" i="3" s="1"/>
  <c r="BJ21" i="2"/>
  <c r="BJ35" i="3" s="1"/>
  <c r="BJ37" i="2"/>
  <c r="BJ26" i="3" s="1"/>
  <c r="G87" i="1"/>
  <c r="G142" i="1"/>
  <c r="AW92" i="1"/>
  <c r="AW95" i="1"/>
  <c r="AE92" i="1"/>
  <c r="AE94" i="1"/>
  <c r="AV94" i="1"/>
  <c r="AV87" i="1"/>
  <c r="S92" i="1"/>
  <c r="S94" i="1"/>
  <c r="AU94" i="1"/>
  <c r="AU87" i="1"/>
  <c r="K92" i="1"/>
  <c r="K94" i="1"/>
  <c r="AI92" i="1"/>
  <c r="AI87" i="1"/>
  <c r="AI142" i="1"/>
  <c r="AZ92" i="1"/>
  <c r="AZ95" i="1"/>
  <c r="AZ142" i="1"/>
  <c r="AG87" i="1"/>
  <c r="AG92" i="1"/>
  <c r="AG142" i="1"/>
  <c r="AJ92" i="1"/>
  <c r="AJ87" i="1"/>
  <c r="E87" i="1"/>
  <c r="E92" i="1"/>
  <c r="L92" i="1"/>
  <c r="L142" i="1"/>
  <c r="AH87" i="1"/>
  <c r="AH92" i="1"/>
  <c r="BA87" i="1"/>
  <c r="BA94" i="1"/>
  <c r="W92" i="1"/>
  <c r="W94" i="1"/>
  <c r="AC87" i="1"/>
  <c r="AC92" i="1"/>
  <c r="M87" i="1"/>
  <c r="X92" i="1"/>
  <c r="X142" i="1"/>
  <c r="AM92" i="1"/>
  <c r="AM87" i="1"/>
  <c r="AY92" i="1"/>
  <c r="AY87" i="1"/>
  <c r="AS87" i="1"/>
  <c r="AS94" i="1"/>
  <c r="AS142" i="1"/>
  <c r="AR94" i="1"/>
  <c r="AR87" i="1"/>
  <c r="AQ178" i="39"/>
  <c r="AP179" i="39"/>
  <c r="AP180" i="39" s="1"/>
  <c r="BG374" i="39"/>
  <c r="CD374" i="39" s="1"/>
  <c r="BG18" i="39"/>
  <c r="BG400" i="39"/>
  <c r="BG25" i="39"/>
  <c r="BG399" i="39"/>
  <c r="BG17" i="39"/>
  <c r="BE410" i="39"/>
  <c r="BE413" i="39" s="1"/>
  <c r="BE414" i="39" s="1"/>
  <c r="BE415" i="39" s="1"/>
  <c r="BE416" i="39" s="1"/>
  <c r="BD410" i="39"/>
  <c r="BD413" i="39" s="1"/>
  <c r="BD414" i="39" s="1"/>
  <c r="BD415" i="39" s="1"/>
  <c r="BD416" i="39" s="1"/>
  <c r="BG410" i="39"/>
  <c r="BG413" i="39" s="1"/>
  <c r="BG414" i="39" s="1"/>
  <c r="BG415" i="39" s="1"/>
  <c r="BG416" i="39" s="1"/>
  <c r="BG24" i="39"/>
  <c r="CD10" i="39"/>
  <c r="BG373" i="39"/>
  <c r="CD373" i="39" s="1"/>
  <c r="CB329" i="39"/>
  <c r="CB331" i="39" s="1"/>
  <c r="BF410" i="39"/>
  <c r="BF413" i="39" s="1"/>
  <c r="BF414" i="39" s="1"/>
  <c r="BF415" i="39" s="1"/>
  <c r="BF416" i="39" s="1"/>
  <c r="CD11" i="39"/>
  <c r="BG120" i="3"/>
  <c r="CD120" i="3" s="1"/>
  <c r="F117" i="2"/>
  <c r="F86" i="1"/>
  <c r="CD24" i="3"/>
  <c r="BG121" i="3"/>
  <c r="CD121" i="3" s="1"/>
  <c r="BR86" i="1"/>
  <c r="BR142" i="1" s="1"/>
  <c r="BR117" i="2"/>
  <c r="D86" i="1"/>
  <c r="D11" i="3" s="1"/>
  <c r="D117" i="2"/>
  <c r="T86" i="1"/>
  <c r="T11" i="3" s="1"/>
  <c r="T117" i="2"/>
  <c r="BW86" i="1"/>
  <c r="BW117" i="2"/>
  <c r="AB86" i="1"/>
  <c r="AB11" i="3" s="1"/>
  <c r="BW11" i="3" s="1"/>
  <c r="BW27" i="3" s="1"/>
  <c r="AB117" i="2"/>
  <c r="BS86" i="1"/>
  <c r="BS142" i="1" s="1"/>
  <c r="BS117" i="2"/>
  <c r="AF86" i="1"/>
  <c r="AF11" i="3" s="1"/>
  <c r="AF117" i="2"/>
  <c r="BV86" i="1"/>
  <c r="BV117" i="2"/>
  <c r="BU86" i="1"/>
  <c r="BU117" i="2"/>
  <c r="AX86" i="1"/>
  <c r="AX117" i="2"/>
  <c r="Y86" i="1"/>
  <c r="Y117" i="2"/>
  <c r="Q86" i="1"/>
  <c r="Q117" i="2"/>
  <c r="H86" i="1"/>
  <c r="H11" i="3" s="1"/>
  <c r="H117" i="2"/>
  <c r="P86" i="1"/>
  <c r="P11" i="3" s="1"/>
  <c r="P117" i="2"/>
  <c r="AK86" i="1"/>
  <c r="AK11" i="3" s="1"/>
  <c r="AK117" i="2"/>
  <c r="AL86" i="1"/>
  <c r="AL11" i="3" s="1"/>
  <c r="AL117" i="2"/>
  <c r="CA86" i="1"/>
  <c r="CA117" i="2"/>
  <c r="AA86" i="1"/>
  <c r="AA11" i="3" s="1"/>
  <c r="AA27" i="3" s="1"/>
  <c r="AA117" i="2"/>
  <c r="R86" i="1"/>
  <c r="R117" i="2"/>
  <c r="U86" i="1"/>
  <c r="U117" i="2"/>
  <c r="AT86" i="1"/>
  <c r="AT117" i="2"/>
  <c r="G83" i="3"/>
  <c r="G98" i="3" s="1"/>
  <c r="G51" i="3"/>
  <c r="AO85" i="3"/>
  <c r="AO89" i="3" s="1"/>
  <c r="AO27" i="3"/>
  <c r="AW85" i="3"/>
  <c r="AW89" i="3" s="1"/>
  <c r="AW27" i="3"/>
  <c r="AE83" i="3"/>
  <c r="AE98" i="3" s="1"/>
  <c r="AE51" i="3"/>
  <c r="AH85" i="3"/>
  <c r="AH89" i="3" s="1"/>
  <c r="AH27" i="3"/>
  <c r="AV106" i="3"/>
  <c r="AV85" i="3"/>
  <c r="AV89" i="3" s="1"/>
  <c r="AV27" i="3"/>
  <c r="W83" i="3"/>
  <c r="W98" i="3" s="1"/>
  <c r="W51" i="3"/>
  <c r="AC27" i="3"/>
  <c r="AR106" i="3"/>
  <c r="AR27" i="3"/>
  <c r="AR85" i="3"/>
  <c r="AR89" i="3" s="1"/>
  <c r="AS85" i="3"/>
  <c r="AS89" i="3" s="1"/>
  <c r="AS27" i="3"/>
  <c r="E83" i="3"/>
  <c r="E98" i="3" s="1"/>
  <c r="E51" i="3"/>
  <c r="AP86" i="1"/>
  <c r="AP117" i="2"/>
  <c r="BQ79" i="1"/>
  <c r="BQ72" i="1"/>
  <c r="BQ66" i="1"/>
  <c r="V86" i="1"/>
  <c r="V117" i="2"/>
  <c r="I86" i="1"/>
  <c r="I117" i="2"/>
  <c r="AU85" i="3"/>
  <c r="AU89" i="3" s="1"/>
  <c r="AU27" i="3"/>
  <c r="K83" i="3"/>
  <c r="K98" i="3" s="1"/>
  <c r="K51" i="3"/>
  <c r="AQ85" i="3"/>
  <c r="AQ89" i="3" s="1"/>
  <c r="L106" i="3"/>
  <c r="L27" i="3"/>
  <c r="AN106" i="3"/>
  <c r="AN85" i="3"/>
  <c r="AN89" i="3" s="1"/>
  <c r="AN27" i="3"/>
  <c r="AI85" i="3"/>
  <c r="AI89" i="3" s="1"/>
  <c r="AI27" i="3"/>
  <c r="AY91" i="3"/>
  <c r="AZ106" i="3"/>
  <c r="AZ27" i="3"/>
  <c r="AZ85" i="3"/>
  <c r="AZ89" i="3" s="1"/>
  <c r="S83" i="3"/>
  <c r="S98" i="3" s="1"/>
  <c r="S51" i="3"/>
  <c r="X106" i="3"/>
  <c r="X27" i="3"/>
  <c r="AM85" i="3"/>
  <c r="AM89" i="3" s="1"/>
  <c r="AM27" i="3"/>
  <c r="AG85" i="3"/>
  <c r="AG89" i="3" s="1"/>
  <c r="AG27" i="3"/>
  <c r="AJ85" i="3"/>
  <c r="AJ89" i="3" s="1"/>
  <c r="AJ27" i="3"/>
  <c r="AJ106" i="3"/>
  <c r="AO89" i="2"/>
  <c r="AO90" i="2" s="1"/>
  <c r="AN89" i="2"/>
  <c r="AN90" i="2" s="1"/>
  <c r="AM122" i="39"/>
  <c r="AM121" i="39"/>
  <c r="BY120" i="39"/>
  <c r="AN402" i="39"/>
  <c r="AN390" i="39" s="1"/>
  <c r="AN349" i="39"/>
  <c r="AN290" i="39"/>
  <c r="AN289" i="39"/>
  <c r="AN13" i="39"/>
  <c r="AS170" i="39"/>
  <c r="AT136" i="39"/>
  <c r="AS148" i="39"/>
  <c r="AS192" i="39"/>
  <c r="V148" i="39"/>
  <c r="W144" i="39"/>
  <c r="U146" i="39"/>
  <c r="T150" i="39"/>
  <c r="AS150" i="39"/>
  <c r="AS172" i="39"/>
  <c r="AT140" i="39"/>
  <c r="AS194" i="39"/>
  <c r="BY262" i="39"/>
  <c r="AO288" i="39"/>
  <c r="AP299" i="39"/>
  <c r="AO302" i="39"/>
  <c r="BY270" i="39"/>
  <c r="AN385" i="39"/>
  <c r="AN386" i="39" s="1"/>
  <c r="AN363" i="39" s="1"/>
  <c r="AN375" i="39"/>
  <c r="AO267" i="39"/>
  <c r="AN270" i="39"/>
  <c r="AG226" i="39"/>
  <c r="AR160" i="39"/>
  <c r="AR161" i="39" s="1"/>
  <c r="AS130" i="39"/>
  <c r="AR132" i="39"/>
  <c r="V145" i="39"/>
  <c r="U149" i="39"/>
  <c r="BX49" i="39"/>
  <c r="BX51" i="39" s="1"/>
  <c r="BX47" i="39"/>
  <c r="BG366" i="39"/>
  <c r="BH366" i="39" s="1"/>
  <c r="AN262" i="39"/>
  <c r="AN120" i="39" s="1"/>
  <c r="AM264" i="39"/>
  <c r="AU171" i="39"/>
  <c r="CA171" i="39" s="1"/>
  <c r="AU149" i="39"/>
  <c r="CA149" i="39" s="1"/>
  <c r="AV138" i="39"/>
  <c r="AU193" i="39"/>
  <c r="CA193" i="39" s="1"/>
  <c r="AO372" i="39"/>
  <c r="AO308" i="39"/>
  <c r="AP305" i="39"/>
  <c r="S161" i="39"/>
  <c r="S162" i="39"/>
  <c r="S163" i="39" s="1"/>
  <c r="AJ47" i="39"/>
  <c r="AJ46" i="39"/>
  <c r="AK44" i="39"/>
  <c r="AJ49" i="39"/>
  <c r="AJ50" i="39" s="1"/>
  <c r="BA329" i="39"/>
  <c r="BB329" i="39" s="1"/>
  <c r="BC329" i="39" s="1"/>
  <c r="BD329" i="39" s="1"/>
  <c r="CD84" i="2"/>
  <c r="BR97" i="1"/>
  <c r="BR96" i="1" s="1"/>
  <c r="BR83" i="1"/>
  <c r="AF121" i="1"/>
  <c r="AF127" i="1" s="1"/>
  <c r="AF128" i="1" s="1"/>
  <c r="Q97" i="1"/>
  <c r="Q96" i="1" s="1"/>
  <c r="Q83" i="1"/>
  <c r="BY79" i="1"/>
  <c r="BY66" i="1"/>
  <c r="BY72" i="1"/>
  <c r="Y97" i="1"/>
  <c r="Y96" i="1" s="1"/>
  <c r="Y83" i="1"/>
  <c r="CB66" i="1"/>
  <c r="CB79" i="1"/>
  <c r="CB72" i="1"/>
  <c r="CB29" i="1"/>
  <c r="CA30" i="1"/>
  <c r="BX79" i="1"/>
  <c r="BX66" i="1"/>
  <c r="BX72" i="1"/>
  <c r="BS119" i="1"/>
  <c r="BS69" i="1"/>
  <c r="BS82" i="1"/>
  <c r="BS77" i="1"/>
  <c r="I97" i="1"/>
  <c r="I96" i="1" s="1"/>
  <c r="I83" i="1"/>
  <c r="P97" i="1"/>
  <c r="P96" i="1" s="1"/>
  <c r="P83" i="1"/>
  <c r="AK74" i="1"/>
  <c r="AK76" i="1" s="1"/>
  <c r="AK10" i="1"/>
  <c r="AL9" i="1"/>
  <c r="AG97" i="1"/>
  <c r="AG83" i="1"/>
  <c r="BW74" i="1"/>
  <c r="AB76" i="1"/>
  <c r="AB81" i="1"/>
  <c r="BW119" i="1"/>
  <c r="BW69" i="1"/>
  <c r="BX74" i="1"/>
  <c r="AF76" i="1"/>
  <c r="AF81" i="1"/>
  <c r="AC82" i="1"/>
  <c r="BT66" i="1"/>
  <c r="BT79" i="1"/>
  <c r="BT72" i="1"/>
  <c r="E97" i="1"/>
  <c r="E96" i="1" s="1"/>
  <c r="E83" i="1"/>
  <c r="AG122" i="1"/>
  <c r="AG77" i="1"/>
  <c r="BU119" i="1"/>
  <c r="BU69" i="1"/>
  <c r="BU82" i="1"/>
  <c r="BU77" i="1"/>
  <c r="T142" i="1"/>
  <c r="BQ97" i="1"/>
  <c r="BQ96" i="1" s="1"/>
  <c r="BQ83" i="1"/>
  <c r="BX23" i="1"/>
  <c r="BX12" i="1"/>
  <c r="BX31" i="1"/>
  <c r="BX38" i="1"/>
  <c r="U97" i="1"/>
  <c r="U96" i="1" s="1"/>
  <c r="U83" i="1"/>
  <c r="AH115" i="1"/>
  <c r="AH117" i="1" s="1"/>
  <c r="AH56" i="1"/>
  <c r="AH68" i="1"/>
  <c r="BV119" i="1"/>
  <c r="BV82" i="1"/>
  <c r="BV69" i="1"/>
  <c r="BV77" i="1"/>
  <c r="AJ23" i="1"/>
  <c r="AJ38" i="1"/>
  <c r="AJ31" i="1"/>
  <c r="AA97" i="1"/>
  <c r="AA96" i="1" s="1"/>
  <c r="AA83" i="1"/>
  <c r="BR121" i="1"/>
  <c r="BR123" i="1" s="1"/>
  <c r="BR125" i="1" s="1"/>
  <c r="BR87" i="1"/>
  <c r="AJ76" i="1"/>
  <c r="AG121" i="1"/>
  <c r="BQ121" i="1"/>
  <c r="BQ123" i="1" s="1"/>
  <c r="BQ125" i="1" s="1"/>
  <c r="BZ49" i="1"/>
  <c r="BZ31" i="1"/>
  <c r="AI55" i="1"/>
  <c r="AI24" i="1"/>
  <c r="AD97" i="1"/>
  <c r="AD96" i="1" s="1"/>
  <c r="AD83" i="1"/>
  <c r="M97" i="1"/>
  <c r="M96" i="1" s="1"/>
  <c r="M83" i="1"/>
  <c r="S82" i="1"/>
  <c r="S69" i="1"/>
  <c r="S77" i="1"/>
  <c r="BT119" i="1"/>
  <c r="BT82" i="1"/>
  <c r="BT69" i="1"/>
  <c r="BT77" i="1"/>
  <c r="AK87" i="1"/>
  <c r="BK62" i="2" l="1"/>
  <c r="BL58" i="2"/>
  <c r="BJ119" i="3"/>
  <c r="AQ95" i="1"/>
  <c r="BS94" i="1"/>
  <c r="BV142" i="1"/>
  <c r="AQ92" i="1"/>
  <c r="AA87" i="1"/>
  <c r="AL92" i="1"/>
  <c r="AQ142" i="1"/>
  <c r="CE42" i="3"/>
  <c r="BL42" i="3"/>
  <c r="BI135" i="3"/>
  <c r="H94" i="1"/>
  <c r="AF92" i="1"/>
  <c r="D87" i="1"/>
  <c r="M92" i="1"/>
  <c r="M142" i="1"/>
  <c r="M94" i="1"/>
  <c r="BK66" i="2"/>
  <c r="BJ121" i="3"/>
  <c r="BU94" i="1"/>
  <c r="AK92" i="1"/>
  <c r="H142" i="1"/>
  <c r="AA142" i="1"/>
  <c r="AL95" i="1"/>
  <c r="AL142" i="1"/>
  <c r="BS87" i="1"/>
  <c r="BR92" i="1"/>
  <c r="BW92" i="1"/>
  <c r="BV94" i="1"/>
  <c r="P92" i="1"/>
  <c r="AB87" i="1"/>
  <c r="BH67" i="2"/>
  <c r="BI67" i="2" s="1"/>
  <c r="CA142" i="1"/>
  <c r="BW87" i="1"/>
  <c r="BW142" i="1"/>
  <c r="J11" i="3"/>
  <c r="J27" i="3" s="1"/>
  <c r="J92" i="1"/>
  <c r="J142" i="1"/>
  <c r="J87" i="1"/>
  <c r="J94" i="1"/>
  <c r="BU92" i="1"/>
  <c r="BU87" i="1"/>
  <c r="AK94" i="1"/>
  <c r="AK142" i="1"/>
  <c r="H92" i="1"/>
  <c r="AA92" i="1"/>
  <c r="AA94" i="1"/>
  <c r="CA87" i="1"/>
  <c r="AL87" i="1"/>
  <c r="AL94" i="1"/>
  <c r="BS92" i="1"/>
  <c r="BR94" i="1"/>
  <c r="AF87" i="1"/>
  <c r="BW95" i="1"/>
  <c r="BW94" i="1"/>
  <c r="T92" i="1"/>
  <c r="D92" i="1"/>
  <c r="D142" i="1"/>
  <c r="BV87" i="1"/>
  <c r="P94" i="1"/>
  <c r="P142" i="1"/>
  <c r="AB94" i="1"/>
  <c r="BA27" i="3"/>
  <c r="BA51" i="3" s="1"/>
  <c r="CA95" i="1"/>
  <c r="AF94" i="1"/>
  <c r="AF142" i="1"/>
  <c r="T87" i="1"/>
  <c r="AB92" i="1"/>
  <c r="BU142" i="1"/>
  <c r="AK95" i="1"/>
  <c r="H87" i="1"/>
  <c r="CA94" i="1"/>
  <c r="AF95" i="1"/>
  <c r="T94" i="1"/>
  <c r="D94" i="1"/>
  <c r="BV92" i="1"/>
  <c r="P87" i="1"/>
  <c r="AB142" i="1"/>
  <c r="O142" i="1"/>
  <c r="O11" i="3"/>
  <c r="O94" i="1"/>
  <c r="BI117" i="3"/>
  <c r="BJ117" i="3" s="1"/>
  <c r="BH120" i="3"/>
  <c r="BK102" i="1"/>
  <c r="CE101" i="1"/>
  <c r="BK36" i="1"/>
  <c r="BJ37" i="1"/>
  <c r="BJ30" i="1"/>
  <c r="BK29" i="1"/>
  <c r="BJ104" i="1"/>
  <c r="BJ40" i="3"/>
  <c r="BJ75" i="2"/>
  <c r="BI49" i="1"/>
  <c r="BI366" i="39"/>
  <c r="BI399" i="39"/>
  <c r="BI24" i="39"/>
  <c r="BI410" i="39"/>
  <c r="BI413" i="39" s="1"/>
  <c r="BI414" i="39" s="1"/>
  <c r="BI415" i="39" s="1"/>
  <c r="BI416" i="39" s="1"/>
  <c r="BI17" i="39"/>
  <c r="BH25" i="39"/>
  <c r="BH374" i="39"/>
  <c r="BH400" i="39"/>
  <c r="BH18" i="39"/>
  <c r="BJ367" i="39"/>
  <c r="BI373" i="39"/>
  <c r="BJ41" i="39"/>
  <c r="BJ10" i="39"/>
  <c r="BK38" i="39"/>
  <c r="BI69" i="39"/>
  <c r="BJ66" i="39"/>
  <c r="BI11" i="39"/>
  <c r="BI130" i="3"/>
  <c r="BI25" i="3"/>
  <c r="BK137" i="3"/>
  <c r="CE137" i="3" s="1"/>
  <c r="BJ12" i="2"/>
  <c r="BJ84" i="2" s="1"/>
  <c r="BY11" i="3"/>
  <c r="BY85" i="3" s="1"/>
  <c r="BY89" i="3" s="1"/>
  <c r="BK20" i="2"/>
  <c r="BL20" i="2" s="1"/>
  <c r="BK21" i="2"/>
  <c r="BK16" i="2"/>
  <c r="BJ15" i="2"/>
  <c r="BK37" i="2"/>
  <c r="BL37" i="2" s="1"/>
  <c r="BK30" i="2"/>
  <c r="BL30" i="2" s="1"/>
  <c r="AP182" i="39"/>
  <c r="AP183" i="39" s="1"/>
  <c r="AK81" i="1"/>
  <c r="AR178" i="39"/>
  <c r="AQ179" i="39"/>
  <c r="AQ180" i="39" s="1"/>
  <c r="CD25" i="39"/>
  <c r="CD24" i="39"/>
  <c r="F11" i="3"/>
  <c r="F27" i="3" s="1"/>
  <c r="F142" i="1"/>
  <c r="F94" i="1"/>
  <c r="F92" i="1"/>
  <c r="F87" i="1"/>
  <c r="BX86" i="1"/>
  <c r="BX117" i="2"/>
  <c r="CB86" i="1"/>
  <c r="CB117" i="2"/>
  <c r="BY86" i="1"/>
  <c r="BY117" i="2"/>
  <c r="AK106" i="3"/>
  <c r="AJ122" i="3"/>
  <c r="AJ146" i="3" s="1"/>
  <c r="AG83" i="3"/>
  <c r="AG98" i="3" s="1"/>
  <c r="AG51" i="3"/>
  <c r="AM83" i="3"/>
  <c r="AM98" i="3" s="1"/>
  <c r="AM51" i="3"/>
  <c r="X122" i="3"/>
  <c r="X146" i="3" s="1"/>
  <c r="AZ83" i="3"/>
  <c r="AZ98" i="3" s="1"/>
  <c r="AZ51" i="3"/>
  <c r="AI83" i="3"/>
  <c r="AI98" i="3" s="1"/>
  <c r="AI51" i="3"/>
  <c r="AN83" i="3"/>
  <c r="AN98" i="3" s="1"/>
  <c r="AN51" i="3"/>
  <c r="L83" i="3"/>
  <c r="L98" i="3" s="1"/>
  <c r="L51" i="3"/>
  <c r="AQ51" i="3"/>
  <c r="AQ83" i="3"/>
  <c r="AQ98" i="3" s="1"/>
  <c r="AU83" i="3"/>
  <c r="AU98" i="3" s="1"/>
  <c r="AU51" i="3"/>
  <c r="BQ86" i="1"/>
  <c r="BQ117" i="2"/>
  <c r="AP11" i="3"/>
  <c r="AP94" i="1"/>
  <c r="AP87" i="1"/>
  <c r="AP142" i="1"/>
  <c r="AP92" i="1"/>
  <c r="AP95" i="1"/>
  <c r="AS91" i="3"/>
  <c r="AR122" i="3"/>
  <c r="AR146" i="3" s="1"/>
  <c r="AS106" i="3"/>
  <c r="BW83" i="3"/>
  <c r="BW98" i="3" s="1"/>
  <c r="BW51" i="3"/>
  <c r="BA91" i="3"/>
  <c r="AV91" i="3"/>
  <c r="AV122" i="3"/>
  <c r="AV146" i="3" s="1"/>
  <c r="AW106" i="3"/>
  <c r="AH91" i="3"/>
  <c r="AW91" i="3"/>
  <c r="AO91" i="3"/>
  <c r="AT11" i="3"/>
  <c r="AT142" i="1"/>
  <c r="AT92" i="1"/>
  <c r="CA92" i="1" s="1"/>
  <c r="AT95" i="1"/>
  <c r="AT94" i="1"/>
  <c r="AT87" i="1"/>
  <c r="U11" i="3"/>
  <c r="U27" i="3" s="1"/>
  <c r="U142" i="1"/>
  <c r="U94" i="1"/>
  <c r="U92" i="1"/>
  <c r="U87" i="1"/>
  <c r="R11" i="3"/>
  <c r="R27" i="3" s="1"/>
  <c r="R92" i="1"/>
  <c r="R87" i="1"/>
  <c r="R142" i="1"/>
  <c r="R94" i="1"/>
  <c r="AA83" i="3"/>
  <c r="AA98" i="3" s="1"/>
  <c r="AA51" i="3"/>
  <c r="AL85" i="3"/>
  <c r="AL89" i="3" s="1"/>
  <c r="AL27" i="3"/>
  <c r="AK85" i="3"/>
  <c r="AK89" i="3" s="1"/>
  <c r="AK27" i="3"/>
  <c r="P106" i="3"/>
  <c r="P27" i="3"/>
  <c r="H106" i="3"/>
  <c r="H27" i="3"/>
  <c r="Q11" i="3"/>
  <c r="Q27" i="3" s="1"/>
  <c r="Q142" i="1"/>
  <c r="Q94" i="1"/>
  <c r="Q92" i="1"/>
  <c r="Q87" i="1"/>
  <c r="Y11" i="3"/>
  <c r="Y106" i="3" s="1"/>
  <c r="Y142" i="1"/>
  <c r="Y94" i="1"/>
  <c r="Y92" i="1"/>
  <c r="Y87" i="1"/>
  <c r="AX11" i="3"/>
  <c r="AX94" i="1"/>
  <c r="AX87" i="1"/>
  <c r="AX142" i="1"/>
  <c r="AX92" i="1"/>
  <c r="CB92" i="1" s="1"/>
  <c r="AX95" i="1"/>
  <c r="AF106" i="3"/>
  <c r="AF85" i="3"/>
  <c r="AF89" i="3" s="1"/>
  <c r="AF27" i="3"/>
  <c r="BX11" i="3"/>
  <c r="AB106" i="3"/>
  <c r="AB27" i="3"/>
  <c r="T106" i="3"/>
  <c r="T27" i="3"/>
  <c r="BR127" i="1"/>
  <c r="BR128" i="1" s="1"/>
  <c r="BT86" i="1"/>
  <c r="BT87" i="1" s="1"/>
  <c r="BT117" i="2"/>
  <c r="AJ83" i="3"/>
  <c r="AJ98" i="3" s="1"/>
  <c r="AJ51" i="3"/>
  <c r="AJ91" i="3"/>
  <c r="AG91" i="3"/>
  <c r="AM91" i="3"/>
  <c r="X83" i="3"/>
  <c r="X98" i="3" s="1"/>
  <c r="X51" i="3"/>
  <c r="M83" i="3"/>
  <c r="M98" i="3" s="1"/>
  <c r="M51" i="3"/>
  <c r="AZ91" i="3"/>
  <c r="AZ122" i="3"/>
  <c r="AZ146" i="3" s="1"/>
  <c r="BA106" i="3"/>
  <c r="BA122" i="3" s="1"/>
  <c r="BA146" i="3" s="1"/>
  <c r="AI91" i="3"/>
  <c r="AN91" i="3"/>
  <c r="AN122" i="3"/>
  <c r="AN146" i="3" s="1"/>
  <c r="AO106" i="3"/>
  <c r="L122" i="3"/>
  <c r="L146" i="3" s="1"/>
  <c r="M106" i="3"/>
  <c r="AQ91" i="3"/>
  <c r="AU91" i="3"/>
  <c r="I11" i="3"/>
  <c r="I27" i="3" s="1"/>
  <c r="I142" i="1"/>
  <c r="I94" i="1"/>
  <c r="I92" i="1"/>
  <c r="I87" i="1"/>
  <c r="V11" i="3"/>
  <c r="V27" i="3" s="1"/>
  <c r="V92" i="1"/>
  <c r="V87" i="1"/>
  <c r="V142" i="1"/>
  <c r="V94" i="1"/>
  <c r="AS83" i="3"/>
  <c r="AS98" i="3" s="1"/>
  <c r="AS51" i="3"/>
  <c r="AR91" i="3"/>
  <c r="AR83" i="3"/>
  <c r="AR98" i="3" s="1"/>
  <c r="AR51" i="3"/>
  <c r="AC83" i="3"/>
  <c r="AC98" i="3" s="1"/>
  <c r="AC51" i="3"/>
  <c r="AV83" i="3"/>
  <c r="AV98" i="3" s="1"/>
  <c r="AV51" i="3"/>
  <c r="AH83" i="3"/>
  <c r="AH98" i="3" s="1"/>
  <c r="AH51" i="3"/>
  <c r="AW83" i="3"/>
  <c r="AW98" i="3" s="1"/>
  <c r="AW51" i="3"/>
  <c r="AO83" i="3"/>
  <c r="AO98" i="3" s="1"/>
  <c r="AO51" i="3"/>
  <c r="D106" i="3"/>
  <c r="D27" i="3"/>
  <c r="AN121" i="39"/>
  <c r="AN122" i="39"/>
  <c r="CC329" i="39"/>
  <c r="AP372" i="39"/>
  <c r="AP308" i="39"/>
  <c r="AQ305" i="39"/>
  <c r="BZ305" i="39" s="1"/>
  <c r="BY264" i="39"/>
  <c r="AN20" i="39"/>
  <c r="AN27" i="39"/>
  <c r="AN14" i="39"/>
  <c r="AN123" i="39" s="1"/>
  <c r="BY276" i="39"/>
  <c r="BY122" i="39"/>
  <c r="BY283" i="39"/>
  <c r="BE329" i="39"/>
  <c r="BF329" i="39" s="1"/>
  <c r="BG329" i="39" s="1"/>
  <c r="BH329" i="39" s="1"/>
  <c r="AN264" i="39"/>
  <c r="AO262" i="39"/>
  <c r="AO120" i="39" s="1"/>
  <c r="W145" i="39"/>
  <c r="W149" i="39" s="1"/>
  <c r="V149" i="39"/>
  <c r="AQ299" i="39"/>
  <c r="BZ299" i="39" s="1"/>
  <c r="AP302" i="39"/>
  <c r="AP288" i="39"/>
  <c r="T160" i="39"/>
  <c r="AS160" i="39"/>
  <c r="AS161" i="39" s="1"/>
  <c r="AK49" i="39"/>
  <c r="AK50" i="39" s="1"/>
  <c r="AK47" i="39"/>
  <c r="AK46" i="39"/>
  <c r="AL44" i="39"/>
  <c r="AV171" i="39"/>
  <c r="AV149" i="39"/>
  <c r="AW138" i="39"/>
  <c r="AV193" i="39"/>
  <c r="AN407" i="39"/>
  <c r="AT172" i="39"/>
  <c r="AU140" i="39"/>
  <c r="AT150" i="39"/>
  <c r="AT194" i="39"/>
  <c r="U150" i="39"/>
  <c r="V146" i="39"/>
  <c r="AT170" i="39"/>
  <c r="AT148" i="39"/>
  <c r="AU136" i="39"/>
  <c r="AT192" i="39"/>
  <c r="AO385" i="39"/>
  <c r="AO386" i="39" s="1"/>
  <c r="AO363" i="39" s="1"/>
  <c r="AO375" i="39"/>
  <c r="AT130" i="39"/>
  <c r="AS132" i="39"/>
  <c r="AG228" i="39"/>
  <c r="AG229" i="39" s="1"/>
  <c r="AG227" i="39"/>
  <c r="AO270" i="39"/>
  <c r="AP267" i="39"/>
  <c r="AO402" i="39"/>
  <c r="AO390" i="39" s="1"/>
  <c r="AO349" i="39"/>
  <c r="AO289" i="39"/>
  <c r="AO290" i="39"/>
  <c r="AO13" i="39"/>
  <c r="W148" i="39"/>
  <c r="BU148" i="39" s="1"/>
  <c r="U160" i="39"/>
  <c r="BV97" i="1"/>
  <c r="BV83" i="1"/>
  <c r="BT97" i="1"/>
  <c r="BT96" i="1" s="1"/>
  <c r="BT83" i="1"/>
  <c r="S97" i="1"/>
  <c r="S96" i="1" s="1"/>
  <c r="S83" i="1"/>
  <c r="BZ50" i="1"/>
  <c r="BZ55" i="1"/>
  <c r="AJ122" i="1"/>
  <c r="BU121" i="1"/>
  <c r="BU123" i="1" s="1"/>
  <c r="BU125" i="1" s="1"/>
  <c r="AB77" i="1"/>
  <c r="AB82" i="1"/>
  <c r="BT121" i="1"/>
  <c r="BT123" i="1" s="1"/>
  <c r="BT125" i="1" s="1"/>
  <c r="AG123" i="1"/>
  <c r="AG125" i="1" s="1"/>
  <c r="AG94" i="3" s="1"/>
  <c r="AG95" i="3" s="1"/>
  <c r="BX55" i="1"/>
  <c r="BX24" i="1"/>
  <c r="AF122" i="1"/>
  <c r="AF123" i="1" s="1"/>
  <c r="AF125" i="1" s="1"/>
  <c r="AF94" i="3" s="1"/>
  <c r="AF77" i="1"/>
  <c r="AF82" i="1"/>
  <c r="BW121" i="1"/>
  <c r="BW127" i="1" s="1"/>
  <c r="BW128" i="1" s="1"/>
  <c r="BW76" i="1"/>
  <c r="BW81" i="1"/>
  <c r="AL74" i="1"/>
  <c r="AL81" i="1" s="1"/>
  <c r="AL10" i="1"/>
  <c r="AM9" i="1"/>
  <c r="BS121" i="1"/>
  <c r="BS123" i="1" s="1"/>
  <c r="BS125" i="1" s="1"/>
  <c r="CA49" i="1"/>
  <c r="CA50" i="1" s="1"/>
  <c r="AI115" i="1"/>
  <c r="AI117" i="1" s="1"/>
  <c r="AI56" i="1"/>
  <c r="AI68" i="1"/>
  <c r="AG127" i="1"/>
  <c r="AG128" i="1" s="1"/>
  <c r="BU97" i="1"/>
  <c r="BU96" i="1" s="1"/>
  <c r="BU83" i="1"/>
  <c r="BX76" i="1"/>
  <c r="BX81" i="1"/>
  <c r="AK23" i="1"/>
  <c r="AK38" i="1"/>
  <c r="AK31" i="1"/>
  <c r="CC29" i="1"/>
  <c r="CB30" i="1"/>
  <c r="CB95" i="1"/>
  <c r="CB94" i="1"/>
  <c r="AH119" i="1"/>
  <c r="AH82" i="1"/>
  <c r="AH69" i="1"/>
  <c r="AH77" i="1"/>
  <c r="AC97" i="1"/>
  <c r="AC96" i="1" s="1"/>
  <c r="AC83" i="1"/>
  <c r="BS97" i="1"/>
  <c r="BS96" i="1" s="1"/>
  <c r="BS83" i="1"/>
  <c r="BX95" i="1"/>
  <c r="BX92" i="1"/>
  <c r="BY87" i="1"/>
  <c r="BY92" i="1"/>
  <c r="BQ127" i="1"/>
  <c r="BQ128" i="1" s="1"/>
  <c r="AJ24" i="1"/>
  <c r="AJ55" i="1"/>
  <c r="BV121" i="1"/>
  <c r="BV123" i="1" s="1"/>
  <c r="BV125" i="1" s="1"/>
  <c r="AK122" i="1"/>
  <c r="BM30" i="2" l="1"/>
  <c r="BL24" i="3"/>
  <c r="BL119" i="3" s="1"/>
  <c r="BL21" i="2"/>
  <c r="BL35" i="3" s="1"/>
  <c r="BL130" i="3" s="1"/>
  <c r="BL26" i="3"/>
  <c r="BL121" i="3" s="1"/>
  <c r="BM37" i="2"/>
  <c r="BL85" i="2"/>
  <c r="BM20" i="2"/>
  <c r="BL62" i="2"/>
  <c r="BM58" i="2"/>
  <c r="CE16" i="2"/>
  <c r="BL16" i="2"/>
  <c r="BL22" i="3" s="1"/>
  <c r="BL117" i="3" s="1"/>
  <c r="BK37" i="1"/>
  <c r="CE37" i="1" s="1"/>
  <c r="BL36" i="1"/>
  <c r="BK30" i="1"/>
  <c r="BL29" i="1"/>
  <c r="CE102" i="1"/>
  <c r="BL102" i="1"/>
  <c r="BL137" i="3"/>
  <c r="BM42" i="3"/>
  <c r="BL66" i="2"/>
  <c r="BM66" i="2" s="1"/>
  <c r="CE38" i="39"/>
  <c r="CE41" i="39" s="1"/>
  <c r="BL38" i="39"/>
  <c r="CE66" i="2"/>
  <c r="BA83" i="3"/>
  <c r="BA98" i="3" s="1"/>
  <c r="BT142" i="1"/>
  <c r="J83" i="3"/>
  <c r="J98" i="3" s="1"/>
  <c r="J51" i="3"/>
  <c r="BT94" i="1"/>
  <c r="BJ49" i="1"/>
  <c r="BY142" i="1"/>
  <c r="BY94" i="1"/>
  <c r="BX94" i="1"/>
  <c r="BX142" i="1"/>
  <c r="CB87" i="1"/>
  <c r="BY95" i="1"/>
  <c r="BX87" i="1"/>
  <c r="CB142" i="1"/>
  <c r="O27" i="3"/>
  <c r="BS11" i="3"/>
  <c r="BS27" i="3" s="1"/>
  <c r="BK12" i="2"/>
  <c r="BL12" i="2" s="1"/>
  <c r="BI120" i="3"/>
  <c r="BK24" i="3"/>
  <c r="CE30" i="2"/>
  <c r="BK35" i="3"/>
  <c r="CE35" i="3" s="1"/>
  <c r="CE21" i="2"/>
  <c r="BK26" i="3"/>
  <c r="CE37" i="2"/>
  <c r="BK85" i="2"/>
  <c r="CE20" i="2"/>
  <c r="CE75" i="2"/>
  <c r="BJ67" i="2"/>
  <c r="BK104" i="1"/>
  <c r="BK75" i="2"/>
  <c r="BK40" i="3"/>
  <c r="CE40" i="3" s="1"/>
  <c r="BT92" i="1"/>
  <c r="BJ135" i="3"/>
  <c r="BK49" i="1"/>
  <c r="AP89" i="2"/>
  <c r="AP90" i="2" s="1"/>
  <c r="BI329" i="39"/>
  <c r="BI18" i="39"/>
  <c r="BI25" i="39"/>
  <c r="BI400" i="39"/>
  <c r="BI374" i="39"/>
  <c r="BK10" i="39"/>
  <c r="BK41" i="39"/>
  <c r="BK367" i="39"/>
  <c r="BL367" i="39" s="1"/>
  <c r="BJ373" i="39"/>
  <c r="BJ366" i="39"/>
  <c r="BK66" i="39"/>
  <c r="BL66" i="39" s="1"/>
  <c r="BJ69" i="39"/>
  <c r="BJ11" i="39"/>
  <c r="BJ399" i="39"/>
  <c r="BJ17" i="39"/>
  <c r="BJ410" i="39"/>
  <c r="BJ413" i="39" s="1"/>
  <c r="BJ414" i="39" s="1"/>
  <c r="BJ415" i="39" s="1"/>
  <c r="BJ416" i="39" s="1"/>
  <c r="BJ24" i="39"/>
  <c r="BK15" i="2"/>
  <c r="BJ25" i="3"/>
  <c r="BJ130" i="3"/>
  <c r="BK22" i="3"/>
  <c r="AQ89" i="2"/>
  <c r="AQ90" i="2" s="1"/>
  <c r="BY27" i="3"/>
  <c r="BY51" i="3" s="1"/>
  <c r="AQ182" i="39"/>
  <c r="AQ183" i="39" s="1"/>
  <c r="BQ11" i="3"/>
  <c r="BQ27" i="3" s="1"/>
  <c r="BQ51" i="3" s="1"/>
  <c r="BQ52" i="3" s="1"/>
  <c r="BQ55" i="3" s="1"/>
  <c r="AR179" i="39"/>
  <c r="AR180" i="39" s="1"/>
  <c r="AS178" i="39"/>
  <c r="AR182" i="39"/>
  <c r="AR183" i="39" s="1"/>
  <c r="AN377" i="39"/>
  <c r="AN34" i="39"/>
  <c r="AO407" i="39"/>
  <c r="BU149" i="39"/>
  <c r="CD329" i="39"/>
  <c r="CD331" i="39" s="1"/>
  <c r="BS127" i="1"/>
  <c r="BS128" i="1" s="1"/>
  <c r="F83" i="3"/>
  <c r="F98" i="3" s="1"/>
  <c r="F51" i="3"/>
  <c r="Y122" i="3"/>
  <c r="Y146" i="3" s="1"/>
  <c r="Z106" i="3"/>
  <c r="D83" i="3"/>
  <c r="D98" i="3" s="1"/>
  <c r="D51" i="3"/>
  <c r="D52" i="3" s="1"/>
  <c r="D122" i="3"/>
  <c r="D146" i="3" s="1"/>
  <c r="D147" i="3" s="1"/>
  <c r="D150" i="3" s="1"/>
  <c r="E106" i="3"/>
  <c r="V83" i="3"/>
  <c r="V98" i="3" s="1"/>
  <c r="V51" i="3"/>
  <c r="N106" i="3"/>
  <c r="M122" i="3"/>
  <c r="M146" i="3" s="1"/>
  <c r="AP106" i="3"/>
  <c r="AO122" i="3"/>
  <c r="AO146" i="3" s="1"/>
  <c r="AG96" i="3"/>
  <c r="T83" i="3"/>
  <c r="T98" i="3" s="1"/>
  <c r="T51" i="3"/>
  <c r="AB83" i="3"/>
  <c r="AB98" i="3" s="1"/>
  <c r="AB51" i="3"/>
  <c r="BX85" i="3"/>
  <c r="BX89" i="3" s="1"/>
  <c r="BX27" i="3"/>
  <c r="AF95" i="3"/>
  <c r="AF91" i="3"/>
  <c r="AF96" i="3" s="1"/>
  <c r="AX85" i="3"/>
  <c r="AX89" i="3" s="1"/>
  <c r="AX27" i="3"/>
  <c r="CB11" i="3"/>
  <c r="CB85" i="3" s="1"/>
  <c r="CB89" i="3" s="1"/>
  <c r="Q83" i="3"/>
  <c r="Q98" i="3" s="1"/>
  <c r="Q51" i="3"/>
  <c r="BR11" i="3"/>
  <c r="BR27" i="3" s="1"/>
  <c r="P83" i="3"/>
  <c r="P98" i="3" s="1"/>
  <c r="P51" i="3"/>
  <c r="P122" i="3"/>
  <c r="P146" i="3" s="1"/>
  <c r="Q106" i="3"/>
  <c r="AK91" i="3"/>
  <c r="AL91" i="3"/>
  <c r="U83" i="3"/>
  <c r="U98" i="3" s="1"/>
  <c r="U51" i="3"/>
  <c r="AT85" i="3"/>
  <c r="AT89" i="3" s="1"/>
  <c r="AT27" i="3"/>
  <c r="CA11" i="3"/>
  <c r="AP85" i="3"/>
  <c r="AP89" i="3" s="1"/>
  <c r="AP27" i="3"/>
  <c r="BZ11" i="3"/>
  <c r="BQ87" i="1"/>
  <c r="BQ92" i="1"/>
  <c r="BQ142" i="1"/>
  <c r="BQ94" i="1"/>
  <c r="BV127" i="1"/>
  <c r="BV128" i="1" s="1"/>
  <c r="BT127" i="1"/>
  <c r="BT128" i="1" s="1"/>
  <c r="BV96" i="1"/>
  <c r="I83" i="3"/>
  <c r="I98" i="3" s="1"/>
  <c r="I51" i="3"/>
  <c r="BU11" i="3"/>
  <c r="BU27" i="3" s="1"/>
  <c r="T122" i="3"/>
  <c r="T146" i="3" s="1"/>
  <c r="U106" i="3"/>
  <c r="AB122" i="3"/>
  <c r="AB146" i="3" s="1"/>
  <c r="AC106" i="3"/>
  <c r="AF83" i="3"/>
  <c r="AF98" i="3" s="1"/>
  <c r="AF51" i="3"/>
  <c r="AF122" i="3"/>
  <c r="AF146" i="3" s="1"/>
  <c r="AG106" i="3"/>
  <c r="Y27" i="3"/>
  <c r="BV11" i="3"/>
  <c r="BV27" i="3" s="1"/>
  <c r="H83" i="3"/>
  <c r="H98" i="3" s="1"/>
  <c r="H51" i="3"/>
  <c r="H122" i="3"/>
  <c r="H146" i="3" s="1"/>
  <c r="I106" i="3"/>
  <c r="BT11" i="3"/>
  <c r="BT27" i="3" s="1"/>
  <c r="AK83" i="3"/>
  <c r="AK98" i="3" s="1"/>
  <c r="AK51" i="3"/>
  <c r="AL83" i="3"/>
  <c r="AL98" i="3" s="1"/>
  <c r="AL51" i="3"/>
  <c r="R83" i="3"/>
  <c r="R98" i="3" s="1"/>
  <c r="R51" i="3"/>
  <c r="AX106" i="3"/>
  <c r="AW122" i="3"/>
  <c r="AW146" i="3" s="1"/>
  <c r="AT106" i="3"/>
  <c r="AS122" i="3"/>
  <c r="AS146" i="3" s="1"/>
  <c r="BY91" i="3"/>
  <c r="AL106" i="3"/>
  <c r="AK122" i="3"/>
  <c r="AK146" i="3" s="1"/>
  <c r="BZ302" i="39"/>
  <c r="AO122" i="39"/>
  <c r="AO121" i="39"/>
  <c r="AT160" i="39"/>
  <c r="AT161" i="39" s="1"/>
  <c r="AP402" i="39"/>
  <c r="AP390" i="39" s="1"/>
  <c r="AP349" i="39"/>
  <c r="AP290" i="39"/>
  <c r="AP289" i="39"/>
  <c r="AP13" i="39"/>
  <c r="U162" i="39"/>
  <c r="U163" i="39" s="1"/>
  <c r="U161" i="39"/>
  <c r="AO27" i="39"/>
  <c r="AO20" i="39"/>
  <c r="AO14" i="39"/>
  <c r="AO123" i="39" s="1"/>
  <c r="W146" i="39"/>
  <c r="V150" i="39"/>
  <c r="AU172" i="39"/>
  <c r="AV140" i="39"/>
  <c r="AU150" i="39"/>
  <c r="CA150" i="39" s="1"/>
  <c r="AU194" i="39"/>
  <c r="CA194" i="39" s="1"/>
  <c r="CA140" i="39"/>
  <c r="AX138" i="39"/>
  <c r="AW193" i="39"/>
  <c r="AW171" i="39"/>
  <c r="AW149" i="39"/>
  <c r="AL49" i="39"/>
  <c r="AL47" i="39"/>
  <c r="AL46" i="39"/>
  <c r="AM44" i="39"/>
  <c r="AT132" i="39"/>
  <c r="AU130" i="39"/>
  <c r="CA130" i="39" s="1"/>
  <c r="AU170" i="39"/>
  <c r="CA170" i="39" s="1"/>
  <c r="AU148" i="39"/>
  <c r="CA148" i="39" s="1"/>
  <c r="AV136" i="39"/>
  <c r="AU192" i="39"/>
  <c r="CA192" i="39" s="1"/>
  <c r="CA136" i="39"/>
  <c r="CA172" i="39"/>
  <c r="AN265" i="39"/>
  <c r="AQ372" i="39"/>
  <c r="AR305" i="39"/>
  <c r="AQ308" i="39"/>
  <c r="CC331" i="39"/>
  <c r="AO264" i="39"/>
  <c r="AO265" i="39"/>
  <c r="AP262" i="39"/>
  <c r="AP120" i="39" s="1"/>
  <c r="AP270" i="39"/>
  <c r="AQ267" i="39"/>
  <c r="T162" i="39"/>
  <c r="T163" i="39" s="1"/>
  <c r="T161" i="39"/>
  <c r="AQ302" i="39"/>
  <c r="AR299" i="39"/>
  <c r="AQ288" i="39"/>
  <c r="AN325" i="39"/>
  <c r="AN70" i="39"/>
  <c r="AN42" i="39"/>
  <c r="AN35" i="39"/>
  <c r="AN33" i="39"/>
  <c r="AN28" i="39"/>
  <c r="AN315" i="39"/>
  <c r="AN31" i="39"/>
  <c r="AN32" i="39"/>
  <c r="AN303" i="39"/>
  <c r="AN309" i="39"/>
  <c r="AN271" i="39"/>
  <c r="BZ308" i="39"/>
  <c r="AP375" i="39"/>
  <c r="AP385" i="39"/>
  <c r="AP386" i="39" s="1"/>
  <c r="AP363" i="39" s="1"/>
  <c r="AH121" i="1"/>
  <c r="AH123" i="1" s="1"/>
  <c r="AH125" i="1" s="1"/>
  <c r="AH94" i="3" s="1"/>
  <c r="AH95" i="3" s="1"/>
  <c r="AM81" i="1"/>
  <c r="AM10" i="1"/>
  <c r="BY10" i="1" s="1"/>
  <c r="AN9" i="1"/>
  <c r="BY9" i="1" s="1"/>
  <c r="AF97" i="1"/>
  <c r="AF96" i="1" s="1"/>
  <c r="AF83" i="1"/>
  <c r="BX115" i="1"/>
  <c r="BX117" i="1" s="1"/>
  <c r="BX56" i="1"/>
  <c r="BX68" i="1"/>
  <c r="BX77" i="1" s="1"/>
  <c r="BU127" i="1"/>
  <c r="BU128" i="1" s="1"/>
  <c r="BZ115" i="1"/>
  <c r="BZ117" i="1" s="1"/>
  <c r="BZ68" i="1"/>
  <c r="BZ56" i="1"/>
  <c r="CB49" i="1"/>
  <c r="CB50" i="1" s="1"/>
  <c r="AK24" i="1"/>
  <c r="AK55" i="1"/>
  <c r="AL23" i="1"/>
  <c r="AL12" i="1"/>
  <c r="AL38" i="1"/>
  <c r="AL31" i="1"/>
  <c r="BW122" i="1"/>
  <c r="BW123" i="1" s="1"/>
  <c r="BW125" i="1" s="1"/>
  <c r="BW77" i="1"/>
  <c r="BW82" i="1"/>
  <c r="AB97" i="1"/>
  <c r="AB96" i="1" s="1"/>
  <c r="AB83" i="1"/>
  <c r="AJ115" i="1"/>
  <c r="AJ117" i="1" s="1"/>
  <c r="AJ68" i="1"/>
  <c r="AJ56" i="1"/>
  <c r="CD29" i="1"/>
  <c r="CE29" i="1" s="1"/>
  <c r="CC30" i="1"/>
  <c r="AI119" i="1"/>
  <c r="AI82" i="1"/>
  <c r="AI69" i="1"/>
  <c r="AI77" i="1"/>
  <c r="AL76" i="1"/>
  <c r="BY74" i="1"/>
  <c r="BY76" i="1" s="1"/>
  <c r="AH97" i="1"/>
  <c r="AH83" i="1"/>
  <c r="BX122" i="1"/>
  <c r="BL84" i="2" l="1"/>
  <c r="BM12" i="2"/>
  <c r="BM16" i="2"/>
  <c r="BM22" i="3" s="1"/>
  <c r="BM117" i="3" s="1"/>
  <c r="BM85" i="2"/>
  <c r="BN20" i="2"/>
  <c r="BL15" i="2"/>
  <c r="BL25" i="3" s="1"/>
  <c r="BL120" i="3" s="1"/>
  <c r="BN30" i="2"/>
  <c r="BM24" i="3"/>
  <c r="BM119" i="3" s="1"/>
  <c r="BM21" i="2"/>
  <c r="BM35" i="3" s="1"/>
  <c r="BM130" i="3" s="1"/>
  <c r="BK84" i="2"/>
  <c r="BM62" i="2"/>
  <c r="BN58" i="2"/>
  <c r="BN37" i="2"/>
  <c r="BM26" i="3"/>
  <c r="BM121" i="3" s="1"/>
  <c r="BM29" i="1"/>
  <c r="BL30" i="1"/>
  <c r="CE30" i="1"/>
  <c r="CF29" i="1"/>
  <c r="CF30" i="1" s="1"/>
  <c r="CE104" i="1"/>
  <c r="CE106" i="1" s="1"/>
  <c r="BL40" i="3"/>
  <c r="BL75" i="2"/>
  <c r="BL104" i="1"/>
  <c r="BM102" i="1"/>
  <c r="BL37" i="1"/>
  <c r="BM36" i="1"/>
  <c r="BN42" i="3"/>
  <c r="BM137" i="3"/>
  <c r="BM367" i="39"/>
  <c r="CE10" i="39"/>
  <c r="CE24" i="39" s="1"/>
  <c r="BL69" i="39"/>
  <c r="BL11" i="39"/>
  <c r="BM66" i="39"/>
  <c r="BJ329" i="39"/>
  <c r="BK329" i="39" s="1"/>
  <c r="BL329" i="39" s="1"/>
  <c r="BM38" i="39"/>
  <c r="BL10" i="39"/>
  <c r="BL41" i="39"/>
  <c r="CF59" i="2"/>
  <c r="CF62" i="2" s="1"/>
  <c r="CE12" i="2"/>
  <c r="CE84" i="2" s="1"/>
  <c r="CE49" i="1"/>
  <c r="BK135" i="3"/>
  <c r="CE135" i="3" s="1"/>
  <c r="BK373" i="39"/>
  <c r="CE373" i="39" s="1"/>
  <c r="BS83" i="3"/>
  <c r="BS98" i="3" s="1"/>
  <c r="BS51" i="3"/>
  <c r="O83" i="3"/>
  <c r="O98" i="3" s="1"/>
  <c r="O51" i="3"/>
  <c r="AN291" i="39"/>
  <c r="BJ120" i="3"/>
  <c r="BK25" i="3"/>
  <c r="CE15" i="2"/>
  <c r="BK121" i="3"/>
  <c r="CE121" i="3" s="1"/>
  <c r="CE26" i="3"/>
  <c r="BK117" i="3"/>
  <c r="CE117" i="3" s="1"/>
  <c r="CE22" i="3"/>
  <c r="CE85" i="2"/>
  <c r="CE25" i="3"/>
  <c r="BK119" i="3"/>
  <c r="CE119" i="3" s="1"/>
  <c r="CE24" i="3"/>
  <c r="BQ83" i="3"/>
  <c r="BQ98" i="3" s="1"/>
  <c r="BY83" i="3"/>
  <c r="BY98" i="3" s="1"/>
  <c r="BK67" i="2"/>
  <c r="BK366" i="39"/>
  <c r="BL366" i="39" s="1"/>
  <c r="BJ374" i="39"/>
  <c r="BJ400" i="39"/>
  <c r="BJ18" i="39"/>
  <c r="BJ25" i="39"/>
  <c r="BK69" i="39"/>
  <c r="BK11" i="39"/>
  <c r="CE66" i="39"/>
  <c r="CE69" i="39" s="1"/>
  <c r="BK410" i="39"/>
  <c r="BK413" i="39" s="1"/>
  <c r="BK414" i="39" s="1"/>
  <c r="BK415" i="39" s="1"/>
  <c r="BK416" i="39" s="1"/>
  <c r="BK24" i="39"/>
  <c r="BK399" i="39"/>
  <c r="BK17" i="39"/>
  <c r="BK130" i="3"/>
  <c r="CE130" i="3" s="1"/>
  <c r="BZ89" i="2"/>
  <c r="BZ90" i="2" s="1"/>
  <c r="BY81" i="1"/>
  <c r="AT178" i="39"/>
  <c r="AS179" i="39"/>
  <c r="AS180" i="39" s="1"/>
  <c r="AP407" i="39"/>
  <c r="AO34" i="39"/>
  <c r="AU106" i="3"/>
  <c r="AT122" i="3"/>
  <c r="AT146" i="3" s="1"/>
  <c r="AH96" i="3"/>
  <c r="BT83" i="3"/>
  <c r="BT98" i="3" s="1"/>
  <c r="BT51" i="3"/>
  <c r="Y83" i="3"/>
  <c r="Y98" i="3" s="1"/>
  <c r="Y51" i="3"/>
  <c r="AP83" i="3"/>
  <c r="AP98" i="3" s="1"/>
  <c r="AP51" i="3"/>
  <c r="CA85" i="3"/>
  <c r="CA89" i="3" s="1"/>
  <c r="CA27" i="3"/>
  <c r="AT91" i="3"/>
  <c r="CB91" i="3"/>
  <c r="AX91" i="3"/>
  <c r="BX91" i="3"/>
  <c r="AP122" i="3"/>
  <c r="AP146" i="3" s="1"/>
  <c r="AQ106" i="3"/>
  <c r="N122" i="3"/>
  <c r="N146" i="3" s="1"/>
  <c r="O106" i="3"/>
  <c r="F106" i="3"/>
  <c r="E122" i="3"/>
  <c r="E146" i="3" s="1"/>
  <c r="E147" i="3" s="1"/>
  <c r="E150" i="3" s="1"/>
  <c r="E49" i="3"/>
  <c r="E52" i="3" s="1"/>
  <c r="D55" i="3"/>
  <c r="AA106" i="3"/>
  <c r="Z122" i="3"/>
  <c r="Z146" i="3" s="1"/>
  <c r="AL122" i="3"/>
  <c r="AL146" i="3" s="1"/>
  <c r="AM106" i="3"/>
  <c r="AY106" i="3"/>
  <c r="AX122" i="3"/>
  <c r="AX146" i="3" s="1"/>
  <c r="I122" i="3"/>
  <c r="I146" i="3" s="1"/>
  <c r="J106" i="3"/>
  <c r="BV83" i="3"/>
  <c r="BV98" i="3" s="1"/>
  <c r="BV51" i="3"/>
  <c r="AH106" i="3"/>
  <c r="AG122" i="3"/>
  <c r="AG146" i="3" s="1"/>
  <c r="AD106" i="3"/>
  <c r="AC122" i="3"/>
  <c r="AC146" i="3" s="1"/>
  <c r="V106" i="3"/>
  <c r="U122" i="3"/>
  <c r="U146" i="3" s="1"/>
  <c r="BU83" i="3"/>
  <c r="BU98" i="3" s="1"/>
  <c r="BU51" i="3"/>
  <c r="BZ85" i="3"/>
  <c r="BZ89" i="3" s="1"/>
  <c r="BZ27" i="3"/>
  <c r="AP91" i="3"/>
  <c r="AT83" i="3"/>
  <c r="AT98" i="3" s="1"/>
  <c r="AT51" i="3"/>
  <c r="Q122" i="3"/>
  <c r="Q146" i="3" s="1"/>
  <c r="R106" i="3"/>
  <c r="BR83" i="3"/>
  <c r="BR98" i="3" s="1"/>
  <c r="BR51" i="3"/>
  <c r="AX83" i="3"/>
  <c r="AX98" i="3" s="1"/>
  <c r="AX51" i="3"/>
  <c r="BX83" i="3"/>
  <c r="BX98" i="3" s="1"/>
  <c r="BX51" i="3"/>
  <c r="AR89" i="2"/>
  <c r="AR90" i="2" s="1"/>
  <c r="CA132" i="39"/>
  <c r="AR267" i="39"/>
  <c r="AQ270" i="39"/>
  <c r="AQ402" i="39"/>
  <c r="AQ390" i="39" s="1"/>
  <c r="BZ390" i="39" s="1"/>
  <c r="AQ349" i="39"/>
  <c r="AQ290" i="39"/>
  <c r="AQ289" i="39"/>
  <c r="AQ13" i="39"/>
  <c r="AW136" i="39"/>
  <c r="AV170" i="39"/>
  <c r="AV148" i="39"/>
  <c r="AV192" i="39"/>
  <c r="AL50" i="39"/>
  <c r="AM49" i="39"/>
  <c r="AM38" i="39" s="1"/>
  <c r="AX171" i="39"/>
  <c r="AY138" i="39"/>
  <c r="AX149" i="39"/>
  <c r="AX193" i="39"/>
  <c r="AV172" i="39"/>
  <c r="AW140" i="39"/>
  <c r="AV150" i="39"/>
  <c r="AV194" i="39"/>
  <c r="AP27" i="39"/>
  <c r="AP20" i="39"/>
  <c r="AP14" i="39"/>
  <c r="AP34" i="39" s="1"/>
  <c r="AS299" i="39"/>
  <c r="AR302" i="39"/>
  <c r="AR288" i="39"/>
  <c r="BZ267" i="39"/>
  <c r="AR372" i="39"/>
  <c r="AS305" i="39"/>
  <c r="AR308" i="39"/>
  <c r="AU160" i="39"/>
  <c r="AU161" i="39" s="1"/>
  <c r="AM46" i="39"/>
  <c r="AN44" i="39"/>
  <c r="BY44" i="39"/>
  <c r="AO315" i="39"/>
  <c r="AO325" i="39"/>
  <c r="AO28" i="39"/>
  <c r="AO21" i="39"/>
  <c r="AO42" i="39"/>
  <c r="AO35" i="39"/>
  <c r="AO33" i="39"/>
  <c r="AO70" i="39"/>
  <c r="AO31" i="39"/>
  <c r="AO32" i="39"/>
  <c r="AO303" i="39"/>
  <c r="AO309" i="39"/>
  <c r="AO271" i="39"/>
  <c r="BZ288" i="39"/>
  <c r="AO377" i="39"/>
  <c r="AP122" i="39"/>
  <c r="AP121" i="39"/>
  <c r="AQ262" i="39"/>
  <c r="AP264" i="39"/>
  <c r="V160" i="39"/>
  <c r="AU132" i="39"/>
  <c r="AV130" i="39"/>
  <c r="W150" i="39"/>
  <c r="BU150" i="39" s="1"/>
  <c r="AQ375" i="39"/>
  <c r="BZ375" i="39" s="1"/>
  <c r="AQ385" i="39"/>
  <c r="AQ386" i="39" s="1"/>
  <c r="AQ363" i="39" s="1"/>
  <c r="BZ372" i="39"/>
  <c r="CD30" i="1"/>
  <c r="AI97" i="1"/>
  <c r="AI83" i="1"/>
  <c r="AI121" i="1"/>
  <c r="AI123" i="1" s="1"/>
  <c r="AI125" i="1" s="1"/>
  <c r="AI94" i="3" s="1"/>
  <c r="AJ119" i="1"/>
  <c r="AJ82" i="1"/>
  <c r="AJ69" i="1"/>
  <c r="AJ77" i="1"/>
  <c r="AM23" i="1"/>
  <c r="AM38" i="1"/>
  <c r="AM31" i="1"/>
  <c r="AL122" i="1"/>
  <c r="BW97" i="1"/>
  <c r="BW83" i="1"/>
  <c r="BY122" i="1"/>
  <c r="CC49" i="1"/>
  <c r="BY23" i="1"/>
  <c r="BY12" i="1"/>
  <c r="BZ12" i="1"/>
  <c r="BY31" i="1"/>
  <c r="BY38" i="1"/>
  <c r="AL55" i="1"/>
  <c r="AL24" i="1"/>
  <c r="AK115" i="1"/>
  <c r="AK117" i="1" s="1"/>
  <c r="AK68" i="1"/>
  <c r="AK56" i="1"/>
  <c r="BZ119" i="1"/>
  <c r="BZ69" i="1"/>
  <c r="BX119" i="1"/>
  <c r="BX82" i="1"/>
  <c r="BX69" i="1"/>
  <c r="AN74" i="1"/>
  <c r="AO9" i="1"/>
  <c r="AN10" i="1"/>
  <c r="AH127" i="1"/>
  <c r="AH128" i="1" s="1"/>
  <c r="BO20" i="2" l="1"/>
  <c r="BO85" i="2" s="1"/>
  <c r="BN85" i="2"/>
  <c r="BM84" i="2"/>
  <c r="BN12" i="2"/>
  <c r="BO30" i="2"/>
  <c r="BN24" i="3"/>
  <c r="BN119" i="3" s="1"/>
  <c r="BN26" i="3"/>
  <c r="BN121" i="3" s="1"/>
  <c r="BO37" i="2"/>
  <c r="BO58" i="2"/>
  <c r="BO62" i="2" s="1"/>
  <c r="BN62" i="2"/>
  <c r="BN21" i="2"/>
  <c r="BN35" i="3" s="1"/>
  <c r="BN130" i="3" s="1"/>
  <c r="BM15" i="2"/>
  <c r="BN16" i="2"/>
  <c r="BN22" i="3" s="1"/>
  <c r="BM104" i="1"/>
  <c r="BM75" i="2"/>
  <c r="BM40" i="3"/>
  <c r="BM44" i="3" s="1"/>
  <c r="BN102" i="1"/>
  <c r="BL49" i="1"/>
  <c r="BL135" i="3"/>
  <c r="BL44" i="3"/>
  <c r="BL67" i="2"/>
  <c r="BN36" i="1"/>
  <c r="BM37" i="1"/>
  <c r="BM30" i="1"/>
  <c r="BN29" i="1"/>
  <c r="BO42" i="3"/>
  <c r="CF42" i="3" s="1"/>
  <c r="BN137" i="3"/>
  <c r="BN66" i="2"/>
  <c r="BM329" i="39"/>
  <c r="BN329" i="39" s="1"/>
  <c r="BO329" i="39" s="1"/>
  <c r="CE329" i="39"/>
  <c r="CE331" i="39" s="1"/>
  <c r="BM366" i="39"/>
  <c r="BN38" i="39"/>
  <c r="BM10" i="39"/>
  <c r="BM373" i="39" s="1"/>
  <c r="BM41" i="39"/>
  <c r="BM11" i="39"/>
  <c r="BM69" i="39"/>
  <c r="BN66" i="39"/>
  <c r="BN367" i="39"/>
  <c r="BL24" i="39"/>
  <c r="BL399" i="39"/>
  <c r="BL410" i="39"/>
  <c r="BL413" i="39" s="1"/>
  <c r="BL414" i="39" s="1"/>
  <c r="BL415" i="39" s="1"/>
  <c r="BL416" i="39" s="1"/>
  <c r="BL17" i="39"/>
  <c r="BL374" i="39"/>
  <c r="BL400" i="39"/>
  <c r="BL18" i="39"/>
  <c r="BL25" i="39"/>
  <c r="BL373" i="39"/>
  <c r="CE67" i="2"/>
  <c r="AP265" i="39"/>
  <c r="BK120" i="3"/>
  <c r="CE120" i="3" s="1"/>
  <c r="AS182" i="39"/>
  <c r="AS183" i="39" s="1"/>
  <c r="BK400" i="39"/>
  <c r="BK374" i="39"/>
  <c r="CE374" i="39" s="1"/>
  <c r="BK25" i="39"/>
  <c r="BK18" i="39"/>
  <c r="CE11" i="39"/>
  <c r="CF25" i="39" s="1"/>
  <c r="AQ407" i="39"/>
  <c r="BZ407" i="39" s="1"/>
  <c r="AP377" i="39"/>
  <c r="AP123" i="39"/>
  <c r="AO291" i="39"/>
  <c r="AS89" i="2"/>
  <c r="AS90" i="2" s="1"/>
  <c r="AU178" i="39"/>
  <c r="AT179" i="39"/>
  <c r="AT180" i="39" s="1"/>
  <c r="BZ363" i="39"/>
  <c r="W160" i="39"/>
  <c r="W161" i="39" s="1"/>
  <c r="AI95" i="3"/>
  <c r="AI96" i="3"/>
  <c r="BZ91" i="3"/>
  <c r="AY121" i="3"/>
  <c r="CB106" i="3"/>
  <c r="AM122" i="3"/>
  <c r="AM146" i="3" s="1"/>
  <c r="BY106" i="3"/>
  <c r="BY122" i="3" s="1"/>
  <c r="BY146" i="3" s="1"/>
  <c r="O122" i="3"/>
  <c r="O146" i="3" s="1"/>
  <c r="BS106" i="3"/>
  <c r="BS122" i="3" s="1"/>
  <c r="BS146" i="3" s="1"/>
  <c r="AQ122" i="3"/>
  <c r="AQ146" i="3" s="1"/>
  <c r="BZ106" i="3"/>
  <c r="BZ122" i="3" s="1"/>
  <c r="BZ146" i="3" s="1"/>
  <c r="CA83" i="3"/>
  <c r="CA51" i="3"/>
  <c r="BW96" i="1"/>
  <c r="AI127" i="1"/>
  <c r="AI128" i="1" s="1"/>
  <c r="R122" i="3"/>
  <c r="R146" i="3" s="1"/>
  <c r="S106" i="3"/>
  <c r="BZ83" i="3"/>
  <c r="BZ51" i="3"/>
  <c r="W106" i="3"/>
  <c r="V122" i="3"/>
  <c r="V146" i="3" s="1"/>
  <c r="AD122" i="3"/>
  <c r="AD146" i="3" s="1"/>
  <c r="AE106" i="3"/>
  <c r="AI106" i="3"/>
  <c r="AH122" i="3"/>
  <c r="AH146" i="3" s="1"/>
  <c r="K106" i="3"/>
  <c r="J122" i="3"/>
  <c r="J146" i="3" s="1"/>
  <c r="BV106" i="3"/>
  <c r="BV122" i="3" s="1"/>
  <c r="BV146" i="3" s="1"/>
  <c r="AA122" i="3"/>
  <c r="AA146" i="3" s="1"/>
  <c r="F49" i="3"/>
  <c r="F52" i="3" s="1"/>
  <c r="E55" i="3"/>
  <c r="G106" i="3"/>
  <c r="F122" i="3"/>
  <c r="F146" i="3" s="1"/>
  <c r="F147" i="3" s="1"/>
  <c r="F150" i="3" s="1"/>
  <c r="CA91" i="3"/>
  <c r="CA106" i="3"/>
  <c r="CA122" i="3" s="1"/>
  <c r="CA146" i="3" s="1"/>
  <c r="AU122" i="3"/>
  <c r="AU146" i="3" s="1"/>
  <c r="AS288" i="39"/>
  <c r="AT299" i="39"/>
  <c r="AS302" i="39"/>
  <c r="AW170" i="39"/>
  <c r="AX136" i="39"/>
  <c r="AW148" i="39"/>
  <c r="AW192" i="39"/>
  <c r="AR270" i="39"/>
  <c r="AS267" i="39"/>
  <c r="V162" i="39"/>
  <c r="V163" i="39" s="1"/>
  <c r="V161" i="39"/>
  <c r="BY46" i="39"/>
  <c r="AW130" i="39"/>
  <c r="AV132" i="39"/>
  <c r="BZ290" i="39"/>
  <c r="AN47" i="39"/>
  <c r="AN46" i="39"/>
  <c r="AO44" i="39"/>
  <c r="AN49" i="39"/>
  <c r="AN50" i="39" s="1"/>
  <c r="AR385" i="39"/>
  <c r="AR386" i="39" s="1"/>
  <c r="AR363" i="39" s="1"/>
  <c r="AR375" i="39"/>
  <c r="AP325" i="39"/>
  <c r="AP315" i="39"/>
  <c r="AP42" i="39"/>
  <c r="AP70" i="39"/>
  <c r="AP28" i="39"/>
  <c r="AP21" i="39"/>
  <c r="AP35" i="39"/>
  <c r="AP33" i="39"/>
  <c r="AP32" i="39"/>
  <c r="AP31" i="39"/>
  <c r="AP309" i="39"/>
  <c r="AP303" i="39"/>
  <c r="AP271" i="39"/>
  <c r="AV160" i="39"/>
  <c r="AV161" i="39" s="1"/>
  <c r="AQ27" i="39"/>
  <c r="AQ20" i="39"/>
  <c r="AQ14" i="39"/>
  <c r="BZ14" i="39" s="1"/>
  <c r="BZ13" i="39"/>
  <c r="BZ270" i="39"/>
  <c r="AQ41" i="39"/>
  <c r="AM41" i="39"/>
  <c r="AN39" i="39"/>
  <c r="AM54" i="39"/>
  <c r="AM39" i="39"/>
  <c r="BC40" i="39" s="1"/>
  <c r="BY38" i="39"/>
  <c r="AM10" i="39"/>
  <c r="AM59" i="39"/>
  <c r="AR262" i="39"/>
  <c r="AR120" i="39" s="1"/>
  <c r="AQ264" i="39"/>
  <c r="AS372" i="39"/>
  <c r="AS308" i="39"/>
  <c r="AT305" i="39"/>
  <c r="AR402" i="39"/>
  <c r="AR390" i="39" s="1"/>
  <c r="AR349" i="39"/>
  <c r="AR290" i="39"/>
  <c r="AR289" i="39"/>
  <c r="AR13" i="39"/>
  <c r="AW150" i="39"/>
  <c r="AW172" i="39"/>
  <c r="AX140" i="39"/>
  <c r="AW194" i="39"/>
  <c r="AY171" i="39"/>
  <c r="CB171" i="39" s="1"/>
  <c r="AY149" i="39"/>
  <c r="CB149" i="39" s="1"/>
  <c r="AZ138" i="39"/>
  <c r="AY193" i="39"/>
  <c r="CB193" i="39" s="1"/>
  <c r="CB138" i="39"/>
  <c r="AQ120" i="39"/>
  <c r="BZ262" i="39"/>
  <c r="AO74" i="1"/>
  <c r="AO76" i="1" s="1"/>
  <c r="AO10" i="1"/>
  <c r="AP9" i="1"/>
  <c r="BX97" i="1"/>
  <c r="BX83" i="1"/>
  <c r="BZ121" i="1"/>
  <c r="BZ127" i="1" s="1"/>
  <c r="BZ128" i="1" s="1"/>
  <c r="AJ90" i="1"/>
  <c r="AJ83" i="1"/>
  <c r="AN76" i="1"/>
  <c r="BX121" i="1"/>
  <c r="BX123" i="1" s="1"/>
  <c r="BX125" i="1" s="1"/>
  <c r="BX94" i="3" s="1"/>
  <c r="BX95" i="3" s="1"/>
  <c r="AL115" i="1"/>
  <c r="AL117" i="1" s="1"/>
  <c r="AL68" i="1"/>
  <c r="AL56" i="1"/>
  <c r="AM55" i="1"/>
  <c r="AM24" i="1"/>
  <c r="AJ121" i="1"/>
  <c r="AJ123" i="1" s="1"/>
  <c r="AJ125" i="1" s="1"/>
  <c r="AJ94" i="3" s="1"/>
  <c r="AN23" i="1"/>
  <c r="AN31" i="1"/>
  <c r="AN38" i="1"/>
  <c r="AN81" i="1"/>
  <c r="AK119" i="1"/>
  <c r="AK69" i="1"/>
  <c r="AK82" i="1"/>
  <c r="AK77" i="1"/>
  <c r="BY55" i="1"/>
  <c r="BY24" i="1"/>
  <c r="CD49" i="1"/>
  <c r="BH40" i="39" l="1"/>
  <c r="BD40" i="39"/>
  <c r="CF329" i="39"/>
  <c r="CF331" i="39" s="1"/>
  <c r="CF20" i="2"/>
  <c r="CF85" i="2" s="1"/>
  <c r="BM67" i="2"/>
  <c r="BZ98" i="3"/>
  <c r="CA98" i="3"/>
  <c r="BO16" i="2"/>
  <c r="CF16" i="2" s="1"/>
  <c r="BO21" i="2"/>
  <c r="CF21" i="2" s="1"/>
  <c r="BN15" i="2"/>
  <c r="BN25" i="3" s="1"/>
  <c r="BM25" i="3"/>
  <c r="BM120" i="3" s="1"/>
  <c r="BO24" i="3"/>
  <c r="BO119" i="3" s="1"/>
  <c r="CF119" i="3" s="1"/>
  <c r="CF30" i="2"/>
  <c r="CF37" i="2"/>
  <c r="BO26" i="3"/>
  <c r="CF26" i="3" s="1"/>
  <c r="BO12" i="2"/>
  <c r="BO84" i="2" s="1"/>
  <c r="BN84" i="2"/>
  <c r="BN117" i="3"/>
  <c r="BN37" i="1"/>
  <c r="BO36" i="1"/>
  <c r="BO37" i="1" s="1"/>
  <c r="BM135" i="3"/>
  <c r="BL139" i="3"/>
  <c r="BN104" i="1"/>
  <c r="BN40" i="3"/>
  <c r="BN75" i="2"/>
  <c r="BO102" i="1"/>
  <c r="BO29" i="1"/>
  <c r="BO30" i="1" s="1"/>
  <c r="BN30" i="1"/>
  <c r="BM49" i="1"/>
  <c r="BO66" i="2"/>
  <c r="CF66" i="2" s="1"/>
  <c r="BO137" i="3"/>
  <c r="BO66" i="39"/>
  <c r="CF66" i="39" s="1"/>
  <c r="CF69" i="39" s="1"/>
  <c r="BN11" i="39"/>
  <c r="BN69" i="39"/>
  <c r="BM18" i="39"/>
  <c r="BM374" i="39"/>
  <c r="BM400" i="39"/>
  <c r="BM25" i="39"/>
  <c r="BO38" i="39"/>
  <c r="CF38" i="39" s="1"/>
  <c r="BN10" i="39"/>
  <c r="BN373" i="39" s="1"/>
  <c r="BN41" i="39"/>
  <c r="BO367" i="39"/>
  <c r="BM410" i="39"/>
  <c r="BM413" i="39" s="1"/>
  <c r="BM414" i="39" s="1"/>
  <c r="BM415" i="39" s="1"/>
  <c r="BM416" i="39" s="1"/>
  <c r="BM399" i="39"/>
  <c r="BM17" i="39"/>
  <c r="BM24" i="39"/>
  <c r="BN366" i="39"/>
  <c r="AT182" i="39"/>
  <c r="AT183" i="39" s="1"/>
  <c r="BZ253" i="39"/>
  <c r="BZ235" i="39"/>
  <c r="BZ241" i="39"/>
  <c r="BZ247" i="39"/>
  <c r="BZ133" i="39"/>
  <c r="CE25" i="39"/>
  <c r="BZ271" i="39"/>
  <c r="BZ265" i="39"/>
  <c r="AQ265" i="39"/>
  <c r="AQ34" i="39"/>
  <c r="AQ377" i="39"/>
  <c r="BX127" i="1"/>
  <c r="BX128" i="1" s="1"/>
  <c r="AV178" i="39"/>
  <c r="AU179" i="39"/>
  <c r="AU180" i="39" s="1"/>
  <c r="W162" i="39"/>
  <c r="W163" i="39" s="1"/>
  <c r="AP291" i="39"/>
  <c r="BZ291" i="39"/>
  <c r="BZ377" i="39"/>
  <c r="AJ127" i="1"/>
  <c r="AJ128" i="1" s="1"/>
  <c r="BW106" i="3"/>
  <c r="BW122" i="3" s="1"/>
  <c r="BW146" i="3" s="1"/>
  <c r="AE122" i="3"/>
  <c r="AE146" i="3" s="1"/>
  <c r="AJ95" i="3"/>
  <c r="AJ96" i="3"/>
  <c r="BX96" i="3"/>
  <c r="G122" i="3"/>
  <c r="G146" i="3" s="1"/>
  <c r="G147" i="3" s="1"/>
  <c r="BQ106" i="3"/>
  <c r="BQ122" i="3" s="1"/>
  <c r="BQ146" i="3" s="1"/>
  <c r="BQ147" i="3" s="1"/>
  <c r="G49" i="3"/>
  <c r="G52" i="3" s="1"/>
  <c r="F55" i="3"/>
  <c r="BR106" i="3"/>
  <c r="BR122" i="3" s="1"/>
  <c r="BR146" i="3" s="1"/>
  <c r="K122" i="3"/>
  <c r="K146" i="3" s="1"/>
  <c r="BX106" i="3"/>
  <c r="BX122" i="3" s="1"/>
  <c r="BX146" i="3" s="1"/>
  <c r="AI122" i="3"/>
  <c r="AI146" i="3" s="1"/>
  <c r="BU106" i="3"/>
  <c r="BU122" i="3" s="1"/>
  <c r="BU146" i="3" s="1"/>
  <c r="W122" i="3"/>
  <c r="W146" i="3" s="1"/>
  <c r="S122" i="3"/>
  <c r="S146" i="3" s="1"/>
  <c r="BT106" i="3"/>
  <c r="BT122" i="3" s="1"/>
  <c r="BT146" i="3" s="1"/>
  <c r="AY122" i="3"/>
  <c r="AY146" i="3" s="1"/>
  <c r="CB121" i="3"/>
  <c r="CB122" i="3" s="1"/>
  <c r="CB146" i="3" s="1"/>
  <c r="AY26" i="3"/>
  <c r="AT89" i="2"/>
  <c r="AT90" i="2" s="1"/>
  <c r="AZ171" i="39"/>
  <c r="AZ149" i="39"/>
  <c r="BA138" i="39"/>
  <c r="AZ193" i="39"/>
  <c r="AX150" i="39"/>
  <c r="AY140" i="39"/>
  <c r="CB140" i="39" s="1"/>
  <c r="AX172" i="39"/>
  <c r="AX194" i="39"/>
  <c r="AS375" i="39"/>
  <c r="AS385" i="39"/>
  <c r="AS386" i="39" s="1"/>
  <c r="AS363" i="39" s="1"/>
  <c r="AR264" i="39"/>
  <c r="AS262" i="39"/>
  <c r="AQ325" i="39"/>
  <c r="AQ315" i="39"/>
  <c r="AQ107" i="39"/>
  <c r="AQ70" i="39"/>
  <c r="AQ42" i="39"/>
  <c r="AQ35" i="39"/>
  <c r="AQ33" i="39"/>
  <c r="AQ21" i="39"/>
  <c r="AQ32" i="39"/>
  <c r="AQ31" i="39"/>
  <c r="AQ309" i="39"/>
  <c r="AQ303" i="39"/>
  <c r="AQ271" i="39"/>
  <c r="AT372" i="39"/>
  <c r="AT308" i="39"/>
  <c r="AU305" i="39"/>
  <c r="CA305" i="39" s="1"/>
  <c r="AM399" i="39"/>
  <c r="AM390" i="39" s="1"/>
  <c r="AM373" i="39"/>
  <c r="AN17" i="39"/>
  <c r="AM14" i="39"/>
  <c r="AQ28" i="39" s="1"/>
  <c r="AM24" i="39"/>
  <c r="AM17" i="39"/>
  <c r="AQ24" i="39"/>
  <c r="BY10" i="39"/>
  <c r="AR40" i="39"/>
  <c r="AZ40" i="39"/>
  <c r="AV40" i="39"/>
  <c r="AR407" i="39"/>
  <c r="AO49" i="39"/>
  <c r="AO50" i="39" s="1"/>
  <c r="AO47" i="39"/>
  <c r="AO46" i="39"/>
  <c r="AP44" i="39"/>
  <c r="AX130" i="39"/>
  <c r="AW132" i="39"/>
  <c r="AT267" i="39"/>
  <c r="AS270" i="39"/>
  <c r="AS120" i="39"/>
  <c r="AW160" i="39"/>
  <c r="AW161" i="39" s="1"/>
  <c r="AU299" i="39"/>
  <c r="AT302" i="39"/>
  <c r="AT288" i="39"/>
  <c r="BZ264" i="39"/>
  <c r="BY49" i="39"/>
  <c r="BY51" i="39" s="1"/>
  <c r="BY41" i="39"/>
  <c r="BY59" i="39"/>
  <c r="BZ41" i="39"/>
  <c r="BY54" i="39"/>
  <c r="BZ70" i="39"/>
  <c r="BZ33" i="39"/>
  <c r="BZ35" i="39"/>
  <c r="BZ325" i="39"/>
  <c r="BZ42" i="39"/>
  <c r="BZ315" i="39"/>
  <c r="BZ32" i="39"/>
  <c r="BZ354" i="39"/>
  <c r="BZ31" i="39"/>
  <c r="BZ332" i="39"/>
  <c r="BZ303" i="39"/>
  <c r="BZ309" i="39"/>
  <c r="AX170" i="39"/>
  <c r="AX148" i="39"/>
  <c r="AY136" i="39"/>
  <c r="AX192" i="39"/>
  <c r="AQ123" i="39"/>
  <c r="AQ122" i="39"/>
  <c r="AQ121" i="39"/>
  <c r="BZ120" i="39"/>
  <c r="AR20" i="39"/>
  <c r="AR27" i="39"/>
  <c r="AR14" i="39"/>
  <c r="AR123" i="39" s="1"/>
  <c r="BG40" i="39"/>
  <c r="AY40" i="39"/>
  <c r="AU40" i="39"/>
  <c r="AQ40" i="39"/>
  <c r="BZ34" i="39"/>
  <c r="BZ27" i="39"/>
  <c r="AR121" i="39"/>
  <c r="AR122" i="39"/>
  <c r="AS402" i="39"/>
  <c r="AS390" i="39" s="1"/>
  <c r="AS349" i="39"/>
  <c r="AS289" i="39"/>
  <c r="AS290" i="39"/>
  <c r="AS13" i="39"/>
  <c r="AK90" i="1"/>
  <c r="AK97" i="1" s="1"/>
  <c r="AK83" i="1"/>
  <c r="AL119" i="1"/>
  <c r="AL82" i="1"/>
  <c r="AL69" i="1"/>
  <c r="AL77" i="1"/>
  <c r="AN122" i="1"/>
  <c r="AP74" i="1"/>
  <c r="AP76" i="1" s="1"/>
  <c r="AP10" i="1"/>
  <c r="AQ9" i="1"/>
  <c r="AO23" i="1"/>
  <c r="AO31" i="1"/>
  <c r="AO38" i="1"/>
  <c r="BY115" i="1"/>
  <c r="BY117" i="1" s="1"/>
  <c r="BY56" i="1"/>
  <c r="BY68" i="1"/>
  <c r="AK121" i="1"/>
  <c r="AK123" i="1" s="1"/>
  <c r="AK125" i="1" s="1"/>
  <c r="AK94" i="3" s="1"/>
  <c r="AN55" i="1"/>
  <c r="AN24" i="1"/>
  <c r="AM115" i="1"/>
  <c r="AM117" i="1" s="1"/>
  <c r="AM56" i="1"/>
  <c r="AM68" i="1"/>
  <c r="AJ97" i="1"/>
  <c r="AO81" i="1"/>
  <c r="AO122" i="1"/>
  <c r="BN67" i="2" l="1"/>
  <c r="BO35" i="3"/>
  <c r="CF35" i="3" s="1"/>
  <c r="BO49" i="1"/>
  <c r="CF37" i="1"/>
  <c r="CF49" i="1" s="1"/>
  <c r="BN49" i="1"/>
  <c r="CF24" i="3"/>
  <c r="BO22" i="3"/>
  <c r="CF22" i="3" s="1"/>
  <c r="BO121" i="3"/>
  <c r="CF121" i="3" s="1"/>
  <c r="BO15" i="2"/>
  <c r="CF15" i="2" s="1"/>
  <c r="BN120" i="3"/>
  <c r="BN44" i="3"/>
  <c r="BO104" i="1"/>
  <c r="BO40" i="3"/>
  <c r="BO44" i="3" s="1"/>
  <c r="BO75" i="2"/>
  <c r="CF102" i="1"/>
  <c r="BN135" i="3"/>
  <c r="BM139" i="3"/>
  <c r="CF137" i="3"/>
  <c r="CF41" i="39"/>
  <c r="BO10" i="39"/>
  <c r="CF10" i="39" s="1"/>
  <c r="BO41" i="39"/>
  <c r="BO69" i="39"/>
  <c r="BO11" i="39"/>
  <c r="BO366" i="39"/>
  <c r="BN410" i="39"/>
  <c r="BN413" i="39" s="1"/>
  <c r="BN414" i="39" s="1"/>
  <c r="BN415" i="39" s="1"/>
  <c r="BN416" i="39" s="1"/>
  <c r="BN24" i="39"/>
  <c r="BN399" i="39"/>
  <c r="BN17" i="39"/>
  <c r="BN374" i="39"/>
  <c r="BN400" i="39"/>
  <c r="BN18" i="39"/>
  <c r="BN25" i="39"/>
  <c r="AU182" i="39"/>
  <c r="AU183" i="39" s="1"/>
  <c r="AV179" i="39"/>
  <c r="AV180" i="39" s="1"/>
  <c r="AW178" i="39"/>
  <c r="AV182" i="39"/>
  <c r="AV183" i="39" s="1"/>
  <c r="AR34" i="39"/>
  <c r="AM31" i="39"/>
  <c r="AQ291" i="39"/>
  <c r="AK127" i="1"/>
  <c r="AK128" i="1" s="1"/>
  <c r="AP81" i="1"/>
  <c r="G55" i="3"/>
  <c r="H49" i="3"/>
  <c r="H144" i="3"/>
  <c r="G150" i="3"/>
  <c r="AK95" i="3"/>
  <c r="AK96" i="3"/>
  <c r="CB26" i="3"/>
  <c r="AY27" i="3"/>
  <c r="BQ150" i="3"/>
  <c r="BR144" i="3"/>
  <c r="BR147" i="3" s="1"/>
  <c r="AS121" i="39"/>
  <c r="AS122" i="39"/>
  <c r="BY24" i="39"/>
  <c r="BZ24" i="39"/>
  <c r="AM325" i="39"/>
  <c r="AM315" i="39"/>
  <c r="AM70" i="39"/>
  <c r="AM35" i="39"/>
  <c r="AM33" i="39"/>
  <c r="AM28" i="39"/>
  <c r="AM21" i="39"/>
  <c r="AM34" i="39"/>
  <c r="AM32" i="39"/>
  <c r="BY14" i="39"/>
  <c r="AM309" i="39"/>
  <c r="AM303" i="39"/>
  <c r="AM271" i="39"/>
  <c r="AM123" i="39"/>
  <c r="AM265" i="39"/>
  <c r="AN21" i="39"/>
  <c r="AM47" i="39"/>
  <c r="AM42" i="39"/>
  <c r="AT385" i="39"/>
  <c r="AT386" i="39" s="1"/>
  <c r="AT363" i="39" s="1"/>
  <c r="AT375" i="39"/>
  <c r="AY172" i="39"/>
  <c r="CB172" i="39" s="1"/>
  <c r="AY150" i="39"/>
  <c r="AZ140" i="39"/>
  <c r="AY194" i="39"/>
  <c r="CB194" i="39" s="1"/>
  <c r="AR315" i="39"/>
  <c r="AR325" i="39"/>
  <c r="AR104" i="39"/>
  <c r="AR103" i="39"/>
  <c r="AR102" i="39"/>
  <c r="AR101" i="39"/>
  <c r="AR100" i="39"/>
  <c r="AR107" i="39"/>
  <c r="AR70" i="39"/>
  <c r="AR42" i="39"/>
  <c r="AR35" i="39"/>
  <c r="AR33" i="39"/>
  <c r="AR28" i="39"/>
  <c r="AR21" i="39"/>
  <c r="AR31" i="39"/>
  <c r="AR32" i="39"/>
  <c r="AR303" i="39"/>
  <c r="AR309" i="39"/>
  <c r="AR271" i="39"/>
  <c r="AY170" i="39"/>
  <c r="AY148" i="39"/>
  <c r="CB148" i="39" s="1"/>
  <c r="AZ136" i="39"/>
  <c r="AY192" i="39"/>
  <c r="CB192" i="39" s="1"/>
  <c r="AU302" i="39"/>
  <c r="AV299" i="39"/>
  <c r="AU288" i="39"/>
  <c r="CA299" i="39"/>
  <c r="AX132" i="39"/>
  <c r="AY130" i="39"/>
  <c r="AU372" i="39"/>
  <c r="AU308" i="39"/>
  <c r="AV305" i="39"/>
  <c r="AR265" i="39"/>
  <c r="CB150" i="39"/>
  <c r="AS27" i="39"/>
  <c r="AS20" i="39"/>
  <c r="AS14" i="39"/>
  <c r="AS265" i="39" s="1"/>
  <c r="BZ122" i="39"/>
  <c r="BZ123" i="39"/>
  <c r="BZ283" i="39"/>
  <c r="BZ276" i="39"/>
  <c r="AX160" i="39"/>
  <c r="AX161" i="39" s="1"/>
  <c r="CA308" i="39"/>
  <c r="AP49" i="39"/>
  <c r="AP50" i="39" s="1"/>
  <c r="AP47" i="39"/>
  <c r="AP46" i="39"/>
  <c r="AQ44" i="39"/>
  <c r="AT262" i="39"/>
  <c r="AS264" i="39"/>
  <c r="AS407" i="39"/>
  <c r="AT402" i="39"/>
  <c r="AT390" i="39" s="1"/>
  <c r="AT349" i="39"/>
  <c r="AT289" i="39"/>
  <c r="AT290" i="39"/>
  <c r="AT13" i="39"/>
  <c r="AT270" i="39"/>
  <c r="AU267" i="39"/>
  <c r="AT120" i="39"/>
  <c r="AM375" i="39"/>
  <c r="AM377" i="39" s="1"/>
  <c r="AM385" i="39"/>
  <c r="AM386" i="39" s="1"/>
  <c r="AM363" i="39" s="1"/>
  <c r="AR377" i="39"/>
  <c r="BB138" i="39"/>
  <c r="BA171" i="39"/>
  <c r="BA149" i="39"/>
  <c r="BA193" i="39"/>
  <c r="CB136" i="39"/>
  <c r="AP122" i="1"/>
  <c r="AL121" i="1"/>
  <c r="AL123" i="1" s="1"/>
  <c r="AL125" i="1" s="1"/>
  <c r="AL94" i="3" s="1"/>
  <c r="BY119" i="1"/>
  <c r="BY82" i="1"/>
  <c r="BY69" i="1"/>
  <c r="BY77" i="1"/>
  <c r="AQ74" i="1"/>
  <c r="AR9" i="1"/>
  <c r="AQ10" i="1"/>
  <c r="BZ9" i="1"/>
  <c r="AM119" i="1"/>
  <c r="AM69" i="1"/>
  <c r="AM82" i="1"/>
  <c r="AM77" i="1"/>
  <c r="AN115" i="1"/>
  <c r="AN117" i="1" s="1"/>
  <c r="AN56" i="1"/>
  <c r="AN68" i="1"/>
  <c r="AO24" i="1"/>
  <c r="AO55" i="1"/>
  <c r="AP23" i="1"/>
  <c r="AP12" i="1"/>
  <c r="AP38" i="1"/>
  <c r="AP31" i="1"/>
  <c r="AL90" i="1"/>
  <c r="AL97" i="1" s="1"/>
  <c r="AL83" i="1"/>
  <c r="BO130" i="3" l="1"/>
  <c r="CF130" i="3" s="1"/>
  <c r="BO67" i="2"/>
  <c r="CF67" i="2" s="1"/>
  <c r="CF40" i="3"/>
  <c r="CF44" i="3" s="1"/>
  <c r="BO25" i="3"/>
  <c r="CF25" i="3" s="1"/>
  <c r="BO117" i="3"/>
  <c r="CF117" i="3" s="1"/>
  <c r="BO120" i="3"/>
  <c r="CF120" i="3" s="1"/>
  <c r="BO135" i="3"/>
  <c r="BN139" i="3"/>
  <c r="CF75" i="2"/>
  <c r="CF104" i="1"/>
  <c r="CF106" i="1" s="1"/>
  <c r="CF24" i="39"/>
  <c r="BO410" i="39"/>
  <c r="BO413" i="39" s="1"/>
  <c r="BO414" i="39" s="1"/>
  <c r="BO415" i="39" s="1"/>
  <c r="BO416" i="39" s="1"/>
  <c r="BO24" i="39"/>
  <c r="BO399" i="39"/>
  <c r="BO17" i="39"/>
  <c r="BO18" i="39"/>
  <c r="BO25" i="39"/>
  <c r="BO400" i="39"/>
  <c r="BO374" i="39"/>
  <c r="CF374" i="39" s="1"/>
  <c r="BO373" i="39"/>
  <c r="CF373" i="39" s="1"/>
  <c r="CF12" i="2"/>
  <c r="CF84" i="2" s="1"/>
  <c r="AU89" i="2"/>
  <c r="AU90" i="2" s="1"/>
  <c r="BY31" i="39"/>
  <c r="BY241" i="39"/>
  <c r="BY253" i="39"/>
  <c r="BY235" i="39"/>
  <c r="BY247" i="39"/>
  <c r="BY133" i="39"/>
  <c r="BY271" i="39"/>
  <c r="BY265" i="39"/>
  <c r="AW179" i="39"/>
  <c r="AW180" i="39" s="1"/>
  <c r="AX178" i="39"/>
  <c r="AW182" i="39"/>
  <c r="AW183" i="39" s="1"/>
  <c r="AR291" i="39"/>
  <c r="AS377" i="39"/>
  <c r="AY160" i="39"/>
  <c r="AY161" i="39" s="1"/>
  <c r="BS144" i="3"/>
  <c r="BS147" i="3" s="1"/>
  <c r="BR150" i="3"/>
  <c r="AL95" i="3"/>
  <c r="AL96" i="3"/>
  <c r="CB27" i="3"/>
  <c r="J144" i="3"/>
  <c r="J147" i="3" s="1"/>
  <c r="J150" i="3" s="1"/>
  <c r="K144" i="3"/>
  <c r="K147" i="3" s="1"/>
  <c r="I144" i="3"/>
  <c r="I147" i="3" s="1"/>
  <c r="I150" i="3" s="1"/>
  <c r="H147" i="3"/>
  <c r="H150" i="3" s="1"/>
  <c r="AL127" i="1"/>
  <c r="AL128" i="1" s="1"/>
  <c r="AY83" i="3"/>
  <c r="AY98" i="3" s="1"/>
  <c r="AY51" i="3"/>
  <c r="BR49" i="3"/>
  <c r="BR52" i="3" s="1"/>
  <c r="BR55" i="3" s="1"/>
  <c r="H52" i="3"/>
  <c r="AV89" i="2"/>
  <c r="AV90" i="2" s="1"/>
  <c r="CA89" i="2"/>
  <c r="CA90" i="2" s="1"/>
  <c r="BB171" i="39"/>
  <c r="BC138" i="39"/>
  <c r="CC138" i="39" s="1"/>
  <c r="BB149" i="39"/>
  <c r="BB193" i="39"/>
  <c r="AT264" i="39"/>
  <c r="AU262" i="39"/>
  <c r="CA262" i="39" s="1"/>
  <c r="AS315" i="39"/>
  <c r="AS325" i="39"/>
  <c r="AS103" i="39"/>
  <c r="AW113" i="39" s="1"/>
  <c r="AS70" i="39"/>
  <c r="AS28" i="39"/>
  <c r="AS21" i="39"/>
  <c r="AS104" i="39"/>
  <c r="AW114" i="39" s="1"/>
  <c r="AS100" i="39"/>
  <c r="AS101" i="39"/>
  <c r="AW111" i="39" s="1"/>
  <c r="AS42" i="39"/>
  <c r="AS35" i="39"/>
  <c r="AS33" i="39"/>
  <c r="AS107" i="39"/>
  <c r="AS102" i="39"/>
  <c r="AW112" i="39" s="1"/>
  <c r="AS32" i="39"/>
  <c r="AS31" i="39"/>
  <c r="AS309" i="39"/>
  <c r="AS303" i="39"/>
  <c r="AS271" i="39"/>
  <c r="CA302" i="39"/>
  <c r="AR105" i="39"/>
  <c r="AR106" i="39" s="1"/>
  <c r="AV113" i="39"/>
  <c r="CB170" i="39"/>
  <c r="AT407" i="39"/>
  <c r="AT122" i="39"/>
  <c r="AT121" i="39"/>
  <c r="AT27" i="39"/>
  <c r="AT14" i="39"/>
  <c r="AT123" i="39" s="1"/>
  <c r="AT20" i="39"/>
  <c r="AU385" i="39"/>
  <c r="AU386" i="39" s="1"/>
  <c r="AU363" i="39" s="1"/>
  <c r="CA363" i="39" s="1"/>
  <c r="AU375" i="39"/>
  <c r="CA375" i="39" s="1"/>
  <c r="AU402" i="39"/>
  <c r="AU390" i="39" s="1"/>
  <c r="CA390" i="39" s="1"/>
  <c r="AU349" i="39"/>
  <c r="AU290" i="39"/>
  <c r="AU289" i="39"/>
  <c r="AU13" i="39"/>
  <c r="CA13" i="39" s="1"/>
  <c r="AV110" i="39"/>
  <c r="AV114" i="39"/>
  <c r="AM291" i="39"/>
  <c r="BY332" i="39"/>
  <c r="BY291" i="39"/>
  <c r="BY33" i="39"/>
  <c r="BY35" i="39"/>
  <c r="BY28" i="39"/>
  <c r="BY70" i="39"/>
  <c r="BY315" i="39"/>
  <c r="BY354" i="39"/>
  <c r="BY34" i="39"/>
  <c r="BY32" i="39"/>
  <c r="BY123" i="39"/>
  <c r="BY47" i="39"/>
  <c r="BY42" i="39"/>
  <c r="BZ28" i="39"/>
  <c r="AV267" i="39"/>
  <c r="AU270" i="39"/>
  <c r="CA267" i="39"/>
  <c r="AS34" i="39"/>
  <c r="AV372" i="39"/>
  <c r="AW305" i="39"/>
  <c r="AV308" i="39"/>
  <c r="AY132" i="39"/>
  <c r="AZ130" i="39"/>
  <c r="AW299" i="39"/>
  <c r="AV302" i="39"/>
  <c r="AV288" i="39"/>
  <c r="AZ170" i="39"/>
  <c r="BA136" i="39"/>
  <c r="AZ148" i="39"/>
  <c r="AZ192" i="39"/>
  <c r="AV111" i="39"/>
  <c r="CA372" i="39"/>
  <c r="CB130" i="39"/>
  <c r="AM407" i="39"/>
  <c r="BY363" i="39"/>
  <c r="AQ47" i="39"/>
  <c r="AQ46" i="39"/>
  <c r="AR44" i="39"/>
  <c r="AQ49" i="39"/>
  <c r="AQ50" i="39" s="1"/>
  <c r="BZ44" i="39"/>
  <c r="AV112" i="39"/>
  <c r="AZ172" i="39"/>
  <c r="AZ150" i="39"/>
  <c r="BA140" i="39"/>
  <c r="AZ194" i="39"/>
  <c r="AS123" i="39"/>
  <c r="CA288" i="39"/>
  <c r="BY121" i="1"/>
  <c r="BY123" i="1" s="1"/>
  <c r="BY125" i="1" s="1"/>
  <c r="BY94" i="3" s="1"/>
  <c r="AP55" i="1"/>
  <c r="AP24" i="1"/>
  <c r="AR74" i="1"/>
  <c r="AR81" i="1" s="1"/>
  <c r="AR10" i="1"/>
  <c r="AS9" i="1"/>
  <c r="AO115" i="1"/>
  <c r="AO117" i="1" s="1"/>
  <c r="AO68" i="1"/>
  <c r="AO56" i="1"/>
  <c r="AM121" i="1"/>
  <c r="AM123" i="1" s="1"/>
  <c r="AM125" i="1" s="1"/>
  <c r="AM94" i="3" s="1"/>
  <c r="AQ76" i="1"/>
  <c r="BZ74" i="1"/>
  <c r="BZ76" i="1" s="1"/>
  <c r="BY83" i="1"/>
  <c r="AQ81" i="1"/>
  <c r="CA9" i="1"/>
  <c r="AN119" i="1"/>
  <c r="AN82" i="1"/>
  <c r="AN69" i="1"/>
  <c r="AN77" i="1"/>
  <c r="AM90" i="1"/>
  <c r="BY90" i="1" s="1"/>
  <c r="BY97" i="1" s="1"/>
  <c r="AM83" i="1"/>
  <c r="AQ23" i="1"/>
  <c r="AQ12" i="1"/>
  <c r="AQ38" i="1"/>
  <c r="AQ31" i="1"/>
  <c r="CF135" i="3" l="1"/>
  <c r="CF139" i="3" s="1"/>
  <c r="BO139" i="3"/>
  <c r="AX179" i="39"/>
  <c r="AX180" i="39" s="1"/>
  <c r="AY178" i="39"/>
  <c r="AX182" i="39"/>
  <c r="AX183" i="39" s="1"/>
  <c r="AS291" i="39"/>
  <c r="AT377" i="39"/>
  <c r="AT34" i="39"/>
  <c r="AU120" i="39"/>
  <c r="CA120" i="39" s="1"/>
  <c r="CA276" i="39" s="1"/>
  <c r="BZ81" i="1"/>
  <c r="BY95" i="3"/>
  <c r="BY96" i="3"/>
  <c r="H55" i="3"/>
  <c r="I49" i="3"/>
  <c r="I52" i="3" s="1"/>
  <c r="K150" i="3"/>
  <c r="L144" i="3"/>
  <c r="AM95" i="3"/>
  <c r="AM96" i="3"/>
  <c r="CB83" i="3"/>
  <c r="CB51" i="3"/>
  <c r="BT144" i="3"/>
  <c r="BT147" i="3" s="1"/>
  <c r="BS150" i="3"/>
  <c r="AW89" i="2"/>
  <c r="AW90" i="2" s="1"/>
  <c r="BA150" i="39"/>
  <c r="BA172" i="39"/>
  <c r="BB140" i="39"/>
  <c r="BA194" i="39"/>
  <c r="AR47" i="39"/>
  <c r="AR46" i="39"/>
  <c r="AS44" i="39"/>
  <c r="AR49" i="39"/>
  <c r="AR50" i="39" s="1"/>
  <c r="BA170" i="39"/>
  <c r="BB136" i="39"/>
  <c r="BA148" i="39"/>
  <c r="BA160" i="39" s="1"/>
  <c r="BA161" i="39" s="1"/>
  <c r="BA192" i="39"/>
  <c r="AW372" i="39"/>
  <c r="AW308" i="39"/>
  <c r="AX305" i="39"/>
  <c r="CB132" i="39"/>
  <c r="AW302" i="39"/>
  <c r="AW288" i="39"/>
  <c r="AX299" i="39"/>
  <c r="AV385" i="39"/>
  <c r="AV386" i="39" s="1"/>
  <c r="AV363" i="39" s="1"/>
  <c r="AV375" i="39"/>
  <c r="CA270" i="39"/>
  <c r="AV270" i="39"/>
  <c r="AW267" i="39"/>
  <c r="AS105" i="39"/>
  <c r="AS106" i="39" s="1"/>
  <c r="AV402" i="39"/>
  <c r="AV390" i="39" s="1"/>
  <c r="AV349" i="39"/>
  <c r="AV290" i="39"/>
  <c r="AV289" i="39"/>
  <c r="AV13" i="39"/>
  <c r="AW110" i="39"/>
  <c r="CA264" i="39"/>
  <c r="CA290" i="39"/>
  <c r="AZ160" i="39"/>
  <c r="AZ161" i="39" s="1"/>
  <c r="BA130" i="39"/>
  <c r="AZ132" i="39"/>
  <c r="AT325" i="39"/>
  <c r="AT315" i="39"/>
  <c r="AT104" i="39"/>
  <c r="AT100" i="39"/>
  <c r="AT101" i="39"/>
  <c r="AT42" i="39"/>
  <c r="AT107" i="39"/>
  <c r="AT102" i="39"/>
  <c r="AT103" i="39"/>
  <c r="AT70" i="39"/>
  <c r="AT291" i="39" s="1"/>
  <c r="AT28" i="39"/>
  <c r="AT21" i="39"/>
  <c r="AT35" i="39"/>
  <c r="AT33" i="39"/>
  <c r="AT32" i="39"/>
  <c r="AT31" i="39"/>
  <c r="AT309" i="39"/>
  <c r="AT303" i="39"/>
  <c r="AT271" i="39"/>
  <c r="AV262" i="39"/>
  <c r="AU264" i="39"/>
  <c r="CA27" i="39"/>
  <c r="CA14" i="39"/>
  <c r="BZ47" i="39"/>
  <c r="BZ46" i="39"/>
  <c r="BZ49" i="39"/>
  <c r="BZ51" i="39" s="1"/>
  <c r="AU27" i="39"/>
  <c r="AU14" i="39"/>
  <c r="AU377" i="39" s="1"/>
  <c r="AU20" i="39"/>
  <c r="AU407" i="39"/>
  <c r="CA407" i="39" s="1"/>
  <c r="AT265" i="39"/>
  <c r="BC171" i="39"/>
  <c r="CC171" i="39" s="1"/>
  <c r="BC149" i="39"/>
  <c r="CC149" i="39" s="1"/>
  <c r="BD138" i="39"/>
  <c r="BC193" i="39"/>
  <c r="CC193" i="39" s="1"/>
  <c r="AN90" i="1"/>
  <c r="AN97" i="1" s="1"/>
  <c r="AN83" i="1"/>
  <c r="AQ122" i="1"/>
  <c r="AO119" i="1"/>
  <c r="AO69" i="1"/>
  <c r="AO82" i="1"/>
  <c r="AO77" i="1"/>
  <c r="AN121" i="1"/>
  <c r="AN123" i="1" s="1"/>
  <c r="AN125" i="1" s="1"/>
  <c r="AN94" i="3" s="1"/>
  <c r="BY127" i="1"/>
  <c r="BY128" i="1" s="1"/>
  <c r="AQ55" i="1"/>
  <c r="AQ24" i="1"/>
  <c r="CA10" i="1"/>
  <c r="CB9" i="1"/>
  <c r="AM127" i="1"/>
  <c r="AM128" i="1" s="1"/>
  <c r="BZ122" i="1"/>
  <c r="BZ123" i="1" s="1"/>
  <c r="BZ125" i="1" s="1"/>
  <c r="BZ94" i="3" s="1"/>
  <c r="BZ77" i="1"/>
  <c r="BZ82" i="1"/>
  <c r="AR31" i="1"/>
  <c r="AR23" i="1"/>
  <c r="AR12" i="1"/>
  <c r="AR117" i="39" s="1"/>
  <c r="AR38" i="1"/>
  <c r="AP115" i="1"/>
  <c r="AP117" i="1" s="1"/>
  <c r="AP68" i="1"/>
  <c r="AP56" i="1"/>
  <c r="AR76" i="1"/>
  <c r="AM97" i="1"/>
  <c r="AS74" i="1"/>
  <c r="AS76" i="1" s="1"/>
  <c r="AS10" i="1"/>
  <c r="AT9" i="1"/>
  <c r="CB98" i="3" l="1"/>
  <c r="CA377" i="39"/>
  <c r="CA235" i="39"/>
  <c r="CA247" i="39"/>
  <c r="CA241" i="39"/>
  <c r="CA253" i="39"/>
  <c r="CA133" i="39"/>
  <c r="CA271" i="39"/>
  <c r="CA265" i="39"/>
  <c r="CA122" i="39"/>
  <c r="AY179" i="39"/>
  <c r="AY180" i="39" s="1"/>
  <c r="AZ178" i="39"/>
  <c r="AY182" i="39"/>
  <c r="AY183" i="39" s="1"/>
  <c r="AU122" i="39"/>
  <c r="CA283" i="39"/>
  <c r="AU121" i="39"/>
  <c r="AN95" i="3"/>
  <c r="AN96" i="3"/>
  <c r="BU144" i="3"/>
  <c r="BU147" i="3" s="1"/>
  <c r="BT150" i="3"/>
  <c r="BZ95" i="3"/>
  <c r="BZ96" i="3"/>
  <c r="O144" i="3"/>
  <c r="O147" i="3" s="1"/>
  <c r="M144" i="3"/>
  <c r="M147" i="3" s="1"/>
  <c r="M150" i="3" s="1"/>
  <c r="N144" i="3"/>
  <c r="N147" i="3" s="1"/>
  <c r="N150" i="3" s="1"/>
  <c r="L147" i="3"/>
  <c r="L150" i="3" s="1"/>
  <c r="I55" i="3"/>
  <c r="J49" i="3"/>
  <c r="J52" i="3" s="1"/>
  <c r="AX89" i="2"/>
  <c r="AV264" i="39"/>
  <c r="AW262" i="39"/>
  <c r="AW120" i="39" s="1"/>
  <c r="AV407" i="39"/>
  <c r="BD171" i="39"/>
  <c r="BD149" i="39"/>
  <c r="BE138" i="39"/>
  <c r="BD193" i="39"/>
  <c r="AX112" i="39"/>
  <c r="AX110" i="39"/>
  <c r="AX372" i="39"/>
  <c r="AY305" i="39"/>
  <c r="AX308" i="39"/>
  <c r="AU325" i="39"/>
  <c r="AU315" i="39"/>
  <c r="AU107" i="39"/>
  <c r="AU70" i="39"/>
  <c r="AU101" i="39"/>
  <c r="AU42" i="39"/>
  <c r="AU35" i="39"/>
  <c r="AU33" i="39"/>
  <c r="AU102" i="39"/>
  <c r="CA102" i="39" s="1"/>
  <c r="CA93" i="39" s="1"/>
  <c r="AU103" i="39"/>
  <c r="CA103" i="39" s="1"/>
  <c r="CA94" i="39" s="1"/>
  <c r="AU28" i="39"/>
  <c r="AU104" i="39"/>
  <c r="AU100" i="39"/>
  <c r="CA100" i="39" s="1"/>
  <c r="CA91" i="39" s="1"/>
  <c r="AU21" i="39"/>
  <c r="AU32" i="39"/>
  <c r="AU31" i="39"/>
  <c r="AU309" i="39"/>
  <c r="AU303" i="39"/>
  <c r="AU271" i="39"/>
  <c r="AX111" i="39"/>
  <c r="CA101" i="39"/>
  <c r="CA92" i="39" s="1"/>
  <c r="CA70" i="39"/>
  <c r="CA35" i="39"/>
  <c r="CA33" i="39"/>
  <c r="CA28" i="39"/>
  <c r="CA42" i="39"/>
  <c r="CA315" i="39"/>
  <c r="CA325" i="39"/>
  <c r="CA32" i="39"/>
  <c r="CA31" i="39"/>
  <c r="CA332" i="39"/>
  <c r="CA309" i="39"/>
  <c r="CA303" i="39"/>
  <c r="AT105" i="39"/>
  <c r="AX114" i="39"/>
  <c r="CA104" i="39"/>
  <c r="CA95" i="39" s="1"/>
  <c r="BB130" i="39"/>
  <c r="BA132" i="39"/>
  <c r="AW270" i="39"/>
  <c r="AX267" i="39"/>
  <c r="AY299" i="39"/>
  <c r="AX302" i="39"/>
  <c r="AX288" i="39"/>
  <c r="AV20" i="39"/>
  <c r="AV27" i="39"/>
  <c r="AV14" i="39"/>
  <c r="AV34" i="39" s="1"/>
  <c r="AV120" i="39"/>
  <c r="AW402" i="39"/>
  <c r="AW390" i="39" s="1"/>
  <c r="AW349" i="39"/>
  <c r="AW290" i="39"/>
  <c r="AW289" i="39"/>
  <c r="AW13" i="39"/>
  <c r="AW375" i="39"/>
  <c r="AW385" i="39"/>
  <c r="AW386" i="39" s="1"/>
  <c r="AW363" i="39" s="1"/>
  <c r="AU34" i="39"/>
  <c r="CA34" i="39"/>
  <c r="AU265" i="39"/>
  <c r="CA291" i="39"/>
  <c r="AU123" i="39"/>
  <c r="AV377" i="39"/>
  <c r="BB170" i="39"/>
  <c r="BB148" i="39"/>
  <c r="BC136" i="39"/>
  <c r="BB192" i="39"/>
  <c r="CC136" i="39"/>
  <c r="AS49" i="39"/>
  <c r="AS50" i="39" s="1"/>
  <c r="AS47" i="39"/>
  <c r="AS46" i="39"/>
  <c r="AT44" i="39"/>
  <c r="BC140" i="39"/>
  <c r="BB172" i="39"/>
  <c r="BB150" i="39"/>
  <c r="BB194" i="39"/>
  <c r="CA123" i="39"/>
  <c r="AX113" i="39"/>
  <c r="BZ83" i="1"/>
  <c r="CC9" i="1"/>
  <c r="CB10" i="1"/>
  <c r="AQ115" i="1"/>
  <c r="AQ117" i="1" s="1"/>
  <c r="AQ68" i="1"/>
  <c r="AQ56" i="1"/>
  <c r="AT74" i="1"/>
  <c r="AT76" i="1" s="1"/>
  <c r="AT10" i="1"/>
  <c r="AU9" i="1"/>
  <c r="CA23" i="1"/>
  <c r="CA12" i="1"/>
  <c r="CA38" i="1"/>
  <c r="CA31" i="1"/>
  <c r="AO90" i="1"/>
  <c r="AO97" i="1" s="1"/>
  <c r="AO83" i="1"/>
  <c r="AP119" i="1"/>
  <c r="AP82" i="1"/>
  <c r="AP69" i="1"/>
  <c r="AP77" i="1"/>
  <c r="AR55" i="1"/>
  <c r="AR24" i="1"/>
  <c r="AS122" i="1"/>
  <c r="AS23" i="1"/>
  <c r="AS38" i="1"/>
  <c r="AS31" i="1"/>
  <c r="AS81" i="1"/>
  <c r="AR122" i="1"/>
  <c r="AN127" i="1"/>
  <c r="AN128" i="1" s="1"/>
  <c r="AO121" i="1"/>
  <c r="AO123" i="1" s="1"/>
  <c r="AO125" i="1" s="1"/>
  <c r="AO94" i="3" s="1"/>
  <c r="AW407" i="39" l="1"/>
  <c r="AY89" i="2"/>
  <c r="AY90" i="2" s="1"/>
  <c r="AZ179" i="39"/>
  <c r="AZ180" i="39" s="1"/>
  <c r="BA178" i="39"/>
  <c r="AZ182" i="39"/>
  <c r="AZ183" i="39" s="1"/>
  <c r="AU291" i="39"/>
  <c r="AO127" i="1"/>
  <c r="AO128" i="1" s="1"/>
  <c r="AX90" i="2"/>
  <c r="K49" i="3"/>
  <c r="K52" i="3" s="1"/>
  <c r="J55" i="3"/>
  <c r="AO95" i="3"/>
  <c r="AO96" i="3"/>
  <c r="O150" i="3"/>
  <c r="P144" i="3"/>
  <c r="BU150" i="3"/>
  <c r="BV144" i="3"/>
  <c r="BV147" i="3" s="1"/>
  <c r="AT49" i="39"/>
  <c r="AT50" i="39" s="1"/>
  <c r="AT47" i="39"/>
  <c r="AT46" i="39"/>
  <c r="AU44" i="39"/>
  <c r="AV122" i="39"/>
  <c r="AV121" i="39"/>
  <c r="AV123" i="39"/>
  <c r="BB132" i="39"/>
  <c r="BC130" i="39"/>
  <c r="CC130" i="39" s="1"/>
  <c r="AU105" i="39"/>
  <c r="AU106" i="39" s="1"/>
  <c r="AV325" i="39"/>
  <c r="AV315" i="39"/>
  <c r="AV107" i="39"/>
  <c r="AV70" i="39"/>
  <c r="AV42" i="39"/>
  <c r="AV35" i="39"/>
  <c r="AV33" i="39"/>
  <c r="AV21" i="39"/>
  <c r="AV28" i="39"/>
  <c r="AV31" i="39"/>
  <c r="AV32" i="39"/>
  <c r="AV309" i="39"/>
  <c r="AV303" i="39"/>
  <c r="AV271" i="39"/>
  <c r="AY302" i="39"/>
  <c r="AZ299" i="39"/>
  <c r="AY288" i="39"/>
  <c r="CB288" i="39" s="1"/>
  <c r="AX270" i="39"/>
  <c r="AY267" i="39"/>
  <c r="CB267" i="39" s="1"/>
  <c r="CA105" i="39"/>
  <c r="CA96" i="39" s="1"/>
  <c r="AY372" i="39"/>
  <c r="AY308" i="39"/>
  <c r="AZ305" i="39"/>
  <c r="AX262" i="39"/>
  <c r="AW264" i="39"/>
  <c r="BC170" i="39"/>
  <c r="BC148" i="39"/>
  <c r="CC148" i="39" s="1"/>
  <c r="BD136" i="39"/>
  <c r="BC192" i="39"/>
  <c r="CC192" i="39" s="1"/>
  <c r="CB299" i="39"/>
  <c r="AT106" i="39"/>
  <c r="BE149" i="39"/>
  <c r="BE171" i="39"/>
  <c r="BF138" i="39"/>
  <c r="BE193" i="39"/>
  <c r="BC172" i="39"/>
  <c r="CC172" i="39" s="1"/>
  <c r="BC150" i="39"/>
  <c r="CC150" i="39" s="1"/>
  <c r="BD140" i="39"/>
  <c r="BC194" i="39"/>
  <c r="CC194" i="39" s="1"/>
  <c r="CC140" i="39"/>
  <c r="BB160" i="39"/>
  <c r="BB161" i="39" s="1"/>
  <c r="AW27" i="39"/>
  <c r="AW20" i="39"/>
  <c r="AW14" i="39"/>
  <c r="AW123" i="39" s="1"/>
  <c r="AX349" i="39"/>
  <c r="AX402" i="39"/>
  <c r="AX390" i="39" s="1"/>
  <c r="AX289" i="39"/>
  <c r="AX290" i="39"/>
  <c r="AX13" i="39"/>
  <c r="AW121" i="39"/>
  <c r="AW122" i="39"/>
  <c r="CB305" i="39"/>
  <c r="AX385" i="39"/>
  <c r="AX386" i="39" s="1"/>
  <c r="AX363" i="39" s="1"/>
  <c r="AX375" i="39"/>
  <c r="AV265" i="39"/>
  <c r="AP90" i="1"/>
  <c r="AP83" i="1"/>
  <c r="AT23" i="1"/>
  <c r="AT12" i="1"/>
  <c r="AT117" i="39" s="1"/>
  <c r="AT38" i="1"/>
  <c r="AT31" i="1"/>
  <c r="AQ119" i="1"/>
  <c r="AQ82" i="1"/>
  <c r="AQ69" i="1"/>
  <c r="AQ77" i="1"/>
  <c r="AS24" i="1"/>
  <c r="AS55" i="1"/>
  <c r="AR115" i="1"/>
  <c r="AR117" i="1" s="1"/>
  <c r="AR68" i="1"/>
  <c r="AR56" i="1"/>
  <c r="AP121" i="1"/>
  <c r="AP123" i="1" s="1"/>
  <c r="AP125" i="1" s="1"/>
  <c r="AP94" i="3" s="1"/>
  <c r="AT122" i="1"/>
  <c r="CA55" i="1"/>
  <c r="CA24" i="1"/>
  <c r="AT81" i="1"/>
  <c r="CB23" i="1"/>
  <c r="CB12" i="1"/>
  <c r="CB38" i="1"/>
  <c r="CB31" i="1"/>
  <c r="AU74" i="1"/>
  <c r="AU10" i="1"/>
  <c r="AV9" i="1"/>
  <c r="CD9" i="1"/>
  <c r="CE9" i="1" s="1"/>
  <c r="CF9" i="1" s="1"/>
  <c r="CB89" i="2" l="1"/>
  <c r="CB90" i="2" s="1"/>
  <c r="BA179" i="39"/>
  <c r="BA180" i="39" s="1"/>
  <c r="BB178" i="39"/>
  <c r="BA182" i="39"/>
  <c r="BA183" i="39" s="1"/>
  <c r="BC160" i="39"/>
  <c r="BC161" i="39" s="1"/>
  <c r="AX407" i="39"/>
  <c r="BV150" i="3"/>
  <c r="BW144" i="3"/>
  <c r="BW147" i="3" s="1"/>
  <c r="S144" i="3"/>
  <c r="S147" i="3" s="1"/>
  <c r="Q144" i="3"/>
  <c r="Q147" i="3" s="1"/>
  <c r="Q150" i="3" s="1"/>
  <c r="R144" i="3"/>
  <c r="R147" i="3" s="1"/>
  <c r="R150" i="3" s="1"/>
  <c r="P147" i="3"/>
  <c r="P150" i="3" s="1"/>
  <c r="AP95" i="3"/>
  <c r="AP96" i="3"/>
  <c r="AP127" i="1"/>
  <c r="AP128" i="1" s="1"/>
  <c r="K55" i="3"/>
  <c r="L49" i="3"/>
  <c r="AZ89" i="2"/>
  <c r="AZ90" i="2" s="1"/>
  <c r="BA89" i="2"/>
  <c r="BA90" i="2" s="1"/>
  <c r="CB290" i="39"/>
  <c r="CB270" i="39"/>
  <c r="CC132" i="39"/>
  <c r="AX27" i="39"/>
  <c r="AX20" i="39"/>
  <c r="AX14" i="39"/>
  <c r="AX34" i="39" s="1"/>
  <c r="AW34" i="39"/>
  <c r="AY375" i="39"/>
  <c r="AY385" i="39"/>
  <c r="AY386" i="39" s="1"/>
  <c r="AY363" i="39" s="1"/>
  <c r="AU47" i="39"/>
  <c r="AU46" i="39"/>
  <c r="AU49" i="39"/>
  <c r="AU50" i="39" s="1"/>
  <c r="AX377" i="39"/>
  <c r="BE136" i="39"/>
  <c r="BD170" i="39"/>
  <c r="BD148" i="39"/>
  <c r="BD192" i="39"/>
  <c r="AY262" i="39"/>
  <c r="CB262" i="39" s="1"/>
  <c r="AX264" i="39"/>
  <c r="BA305" i="39"/>
  <c r="AZ308" i="39"/>
  <c r="AZ372" i="39"/>
  <c r="AV94" i="39"/>
  <c r="AV92" i="39"/>
  <c r="AV95" i="39"/>
  <c r="AV105" i="39"/>
  <c r="AV93" i="39"/>
  <c r="AV91" i="39"/>
  <c r="BC132" i="39"/>
  <c r="BD130" i="39"/>
  <c r="AW315" i="39"/>
  <c r="AW325" i="39"/>
  <c r="AW107" i="39"/>
  <c r="AW28" i="39"/>
  <c r="AW21" i="39"/>
  <c r="AW70" i="39"/>
  <c r="AW42" i="39"/>
  <c r="AW35" i="39"/>
  <c r="AW33" i="39"/>
  <c r="AW31" i="39"/>
  <c r="AW32" i="39"/>
  <c r="AW309" i="39"/>
  <c r="AW303" i="39"/>
  <c r="AW271" i="39"/>
  <c r="BD172" i="39"/>
  <c r="BD150" i="39"/>
  <c r="BE140" i="39"/>
  <c r="BD194" i="39"/>
  <c r="CB302" i="39"/>
  <c r="AW265" i="39"/>
  <c r="AX120" i="39"/>
  <c r="AY402" i="39"/>
  <c r="AY390" i="39" s="1"/>
  <c r="CB390" i="39" s="1"/>
  <c r="AY349" i="39"/>
  <c r="AY289" i="39"/>
  <c r="AY290" i="39"/>
  <c r="AY13" i="39"/>
  <c r="CB13" i="39" s="1"/>
  <c r="CB308" i="39"/>
  <c r="BF171" i="39"/>
  <c r="BG138" i="39"/>
  <c r="BH138" i="39" s="1"/>
  <c r="BF149" i="39"/>
  <c r="BF193" i="39"/>
  <c r="AW377" i="39"/>
  <c r="CC170" i="39"/>
  <c r="AZ267" i="39"/>
  <c r="AY270" i="39"/>
  <c r="BA299" i="39"/>
  <c r="AZ288" i="39"/>
  <c r="AZ302" i="39"/>
  <c r="AV291" i="39"/>
  <c r="CA44" i="39"/>
  <c r="CB372" i="39"/>
  <c r="AV74" i="1"/>
  <c r="AW9" i="1"/>
  <c r="AV10" i="1"/>
  <c r="AR119" i="1"/>
  <c r="AR82" i="1"/>
  <c r="AR69" i="1"/>
  <c r="AR77" i="1"/>
  <c r="AS115" i="1"/>
  <c r="AS117" i="1" s="1"/>
  <c r="AS68" i="1"/>
  <c r="AS56" i="1"/>
  <c r="AQ83" i="1"/>
  <c r="AQ90" i="1"/>
  <c r="BZ90" i="1" s="1"/>
  <c r="BZ97" i="1" s="1"/>
  <c r="AP97" i="1"/>
  <c r="AU23" i="1"/>
  <c r="AU12" i="1"/>
  <c r="AU117" i="39" s="1"/>
  <c r="AU38" i="1"/>
  <c r="AU31" i="1"/>
  <c r="AU76" i="1"/>
  <c r="CA74" i="1"/>
  <c r="CA115" i="1"/>
  <c r="CA117" i="1" s="1"/>
  <c r="CA68" i="1"/>
  <c r="CA56" i="1"/>
  <c r="AU81" i="1"/>
  <c r="CB55" i="1"/>
  <c r="CB24" i="1"/>
  <c r="AQ121" i="1"/>
  <c r="AQ123" i="1" s="1"/>
  <c r="AQ125" i="1" s="1"/>
  <c r="AQ94" i="3" s="1"/>
  <c r="AT55" i="1"/>
  <c r="AT24" i="1"/>
  <c r="BH171" i="39" l="1"/>
  <c r="BI138" i="39"/>
  <c r="BH149" i="39"/>
  <c r="BH193" i="39"/>
  <c r="BB179" i="39"/>
  <c r="BB180" i="39" s="1"/>
  <c r="BC178" i="39"/>
  <c r="BB182" i="39"/>
  <c r="BB183" i="39" s="1"/>
  <c r="AY120" i="39"/>
  <c r="AY121" i="39" s="1"/>
  <c r="AX265" i="39"/>
  <c r="AW291" i="39"/>
  <c r="AQ95" i="3"/>
  <c r="AQ96" i="3"/>
  <c r="AQ97" i="1"/>
  <c r="BS49" i="3"/>
  <c r="BS52" i="3" s="1"/>
  <c r="BS55" i="3" s="1"/>
  <c r="L52" i="3"/>
  <c r="BW150" i="3"/>
  <c r="BX144" i="3"/>
  <c r="BX147" i="3" s="1"/>
  <c r="S150" i="3"/>
  <c r="T144" i="3"/>
  <c r="CB27" i="39"/>
  <c r="CB14" i="39"/>
  <c r="CA46" i="39"/>
  <c r="CA47" i="39"/>
  <c r="CA49" i="39"/>
  <c r="CA51" i="39" s="1"/>
  <c r="AZ402" i="39"/>
  <c r="AZ390" i="39" s="1"/>
  <c r="AZ349" i="39"/>
  <c r="AZ290" i="39"/>
  <c r="AZ289" i="39"/>
  <c r="AZ13" i="39"/>
  <c r="BE150" i="39"/>
  <c r="BE172" i="39"/>
  <c r="BF140" i="39"/>
  <c r="BE194" i="39"/>
  <c r="AV96" i="39"/>
  <c r="AV97" i="39" s="1"/>
  <c r="AZ262" i="39"/>
  <c r="AZ120" i="39" s="1"/>
  <c r="AY264" i="39"/>
  <c r="BD160" i="39"/>
  <c r="BD161" i="39" s="1"/>
  <c r="AY407" i="39"/>
  <c r="BG171" i="39"/>
  <c r="CD171" i="39" s="1"/>
  <c r="BG149" i="39"/>
  <c r="CD149" i="39" s="1"/>
  <c r="BG193" i="39"/>
  <c r="CD193" i="39" s="1"/>
  <c r="CD138" i="39"/>
  <c r="CB264" i="39"/>
  <c r="AY27" i="39"/>
  <c r="AY20" i="39"/>
  <c r="AY14" i="39"/>
  <c r="BE130" i="39"/>
  <c r="BD132" i="39"/>
  <c r="AV115" i="39"/>
  <c r="AV106" i="39"/>
  <c r="AV116" i="39" s="1"/>
  <c r="AZ385" i="39"/>
  <c r="AZ386" i="39" s="1"/>
  <c r="AZ363" i="39" s="1"/>
  <c r="AZ375" i="39"/>
  <c r="BA308" i="39"/>
  <c r="BB305" i="39"/>
  <c r="BB372" i="39" s="1"/>
  <c r="BA372" i="39"/>
  <c r="BE170" i="39"/>
  <c r="BF136" i="39"/>
  <c r="BE148" i="39"/>
  <c r="BE192" i="39"/>
  <c r="BB299" i="39"/>
  <c r="BA288" i="39"/>
  <c r="BA302" i="39"/>
  <c r="AZ270" i="39"/>
  <c r="BA267" i="39"/>
  <c r="AX121" i="39"/>
  <c r="AX123" i="39"/>
  <c r="AX122" i="39"/>
  <c r="AW95" i="39"/>
  <c r="AW91" i="39"/>
  <c r="AW105" i="39"/>
  <c r="AW93" i="39"/>
  <c r="AW94" i="39"/>
  <c r="AW92" i="39"/>
  <c r="CB375" i="39"/>
  <c r="CB377" i="39" s="1"/>
  <c r="AX315" i="39"/>
  <c r="AX325" i="39"/>
  <c r="AX70" i="39"/>
  <c r="AX42" i="39"/>
  <c r="AX107" i="39"/>
  <c r="AX28" i="39"/>
  <c r="AX21" i="39"/>
  <c r="AX35" i="39"/>
  <c r="AX33" i="39"/>
  <c r="AX32" i="39"/>
  <c r="AX31" i="39"/>
  <c r="AX309" i="39"/>
  <c r="AX303" i="39"/>
  <c r="AX271" i="39"/>
  <c r="CB363" i="39"/>
  <c r="AV12" i="1"/>
  <c r="AV117" i="39" s="1"/>
  <c r="AV23" i="1"/>
  <c r="AV38" i="1"/>
  <c r="AV31" i="1"/>
  <c r="AQ127" i="1"/>
  <c r="AQ128" i="1" s="1"/>
  <c r="AU122" i="1"/>
  <c r="AU55" i="1"/>
  <c r="AU24" i="1"/>
  <c r="AW74" i="1"/>
  <c r="AW76" i="1" s="1"/>
  <c r="AW10" i="1"/>
  <c r="AX9" i="1"/>
  <c r="AR90" i="1"/>
  <c r="AR97" i="1" s="1"/>
  <c r="AR83" i="1"/>
  <c r="AV76" i="1"/>
  <c r="CA76" i="1"/>
  <c r="CA82" i="1" s="1"/>
  <c r="CA81" i="1"/>
  <c r="CA119" i="1"/>
  <c r="CA69" i="1"/>
  <c r="AT115" i="1"/>
  <c r="AT117" i="1" s="1"/>
  <c r="AT56" i="1"/>
  <c r="AT68" i="1"/>
  <c r="CB115" i="1"/>
  <c r="CB117" i="1" s="1"/>
  <c r="CB68" i="1"/>
  <c r="CB56" i="1"/>
  <c r="AS119" i="1"/>
  <c r="AS69" i="1"/>
  <c r="AS82" i="1"/>
  <c r="AS77" i="1"/>
  <c r="AR121" i="1"/>
  <c r="AR123" i="1" s="1"/>
  <c r="AR125" i="1" s="1"/>
  <c r="AR94" i="3" s="1"/>
  <c r="AV81" i="1"/>
  <c r="BB375" i="39" l="1"/>
  <c r="BB385" i="39"/>
  <c r="BB386" i="39" s="1"/>
  <c r="BB363" i="39" s="1"/>
  <c r="BB407" i="39" s="1"/>
  <c r="CB120" i="39"/>
  <c r="CB122" i="39" s="1"/>
  <c r="AY122" i="39"/>
  <c r="BJ138" i="39"/>
  <c r="BI171" i="39"/>
  <c r="BI149" i="39"/>
  <c r="BI193" i="39"/>
  <c r="CB241" i="39"/>
  <c r="CB247" i="39"/>
  <c r="CB253" i="39"/>
  <c r="CB235" i="39"/>
  <c r="CB133" i="39"/>
  <c r="CB271" i="39"/>
  <c r="CB265" i="39"/>
  <c r="BE160" i="39"/>
  <c r="BE161" i="39" s="1"/>
  <c r="BC179" i="39"/>
  <c r="BC180" i="39" s="1"/>
  <c r="BD178" i="39"/>
  <c r="BC182" i="39"/>
  <c r="BC183" i="39" s="1"/>
  <c r="AR127" i="1"/>
  <c r="AR128" i="1" s="1"/>
  <c r="AR95" i="3"/>
  <c r="AR96" i="3"/>
  <c r="AW81" i="1"/>
  <c r="W144" i="3"/>
  <c r="W147" i="3" s="1"/>
  <c r="U144" i="3"/>
  <c r="U147" i="3" s="1"/>
  <c r="U150" i="3" s="1"/>
  <c r="V144" i="3"/>
  <c r="V147" i="3" s="1"/>
  <c r="V150" i="3" s="1"/>
  <c r="T147" i="3"/>
  <c r="T150" i="3" s="1"/>
  <c r="BY144" i="3"/>
  <c r="BY147" i="3" s="1"/>
  <c r="BX150" i="3"/>
  <c r="L55" i="3"/>
  <c r="M49" i="3"/>
  <c r="M52" i="3" s="1"/>
  <c r="AX291" i="39"/>
  <c r="BA402" i="39"/>
  <c r="BA390" i="39" s="1"/>
  <c r="BA349" i="39"/>
  <c r="BA290" i="39"/>
  <c r="BA289" i="39"/>
  <c r="BA13" i="39"/>
  <c r="AY325" i="39"/>
  <c r="AY315" i="39"/>
  <c r="AY107" i="39"/>
  <c r="AY100" i="39"/>
  <c r="AY70" i="39"/>
  <c r="AY103" i="39"/>
  <c r="AY42" i="39"/>
  <c r="AY35" i="39"/>
  <c r="AY33" i="39"/>
  <c r="AY102" i="39"/>
  <c r="AY104" i="39"/>
  <c r="AY101" i="39"/>
  <c r="AY28" i="39"/>
  <c r="AY21" i="39"/>
  <c r="AY32" i="39"/>
  <c r="AY31" i="39"/>
  <c r="AY309" i="39"/>
  <c r="AY303" i="39"/>
  <c r="AY271" i="39"/>
  <c r="AY377" i="39"/>
  <c r="AY123" i="39"/>
  <c r="CB325" i="39"/>
  <c r="CB42" i="39"/>
  <c r="CB28" i="39"/>
  <c r="CB35" i="39"/>
  <c r="CB33" i="39"/>
  <c r="CB315" i="39"/>
  <c r="CB70" i="39"/>
  <c r="CB31" i="39"/>
  <c r="CB32" i="39"/>
  <c r="CB332" i="39"/>
  <c r="CB291" i="39"/>
  <c r="CB303" i="39"/>
  <c r="CB309" i="39"/>
  <c r="AW115" i="39"/>
  <c r="AW106" i="39"/>
  <c r="AW116" i="39" s="1"/>
  <c r="BB302" i="39"/>
  <c r="BC299" i="39"/>
  <c r="BF130" i="39"/>
  <c r="BE132" i="39"/>
  <c r="AY265" i="39"/>
  <c r="AZ20" i="39"/>
  <c r="AZ27" i="39"/>
  <c r="AZ14" i="39"/>
  <c r="AZ123" i="39" s="1"/>
  <c r="AW96" i="39"/>
  <c r="AW97" i="39" s="1"/>
  <c r="AZ122" i="39"/>
  <c r="AZ121" i="39"/>
  <c r="BA375" i="39"/>
  <c r="BA385" i="39"/>
  <c r="BA386" i="39" s="1"/>
  <c r="BA363" i="39" s="1"/>
  <c r="CB407" i="39"/>
  <c r="CB34" i="39"/>
  <c r="CB123" i="39"/>
  <c r="CB276" i="39"/>
  <c r="AX105" i="39"/>
  <c r="AX92" i="39"/>
  <c r="AX95" i="39"/>
  <c r="AX93" i="39"/>
  <c r="AX91" i="39"/>
  <c r="AX94" i="39"/>
  <c r="BA270" i="39"/>
  <c r="BB267" i="39"/>
  <c r="BF170" i="39"/>
  <c r="BF148" i="39"/>
  <c r="BG136" i="39"/>
  <c r="BH136" i="39" s="1"/>
  <c r="BF192" i="39"/>
  <c r="BC305" i="39"/>
  <c r="BB308" i="39"/>
  <c r="AZ407" i="39"/>
  <c r="AY34" i="39"/>
  <c r="AZ264" i="39"/>
  <c r="BA262" i="39"/>
  <c r="BA120" i="39" s="1"/>
  <c r="BG140" i="39"/>
  <c r="BH140" i="39" s="1"/>
  <c r="BF172" i="39"/>
  <c r="BF150" i="39"/>
  <c r="BF194" i="39"/>
  <c r="CA122" i="1"/>
  <c r="CA77" i="1"/>
  <c r="AS121" i="1"/>
  <c r="AS123" i="1" s="1"/>
  <c r="AS125" i="1" s="1"/>
  <c r="AS94" i="3" s="1"/>
  <c r="AT119" i="1"/>
  <c r="AT82" i="1"/>
  <c r="AT69" i="1"/>
  <c r="AT77" i="1"/>
  <c r="AW23" i="1"/>
  <c r="AW31" i="1"/>
  <c r="AW38" i="1"/>
  <c r="AU115" i="1"/>
  <c r="AU117" i="1" s="1"/>
  <c r="AU56" i="1"/>
  <c r="AU68" i="1"/>
  <c r="CA83" i="1"/>
  <c r="CA121" i="1"/>
  <c r="AV122" i="1"/>
  <c r="AS90" i="1"/>
  <c r="AS97" i="1" s="1"/>
  <c r="AS83" i="1"/>
  <c r="CB119" i="1"/>
  <c r="CB69" i="1"/>
  <c r="AW122" i="1"/>
  <c r="AV55" i="1"/>
  <c r="AV24" i="1"/>
  <c r="AX74" i="1"/>
  <c r="AX81" i="1" s="1"/>
  <c r="AX10" i="1"/>
  <c r="AY9" i="1"/>
  <c r="CB283" i="39" l="1"/>
  <c r="CC305" i="39"/>
  <c r="CC308" i="39" s="1"/>
  <c r="BC372" i="39"/>
  <c r="BC288" i="39"/>
  <c r="BC349" i="39" s="1"/>
  <c r="BA407" i="39"/>
  <c r="BH172" i="39"/>
  <c r="BI140" i="39"/>
  <c r="BH150" i="39"/>
  <c r="BH194" i="39"/>
  <c r="BH170" i="39"/>
  <c r="BI136" i="39"/>
  <c r="BH148" i="39"/>
  <c r="BH192" i="39"/>
  <c r="BJ171" i="39"/>
  <c r="BK138" i="39"/>
  <c r="BL138" i="39" s="1"/>
  <c r="BJ149" i="39"/>
  <c r="BJ193" i="39"/>
  <c r="BE178" i="39"/>
  <c r="BD179" i="39"/>
  <c r="BD180" i="39" s="1"/>
  <c r="AZ265" i="39"/>
  <c r="AZ377" i="39"/>
  <c r="AZ34" i="39"/>
  <c r="BY150" i="3"/>
  <c r="BZ144" i="3"/>
  <c r="BZ147" i="3" s="1"/>
  <c r="W150" i="3"/>
  <c r="X144" i="3"/>
  <c r="AS95" i="3"/>
  <c r="AS96" i="3"/>
  <c r="M55" i="3"/>
  <c r="N49" i="3"/>
  <c r="N52" i="3" s="1"/>
  <c r="BC39" i="3"/>
  <c r="BC44" i="3" s="1"/>
  <c r="BC51" i="3" s="1"/>
  <c r="BA122" i="39"/>
  <c r="BA121" i="39"/>
  <c r="BF160" i="39"/>
  <c r="BF161" i="39" s="1"/>
  <c r="BB290" i="39"/>
  <c r="BB289" i="39"/>
  <c r="BB13" i="39"/>
  <c r="BB270" i="39"/>
  <c r="BC267" i="39"/>
  <c r="AX96" i="39"/>
  <c r="AX97" i="39" s="1"/>
  <c r="AX115" i="39"/>
  <c r="AX106" i="39"/>
  <c r="AX116" i="39" s="1"/>
  <c r="BC302" i="39"/>
  <c r="BD299" i="39"/>
  <c r="AY105" i="39"/>
  <c r="AY106" i="39" s="1"/>
  <c r="BA27" i="39"/>
  <c r="BA20" i="39"/>
  <c r="BA14" i="39"/>
  <c r="BA377" i="39" s="1"/>
  <c r="BB262" i="39"/>
  <c r="BA264" i="39"/>
  <c r="BF132" i="39"/>
  <c r="BG130" i="39"/>
  <c r="BH130" i="39" s="1"/>
  <c r="BD305" i="39"/>
  <c r="BD372" i="39" s="1"/>
  <c r="BC308" i="39"/>
  <c r="CC372" i="39"/>
  <c r="BG172" i="39"/>
  <c r="CD172" i="39" s="1"/>
  <c r="BG150" i="39"/>
  <c r="CD150" i="39" s="1"/>
  <c r="BG194" i="39"/>
  <c r="CD194" i="39" s="1"/>
  <c r="CD140" i="39"/>
  <c r="BG170" i="39"/>
  <c r="BG148" i="39"/>
  <c r="BG192" i="39"/>
  <c r="CD192" i="39" s="1"/>
  <c r="CD136" i="39"/>
  <c r="CD170" i="39"/>
  <c r="AZ325" i="39"/>
  <c r="AZ315" i="39"/>
  <c r="AZ70" i="39"/>
  <c r="AZ42" i="39"/>
  <c r="AZ35" i="39"/>
  <c r="AZ33" i="39"/>
  <c r="AZ21" i="39"/>
  <c r="AZ28" i="39"/>
  <c r="AZ31" i="39"/>
  <c r="AZ32" i="39"/>
  <c r="AZ309" i="39"/>
  <c r="AZ303" i="39"/>
  <c r="AZ271" i="39"/>
  <c r="CC299" i="39"/>
  <c r="AY291" i="39"/>
  <c r="AX76" i="1"/>
  <c r="CB121" i="1"/>
  <c r="AS127" i="1"/>
  <c r="AS128" i="1" s="1"/>
  <c r="CA123" i="1"/>
  <c r="CA125" i="1" s="1"/>
  <c r="CA94" i="3" s="1"/>
  <c r="AU119" i="1"/>
  <c r="AU69" i="1"/>
  <c r="AU82" i="1"/>
  <c r="AU77" i="1"/>
  <c r="AT90" i="1"/>
  <c r="AT83" i="1"/>
  <c r="AX23" i="1"/>
  <c r="AX12" i="1"/>
  <c r="AX117" i="39" s="1"/>
  <c r="AX38" i="1"/>
  <c r="AX31" i="1"/>
  <c r="AY74" i="1"/>
  <c r="AY76" i="1" s="1"/>
  <c r="AY10" i="1"/>
  <c r="AZ9" i="1"/>
  <c r="AV115" i="1"/>
  <c r="AV117" i="1" s="1"/>
  <c r="AV68" i="1"/>
  <c r="AV56" i="1"/>
  <c r="CA127" i="1"/>
  <c r="CA128" i="1" s="1"/>
  <c r="AW24" i="1"/>
  <c r="AW55" i="1"/>
  <c r="AT121" i="1"/>
  <c r="AT123" i="1" s="1"/>
  <c r="AT125" i="1" s="1"/>
  <c r="AT94" i="3" s="1"/>
  <c r="BD385" i="39" l="1"/>
  <c r="BD386" i="39" s="1"/>
  <c r="BD363" i="39" s="1"/>
  <c r="BD375" i="39"/>
  <c r="BD288" i="39"/>
  <c r="BD13" i="39" s="1"/>
  <c r="BD14" i="39" s="1"/>
  <c r="BL171" i="39"/>
  <c r="BM138" i="39"/>
  <c r="BL149" i="39"/>
  <c r="BL193" i="39"/>
  <c r="BC375" i="39"/>
  <c r="BC385" i="39"/>
  <c r="BC386" i="39" s="1"/>
  <c r="BC363" i="39" s="1"/>
  <c r="BC13" i="39"/>
  <c r="BC402" i="39"/>
  <c r="BC390" i="39" s="1"/>
  <c r="BH160" i="39"/>
  <c r="BH161" i="39" s="1"/>
  <c r="BJ140" i="39"/>
  <c r="BI150" i="39"/>
  <c r="BI172" i="39"/>
  <c r="BI194" i="39"/>
  <c r="BH132" i="39"/>
  <c r="BI130" i="39"/>
  <c r="BK149" i="39"/>
  <c r="BK171" i="39"/>
  <c r="CE171" i="39" s="1"/>
  <c r="BK193" i="39"/>
  <c r="CE193" i="39" s="1"/>
  <c r="CE138" i="39"/>
  <c r="BJ136" i="39"/>
  <c r="BI148" i="39"/>
  <c r="BI170" i="39"/>
  <c r="BI192" i="39"/>
  <c r="BD182" i="39"/>
  <c r="BD183" i="39" s="1"/>
  <c r="BF178" i="39"/>
  <c r="BE179" i="39"/>
  <c r="BE180" i="39" s="1"/>
  <c r="AZ291" i="39"/>
  <c r="AT95" i="3"/>
  <c r="AT96" i="3"/>
  <c r="AT127" i="1"/>
  <c r="AT128" i="1" s="1"/>
  <c r="N55" i="3"/>
  <c r="O49" i="3"/>
  <c r="O52" i="3" s="1"/>
  <c r="X147" i="3"/>
  <c r="X150" i="3" s="1"/>
  <c r="Y144" i="3"/>
  <c r="CA144" i="3"/>
  <c r="CA147" i="3" s="1"/>
  <c r="BZ150" i="3"/>
  <c r="CA95" i="3"/>
  <c r="CA96" i="3"/>
  <c r="CC39" i="3"/>
  <c r="CC44" i="3" s="1"/>
  <c r="BG160" i="39"/>
  <c r="BG161" i="39" s="1"/>
  <c r="CD148" i="39"/>
  <c r="BE305" i="39"/>
  <c r="BD308" i="39"/>
  <c r="BD267" i="39"/>
  <c r="BC270" i="39"/>
  <c r="BB27" i="39"/>
  <c r="BB14" i="39"/>
  <c r="BB20" i="39"/>
  <c r="BA315" i="39"/>
  <c r="BA325" i="39"/>
  <c r="BA28" i="39"/>
  <c r="BA21" i="39"/>
  <c r="BA70" i="39"/>
  <c r="BA42" i="39"/>
  <c r="BA35" i="39"/>
  <c r="BA33" i="39"/>
  <c r="BA31" i="39"/>
  <c r="BA32" i="39"/>
  <c r="BA303" i="39"/>
  <c r="BA309" i="39"/>
  <c r="BA271" i="39"/>
  <c r="CC302" i="39"/>
  <c r="BC262" i="39"/>
  <c r="BC120" i="39" s="1"/>
  <c r="BB264" i="39"/>
  <c r="BC289" i="39"/>
  <c r="BC290" i="39"/>
  <c r="CC288" i="39"/>
  <c r="CC267" i="39"/>
  <c r="BG132" i="39"/>
  <c r="CD130" i="39"/>
  <c r="BA265" i="39"/>
  <c r="BA34" i="39"/>
  <c r="BE299" i="39"/>
  <c r="BD302" i="39"/>
  <c r="BB120" i="39"/>
  <c r="BA123" i="39"/>
  <c r="AX55" i="1"/>
  <c r="AX24" i="1"/>
  <c r="AY81" i="1"/>
  <c r="AU90" i="1"/>
  <c r="AU97" i="1" s="1"/>
  <c r="AU83" i="1"/>
  <c r="AV119" i="1"/>
  <c r="AV82" i="1"/>
  <c r="AV69" i="1"/>
  <c r="AV77" i="1"/>
  <c r="AW115" i="1"/>
  <c r="AW117" i="1" s="1"/>
  <c r="AW68" i="1"/>
  <c r="AW56" i="1"/>
  <c r="AY122" i="1"/>
  <c r="AZ74" i="1"/>
  <c r="AZ81" i="1" s="1"/>
  <c r="AZ10" i="1"/>
  <c r="BA9" i="1"/>
  <c r="BB9" i="1" s="1"/>
  <c r="BC9" i="1" s="1"/>
  <c r="BC74" i="1" s="1"/>
  <c r="BC76" i="1" s="1"/>
  <c r="AY31" i="1"/>
  <c r="AY12" i="1"/>
  <c r="AY117" i="39" s="1"/>
  <c r="AY23" i="1"/>
  <c r="AY38" i="1"/>
  <c r="AT97" i="1"/>
  <c r="AU121" i="1"/>
  <c r="AU123" i="1" s="1"/>
  <c r="AU125" i="1" s="1"/>
  <c r="AU94" i="3" s="1"/>
  <c r="CB127" i="1"/>
  <c r="CB128" i="1" s="1"/>
  <c r="CB74" i="1"/>
  <c r="AX122" i="1"/>
  <c r="BD289" i="39" l="1"/>
  <c r="BD27" i="39"/>
  <c r="BD20" i="39"/>
  <c r="BD34" i="39"/>
  <c r="BD349" i="39"/>
  <c r="BD402" i="39"/>
  <c r="BD390" i="39" s="1"/>
  <c r="BD407" i="39" s="1"/>
  <c r="BC407" i="39"/>
  <c r="CE149" i="39"/>
  <c r="BN138" i="39"/>
  <c r="BM171" i="39"/>
  <c r="BM149" i="39"/>
  <c r="BM193" i="39"/>
  <c r="CC390" i="39"/>
  <c r="BC27" i="39"/>
  <c r="BC14" i="39"/>
  <c r="BC70" i="39" s="1"/>
  <c r="BC20" i="39"/>
  <c r="BC122" i="39"/>
  <c r="BC121" i="39"/>
  <c r="CC363" i="39"/>
  <c r="BC10" i="1"/>
  <c r="BB10" i="1"/>
  <c r="BB74" i="1"/>
  <c r="BB76" i="1" s="1"/>
  <c r="BB70" i="39"/>
  <c r="BB377" i="39"/>
  <c r="BB34" i="39"/>
  <c r="BB42" i="39"/>
  <c r="BA291" i="39"/>
  <c r="BJ148" i="39"/>
  <c r="BJ170" i="39"/>
  <c r="BK136" i="39"/>
  <c r="BL136" i="39" s="1"/>
  <c r="BJ192" i="39"/>
  <c r="CE136" i="39"/>
  <c r="BJ130" i="39"/>
  <c r="BI132" i="39"/>
  <c r="BI160" i="39"/>
  <c r="BI161" i="39" s="1"/>
  <c r="BJ150" i="39"/>
  <c r="BJ172" i="39"/>
  <c r="BK140" i="39"/>
  <c r="BL140" i="39" s="1"/>
  <c r="BJ194" i="39"/>
  <c r="BE44" i="3"/>
  <c r="BE182" i="39"/>
  <c r="BE183" i="39" s="1"/>
  <c r="BF179" i="39"/>
  <c r="BF180" i="39" s="1"/>
  <c r="BG178" i="39"/>
  <c r="BH178" i="39" s="1"/>
  <c r="BF182" i="39"/>
  <c r="BF183" i="39" s="1"/>
  <c r="BB265" i="39"/>
  <c r="CA150" i="3"/>
  <c r="CB144" i="3"/>
  <c r="CB147" i="3" s="1"/>
  <c r="AU95" i="3"/>
  <c r="AU96" i="3"/>
  <c r="AU127" i="1"/>
  <c r="AU128" i="1" s="1"/>
  <c r="CA90" i="1"/>
  <c r="CA97" i="1" s="1"/>
  <c r="Y147" i="3"/>
  <c r="Y150" i="3" s="1"/>
  <c r="Z144" i="3"/>
  <c r="P49" i="3"/>
  <c r="O55" i="3"/>
  <c r="BB121" i="39"/>
  <c r="BB123" i="39"/>
  <c r="BB122" i="39"/>
  <c r="CC120" i="39"/>
  <c r="BD290" i="39"/>
  <c r="BF299" i="39"/>
  <c r="BE288" i="39"/>
  <c r="BE302" i="39"/>
  <c r="BD262" i="39"/>
  <c r="BD120" i="39" s="1"/>
  <c r="BC264" i="39"/>
  <c r="CC262" i="39"/>
  <c r="BB315" i="39"/>
  <c r="BB325" i="39"/>
  <c r="BB28" i="39"/>
  <c r="BB21" i="39"/>
  <c r="BB35" i="39"/>
  <c r="BB33" i="39"/>
  <c r="BB32" i="39"/>
  <c r="BB31" i="39"/>
  <c r="BB309" i="39"/>
  <c r="BB303" i="39"/>
  <c r="BB271" i="39"/>
  <c r="CC270" i="39"/>
  <c r="CC13" i="39"/>
  <c r="CD132" i="39"/>
  <c r="CC290" i="39"/>
  <c r="CC375" i="39"/>
  <c r="BE267" i="39"/>
  <c r="BD270" i="39"/>
  <c r="BE308" i="39"/>
  <c r="BF305" i="39"/>
  <c r="BE372" i="39"/>
  <c r="CB76" i="1"/>
  <c r="CB81" i="1"/>
  <c r="AZ76" i="1"/>
  <c r="BA74" i="1"/>
  <c r="BA76" i="1" s="1"/>
  <c r="BA10" i="1"/>
  <c r="AW119" i="1"/>
  <c r="AW69" i="1"/>
  <c r="AW82" i="1"/>
  <c r="AW77" i="1"/>
  <c r="AV90" i="1"/>
  <c r="AV97" i="1" s="1"/>
  <c r="AV83" i="1"/>
  <c r="AY55" i="1"/>
  <c r="AY24" i="1"/>
  <c r="AZ31" i="1"/>
  <c r="AZ23" i="1"/>
  <c r="AZ12" i="1"/>
  <c r="AZ38" i="1"/>
  <c r="AV121" i="1"/>
  <c r="AV123" i="1" s="1"/>
  <c r="AV125" i="1" s="1"/>
  <c r="AV94" i="3" s="1"/>
  <c r="AX115" i="1"/>
  <c r="AX117" i="1" s="1"/>
  <c r="AX56" i="1"/>
  <c r="AX68" i="1"/>
  <c r="BD31" i="39" l="1"/>
  <c r="BD33" i="39"/>
  <c r="BD21" i="39"/>
  <c r="BD35" i="39"/>
  <c r="BD28" i="39"/>
  <c r="BD32" i="39"/>
  <c r="BE407" i="39"/>
  <c r="BF407" i="39" s="1"/>
  <c r="BG407" i="39" s="1"/>
  <c r="BH407" i="39" s="1"/>
  <c r="BI407" i="39" s="1"/>
  <c r="BC377" i="39"/>
  <c r="CC407" i="39"/>
  <c r="BL172" i="39"/>
  <c r="BM140" i="39"/>
  <c r="BL150" i="39"/>
  <c r="BL194" i="39"/>
  <c r="BL170" i="39"/>
  <c r="BM136" i="39"/>
  <c r="BL148" i="39"/>
  <c r="BL160" i="39" s="1"/>
  <c r="BL161" i="39" s="1"/>
  <c r="BL192" i="39"/>
  <c r="BN171" i="39"/>
  <c r="BO138" i="39"/>
  <c r="CF138" i="39" s="1"/>
  <c r="BN149" i="39"/>
  <c r="BN193" i="39"/>
  <c r="BC34" i="39"/>
  <c r="BC35" i="39"/>
  <c r="BC28" i="39"/>
  <c r="BC31" i="39"/>
  <c r="BC32" i="39"/>
  <c r="BC33" i="39"/>
  <c r="BC21" i="39"/>
  <c r="BC123" i="39"/>
  <c r="BC265" i="39"/>
  <c r="BC42" i="39"/>
  <c r="BC122" i="1"/>
  <c r="BC81" i="1"/>
  <c r="BC12" i="1"/>
  <c r="BC31" i="1"/>
  <c r="BC23" i="1"/>
  <c r="BC38" i="1"/>
  <c r="BB81" i="1"/>
  <c r="BB122" i="1"/>
  <c r="BB23" i="1"/>
  <c r="BB12" i="1"/>
  <c r="BB31" i="1"/>
  <c r="BB38" i="1"/>
  <c r="BK150" i="39"/>
  <c r="BK172" i="39"/>
  <c r="BK194" i="39"/>
  <c r="CE194" i="39" s="1"/>
  <c r="CE140" i="39"/>
  <c r="CE150" i="39"/>
  <c r="BK148" i="39"/>
  <c r="BK170" i="39"/>
  <c r="BK192" i="39"/>
  <c r="CE192" i="39" s="1"/>
  <c r="BJ160" i="39"/>
  <c r="BJ161" i="39" s="1"/>
  <c r="CE148" i="39"/>
  <c r="BH179" i="39"/>
  <c r="BH180" i="39" s="1"/>
  <c r="BI178" i="39"/>
  <c r="BH182" i="39"/>
  <c r="BH183" i="39" s="1"/>
  <c r="CE172" i="39"/>
  <c r="BK130" i="39"/>
  <c r="BL130" i="39" s="1"/>
  <c r="BJ132" i="39"/>
  <c r="BG179" i="39"/>
  <c r="BG180" i="39" s="1"/>
  <c r="AV127" i="1"/>
  <c r="AV128" i="1" s="1"/>
  <c r="AV95" i="3"/>
  <c r="AV96" i="3"/>
  <c r="AA144" i="3"/>
  <c r="AA147" i="3" s="1"/>
  <c r="Z147" i="3"/>
  <c r="Z150" i="3" s="1"/>
  <c r="CC144" i="3"/>
  <c r="CB150" i="3"/>
  <c r="BT49" i="3"/>
  <c r="BT52" i="3" s="1"/>
  <c r="BT55" i="3" s="1"/>
  <c r="P52" i="3"/>
  <c r="CC134" i="3"/>
  <c r="CC139" i="3" s="1"/>
  <c r="BF308" i="39"/>
  <c r="BG305" i="39"/>
  <c r="BH305" i="39" s="1"/>
  <c r="BF372" i="39"/>
  <c r="CC264" i="39"/>
  <c r="CC276" i="39"/>
  <c r="CC122" i="39"/>
  <c r="CC283" i="39"/>
  <c r="CC27" i="39"/>
  <c r="CC14" i="39"/>
  <c r="BE402" i="39"/>
  <c r="BE390" i="39" s="1"/>
  <c r="BE289" i="39"/>
  <c r="BE290" i="39"/>
  <c r="BE13" i="39"/>
  <c r="BC325" i="39"/>
  <c r="BC315" i="39"/>
  <c r="CC7" i="1"/>
  <c r="BC303" i="39"/>
  <c r="BC309" i="39"/>
  <c r="BC271" i="39"/>
  <c r="BE385" i="39"/>
  <c r="BE386" i="39" s="1"/>
  <c r="BE363" i="39" s="1"/>
  <c r="BE375" i="39"/>
  <c r="BD121" i="39"/>
  <c r="BD122" i="39"/>
  <c r="BE270" i="39"/>
  <c r="BF267" i="39"/>
  <c r="BD264" i="39"/>
  <c r="BE262" i="39"/>
  <c r="BG299" i="39"/>
  <c r="BH299" i="39" s="1"/>
  <c r="BF288" i="39"/>
  <c r="BF302" i="39"/>
  <c r="BB291" i="39"/>
  <c r="AZ55" i="1"/>
  <c r="AZ24" i="1"/>
  <c r="BA81" i="1"/>
  <c r="AY115" i="1"/>
  <c r="AY117" i="1" s="1"/>
  <c r="AY56" i="1"/>
  <c r="AY68" i="1"/>
  <c r="AW121" i="1"/>
  <c r="AW123" i="1" s="1"/>
  <c r="AW125" i="1" s="1"/>
  <c r="AW94" i="3" s="1"/>
  <c r="BA122" i="1"/>
  <c r="BA23" i="1"/>
  <c r="BA38" i="1"/>
  <c r="BA31" i="1"/>
  <c r="AX119" i="1"/>
  <c r="AX82" i="1"/>
  <c r="AX69" i="1"/>
  <c r="AX77" i="1"/>
  <c r="AZ122" i="1"/>
  <c r="CB122" i="1"/>
  <c r="CB123" i="1" s="1"/>
  <c r="CB125" i="1" s="1"/>
  <c r="CB94" i="3" s="1"/>
  <c r="CB77" i="1"/>
  <c r="CB82" i="1"/>
  <c r="AW90" i="1"/>
  <c r="AW83" i="1"/>
  <c r="CD407" i="39" l="1"/>
  <c r="BD70" i="39"/>
  <c r="BD377" i="39"/>
  <c r="BD123" i="39"/>
  <c r="BD42" i="39"/>
  <c r="BO171" i="39"/>
  <c r="CF171" i="39" s="1"/>
  <c r="BO149" i="39"/>
  <c r="CF149" i="39" s="1"/>
  <c r="BO193" i="39"/>
  <c r="CF193" i="39" s="1"/>
  <c r="BN136" i="39"/>
  <c r="BM148" i="39"/>
  <c r="BM170" i="39"/>
  <c r="BM192" i="39"/>
  <c r="BN140" i="39"/>
  <c r="BM150" i="39"/>
  <c r="BM172" i="39"/>
  <c r="BM194" i="39"/>
  <c r="BL132" i="39"/>
  <c r="BM130" i="39"/>
  <c r="BK160" i="39"/>
  <c r="BK161" i="39" s="1"/>
  <c r="BC55" i="1"/>
  <c r="BC24" i="1"/>
  <c r="BB55" i="1"/>
  <c r="BB24" i="1"/>
  <c r="BG182" i="39"/>
  <c r="BG183" i="39" s="1"/>
  <c r="BF44" i="3"/>
  <c r="BI299" i="39"/>
  <c r="BH288" i="39"/>
  <c r="BH302" i="39"/>
  <c r="BI305" i="39"/>
  <c r="BH308" i="39"/>
  <c r="BH372" i="39"/>
  <c r="BK132" i="39"/>
  <c r="CE130" i="39"/>
  <c r="CE170" i="39"/>
  <c r="CC377" i="39"/>
  <c r="CC241" i="39"/>
  <c r="CC253" i="39"/>
  <c r="CC235" i="39"/>
  <c r="CC247" i="39"/>
  <c r="CC133" i="39"/>
  <c r="CC271" i="39"/>
  <c r="BJ178" i="39"/>
  <c r="BI179" i="39"/>
  <c r="BI180" i="39" s="1"/>
  <c r="CC265" i="39"/>
  <c r="BJ407" i="39"/>
  <c r="BE359" i="39"/>
  <c r="CC34" i="39"/>
  <c r="CC123" i="39"/>
  <c r="BC291" i="39"/>
  <c r="BD265" i="39"/>
  <c r="AW95" i="3"/>
  <c r="AW96" i="3"/>
  <c r="P55" i="3"/>
  <c r="Q49" i="3"/>
  <c r="Q52" i="3" s="1"/>
  <c r="CB95" i="3"/>
  <c r="CB96" i="3"/>
  <c r="AW127" i="1"/>
  <c r="AW128" i="1" s="1"/>
  <c r="AB144" i="3"/>
  <c r="AA150" i="3"/>
  <c r="BE134" i="3"/>
  <c r="CC53" i="2"/>
  <c r="CC51" i="2" s="1"/>
  <c r="CC34" i="1"/>
  <c r="CC27" i="1"/>
  <c r="CC48" i="1"/>
  <c r="CC50" i="1"/>
  <c r="CC10" i="1"/>
  <c r="BF402" i="39"/>
  <c r="BF390" i="39" s="1"/>
  <c r="BF290" i="39"/>
  <c r="BF289" i="39"/>
  <c r="BF13" i="39"/>
  <c r="BG302" i="39"/>
  <c r="BG288" i="39"/>
  <c r="CD299" i="39"/>
  <c r="BG308" i="39"/>
  <c r="BG372" i="39"/>
  <c r="CD372" i="39" s="1"/>
  <c r="CD385" i="39" s="1"/>
  <c r="CD386" i="39" s="1"/>
  <c r="BE264" i="39"/>
  <c r="BF262" i="39"/>
  <c r="BF120" i="39" s="1"/>
  <c r="BE27" i="39"/>
  <c r="BE20" i="39"/>
  <c r="BE14" i="39"/>
  <c r="BE265" i="39" s="1"/>
  <c r="BE120" i="39"/>
  <c r="CC315" i="39"/>
  <c r="CC33" i="39"/>
  <c r="CC35" i="39"/>
  <c r="CC28" i="39"/>
  <c r="CC42" i="39"/>
  <c r="CC70" i="39"/>
  <c r="CC325" i="39"/>
  <c r="CC32" i="39"/>
  <c r="CC31" i="39"/>
  <c r="CC332" i="39"/>
  <c r="CC309" i="39"/>
  <c r="CC303" i="39"/>
  <c r="CC291" i="39"/>
  <c r="BD315" i="39"/>
  <c r="BD325" i="39"/>
  <c r="BD309" i="39"/>
  <c r="BD303" i="39"/>
  <c r="BD271" i="39"/>
  <c r="CD305" i="39"/>
  <c r="BF270" i="39"/>
  <c r="BG267" i="39"/>
  <c r="BH267" i="39" s="1"/>
  <c r="BF385" i="39"/>
  <c r="BF386" i="39" s="1"/>
  <c r="BF363" i="39" s="1"/>
  <c r="BF375" i="39"/>
  <c r="CB83" i="1"/>
  <c r="AZ115" i="1"/>
  <c r="AZ117" i="1" s="1"/>
  <c r="AZ68" i="1"/>
  <c r="AZ56" i="1"/>
  <c r="AX90" i="1"/>
  <c r="AX97" i="1" s="1"/>
  <c r="AX83" i="1"/>
  <c r="BA24" i="1"/>
  <c r="BA55" i="1"/>
  <c r="AW97" i="1"/>
  <c r="AX121" i="1"/>
  <c r="AX123" i="1" s="1"/>
  <c r="AX125" i="1" s="1"/>
  <c r="AX94" i="3" s="1"/>
  <c r="AY119" i="1"/>
  <c r="AY82" i="1"/>
  <c r="AY69" i="1"/>
  <c r="AY77" i="1"/>
  <c r="CF148" i="39" l="1"/>
  <c r="BN150" i="39"/>
  <c r="BN172" i="39"/>
  <c r="BO140" i="39"/>
  <c r="CF140" i="39" s="1"/>
  <c r="BN194" i="39"/>
  <c r="BN148" i="39"/>
  <c r="BN160" i="39" s="1"/>
  <c r="BN161" i="39" s="1"/>
  <c r="BN170" i="39"/>
  <c r="BO136" i="39"/>
  <c r="CF136" i="39" s="1"/>
  <c r="BN192" i="39"/>
  <c r="BN130" i="39"/>
  <c r="BM132" i="39"/>
  <c r="BM160" i="39"/>
  <c r="BM161" i="39" s="1"/>
  <c r="BC68" i="1"/>
  <c r="BC56" i="1"/>
  <c r="BC115" i="1"/>
  <c r="BC117" i="1" s="1"/>
  <c r="BE377" i="39"/>
  <c r="BB68" i="1"/>
  <c r="BB115" i="1"/>
  <c r="BB117" i="1" s="1"/>
  <c r="BB56" i="1"/>
  <c r="CD267" i="39"/>
  <c r="CD270" i="39" s="1"/>
  <c r="BI44" i="3"/>
  <c r="BI267" i="39"/>
  <c r="BH270" i="39"/>
  <c r="BH402" i="39"/>
  <c r="BH390" i="39" s="1"/>
  <c r="BH13" i="39"/>
  <c r="BH289" i="39"/>
  <c r="BH290" i="39"/>
  <c r="BI288" i="39"/>
  <c r="BJ299" i="39"/>
  <c r="BI302" i="39"/>
  <c r="BI182" i="39"/>
  <c r="BI183" i="39" s="1"/>
  <c r="BJ179" i="39"/>
  <c r="BJ180" i="39" s="1"/>
  <c r="BK178" i="39"/>
  <c r="BL178" i="39" s="1"/>
  <c r="BJ182" i="39"/>
  <c r="BJ183" i="39" s="1"/>
  <c r="CE132" i="39"/>
  <c r="BH385" i="39"/>
  <c r="BH386" i="39" s="1"/>
  <c r="BH363" i="39" s="1"/>
  <c r="BH375" i="39"/>
  <c r="BJ305" i="39"/>
  <c r="BI308" i="39"/>
  <c r="BI372" i="39"/>
  <c r="BK407" i="39"/>
  <c r="BL407" i="39" s="1"/>
  <c r="BF359" i="39"/>
  <c r="BD291" i="39"/>
  <c r="AC144" i="3"/>
  <c r="AC147" i="3" s="1"/>
  <c r="AC150" i="3" s="1"/>
  <c r="AD144" i="3"/>
  <c r="AB147" i="3"/>
  <c r="AB150" i="3" s="1"/>
  <c r="Q55" i="3"/>
  <c r="R49" i="3"/>
  <c r="R52" i="3" s="1"/>
  <c r="AX95" i="3"/>
  <c r="AX96" i="3"/>
  <c r="BG44" i="3"/>
  <c r="CD39" i="3"/>
  <c r="CD44" i="3" s="1"/>
  <c r="BF134" i="3"/>
  <c r="BE139" i="3"/>
  <c r="BG270" i="39"/>
  <c r="BG375" i="39"/>
  <c r="CD375" i="39" s="1"/>
  <c r="BG385" i="39"/>
  <c r="BG386" i="39" s="1"/>
  <c r="BG363" i="39" s="1"/>
  <c r="CD363" i="39" s="1"/>
  <c r="BG402" i="39"/>
  <c r="BG390" i="39" s="1"/>
  <c r="CD390" i="39" s="1"/>
  <c r="BG290" i="39"/>
  <c r="BG289" i="39"/>
  <c r="BG13" i="39"/>
  <c r="CC12" i="1"/>
  <c r="CC38" i="1"/>
  <c r="CC31" i="1"/>
  <c r="BE123" i="39"/>
  <c r="BE122" i="39"/>
  <c r="BE121" i="39"/>
  <c r="BE315" i="39"/>
  <c r="BE325" i="39"/>
  <c r="BE28" i="39"/>
  <c r="BE21" i="39"/>
  <c r="BE35" i="39"/>
  <c r="BE33" i="39"/>
  <c r="BE70" i="39"/>
  <c r="BE42" i="39"/>
  <c r="BE7" i="1"/>
  <c r="BE32" i="39"/>
  <c r="BE31" i="39"/>
  <c r="BE309" i="39"/>
  <c r="BE303" i="39"/>
  <c r="BE271" i="39"/>
  <c r="BG262" i="39"/>
  <c r="BH262" i="39" s="1"/>
  <c r="BH120" i="39" s="1"/>
  <c r="BF264" i="39"/>
  <c r="CD288" i="39"/>
  <c r="BF122" i="39"/>
  <c r="BF121" i="39"/>
  <c r="CD308" i="39"/>
  <c r="BE34" i="39"/>
  <c r="CD302" i="39"/>
  <c r="BF27" i="39"/>
  <c r="BF20" i="39"/>
  <c r="BF14" i="39"/>
  <c r="BF265" i="39" s="1"/>
  <c r="AZ119" i="1"/>
  <c r="AZ82" i="1"/>
  <c r="AZ69" i="1"/>
  <c r="AZ77" i="1"/>
  <c r="AX127" i="1"/>
  <c r="AX128" i="1" s="1"/>
  <c r="AY83" i="1"/>
  <c r="AY90" i="1"/>
  <c r="CB90" i="1" s="1"/>
  <c r="CB97" i="1" s="1"/>
  <c r="BA115" i="1"/>
  <c r="BA117" i="1" s="1"/>
  <c r="BA68" i="1"/>
  <c r="BA56" i="1"/>
  <c r="AY121" i="1"/>
  <c r="AY123" i="1" s="1"/>
  <c r="AY125" i="1" s="1"/>
  <c r="AY94" i="3" s="1"/>
  <c r="CC74" i="1"/>
  <c r="BE9" i="1"/>
  <c r="BE74" i="1" s="1"/>
  <c r="BL179" i="39" l="1"/>
  <c r="BL180" i="39" s="1"/>
  <c r="BM178" i="39"/>
  <c r="BL182" i="39"/>
  <c r="BL183" i="39" s="1"/>
  <c r="BO192" i="39"/>
  <c r="CF192" i="39" s="1"/>
  <c r="BO148" i="39"/>
  <c r="BO170" i="39"/>
  <c r="CF170" i="39" s="1"/>
  <c r="BO130" i="39"/>
  <c r="BO132" i="39" s="1"/>
  <c r="BN132" i="39"/>
  <c r="BO194" i="39"/>
  <c r="CF194" i="39" s="1"/>
  <c r="BO150" i="39"/>
  <c r="CF150" i="39" s="1"/>
  <c r="BO172" i="39"/>
  <c r="CF172" i="39" s="1"/>
  <c r="BM407" i="39"/>
  <c r="BC69" i="1"/>
  <c r="BC119" i="1"/>
  <c r="BC121" i="1" s="1"/>
  <c r="BC82" i="1"/>
  <c r="BC77" i="1"/>
  <c r="BB69" i="1"/>
  <c r="BB119" i="1"/>
  <c r="BB121" i="1" s="1"/>
  <c r="BB82" i="1"/>
  <c r="BB77" i="1"/>
  <c r="BH134" i="3"/>
  <c r="BH44" i="3"/>
  <c r="BJ44" i="3"/>
  <c r="BH122" i="39"/>
  <c r="BK305" i="39"/>
  <c r="BJ308" i="39"/>
  <c r="BJ372" i="39"/>
  <c r="BH359" i="39"/>
  <c r="BH14" i="1" s="1"/>
  <c r="BI402" i="39"/>
  <c r="BI390" i="39" s="1"/>
  <c r="BI289" i="39"/>
  <c r="BI290" i="39"/>
  <c r="BI13" i="39"/>
  <c r="BI270" i="39"/>
  <c r="BJ267" i="39"/>
  <c r="BI262" i="39"/>
  <c r="BH264" i="39"/>
  <c r="CE407" i="39"/>
  <c r="BI385" i="39"/>
  <c r="BI386" i="39" s="1"/>
  <c r="BI363" i="39" s="1"/>
  <c r="BI375" i="39"/>
  <c r="BK179" i="39"/>
  <c r="BK180" i="39" s="1"/>
  <c r="BJ302" i="39"/>
  <c r="BJ288" i="39"/>
  <c r="BK299" i="39"/>
  <c r="BL299" i="39" s="1"/>
  <c r="BH20" i="39"/>
  <c r="BH27" i="39"/>
  <c r="BH14" i="39"/>
  <c r="BH123" i="39" s="1"/>
  <c r="BF34" i="39"/>
  <c r="AY97" i="1"/>
  <c r="AY95" i="3"/>
  <c r="AY96" i="3"/>
  <c r="AD147" i="3"/>
  <c r="AD150" i="3" s="1"/>
  <c r="AE144" i="3"/>
  <c r="AE147" i="3" s="1"/>
  <c r="S49" i="3"/>
  <c r="S52" i="3" s="1"/>
  <c r="R55" i="3"/>
  <c r="BF139" i="3"/>
  <c r="BG134" i="3"/>
  <c r="BD88" i="3"/>
  <c r="BG264" i="39"/>
  <c r="CD262" i="39"/>
  <c r="BG359" i="39"/>
  <c r="BG120" i="39"/>
  <c r="BH121" i="39" s="1"/>
  <c r="BF377" i="39"/>
  <c r="CC13" i="2"/>
  <c r="CC47" i="2" s="1"/>
  <c r="BG27" i="39"/>
  <c r="BG20" i="39"/>
  <c r="BG14" i="39"/>
  <c r="BG34" i="39" s="1"/>
  <c r="CD13" i="39"/>
  <c r="CD290" i="39"/>
  <c r="CD359" i="39"/>
  <c r="BF325" i="39"/>
  <c r="BF315" i="39"/>
  <c r="BF70" i="39"/>
  <c r="BF28" i="39"/>
  <c r="BF21" i="39"/>
  <c r="BF35" i="39"/>
  <c r="BF33" i="39"/>
  <c r="BF7" i="1"/>
  <c r="BF42" i="39"/>
  <c r="BF32" i="39"/>
  <c r="BF31" i="39"/>
  <c r="BF309" i="39"/>
  <c r="BF303" i="39"/>
  <c r="BF271" i="39"/>
  <c r="BF123" i="39"/>
  <c r="BE27" i="1"/>
  <c r="BE60" i="3"/>
  <c r="BE30" i="3" s="1"/>
  <c r="BE53" i="2"/>
  <c r="BE34" i="1"/>
  <c r="BE48" i="1"/>
  <c r="BE11" i="1"/>
  <c r="BE50" i="1"/>
  <c r="BE291" i="39"/>
  <c r="CC20" i="3"/>
  <c r="CC81" i="1"/>
  <c r="BA119" i="1"/>
  <c r="BA69" i="1"/>
  <c r="BA82" i="1"/>
  <c r="BA77" i="1"/>
  <c r="BF9" i="1"/>
  <c r="BF74" i="1" s="1"/>
  <c r="BE10" i="1"/>
  <c r="AY127" i="1"/>
  <c r="AY128" i="1" s="1"/>
  <c r="AZ90" i="1"/>
  <c r="AZ83" i="1"/>
  <c r="AZ121" i="1"/>
  <c r="AZ123" i="1" s="1"/>
  <c r="AZ125" i="1" s="1"/>
  <c r="AZ94" i="3" s="1"/>
  <c r="CF130" i="39" l="1"/>
  <c r="BO160" i="39"/>
  <c r="BO161" i="39" s="1"/>
  <c r="BM299" i="39"/>
  <c r="BL302" i="39"/>
  <c r="CE305" i="39"/>
  <c r="CE308" i="39" s="1"/>
  <c r="BL305" i="39"/>
  <c r="BN178" i="39"/>
  <c r="BM179" i="39"/>
  <c r="BM180" i="39" s="1"/>
  <c r="BN407" i="39"/>
  <c r="BC127" i="1"/>
  <c r="BC128" i="1" s="1"/>
  <c r="BC123" i="1"/>
  <c r="BC125" i="1" s="1"/>
  <c r="BC90" i="1"/>
  <c r="BC97" i="1" s="1"/>
  <c r="BC83" i="1"/>
  <c r="BB90" i="1"/>
  <c r="BB97" i="1" s="1"/>
  <c r="BB83" i="1"/>
  <c r="BB127" i="1"/>
  <c r="BB128" i="1" s="1"/>
  <c r="BB123" i="1"/>
  <c r="BB125" i="1" s="1"/>
  <c r="BI359" i="39"/>
  <c r="BI14" i="1" s="1"/>
  <c r="BI17" i="1" s="1"/>
  <c r="BI54" i="2" s="1"/>
  <c r="BI134" i="3"/>
  <c r="BH139" i="3"/>
  <c r="BK44" i="3"/>
  <c r="BK288" i="39"/>
  <c r="CE288" i="39" s="1"/>
  <c r="BK302" i="39"/>
  <c r="CE299" i="39"/>
  <c r="BI264" i="39"/>
  <c r="BJ262" i="39"/>
  <c r="BJ120" i="39" s="1"/>
  <c r="BJ270" i="39"/>
  <c r="BK267" i="39"/>
  <c r="BI120" i="39"/>
  <c r="BI27" i="39"/>
  <c r="BI20" i="39"/>
  <c r="BI14" i="39"/>
  <c r="BI265" i="39" s="1"/>
  <c r="BH17" i="1"/>
  <c r="BH54" i="2" s="1"/>
  <c r="BK308" i="39"/>
  <c r="BK372" i="39"/>
  <c r="BH34" i="39"/>
  <c r="BH7" i="1"/>
  <c r="BH315" i="39"/>
  <c r="BH35" i="39"/>
  <c r="BH28" i="39"/>
  <c r="BH325" i="39"/>
  <c r="BH70" i="39"/>
  <c r="BH33" i="39"/>
  <c r="BH21" i="39"/>
  <c r="BH42" i="39"/>
  <c r="BH31" i="39"/>
  <c r="BH32" i="39"/>
  <c r="BH303" i="39"/>
  <c r="BH309" i="39"/>
  <c r="BH271" i="39"/>
  <c r="BJ402" i="39"/>
  <c r="BJ390" i="39" s="1"/>
  <c r="BJ289" i="39"/>
  <c r="BJ290" i="39"/>
  <c r="BJ13" i="39"/>
  <c r="BK182" i="39"/>
  <c r="BK183" i="39" s="1"/>
  <c r="BH377" i="39"/>
  <c r="BH265" i="39"/>
  <c r="BJ385" i="39"/>
  <c r="BJ386" i="39" s="1"/>
  <c r="BJ363" i="39" s="1"/>
  <c r="BJ375" i="39"/>
  <c r="AF144" i="3"/>
  <c r="AE150" i="3"/>
  <c r="AZ95" i="3"/>
  <c r="AZ96" i="3"/>
  <c r="S55" i="3"/>
  <c r="T49" i="3"/>
  <c r="BG139" i="3"/>
  <c r="CD134" i="3"/>
  <c r="CD139" i="3" s="1"/>
  <c r="BE13" i="2"/>
  <c r="BE20" i="3" s="1"/>
  <c r="BE51" i="2"/>
  <c r="BG377" i="39"/>
  <c r="BE88" i="3"/>
  <c r="BE36" i="3"/>
  <c r="BF34" i="1"/>
  <c r="BF53" i="2"/>
  <c r="BF60" i="3"/>
  <c r="BF30" i="3" s="1"/>
  <c r="BF11" i="1"/>
  <c r="BF27" i="1"/>
  <c r="BF48" i="1"/>
  <c r="BF50" i="1"/>
  <c r="CD27" i="39"/>
  <c r="CD14" i="39"/>
  <c r="CD264" i="39"/>
  <c r="BG325" i="39"/>
  <c r="BG315" i="39"/>
  <c r="BG70" i="39"/>
  <c r="BG35" i="39"/>
  <c r="BG33" i="39"/>
  <c r="BG28" i="39"/>
  <c r="BG21" i="39"/>
  <c r="BG7" i="1"/>
  <c r="BG42" i="39"/>
  <c r="BG31" i="39"/>
  <c r="BG32" i="39"/>
  <c r="BG303" i="39"/>
  <c r="BG309" i="39"/>
  <c r="BG271" i="39"/>
  <c r="BE125" i="3"/>
  <c r="BF291" i="39"/>
  <c r="CC115" i="3"/>
  <c r="BG123" i="39"/>
  <c r="BG122" i="39"/>
  <c r="BG121" i="39"/>
  <c r="CD120" i="39"/>
  <c r="BG265" i="39"/>
  <c r="BG9" i="1"/>
  <c r="BF10" i="1"/>
  <c r="AZ127" i="1"/>
  <c r="AZ128" i="1" s="1"/>
  <c r="AZ97" i="1"/>
  <c r="BA121" i="1"/>
  <c r="BA123" i="1" s="1"/>
  <c r="BA125" i="1" s="1"/>
  <c r="BA94" i="3" s="1"/>
  <c r="BE12" i="1"/>
  <c r="BE31" i="1"/>
  <c r="BE38" i="1"/>
  <c r="BE81" i="1"/>
  <c r="BA90" i="1"/>
  <c r="BA97" i="1" s="1"/>
  <c r="BA83" i="1"/>
  <c r="BE115" i="3" l="1"/>
  <c r="BH9" i="1"/>
  <c r="BH74" i="1" s="1"/>
  <c r="BG74" i="1"/>
  <c r="BL288" i="39"/>
  <c r="BL290" i="39" s="1"/>
  <c r="CF132" i="39"/>
  <c r="BL267" i="39"/>
  <c r="BM182" i="39"/>
  <c r="BM183" i="39" s="1"/>
  <c r="BN179" i="39"/>
  <c r="BN180" i="39" s="1"/>
  <c r="BO178" i="39"/>
  <c r="BN182" i="39"/>
  <c r="BN183" i="39" s="1"/>
  <c r="BM305" i="39"/>
  <c r="BM288" i="39" s="1"/>
  <c r="BL308" i="39"/>
  <c r="BL372" i="39"/>
  <c r="BN299" i="39"/>
  <c r="BM302" i="39"/>
  <c r="BO407" i="39"/>
  <c r="CF407" i="39" s="1"/>
  <c r="CE39" i="3"/>
  <c r="CE44" i="3" s="1"/>
  <c r="BJ359" i="39"/>
  <c r="BJ14" i="1" s="1"/>
  <c r="BJ17" i="1" s="1"/>
  <c r="BJ54" i="2" s="1"/>
  <c r="BJ14" i="2" s="1"/>
  <c r="BG291" i="39"/>
  <c r="BH291" i="39"/>
  <c r="BI14" i="2"/>
  <c r="BI29" i="2"/>
  <c r="BI33" i="2" s="1"/>
  <c r="BI9" i="1"/>
  <c r="BJ134" i="3"/>
  <c r="BI139" i="3"/>
  <c r="CD34" i="39"/>
  <c r="CD253" i="39"/>
  <c r="CD235" i="39"/>
  <c r="CD241" i="39"/>
  <c r="CD247" i="39"/>
  <c r="CD133" i="39"/>
  <c r="CD271" i="39"/>
  <c r="BJ27" i="39"/>
  <c r="BJ20" i="39"/>
  <c r="BJ14" i="39"/>
  <c r="BJ265" i="39" s="1"/>
  <c r="BK385" i="39"/>
  <c r="BK386" i="39" s="1"/>
  <c r="BK363" i="39" s="1"/>
  <c r="BK375" i="39"/>
  <c r="CE372" i="39"/>
  <c r="CE385" i="39" s="1"/>
  <c r="CE386" i="39" s="1"/>
  <c r="BH14" i="2"/>
  <c r="BH29" i="2"/>
  <c r="BK270" i="39"/>
  <c r="CE267" i="39"/>
  <c r="CE302" i="39"/>
  <c r="CE290" i="39"/>
  <c r="BH34" i="1"/>
  <c r="BH60" i="3"/>
  <c r="BH30" i="3" s="1"/>
  <c r="BH53" i="2"/>
  <c r="BH11" i="1"/>
  <c r="BH27" i="1"/>
  <c r="BH48" i="1"/>
  <c r="BH50" i="1"/>
  <c r="BH19" i="1"/>
  <c r="CD265" i="39"/>
  <c r="BI7" i="1"/>
  <c r="BI325" i="39"/>
  <c r="BI70" i="39"/>
  <c r="BI33" i="39"/>
  <c r="BI21" i="39"/>
  <c r="BI315" i="39"/>
  <c r="BI35" i="39"/>
  <c r="BI28" i="39"/>
  <c r="BI42" i="39"/>
  <c r="BI31" i="39"/>
  <c r="BI32" i="39"/>
  <c r="BI303" i="39"/>
  <c r="BI309" i="39"/>
  <c r="BI271" i="39"/>
  <c r="BI34" i="39"/>
  <c r="BI122" i="39"/>
  <c r="BI121" i="39"/>
  <c r="BI123" i="39"/>
  <c r="BJ122" i="39"/>
  <c r="BJ121" i="39"/>
  <c r="BJ264" i="39"/>
  <c r="BK262" i="39"/>
  <c r="BL262" i="39" s="1"/>
  <c r="BI377" i="39"/>
  <c r="BK402" i="39"/>
  <c r="BK390" i="39" s="1"/>
  <c r="CE390" i="39" s="1"/>
  <c r="BK289" i="39"/>
  <c r="BK290" i="39"/>
  <c r="BK13" i="39"/>
  <c r="BA95" i="3"/>
  <c r="BA96" i="3"/>
  <c r="AH144" i="3"/>
  <c r="AH147" i="3" s="1"/>
  <c r="AH150" i="3" s="1"/>
  <c r="AF147" i="3"/>
  <c r="AF150" i="3" s="1"/>
  <c r="AI144" i="3"/>
  <c r="AI147" i="3" s="1"/>
  <c r="AG144" i="3"/>
  <c r="AG147" i="3" s="1"/>
  <c r="AG150" i="3" s="1"/>
  <c r="BU49" i="3"/>
  <c r="BU52" i="3" s="1"/>
  <c r="BU55" i="3" s="1"/>
  <c r="T52" i="3"/>
  <c r="BG53" i="2"/>
  <c r="BG60" i="3"/>
  <c r="BG30" i="3" s="1"/>
  <c r="BG27" i="1"/>
  <c r="BG11" i="1"/>
  <c r="BG34" i="1"/>
  <c r="BG48" i="1"/>
  <c r="BG50" i="1"/>
  <c r="BF13" i="2"/>
  <c r="BF20" i="3" s="1"/>
  <c r="BF51" i="2"/>
  <c r="CD315" i="39"/>
  <c r="CD28" i="39"/>
  <c r="CD70" i="39"/>
  <c r="CD33" i="39"/>
  <c r="CD35" i="39"/>
  <c r="CD325" i="39"/>
  <c r="CD42" i="39"/>
  <c r="CD31" i="39"/>
  <c r="CD32" i="39"/>
  <c r="CD332" i="39"/>
  <c r="CD303" i="39"/>
  <c r="CD309" i="39"/>
  <c r="CD291" i="39"/>
  <c r="CD377" i="39"/>
  <c r="CD7" i="1"/>
  <c r="CD122" i="39"/>
  <c r="CD123" i="39"/>
  <c r="CD283" i="39"/>
  <c r="CD276" i="39"/>
  <c r="BF125" i="3"/>
  <c r="BE131" i="3"/>
  <c r="BF88" i="3"/>
  <c r="BF36" i="3"/>
  <c r="BF81" i="1"/>
  <c r="BF12" i="1"/>
  <c r="BF31" i="1"/>
  <c r="BF38" i="1"/>
  <c r="BA127" i="1"/>
  <c r="BA128" i="1" s="1"/>
  <c r="CD74" i="1"/>
  <c r="BG10" i="1"/>
  <c r="BF115" i="3" l="1"/>
  <c r="BH10" i="1"/>
  <c r="BH31" i="1" s="1"/>
  <c r="BL13" i="39"/>
  <c r="BL14" i="39" s="1"/>
  <c r="BL402" i="39"/>
  <c r="BL390" i="39" s="1"/>
  <c r="BL289" i="39"/>
  <c r="BM402" i="39"/>
  <c r="BM390" i="39" s="1"/>
  <c r="BM289" i="39"/>
  <c r="BM290" i="39"/>
  <c r="BM13" i="39"/>
  <c r="BN305" i="39"/>
  <c r="BN288" i="39" s="1"/>
  <c r="BM308" i="39"/>
  <c r="BM372" i="39"/>
  <c r="BO179" i="39"/>
  <c r="BO180" i="39" s="1"/>
  <c r="BM262" i="39"/>
  <c r="BL264" i="39"/>
  <c r="BN302" i="39"/>
  <c r="BO299" i="39"/>
  <c r="CF299" i="39" s="1"/>
  <c r="BL385" i="39"/>
  <c r="BL386" i="39" s="1"/>
  <c r="BL363" i="39" s="1"/>
  <c r="BL375" i="39"/>
  <c r="BM267" i="39"/>
  <c r="BL120" i="39"/>
  <c r="BL270" i="39"/>
  <c r="BJ21" i="3"/>
  <c r="BJ29" i="2"/>
  <c r="BJ23" i="3" s="1"/>
  <c r="BJ123" i="39"/>
  <c r="BI21" i="3"/>
  <c r="BJ9" i="1"/>
  <c r="BI74" i="1"/>
  <c r="BI81" i="1" s="1"/>
  <c r="BH81" i="1"/>
  <c r="BK134" i="3"/>
  <c r="BJ139" i="3"/>
  <c r="BI27" i="1"/>
  <c r="BI53" i="2"/>
  <c r="BI34" i="1"/>
  <c r="BI60" i="3"/>
  <c r="BI30" i="3" s="1"/>
  <c r="BI48" i="1"/>
  <c r="BI10" i="1"/>
  <c r="BI11" i="1"/>
  <c r="BI50" i="1"/>
  <c r="BI19" i="1"/>
  <c r="BH88" i="3"/>
  <c r="BH125" i="3"/>
  <c r="BH36" i="3"/>
  <c r="CE270" i="39"/>
  <c r="BH33" i="2"/>
  <c r="BI23" i="3"/>
  <c r="BK359" i="39"/>
  <c r="BK14" i="1" s="1"/>
  <c r="BJ7" i="1"/>
  <c r="BJ325" i="39"/>
  <c r="BJ70" i="39"/>
  <c r="BJ33" i="39"/>
  <c r="BJ21" i="39"/>
  <c r="BJ315" i="39"/>
  <c r="BJ35" i="39"/>
  <c r="BJ28" i="39"/>
  <c r="BJ42" i="39"/>
  <c r="BJ31" i="39"/>
  <c r="BJ32" i="39"/>
  <c r="BJ303" i="39"/>
  <c r="BJ309" i="39"/>
  <c r="BJ271" i="39"/>
  <c r="CE363" i="39"/>
  <c r="CE359" i="39" s="1"/>
  <c r="BJ377" i="39"/>
  <c r="BK27" i="39"/>
  <c r="BK20" i="39"/>
  <c r="BK14" i="39"/>
  <c r="BK377" i="39" s="1"/>
  <c r="BK264" i="39"/>
  <c r="CE262" i="39"/>
  <c r="BI291" i="39"/>
  <c r="BH20" i="1"/>
  <c r="BH52" i="1"/>
  <c r="BH13" i="2"/>
  <c r="BH51" i="2"/>
  <c r="BK120" i="39"/>
  <c r="CE13" i="39"/>
  <c r="BJ34" i="39"/>
  <c r="CE375" i="39"/>
  <c r="U49" i="3"/>
  <c r="U52" i="3" s="1"/>
  <c r="T55" i="3"/>
  <c r="AJ144" i="3"/>
  <c r="AI150" i="3"/>
  <c r="CD53" i="2"/>
  <c r="CD51" i="2" s="1"/>
  <c r="CD27" i="1"/>
  <c r="CD34" i="1"/>
  <c r="CD48" i="1"/>
  <c r="CD50" i="1"/>
  <c r="CD10" i="1"/>
  <c r="BG88" i="3"/>
  <c r="BG36" i="3"/>
  <c r="BG13" i="2"/>
  <c r="BG20" i="3" s="1"/>
  <c r="CD20" i="3" s="1"/>
  <c r="BG51" i="2"/>
  <c r="BF131" i="3"/>
  <c r="BG125" i="3"/>
  <c r="CD30" i="3"/>
  <c r="CD81" i="1"/>
  <c r="BG12" i="1"/>
  <c r="BG38" i="1"/>
  <c r="BG31" i="1"/>
  <c r="BG81" i="1"/>
  <c r="BH23" i="1" l="1"/>
  <c r="BH24" i="1" s="1"/>
  <c r="BH12" i="1"/>
  <c r="BH38" i="1"/>
  <c r="BL20" i="39"/>
  <c r="BL27" i="39"/>
  <c r="CF302" i="39"/>
  <c r="BL359" i="39"/>
  <c r="BL14" i="1" s="1"/>
  <c r="BL17" i="1" s="1"/>
  <c r="BL54" i="2" s="1"/>
  <c r="BM120" i="39"/>
  <c r="BN267" i="39"/>
  <c r="BM270" i="39"/>
  <c r="BL7" i="1"/>
  <c r="BL53" i="2" s="1"/>
  <c r="BL315" i="39"/>
  <c r="BL35" i="39"/>
  <c r="BL28" i="39"/>
  <c r="BL325" i="39"/>
  <c r="BL70" i="39"/>
  <c r="BL33" i="39"/>
  <c r="BL21" i="39"/>
  <c r="BL42" i="39"/>
  <c r="BL31" i="39"/>
  <c r="BL32" i="39"/>
  <c r="BL303" i="39"/>
  <c r="BL309" i="39"/>
  <c r="BL377" i="39"/>
  <c r="BN402" i="39"/>
  <c r="BN390" i="39" s="1"/>
  <c r="BN289" i="39"/>
  <c r="BN290" i="39"/>
  <c r="BN13" i="39"/>
  <c r="BL265" i="39"/>
  <c r="BM264" i="39"/>
  <c r="BN262" i="39"/>
  <c r="BO305" i="39"/>
  <c r="BO288" i="39" s="1"/>
  <c r="CF288" i="39" s="1"/>
  <c r="BN308" i="39"/>
  <c r="BN372" i="39"/>
  <c r="BL271" i="39"/>
  <c r="BL121" i="39"/>
  <c r="BL122" i="39"/>
  <c r="BL123" i="39"/>
  <c r="BL34" i="39"/>
  <c r="BO302" i="39"/>
  <c r="BO182" i="39"/>
  <c r="BO183" i="39" s="1"/>
  <c r="BM385" i="39"/>
  <c r="BM386" i="39" s="1"/>
  <c r="BM363" i="39" s="1"/>
  <c r="BM359" i="39" s="1"/>
  <c r="BM14" i="1" s="1"/>
  <c r="BM375" i="39"/>
  <c r="BM20" i="39"/>
  <c r="BM27" i="39"/>
  <c r="BM14" i="39"/>
  <c r="BM271" i="39" s="1"/>
  <c r="BJ33" i="2"/>
  <c r="BJ291" i="39"/>
  <c r="BK265" i="39"/>
  <c r="BH20" i="3"/>
  <c r="BH115" i="3" s="1"/>
  <c r="BK9" i="1"/>
  <c r="BJ74" i="1"/>
  <c r="CE134" i="3"/>
  <c r="CE139" i="3" s="1"/>
  <c r="BK139" i="3"/>
  <c r="BK7" i="1"/>
  <c r="BK315" i="39"/>
  <c r="BK35" i="39"/>
  <c r="BK33" i="39"/>
  <c r="BK325" i="39"/>
  <c r="BK70" i="39"/>
  <c r="BK28" i="39"/>
  <c r="BK21" i="39"/>
  <c r="BK42" i="39"/>
  <c r="BK31" i="39"/>
  <c r="BK32" i="39"/>
  <c r="BK303" i="39"/>
  <c r="BK309" i="39"/>
  <c r="BK271" i="39"/>
  <c r="BK17" i="1"/>
  <c r="BK54" i="2" s="1"/>
  <c r="CE14" i="1"/>
  <c r="CE17" i="1" s="1"/>
  <c r="BI125" i="3"/>
  <c r="BH131" i="3"/>
  <c r="BI12" i="1"/>
  <c r="BI31" i="1"/>
  <c r="BI38" i="1"/>
  <c r="BI23" i="1"/>
  <c r="BI88" i="3"/>
  <c r="BI36" i="3"/>
  <c r="BI13" i="2"/>
  <c r="BI51" i="2"/>
  <c r="CE27" i="39"/>
  <c r="CE14" i="39"/>
  <c r="BK121" i="39"/>
  <c r="BK122" i="39"/>
  <c r="BK123" i="39"/>
  <c r="CE120" i="39"/>
  <c r="BH53" i="1"/>
  <c r="BH65" i="1"/>
  <c r="CE264" i="39"/>
  <c r="BK34" i="39"/>
  <c r="BJ34" i="1"/>
  <c r="BJ53" i="2"/>
  <c r="BJ48" i="1"/>
  <c r="BJ60" i="3"/>
  <c r="BJ30" i="3" s="1"/>
  <c r="BJ10" i="1"/>
  <c r="BJ11" i="1"/>
  <c r="BJ27" i="1"/>
  <c r="BJ50" i="1"/>
  <c r="BJ19" i="1"/>
  <c r="BI20" i="1"/>
  <c r="BI52" i="1"/>
  <c r="CD13" i="2"/>
  <c r="CD47" i="2" s="1"/>
  <c r="AL144" i="3"/>
  <c r="AL147" i="3" s="1"/>
  <c r="AL150" i="3" s="1"/>
  <c r="AJ147" i="3"/>
  <c r="AJ150" i="3" s="1"/>
  <c r="AM144" i="3"/>
  <c r="AM147" i="3" s="1"/>
  <c r="AK144" i="3"/>
  <c r="AK147" i="3" s="1"/>
  <c r="AK150" i="3" s="1"/>
  <c r="V49" i="3"/>
  <c r="V52" i="3" s="1"/>
  <c r="U55" i="3"/>
  <c r="BG131" i="3"/>
  <c r="CD125" i="3"/>
  <c r="CD131" i="3" s="1"/>
  <c r="CD88" i="3"/>
  <c r="CD60" i="3"/>
  <c r="CD62" i="3" s="1"/>
  <c r="CD36" i="3"/>
  <c r="BG115" i="3"/>
  <c r="CD115" i="3" s="1"/>
  <c r="CD38" i="1"/>
  <c r="CD31" i="1"/>
  <c r="CD12" i="1"/>
  <c r="BH55" i="1" l="1"/>
  <c r="BH56" i="1" s="1"/>
  <c r="BK74" i="1"/>
  <c r="BK81" i="1" s="1"/>
  <c r="BL9" i="1"/>
  <c r="BL13" i="2"/>
  <c r="BL51" i="2"/>
  <c r="BL29" i="2"/>
  <c r="BL33" i="2" s="1"/>
  <c r="BL14" i="2"/>
  <c r="CF290" i="39"/>
  <c r="CF305" i="39"/>
  <c r="BM34" i="39"/>
  <c r="CE377" i="39"/>
  <c r="BL11" i="1"/>
  <c r="BL291" i="39"/>
  <c r="BM265" i="39"/>
  <c r="BM17" i="1"/>
  <c r="BM54" i="2" s="1"/>
  <c r="BN385" i="39"/>
  <c r="BN386" i="39" s="1"/>
  <c r="BN363" i="39" s="1"/>
  <c r="BN359" i="39" s="1"/>
  <c r="BN14" i="1" s="1"/>
  <c r="BN17" i="1" s="1"/>
  <c r="BN54" i="2" s="1"/>
  <c r="BN375" i="39"/>
  <c r="BN27" i="39"/>
  <c r="BN20" i="39"/>
  <c r="BN14" i="39"/>
  <c r="BN265" i="39" s="1"/>
  <c r="BN270" i="39"/>
  <c r="BO267" i="39"/>
  <c r="CF267" i="39" s="1"/>
  <c r="BN120" i="39"/>
  <c r="BN271" i="39"/>
  <c r="BM7" i="1"/>
  <c r="BM53" i="2" s="1"/>
  <c r="BM315" i="39"/>
  <c r="BM35" i="39"/>
  <c r="BM28" i="39"/>
  <c r="BM325" i="39"/>
  <c r="BM70" i="39"/>
  <c r="BM33" i="39"/>
  <c r="BM21" i="39"/>
  <c r="BM42" i="39"/>
  <c r="BM32" i="39"/>
  <c r="BM31" i="39"/>
  <c r="BM303" i="39"/>
  <c r="BM309" i="39"/>
  <c r="BM377" i="39"/>
  <c r="BO290" i="39"/>
  <c r="BO13" i="39"/>
  <c r="CF13" i="39" s="1"/>
  <c r="BO402" i="39"/>
  <c r="BO390" i="39" s="1"/>
  <c r="CF390" i="39" s="1"/>
  <c r="BO289" i="39"/>
  <c r="BO308" i="39"/>
  <c r="BO372" i="39"/>
  <c r="CF372" i="39" s="1"/>
  <c r="CF385" i="39" s="1"/>
  <c r="CF386" i="39" s="1"/>
  <c r="BO262" i="39"/>
  <c r="CF262" i="39" s="1"/>
  <c r="BN264" i="39"/>
  <c r="BL34" i="1"/>
  <c r="BL27" i="1"/>
  <c r="BL60" i="3"/>
  <c r="BL30" i="3" s="1"/>
  <c r="BL10" i="1"/>
  <c r="BL48" i="1"/>
  <c r="BL50" i="1"/>
  <c r="BL19" i="1"/>
  <c r="BM122" i="39"/>
  <c r="BM121" i="39"/>
  <c r="BM123" i="39"/>
  <c r="CE54" i="2"/>
  <c r="BK291" i="39"/>
  <c r="CE265" i="39"/>
  <c r="CE34" i="39"/>
  <c r="BJ81" i="1"/>
  <c r="BI53" i="1"/>
  <c r="BJ88" i="3"/>
  <c r="BJ36" i="3"/>
  <c r="BJ13" i="2"/>
  <c r="BJ51" i="2"/>
  <c r="BJ125" i="3"/>
  <c r="BI131" i="3"/>
  <c r="BK29" i="2"/>
  <c r="BK14" i="2"/>
  <c r="BK27" i="1"/>
  <c r="BK53" i="2"/>
  <c r="BK10" i="1"/>
  <c r="BK11" i="1"/>
  <c r="BK48" i="1"/>
  <c r="BK34" i="1"/>
  <c r="BK60" i="3"/>
  <c r="BK30" i="3" s="1"/>
  <c r="BK50" i="1"/>
  <c r="BK19" i="1"/>
  <c r="CE7" i="1"/>
  <c r="BJ52" i="1"/>
  <c r="BJ20" i="1"/>
  <c r="BJ12" i="1"/>
  <c r="BJ31" i="1"/>
  <c r="BJ38" i="1"/>
  <c r="BJ23" i="1"/>
  <c r="BH66" i="1"/>
  <c r="BH71" i="1"/>
  <c r="BH79" i="1" s="1"/>
  <c r="BH86" i="1" s="1"/>
  <c r="CE283" i="39"/>
  <c r="CE122" i="39"/>
  <c r="CE276" i="39"/>
  <c r="CE123" i="39"/>
  <c r="CE42" i="39"/>
  <c r="CE253" i="39"/>
  <c r="CE247" i="39"/>
  <c r="CE315" i="39"/>
  <c r="CE241" i="39"/>
  <c r="CE235" i="39"/>
  <c r="CE35" i="39"/>
  <c r="CE28" i="39"/>
  <c r="CE325" i="39"/>
  <c r="CE33" i="39"/>
  <c r="CE70" i="39"/>
  <c r="CE332" i="39"/>
  <c r="CE31" i="39"/>
  <c r="CE32" i="39"/>
  <c r="CE133" i="39"/>
  <c r="CE309" i="39"/>
  <c r="CE303" i="39"/>
  <c r="CE291" i="39"/>
  <c r="CE271" i="39"/>
  <c r="BI24" i="1"/>
  <c r="BI55" i="1"/>
  <c r="BI20" i="3"/>
  <c r="W49" i="3"/>
  <c r="W52" i="3" s="1"/>
  <c r="V55" i="3"/>
  <c r="AN144" i="3"/>
  <c r="AM150" i="3"/>
  <c r="CE74" i="1" l="1"/>
  <c r="CE81" i="1" s="1"/>
  <c r="BH68" i="1"/>
  <c r="BH119" i="1" s="1"/>
  <c r="BH115" i="1"/>
  <c r="BH117" i="1" s="1"/>
  <c r="BM9" i="1"/>
  <c r="BM10" i="1" s="1"/>
  <c r="BL74" i="1"/>
  <c r="BL23" i="3"/>
  <c r="BL118" i="3" s="1"/>
  <c r="BM13" i="2"/>
  <c r="BM51" i="2"/>
  <c r="BN29" i="2"/>
  <c r="BN33" i="2" s="1"/>
  <c r="BN14" i="2"/>
  <c r="BL21" i="3"/>
  <c r="BL116" i="3" s="1"/>
  <c r="BM29" i="2"/>
  <c r="BM33" i="2" s="1"/>
  <c r="BM14" i="2"/>
  <c r="BM21" i="3" s="1"/>
  <c r="CF264" i="39"/>
  <c r="CF308" i="39"/>
  <c r="CF27" i="39"/>
  <c r="CF14" i="39"/>
  <c r="CF265" i="39" s="1"/>
  <c r="BM291" i="39"/>
  <c r="CF270" i="39"/>
  <c r="BL38" i="1"/>
  <c r="BL31" i="1"/>
  <c r="BL23" i="1"/>
  <c r="BL12" i="1"/>
  <c r="BO264" i="39"/>
  <c r="BO20" i="39"/>
  <c r="BO27" i="39"/>
  <c r="BO14" i="39"/>
  <c r="BO34" i="39" s="1"/>
  <c r="BO270" i="39"/>
  <c r="BO120" i="39"/>
  <c r="CF120" i="39" s="1"/>
  <c r="BN34" i="39"/>
  <c r="BN7" i="1"/>
  <c r="BN53" i="2" s="1"/>
  <c r="BN325" i="39"/>
  <c r="BN70" i="39"/>
  <c r="BN33" i="39"/>
  <c r="BN21" i="39"/>
  <c r="BN315" i="39"/>
  <c r="BN35" i="39"/>
  <c r="BN28" i="39"/>
  <c r="BN42" i="39"/>
  <c r="BN31" i="39"/>
  <c r="BN32" i="39"/>
  <c r="BN303" i="39"/>
  <c r="BN309" i="39"/>
  <c r="BL20" i="1"/>
  <c r="BL52" i="1"/>
  <c r="BL88" i="3"/>
  <c r="BL36" i="3"/>
  <c r="BL125" i="3"/>
  <c r="BO375" i="39"/>
  <c r="BO385" i="39"/>
  <c r="BO386" i="39" s="1"/>
  <c r="BO363" i="39" s="1"/>
  <c r="BM27" i="1"/>
  <c r="BM60" i="3"/>
  <c r="BM30" i="3" s="1"/>
  <c r="BM48" i="1"/>
  <c r="BM34" i="1"/>
  <c r="BM11" i="1"/>
  <c r="BM50" i="1"/>
  <c r="BM19" i="1"/>
  <c r="BN122" i="39"/>
  <c r="BN121" i="39"/>
  <c r="BN123" i="39"/>
  <c r="BN377" i="39"/>
  <c r="BH11" i="3"/>
  <c r="BH87" i="1"/>
  <c r="BH89" i="1"/>
  <c r="BJ53" i="1"/>
  <c r="BK52" i="1"/>
  <c r="BK20" i="1"/>
  <c r="BK88" i="3"/>
  <c r="BK36" i="3"/>
  <c r="CE30" i="3"/>
  <c r="BK12" i="1"/>
  <c r="BK31" i="1"/>
  <c r="BK38" i="1"/>
  <c r="BK23" i="1"/>
  <c r="BK23" i="3"/>
  <c r="CE29" i="2"/>
  <c r="BK33" i="2"/>
  <c r="BK125" i="3"/>
  <c r="BJ131" i="3"/>
  <c r="BI115" i="3"/>
  <c r="BI115" i="1"/>
  <c r="BI117" i="1" s="1"/>
  <c r="BI56" i="1"/>
  <c r="BH76" i="1"/>
  <c r="BJ24" i="1"/>
  <c r="BJ55" i="1"/>
  <c r="CE53" i="2"/>
  <c r="CE51" i="2" s="1"/>
  <c r="CE34" i="1"/>
  <c r="CE19" i="1"/>
  <c r="CE27" i="1"/>
  <c r="CE10" i="1"/>
  <c r="CE12" i="1" s="1"/>
  <c r="CE50" i="1"/>
  <c r="CE48" i="1"/>
  <c r="BK13" i="2"/>
  <c r="BK51" i="2"/>
  <c r="BK21" i="3"/>
  <c r="CE14" i="2"/>
  <c r="CE49" i="2" s="1"/>
  <c r="CE48" i="2" s="1"/>
  <c r="BJ20" i="3"/>
  <c r="AQ144" i="3"/>
  <c r="AQ147" i="3" s="1"/>
  <c r="AO144" i="3"/>
  <c r="AO147" i="3" s="1"/>
  <c r="AO150" i="3" s="1"/>
  <c r="AP144" i="3"/>
  <c r="AP147" i="3" s="1"/>
  <c r="AP150" i="3" s="1"/>
  <c r="AN147" i="3"/>
  <c r="AN150" i="3" s="1"/>
  <c r="X49" i="3"/>
  <c r="W55" i="3"/>
  <c r="BH69" i="1" l="1"/>
  <c r="BO377" i="39"/>
  <c r="BL81" i="1"/>
  <c r="BN9" i="1"/>
  <c r="BN10" i="1" s="1"/>
  <c r="BM74" i="1"/>
  <c r="BM81" i="1" s="1"/>
  <c r="BN21" i="3"/>
  <c r="BN13" i="2"/>
  <c r="BN51" i="2"/>
  <c r="BM116" i="3"/>
  <c r="BN23" i="3"/>
  <c r="CF276" i="39"/>
  <c r="CF122" i="39"/>
  <c r="CF283" i="39"/>
  <c r="CF123" i="39"/>
  <c r="BO271" i="39"/>
  <c r="CF271" i="39"/>
  <c r="CF34" i="39"/>
  <c r="CF309" i="39"/>
  <c r="CF375" i="39"/>
  <c r="CF377" i="39" s="1"/>
  <c r="BO359" i="39"/>
  <c r="BO14" i="1" s="1"/>
  <c r="BO17" i="1" s="1"/>
  <c r="BO54" i="2" s="1"/>
  <c r="CF363" i="39"/>
  <c r="CF359" i="39" s="1"/>
  <c r="CF325" i="39"/>
  <c r="CF33" i="39"/>
  <c r="CF253" i="39"/>
  <c r="CF70" i="39"/>
  <c r="CF241" i="39"/>
  <c r="CF35" i="39"/>
  <c r="CF235" i="39"/>
  <c r="CF315" i="39"/>
  <c r="CF32" i="39"/>
  <c r="CF247" i="39"/>
  <c r="CF332" i="39"/>
  <c r="CF42" i="39"/>
  <c r="CF31" i="39"/>
  <c r="CF133" i="39"/>
  <c r="CF303" i="39"/>
  <c r="CF291" i="39"/>
  <c r="CF28" i="39"/>
  <c r="BN291" i="39"/>
  <c r="BM20" i="3"/>
  <c r="BM88" i="3"/>
  <c r="BM36" i="3"/>
  <c r="BL65" i="1"/>
  <c r="BL53" i="1"/>
  <c r="BN34" i="1"/>
  <c r="BN11" i="1"/>
  <c r="BN27" i="1"/>
  <c r="BN48" i="1"/>
  <c r="BN60" i="3"/>
  <c r="BN30" i="3" s="1"/>
  <c r="BN50" i="1"/>
  <c r="BN19" i="1"/>
  <c r="BL24" i="1"/>
  <c r="BL55" i="1"/>
  <c r="BM23" i="3"/>
  <c r="BM118" i="3" s="1"/>
  <c r="BM20" i="1"/>
  <c r="BM52" i="1"/>
  <c r="BM31" i="1"/>
  <c r="BM38" i="1"/>
  <c r="BM23" i="1"/>
  <c r="BM12" i="1"/>
  <c r="BL131" i="3"/>
  <c r="BM125" i="3"/>
  <c r="BO121" i="39"/>
  <c r="BO122" i="39"/>
  <c r="BO123" i="39"/>
  <c r="BO7" i="1"/>
  <c r="BO53" i="2" s="1"/>
  <c r="BO325" i="39"/>
  <c r="BO70" i="39"/>
  <c r="BO33" i="39"/>
  <c r="BO21" i="39"/>
  <c r="BO315" i="39"/>
  <c r="BO35" i="39"/>
  <c r="BO28" i="39"/>
  <c r="BO42" i="39"/>
  <c r="BO31" i="39"/>
  <c r="BO32" i="39"/>
  <c r="BO303" i="39"/>
  <c r="BO309" i="39"/>
  <c r="BO265" i="39"/>
  <c r="CE13" i="2"/>
  <c r="CE47" i="2" s="1"/>
  <c r="BL20" i="3"/>
  <c r="CE23" i="1"/>
  <c r="CE31" i="1"/>
  <c r="CE38" i="1"/>
  <c r="CE20" i="1"/>
  <c r="CE52" i="1"/>
  <c r="BH82" i="1"/>
  <c r="BH122" i="1"/>
  <c r="BH77" i="1"/>
  <c r="BJ115" i="3"/>
  <c r="CE125" i="3"/>
  <c r="CE131" i="3" s="1"/>
  <c r="BK131" i="3"/>
  <c r="CE50" i="2"/>
  <c r="CE33" i="2"/>
  <c r="BK24" i="1"/>
  <c r="BK55" i="1"/>
  <c r="CE36" i="3"/>
  <c r="CE88" i="3"/>
  <c r="CE60" i="3"/>
  <c r="CE62" i="3" s="1"/>
  <c r="BK53" i="1"/>
  <c r="BH94" i="1"/>
  <c r="BH85" i="3"/>
  <c r="BH89" i="3" s="1"/>
  <c r="BH106" i="3"/>
  <c r="BJ56" i="1"/>
  <c r="BJ115" i="1"/>
  <c r="BJ117" i="1" s="1"/>
  <c r="BH121" i="1"/>
  <c r="BH127" i="1" s="1"/>
  <c r="BH128" i="1" s="1"/>
  <c r="BK20" i="3"/>
  <c r="CE20" i="3" s="1"/>
  <c r="BH92" i="1"/>
  <c r="X52" i="3"/>
  <c r="BV49" i="3"/>
  <c r="BV52" i="3" s="1"/>
  <c r="BV55" i="3" s="1"/>
  <c r="AR144" i="3"/>
  <c r="AQ150" i="3"/>
  <c r="CF14" i="1" l="1"/>
  <c r="CF17" i="1" s="1"/>
  <c r="CF54" i="2" s="1"/>
  <c r="BN118" i="3"/>
  <c r="BN74" i="1"/>
  <c r="BN81" i="1" s="1"/>
  <c r="BO9" i="1"/>
  <c r="BO74" i="1" s="1"/>
  <c r="BO81" i="1" s="1"/>
  <c r="BN116" i="3"/>
  <c r="BO13" i="2"/>
  <c r="BO51" i="2"/>
  <c r="BO29" i="2"/>
  <c r="BO33" i="2" s="1"/>
  <c r="BO14" i="2"/>
  <c r="CF14" i="2" s="1"/>
  <c r="CF49" i="2" s="1"/>
  <c r="CF48" i="2" s="1"/>
  <c r="BO27" i="1"/>
  <c r="BO48" i="1"/>
  <c r="BO11" i="1"/>
  <c r="BO60" i="3"/>
  <c r="BO30" i="3" s="1"/>
  <c r="CF30" i="3" s="1"/>
  <c r="BO34" i="1"/>
  <c r="BO50" i="1"/>
  <c r="BO10" i="1"/>
  <c r="BO19" i="1"/>
  <c r="BM24" i="1"/>
  <c r="BM55" i="1"/>
  <c r="BL68" i="1"/>
  <c r="BL115" i="1"/>
  <c r="BL117" i="1" s="1"/>
  <c r="BL56" i="1"/>
  <c r="BN20" i="1"/>
  <c r="BN52" i="1"/>
  <c r="BL71" i="1"/>
  <c r="BL76" i="1" s="1"/>
  <c r="BL66" i="1"/>
  <c r="BO291" i="39"/>
  <c r="BM131" i="3"/>
  <c r="BN125" i="3"/>
  <c r="BM53" i="1"/>
  <c r="BM65" i="1"/>
  <c r="CF7" i="1"/>
  <c r="BN31" i="1"/>
  <c r="BN38" i="1"/>
  <c r="BN23" i="1"/>
  <c r="BN12" i="1"/>
  <c r="BN88" i="3"/>
  <c r="BN36" i="3"/>
  <c r="BN20" i="3"/>
  <c r="BL115" i="3"/>
  <c r="BM115" i="3" s="1"/>
  <c r="BH123" i="1"/>
  <c r="BH125" i="1" s="1"/>
  <c r="BH94" i="3" s="1"/>
  <c r="BH95" i="3" s="1"/>
  <c r="BH91" i="3"/>
  <c r="BK115" i="1"/>
  <c r="BK117" i="1" s="1"/>
  <c r="BK56" i="1"/>
  <c r="BK115" i="3"/>
  <c r="CE115" i="3" s="1"/>
  <c r="CE53" i="1"/>
  <c r="BH90" i="1"/>
  <c r="BH83" i="1"/>
  <c r="CE24" i="1"/>
  <c r="CE55" i="1"/>
  <c r="AU144" i="3"/>
  <c r="AU147" i="3" s="1"/>
  <c r="AR147" i="3"/>
  <c r="AR150" i="3" s="1"/>
  <c r="AS144" i="3"/>
  <c r="X55" i="3"/>
  <c r="Y49" i="3"/>
  <c r="Y52" i="3" s="1"/>
  <c r="CF74" i="1" l="1"/>
  <c r="CF81" i="1" s="1"/>
  <c r="CF29" i="2"/>
  <c r="CF50" i="2" s="1"/>
  <c r="BO23" i="3"/>
  <c r="CF23" i="3" s="1"/>
  <c r="BO21" i="3"/>
  <c r="CF21" i="3" s="1"/>
  <c r="BL79" i="1"/>
  <c r="BL86" i="1" s="1"/>
  <c r="BL87" i="1" s="1"/>
  <c r="CF88" i="3"/>
  <c r="CF60" i="3"/>
  <c r="CF62" i="3" s="1"/>
  <c r="CF36" i="3"/>
  <c r="BN24" i="1"/>
  <c r="BN55" i="1"/>
  <c r="BM71" i="1"/>
  <c r="BM79" i="1" s="1"/>
  <c r="BM86" i="1" s="1"/>
  <c r="BM66" i="1"/>
  <c r="BO125" i="3"/>
  <c r="BN131" i="3"/>
  <c r="BN65" i="1"/>
  <c r="BN53" i="1"/>
  <c r="BL119" i="1"/>
  <c r="BL69" i="1"/>
  <c r="BL82" i="1"/>
  <c r="BO52" i="1"/>
  <c r="BO20" i="1"/>
  <c r="BO36" i="3"/>
  <c r="BO88" i="3"/>
  <c r="CF13" i="2"/>
  <c r="BN115" i="3"/>
  <c r="CF53" i="2"/>
  <c r="CF51" i="2" s="1"/>
  <c r="CF34" i="1"/>
  <c r="CF48" i="1"/>
  <c r="CF27" i="1"/>
  <c r="CF10" i="1"/>
  <c r="CF50" i="1"/>
  <c r="CF19" i="1"/>
  <c r="BL122" i="1"/>
  <c r="BL77" i="1"/>
  <c r="BM56" i="1"/>
  <c r="BM68" i="1"/>
  <c r="BM115" i="1"/>
  <c r="BM117" i="1" s="1"/>
  <c r="BO38" i="1"/>
  <c r="BO31" i="1"/>
  <c r="BO23" i="1"/>
  <c r="BO12" i="1"/>
  <c r="BH96" i="3"/>
  <c r="CE115" i="1"/>
  <c r="CE117" i="1" s="1"/>
  <c r="CE56" i="1"/>
  <c r="BH97" i="1"/>
  <c r="Y55" i="3"/>
  <c r="Z49" i="3"/>
  <c r="Z52" i="3" s="1"/>
  <c r="AT144" i="3"/>
  <c r="AT147" i="3" s="1"/>
  <c r="AT150" i="3" s="1"/>
  <c r="AS147" i="3"/>
  <c r="AS150" i="3" s="1"/>
  <c r="AV144" i="3"/>
  <c r="AU150" i="3"/>
  <c r="CF33" i="2" l="1"/>
  <c r="BO118" i="3"/>
  <c r="CF118" i="3" s="1"/>
  <c r="BL89" i="1"/>
  <c r="BL92" i="1" s="1"/>
  <c r="BO116" i="3"/>
  <c r="CF116" i="3" s="1"/>
  <c r="BL11" i="3"/>
  <c r="BL85" i="3" s="1"/>
  <c r="BL89" i="3" s="1"/>
  <c r="CF47" i="2"/>
  <c r="BL94" i="1"/>
  <c r="BO53" i="1"/>
  <c r="BO65" i="1"/>
  <c r="BM89" i="1"/>
  <c r="BM94" i="1" s="1"/>
  <c r="BM11" i="3"/>
  <c r="BM87" i="1"/>
  <c r="BM76" i="1"/>
  <c r="BO55" i="1"/>
  <c r="BO24" i="1"/>
  <c r="BM69" i="1"/>
  <c r="BM119" i="1"/>
  <c r="BO20" i="3"/>
  <c r="CF20" i="3" s="1"/>
  <c r="CF20" i="1"/>
  <c r="CF52" i="1"/>
  <c r="CF31" i="1"/>
  <c r="CF38" i="1"/>
  <c r="CF23" i="1"/>
  <c r="CF12" i="1"/>
  <c r="BL90" i="1"/>
  <c r="BL97" i="1" s="1"/>
  <c r="BL83" i="1"/>
  <c r="BL121" i="1"/>
  <c r="BL127" i="1" s="1"/>
  <c r="BL128" i="1" s="1"/>
  <c r="BN66" i="1"/>
  <c r="BN71" i="1"/>
  <c r="BN76" i="1" s="1"/>
  <c r="CF125" i="3"/>
  <c r="CF131" i="3" s="1"/>
  <c r="BO131" i="3"/>
  <c r="BN115" i="1"/>
  <c r="BN117" i="1" s="1"/>
  <c r="BN56" i="1"/>
  <c r="BN68" i="1"/>
  <c r="Z55" i="3"/>
  <c r="AA49" i="3"/>
  <c r="AA52" i="3" s="1"/>
  <c r="AW144" i="3"/>
  <c r="AY144" i="3"/>
  <c r="AY147" i="3" s="1"/>
  <c r="AV147" i="3"/>
  <c r="AV150" i="3" s="1"/>
  <c r="BL106" i="3" l="1"/>
  <c r="BM106" i="3" s="1"/>
  <c r="BL27" i="3"/>
  <c r="BL51" i="3" s="1"/>
  <c r="BN79" i="1"/>
  <c r="BN86" i="1" s="1"/>
  <c r="BN11" i="3" s="1"/>
  <c r="CF65" i="1"/>
  <c r="CF66" i="1" s="1"/>
  <c r="CF53" i="1"/>
  <c r="BL123" i="1"/>
  <c r="BL125" i="1" s="1"/>
  <c r="BL94" i="3" s="1"/>
  <c r="BL95" i="3" s="1"/>
  <c r="BM121" i="1"/>
  <c r="BM127" i="1" s="1"/>
  <c r="BM128" i="1" s="1"/>
  <c r="BL91" i="3"/>
  <c r="BN69" i="1"/>
  <c r="BN119" i="1"/>
  <c r="BN82" i="1"/>
  <c r="BN77" i="1"/>
  <c r="BN122" i="1"/>
  <c r="CF55" i="1"/>
  <c r="CF24" i="1"/>
  <c r="BO115" i="1"/>
  <c r="BO117" i="1" s="1"/>
  <c r="BO56" i="1"/>
  <c r="BO68" i="1"/>
  <c r="BM82" i="1"/>
  <c r="BM122" i="1"/>
  <c r="BM77" i="1"/>
  <c r="BM92" i="1"/>
  <c r="BM27" i="3"/>
  <c r="BM85" i="3"/>
  <c r="BM89" i="3" s="1"/>
  <c r="BO66" i="1"/>
  <c r="BO71" i="1"/>
  <c r="BO79" i="1" s="1"/>
  <c r="BO86" i="1" s="1"/>
  <c r="BO115" i="3"/>
  <c r="CF115" i="3" s="1"/>
  <c r="AY150" i="3"/>
  <c r="AZ144" i="3"/>
  <c r="BC144" i="3" s="1"/>
  <c r="AA55" i="3"/>
  <c r="AB49" i="3"/>
  <c r="AX144" i="3"/>
  <c r="AX147" i="3" s="1"/>
  <c r="AX150" i="3" s="1"/>
  <c r="AW147" i="3"/>
  <c r="AW150" i="3" s="1"/>
  <c r="BL122" i="3" l="1"/>
  <c r="BL146" i="3" s="1"/>
  <c r="BL83" i="3"/>
  <c r="BL98" i="3" s="1"/>
  <c r="BN87" i="1"/>
  <c r="BN89" i="1"/>
  <c r="BM122" i="3"/>
  <c r="BM146" i="3" s="1"/>
  <c r="BN106" i="3"/>
  <c r="BO11" i="3"/>
  <c r="BO89" i="1"/>
  <c r="BO92" i="1" s="1"/>
  <c r="BO87" i="1"/>
  <c r="BM83" i="3"/>
  <c r="BM98" i="3" s="1"/>
  <c r="BM51" i="3"/>
  <c r="BM83" i="1"/>
  <c r="BM90" i="1"/>
  <c r="BM97" i="1" s="1"/>
  <c r="BN90" i="1"/>
  <c r="BN83" i="1"/>
  <c r="BO76" i="1"/>
  <c r="BO82" i="1" s="1"/>
  <c r="CF71" i="1"/>
  <c r="BM91" i="3"/>
  <c r="BO119" i="1"/>
  <c r="BO69" i="1"/>
  <c r="CF68" i="1"/>
  <c r="CF56" i="1"/>
  <c r="CF115" i="1"/>
  <c r="CF117" i="1" s="1"/>
  <c r="BN121" i="1"/>
  <c r="BN123" i="1" s="1"/>
  <c r="BN125" i="1" s="1"/>
  <c r="BN94" i="3" s="1"/>
  <c r="BL96" i="3"/>
  <c r="BM123" i="1"/>
  <c r="BM125" i="1" s="1"/>
  <c r="BM94" i="3" s="1"/>
  <c r="BM95" i="3" s="1"/>
  <c r="CF11" i="3"/>
  <c r="BN27" i="3"/>
  <c r="BN85" i="3"/>
  <c r="BN89" i="3" s="1"/>
  <c r="BW49" i="3"/>
  <c r="BW52" i="3" s="1"/>
  <c r="BW55" i="3" s="1"/>
  <c r="AB52" i="3"/>
  <c r="AZ147" i="3"/>
  <c r="AZ150" i="3" s="1"/>
  <c r="BA144" i="3"/>
  <c r="BA147" i="3" l="1"/>
  <c r="BA150" i="3" s="1"/>
  <c r="BB144" i="3"/>
  <c r="BN127" i="1"/>
  <c r="BN128" i="1" s="1"/>
  <c r="BN92" i="1"/>
  <c r="CF92" i="1" s="1"/>
  <c r="BN94" i="1"/>
  <c r="BN83" i="3"/>
  <c r="BN98" i="3" s="1"/>
  <c r="BN51" i="3"/>
  <c r="CF69" i="1"/>
  <c r="CF119" i="1"/>
  <c r="CF121" i="1" s="1"/>
  <c r="CF127" i="1" s="1"/>
  <c r="CF128" i="1" s="1"/>
  <c r="BN97" i="1"/>
  <c r="BO94" i="1"/>
  <c r="CF89" i="1"/>
  <c r="BO106" i="3"/>
  <c r="BN122" i="3"/>
  <c r="BN146" i="3" s="1"/>
  <c r="BN95" i="3"/>
  <c r="BN91" i="3"/>
  <c r="BN96" i="3" s="1"/>
  <c r="CF27" i="3"/>
  <c r="CF85" i="3"/>
  <c r="CF89" i="3" s="1"/>
  <c r="CF91" i="3" s="1"/>
  <c r="BO83" i="1"/>
  <c r="BO90" i="1"/>
  <c r="BO97" i="1" s="1"/>
  <c r="BO121" i="1"/>
  <c r="BO127" i="1" s="1"/>
  <c r="BO128" i="1" s="1"/>
  <c r="BM96" i="3"/>
  <c r="BO77" i="1"/>
  <c r="BO122" i="1"/>
  <c r="BO85" i="3"/>
  <c r="BO89" i="3" s="1"/>
  <c r="BO27" i="3"/>
  <c r="AC49" i="3"/>
  <c r="AC52" i="3" s="1"/>
  <c r="AB55" i="3"/>
  <c r="BO91" i="3" l="1"/>
  <c r="BO83" i="3"/>
  <c r="BO98" i="3" s="1"/>
  <c r="BO51" i="3"/>
  <c r="BO123" i="1"/>
  <c r="BO125" i="1" s="1"/>
  <c r="BO94" i="3" s="1"/>
  <c r="BO95" i="3" s="1"/>
  <c r="CF51" i="3"/>
  <c r="CF83" i="3"/>
  <c r="CF98" i="3" s="1"/>
  <c r="CF106" i="3"/>
  <c r="CF122" i="3" s="1"/>
  <c r="CF146" i="3" s="1"/>
  <c r="BO122" i="3"/>
  <c r="BO146" i="3" s="1"/>
  <c r="CF90" i="1"/>
  <c r="AD49" i="3"/>
  <c r="AD52" i="3" s="1"/>
  <c r="AC55" i="3"/>
  <c r="BO96" i="3" l="1"/>
  <c r="AD55" i="3"/>
  <c r="AE49" i="3"/>
  <c r="AE52" i="3" s="1"/>
  <c r="AF49" i="3" l="1"/>
  <c r="AE55" i="3"/>
  <c r="AF52" i="3" l="1"/>
  <c r="BX49" i="3"/>
  <c r="BX52" i="3" s="1"/>
  <c r="BX55" i="3" s="1"/>
  <c r="AF55" i="3" l="1"/>
  <c r="AG49" i="3"/>
  <c r="AG52" i="3" s="1"/>
  <c r="AG55" i="3" l="1"/>
  <c r="AH49" i="3"/>
  <c r="AH52" i="3" s="1"/>
  <c r="AI49" i="3" l="1"/>
  <c r="AI52" i="3" s="1"/>
  <c r="AH55" i="3"/>
  <c r="AJ49" i="3" l="1"/>
  <c r="AI55" i="3"/>
  <c r="BY49" i="3" l="1"/>
  <c r="BY52" i="3" s="1"/>
  <c r="BY55" i="3" s="1"/>
  <c r="AJ52" i="3"/>
  <c r="AJ55" i="3" l="1"/>
  <c r="AK49" i="3"/>
  <c r="AK52" i="3" s="1"/>
  <c r="AL49" i="3" l="1"/>
  <c r="AL52" i="3" s="1"/>
  <c r="AK55" i="3"/>
  <c r="AM49" i="3" l="1"/>
  <c r="AM52" i="3" s="1"/>
  <c r="AL55" i="3"/>
  <c r="CC106" i="1"/>
  <c r="AM55" i="3" l="1"/>
  <c r="AN49" i="3"/>
  <c r="AN52" i="3" l="1"/>
  <c r="BZ49" i="3"/>
  <c r="BZ52" i="3" s="1"/>
  <c r="BZ55" i="3" l="1"/>
  <c r="CA49" i="3"/>
  <c r="CA52" i="3" s="1"/>
  <c r="AN55" i="3"/>
  <c r="AO49" i="3"/>
  <c r="AO52" i="3" s="1"/>
  <c r="AP49" i="3" l="1"/>
  <c r="AP52" i="3" s="1"/>
  <c r="AO55" i="3"/>
  <c r="CA55" i="3"/>
  <c r="CB49" i="3"/>
  <c r="CB52" i="3" s="1"/>
  <c r="CC49" i="3" l="1"/>
  <c r="CB55" i="3"/>
  <c r="AQ49" i="3"/>
  <c r="AQ52" i="3" s="1"/>
  <c r="AP55" i="3"/>
  <c r="CD106" i="1"/>
  <c r="AR49" i="3" l="1"/>
  <c r="AR52" i="3" s="1"/>
  <c r="AQ55" i="3"/>
  <c r="AR55" i="3" l="1"/>
  <c r="AS49" i="3"/>
  <c r="AS52" i="3" s="1"/>
  <c r="AT49" i="3" l="1"/>
  <c r="AT52" i="3" s="1"/>
  <c r="AS55" i="3"/>
  <c r="AT55" i="3" l="1"/>
  <c r="AU49" i="3"/>
  <c r="AU52" i="3" s="1"/>
  <c r="AV49" i="3" l="1"/>
  <c r="AV52" i="3" s="1"/>
  <c r="AU55" i="3"/>
  <c r="BC90" i="3"/>
  <c r="AV55" i="3" l="1"/>
  <c r="AW49" i="3"/>
  <c r="AW52" i="3" s="1"/>
  <c r="AW55" i="3" l="1"/>
  <c r="AX49" i="3"/>
  <c r="AX52" i="3" s="1"/>
  <c r="AX55" i="3" l="1"/>
  <c r="AY49" i="3"/>
  <c r="AY52" i="3" s="1"/>
  <c r="AY55" i="3" l="1"/>
  <c r="AZ49" i="3"/>
  <c r="AZ52" i="3" s="1"/>
  <c r="BD90" i="3"/>
  <c r="AZ55" i="3" l="1"/>
  <c r="BA49" i="3"/>
  <c r="BA52" i="3" s="1"/>
  <c r="BB49" i="3" s="1"/>
  <c r="BB52" i="3" s="1"/>
  <c r="BB55" i="3" s="1"/>
  <c r="BA55" i="3" l="1"/>
  <c r="BE58" i="1" l="1"/>
  <c r="BE63" i="1" s="1"/>
  <c r="BE90" i="3" s="1"/>
  <c r="CC59" i="1" l="1"/>
  <c r="CC58" i="1" s="1"/>
  <c r="CC63" i="1" l="1"/>
  <c r="BB90" i="3" l="1"/>
  <c r="BF58" i="1"/>
  <c r="BF63" i="1" s="1"/>
  <c r="BF90" i="3" s="1"/>
  <c r="CC90" i="3"/>
  <c r="BB117" i="2" l="1"/>
  <c r="BB94" i="3"/>
  <c r="BB68" i="2" l="1"/>
  <c r="BB78" i="2" s="1"/>
  <c r="BG58" i="1"/>
  <c r="BG63" i="1" s="1"/>
  <c r="BG90" i="3" s="1"/>
  <c r="CD59" i="1"/>
  <c r="CD58" i="1" s="1"/>
  <c r="BB85" i="3"/>
  <c r="BB106" i="3"/>
  <c r="BB122" i="3" s="1"/>
  <c r="BB146" i="3" s="1"/>
  <c r="BB147" i="3" s="1"/>
  <c r="BB150" i="3" s="1"/>
  <c r="BC106" i="3" l="1"/>
  <c r="BC122" i="3" s="1"/>
  <c r="BC146" i="3" s="1"/>
  <c r="BC147" i="3" s="1"/>
  <c r="BB79" i="2"/>
  <c r="BB80" i="2" s="1"/>
  <c r="BB70" i="2"/>
  <c r="BB71" i="2" s="1"/>
  <c r="CD63" i="1"/>
  <c r="CD90" i="3" l="1"/>
  <c r="BJ58" i="1" l="1"/>
  <c r="BI58" i="1"/>
  <c r="BI63" i="1" l="1"/>
  <c r="BI65" i="1"/>
  <c r="BJ63" i="1"/>
  <c r="BJ65" i="1"/>
  <c r="BK58" i="1"/>
  <c r="CE59" i="1"/>
  <c r="CE58" i="1" s="1"/>
  <c r="BB83" i="2"/>
  <c r="BB86" i="2" s="1"/>
  <c r="BB89" i="2" s="1"/>
  <c r="BB90" i="2" s="1"/>
  <c r="CE63" i="1" l="1"/>
  <c r="CE65" i="1"/>
  <c r="CE66" i="1" s="1"/>
  <c r="BK63" i="1"/>
  <c r="BK65" i="1"/>
  <c r="BJ66" i="1"/>
  <c r="BJ71" i="1"/>
  <c r="BJ76" i="1" s="1"/>
  <c r="BI66" i="1"/>
  <c r="BI71" i="1"/>
  <c r="BI79" i="1" s="1"/>
  <c r="BI86" i="1" s="1"/>
  <c r="BJ90" i="3"/>
  <c r="BJ68" i="1"/>
  <c r="BI90" i="3"/>
  <c r="BI68" i="1"/>
  <c r="BB92" i="2"/>
  <c r="BJ122" i="1" l="1"/>
  <c r="BJ77" i="1"/>
  <c r="BK71" i="1"/>
  <c r="BK76" i="1" s="1"/>
  <c r="BK66" i="1"/>
  <c r="BI89" i="1"/>
  <c r="BI94" i="1" s="1"/>
  <c r="BI11" i="3"/>
  <c r="BI87" i="1"/>
  <c r="BI119" i="1"/>
  <c r="BI69" i="1"/>
  <c r="BJ69" i="1"/>
  <c r="BJ119" i="1"/>
  <c r="BJ82" i="1"/>
  <c r="BI76" i="1"/>
  <c r="BJ79" i="1"/>
  <c r="BJ86" i="1" s="1"/>
  <c r="BK90" i="3"/>
  <c r="BK68" i="1"/>
  <c r="CE90" i="3"/>
  <c r="CE68" i="1"/>
  <c r="BE14" i="1"/>
  <c r="BE17" i="1" s="1"/>
  <c r="BK79" i="1" l="1"/>
  <c r="BK86" i="1" s="1"/>
  <c r="BK11" i="3" s="1"/>
  <c r="CE71" i="1"/>
  <c r="CE79" i="1" s="1"/>
  <c r="CE86" i="1" s="1"/>
  <c r="CE69" i="1"/>
  <c r="CE119" i="1"/>
  <c r="BI122" i="1"/>
  <c r="BI77" i="1"/>
  <c r="BJ121" i="1"/>
  <c r="BJ123" i="1" s="1"/>
  <c r="BJ125" i="1" s="1"/>
  <c r="BJ94" i="3" s="1"/>
  <c r="BI121" i="1"/>
  <c r="BI92" i="1"/>
  <c r="BK82" i="1"/>
  <c r="BK119" i="1"/>
  <c r="BK69" i="1"/>
  <c r="BJ11" i="3"/>
  <c r="BJ89" i="1"/>
  <c r="BJ94" i="1" s="1"/>
  <c r="BJ87" i="1"/>
  <c r="CF76" i="1"/>
  <c r="CF79" i="1"/>
  <c r="CF86" i="1" s="1"/>
  <c r="CF72" i="1"/>
  <c r="BJ83" i="1"/>
  <c r="BJ90" i="1"/>
  <c r="BJ97" i="1" s="1"/>
  <c r="BI82" i="1"/>
  <c r="BI27" i="3"/>
  <c r="BI85" i="3"/>
  <c r="BI89" i="3" s="1"/>
  <c r="BI106" i="3"/>
  <c r="BK77" i="1"/>
  <c r="BK122" i="1"/>
  <c r="BE19" i="1"/>
  <c r="BE353" i="39" s="1"/>
  <c r="BE54" i="2"/>
  <c r="BE23" i="1"/>
  <c r="CC14" i="1"/>
  <c r="BF14" i="1"/>
  <c r="BF17" i="1" s="1"/>
  <c r="BK89" i="1" l="1"/>
  <c r="BK94" i="1" s="1"/>
  <c r="BJ106" i="3"/>
  <c r="BK106" i="3" s="1"/>
  <c r="CE106" i="3" s="1"/>
  <c r="BJ92" i="1"/>
  <c r="BK87" i="1"/>
  <c r="CE11" i="3"/>
  <c r="CE85" i="3" s="1"/>
  <c r="CE89" i="3" s="1"/>
  <c r="CE91" i="3" s="1"/>
  <c r="CE72" i="1"/>
  <c r="CE76" i="1"/>
  <c r="CE82" i="1" s="1"/>
  <c r="CE83" i="1" s="1"/>
  <c r="BI123" i="1"/>
  <c r="BI125" i="1" s="1"/>
  <c r="BI94" i="3" s="1"/>
  <c r="BI95" i="3" s="1"/>
  <c r="BI90" i="1"/>
  <c r="BI83" i="1"/>
  <c r="CF87" i="1"/>
  <c r="BK90" i="1"/>
  <c r="BK97" i="1" s="1"/>
  <c r="BK83" i="1"/>
  <c r="CE121" i="1"/>
  <c r="CE127" i="1" s="1"/>
  <c r="CE128" i="1" s="1"/>
  <c r="BI91" i="3"/>
  <c r="BK85" i="3"/>
  <c r="BK89" i="3" s="1"/>
  <c r="BK27" i="3"/>
  <c r="BI83" i="3"/>
  <c r="BI98" i="3" s="1"/>
  <c r="BI51" i="3"/>
  <c r="CF122" i="1"/>
  <c r="CF123" i="1" s="1"/>
  <c r="CF125" i="1" s="1"/>
  <c r="CF94" i="3" s="1"/>
  <c r="CF82" i="1"/>
  <c r="CF77" i="1"/>
  <c r="BJ27" i="3"/>
  <c r="BJ85" i="3"/>
  <c r="BJ89" i="3" s="1"/>
  <c r="BK121" i="1"/>
  <c r="BK123" i="1" s="1"/>
  <c r="BK125" i="1" s="1"/>
  <c r="BK94" i="3" s="1"/>
  <c r="CF94" i="1"/>
  <c r="BI127" i="1"/>
  <c r="BI128" i="1" s="1"/>
  <c r="BJ127" i="1"/>
  <c r="BJ128" i="1" s="1"/>
  <c r="CE87" i="1"/>
  <c r="CC17" i="1"/>
  <c r="CC19" i="1"/>
  <c r="BE55" i="1"/>
  <c r="BE24" i="1"/>
  <c r="BF19" i="1"/>
  <c r="BF54" i="2"/>
  <c r="BF23" i="1"/>
  <c r="BE14" i="2"/>
  <c r="BE29" i="2"/>
  <c r="BE52" i="1"/>
  <c r="BE20" i="1"/>
  <c r="BE354" i="39" l="1"/>
  <c r="CE89" i="1"/>
  <c r="CE94" i="1" s="1"/>
  <c r="BK92" i="1"/>
  <c r="CE92" i="1" s="1"/>
  <c r="CE77" i="1"/>
  <c r="BI96" i="3"/>
  <c r="CF95" i="3"/>
  <c r="CF96" i="3"/>
  <c r="CE122" i="1"/>
  <c r="CE123" i="1" s="1"/>
  <c r="CE125" i="1" s="1"/>
  <c r="CE94" i="3" s="1"/>
  <c r="BK127" i="1"/>
  <c r="BK128" i="1" s="1"/>
  <c r="BJ91" i="3"/>
  <c r="BJ96" i="3" s="1"/>
  <c r="BJ95" i="3"/>
  <c r="BK51" i="3"/>
  <c r="BK83" i="3"/>
  <c r="BK98" i="3" s="1"/>
  <c r="CF95" i="1"/>
  <c r="BI97" i="1"/>
  <c r="CF97" i="1"/>
  <c r="CE90" i="1"/>
  <c r="CE97" i="1" s="1"/>
  <c r="BJ83" i="3"/>
  <c r="BJ98" i="3" s="1"/>
  <c r="BJ51" i="3"/>
  <c r="CF83" i="1"/>
  <c r="BK95" i="3"/>
  <c r="BK91" i="3"/>
  <c r="BK96" i="3" s="1"/>
  <c r="BF20" i="1"/>
  <c r="BF52" i="1"/>
  <c r="CC54" i="2"/>
  <c r="CC23" i="1"/>
  <c r="BE33" i="2"/>
  <c r="BF55" i="1"/>
  <c r="BF24" i="1"/>
  <c r="BE115" i="1"/>
  <c r="BE117" i="1" s="1"/>
  <c r="BE68" i="1"/>
  <c r="BE56" i="1"/>
  <c r="BE65" i="1"/>
  <c r="BE53" i="1"/>
  <c r="BF14" i="2"/>
  <c r="BF29" i="2"/>
  <c r="CC52" i="1"/>
  <c r="CC20" i="1"/>
  <c r="BE23" i="3"/>
  <c r="BG14" i="1"/>
  <c r="CE95" i="1" l="1"/>
  <c r="BE21" i="3"/>
  <c r="CE95" i="3"/>
  <c r="CE96" i="3"/>
  <c r="BD115" i="1"/>
  <c r="BD117" i="1" s="1"/>
  <c r="BF65" i="1"/>
  <c r="BF53" i="1"/>
  <c r="CC53" i="1"/>
  <c r="CC65" i="1"/>
  <c r="BG17" i="1"/>
  <c r="CD14" i="1"/>
  <c r="BF23" i="3"/>
  <c r="BF33" i="2"/>
  <c r="BF115" i="1"/>
  <c r="BF117" i="1" s="1"/>
  <c r="BF56" i="1"/>
  <c r="BF68" i="1"/>
  <c r="CC14" i="2"/>
  <c r="CC49" i="2" s="1"/>
  <c r="CC48" i="2" s="1"/>
  <c r="CC24" i="1"/>
  <c r="CC55" i="1"/>
  <c r="BE71" i="1"/>
  <c r="BE66" i="1"/>
  <c r="BE119" i="1"/>
  <c r="BE69" i="1"/>
  <c r="BF21" i="3"/>
  <c r="CC29" i="2"/>
  <c r="CC50" i="2" l="1"/>
  <c r="CC33" i="2"/>
  <c r="CC23" i="3"/>
  <c r="CC118" i="3"/>
  <c r="BE121" i="1"/>
  <c r="BE127" i="1" s="1"/>
  <c r="BE128" i="1" s="1"/>
  <c r="CC21" i="3"/>
  <c r="CC116" i="3"/>
  <c r="BF71" i="1"/>
  <c r="BF66" i="1"/>
  <c r="BE79" i="1"/>
  <c r="BE86" i="1" s="1"/>
  <c r="BE76" i="1"/>
  <c r="BE116" i="3"/>
  <c r="BF116" i="3" s="1"/>
  <c r="BE118" i="3"/>
  <c r="BF118" i="3" s="1"/>
  <c r="CC66" i="1"/>
  <c r="BD119" i="1"/>
  <c r="CC115" i="1"/>
  <c r="CC117" i="1" s="1"/>
  <c r="CC56" i="1"/>
  <c r="CC68" i="1"/>
  <c r="CD17" i="1"/>
  <c r="CD19" i="1"/>
  <c r="BF69" i="1"/>
  <c r="BF119" i="1"/>
  <c r="BG54" i="2"/>
  <c r="BG19" i="1"/>
  <c r="BG23" i="1"/>
  <c r="BG29" i="2" l="1"/>
  <c r="BH23" i="3" s="1"/>
  <c r="BG14" i="2"/>
  <c r="BH21" i="3" s="1"/>
  <c r="CE21" i="3" s="1"/>
  <c r="CD54" i="2"/>
  <c r="CD23" i="1"/>
  <c r="BE11" i="3"/>
  <c r="BE87" i="1"/>
  <c r="BE89" i="1"/>
  <c r="BE94" i="1" s="1"/>
  <c r="CC69" i="1"/>
  <c r="CC119" i="1"/>
  <c r="BG55" i="1"/>
  <c r="BG24" i="1"/>
  <c r="BF121" i="1"/>
  <c r="BF127" i="1" s="1"/>
  <c r="BF128" i="1" s="1"/>
  <c r="BD121" i="1"/>
  <c r="BD127" i="1" s="1"/>
  <c r="BD128" i="1" s="1"/>
  <c r="CC71" i="1"/>
  <c r="BF79" i="1"/>
  <c r="BF86" i="1" s="1"/>
  <c r="BF76" i="1"/>
  <c r="BG20" i="1"/>
  <c r="BG52" i="1"/>
  <c r="CD20" i="1"/>
  <c r="CD52" i="1"/>
  <c r="BE122" i="1"/>
  <c r="BE123" i="1" s="1"/>
  <c r="BE125" i="1" s="1"/>
  <c r="BE94" i="3" s="1"/>
  <c r="BE77" i="1"/>
  <c r="BE82" i="1"/>
  <c r="BH118" i="3" l="1"/>
  <c r="BI118" i="3" s="1"/>
  <c r="BJ118" i="3" s="1"/>
  <c r="BK118" i="3" s="1"/>
  <c r="CE118" i="3" s="1"/>
  <c r="CE23" i="3"/>
  <c r="CE27" i="3" s="1"/>
  <c r="BH116" i="3"/>
  <c r="BH27" i="3"/>
  <c r="BE92" i="1"/>
  <c r="CD53" i="1"/>
  <c r="CD65" i="1"/>
  <c r="BC94" i="3"/>
  <c r="CD55" i="1"/>
  <c r="CD24" i="1"/>
  <c r="BF122" i="1"/>
  <c r="BF123" i="1" s="1"/>
  <c r="BF125" i="1" s="1"/>
  <c r="BF94" i="3" s="1"/>
  <c r="BF77" i="1"/>
  <c r="BF82" i="1"/>
  <c r="BG115" i="1"/>
  <c r="BG117" i="1" s="1"/>
  <c r="BG68" i="1"/>
  <c r="BG56" i="1"/>
  <c r="CC121" i="1"/>
  <c r="CC127" i="1" s="1"/>
  <c r="CC128" i="1" s="1"/>
  <c r="BF11" i="3"/>
  <c r="BF87" i="1"/>
  <c r="BF89" i="1"/>
  <c r="BF94" i="1" s="1"/>
  <c r="BD122" i="1"/>
  <c r="BD123" i="1" s="1"/>
  <c r="BD125" i="1" s="1"/>
  <c r="BD94" i="3" s="1"/>
  <c r="CD14" i="2"/>
  <c r="BG21" i="3"/>
  <c r="BE83" i="1"/>
  <c r="BE90" i="1"/>
  <c r="BE97" i="1" s="1"/>
  <c r="BG65" i="1"/>
  <c r="BG53" i="1"/>
  <c r="CC72" i="1"/>
  <c r="CC76" i="1"/>
  <c r="CC79" i="1"/>
  <c r="CC86" i="1" s="1"/>
  <c r="CC65" i="2"/>
  <c r="BC68" i="2"/>
  <c r="BC117" i="2"/>
  <c r="BE85" i="3"/>
  <c r="BE89" i="3" s="1"/>
  <c r="BE27" i="3"/>
  <c r="BG23" i="3"/>
  <c r="CD29" i="2"/>
  <c r="BG33" i="2"/>
  <c r="CE83" i="3" l="1"/>
  <c r="CE98" i="3" s="1"/>
  <c r="CE51" i="3"/>
  <c r="CD50" i="2"/>
  <c r="CD33" i="2"/>
  <c r="BI116" i="3"/>
  <c r="BH122" i="3"/>
  <c r="BH146" i="3" s="1"/>
  <c r="BH51" i="3"/>
  <c r="BH83" i="3"/>
  <c r="BH98" i="3" s="1"/>
  <c r="BE95" i="3"/>
  <c r="BE91" i="3"/>
  <c r="BE96" i="3" s="1"/>
  <c r="BE65" i="2"/>
  <c r="BD68" i="2"/>
  <c r="BD117" i="2"/>
  <c r="CC122" i="1"/>
  <c r="CC123" i="1" s="1"/>
  <c r="CC125" i="1" s="1"/>
  <c r="CC94" i="3" s="1"/>
  <c r="CC77" i="1"/>
  <c r="CC82" i="1"/>
  <c r="CD49" i="2"/>
  <c r="BF92" i="1"/>
  <c r="BD85" i="3"/>
  <c r="BD89" i="3" s="1"/>
  <c r="BD106" i="3"/>
  <c r="BD122" i="3" s="1"/>
  <c r="BD146" i="3" s="1"/>
  <c r="BD147" i="3" s="1"/>
  <c r="BD150" i="3" s="1"/>
  <c r="BG69" i="1"/>
  <c r="BG119" i="1"/>
  <c r="BF83" i="1"/>
  <c r="BF90" i="1"/>
  <c r="BF97" i="1" s="1"/>
  <c r="CD56" i="1"/>
  <c r="CD115" i="1"/>
  <c r="CD117" i="1" s="1"/>
  <c r="CD68" i="1"/>
  <c r="CC89" i="1"/>
  <c r="CC142" i="1" s="1"/>
  <c r="CC39" i="2"/>
  <c r="BC79" i="2"/>
  <c r="BC80" i="2" s="1"/>
  <c r="BC78" i="2"/>
  <c r="BC70" i="2"/>
  <c r="CC92" i="1"/>
  <c r="BC85" i="3"/>
  <c r="CC11" i="3"/>
  <c r="CD66" i="1"/>
  <c r="CD23" i="3"/>
  <c r="BG118" i="3"/>
  <c r="CD118" i="3" s="1"/>
  <c r="BE83" i="3"/>
  <c r="BE98" i="3" s="1"/>
  <c r="BE51" i="3"/>
  <c r="CC68" i="2"/>
  <c r="CC117" i="2"/>
  <c r="CC87" i="1"/>
  <c r="BG71" i="1"/>
  <c r="BG79" i="1" s="1"/>
  <c r="BG86" i="1" s="1"/>
  <c r="BG66" i="1"/>
  <c r="CD21" i="3"/>
  <c r="BG116" i="3"/>
  <c r="CD116" i="3" s="1"/>
  <c r="BF85" i="3"/>
  <c r="BF89" i="3" s="1"/>
  <c r="BF27" i="3"/>
  <c r="CC90" i="1" l="1"/>
  <c r="CC97" i="1" s="1"/>
  <c r="CC94" i="1"/>
  <c r="BJ116" i="3"/>
  <c r="BI122" i="3"/>
  <c r="BI146" i="3" s="1"/>
  <c r="CC95" i="1"/>
  <c r="CC83" i="1"/>
  <c r="BG11" i="3"/>
  <c r="BG87" i="1"/>
  <c r="BG89" i="1"/>
  <c r="CD89" i="1" s="1"/>
  <c r="CC106" i="3"/>
  <c r="CC122" i="3" s="1"/>
  <c r="CC41" i="2"/>
  <c r="CC78" i="2"/>
  <c r="CC79" i="2"/>
  <c r="CC80" i="2" s="1"/>
  <c r="BG121" i="1"/>
  <c r="BG127" i="1" s="1"/>
  <c r="BG128" i="1" s="1"/>
  <c r="BD78" i="2"/>
  <c r="BD41" i="2"/>
  <c r="BD70" i="2"/>
  <c r="BD71" i="2" s="1"/>
  <c r="BD79" i="2"/>
  <c r="BD80" i="2" s="1"/>
  <c r="BF83" i="3"/>
  <c r="BF98" i="3" s="1"/>
  <c r="BF51" i="3"/>
  <c r="CC85" i="3"/>
  <c r="CC27" i="3"/>
  <c r="BC71" i="2"/>
  <c r="CC70" i="2"/>
  <c r="CC71" i="2" s="1"/>
  <c r="BE106" i="3"/>
  <c r="BF65" i="2"/>
  <c r="BE117" i="2"/>
  <c r="BE68" i="2"/>
  <c r="BE39" i="2" s="1"/>
  <c r="BF91" i="3"/>
  <c r="BF96" i="3" s="1"/>
  <c r="BF95" i="3"/>
  <c r="BD95" i="3"/>
  <c r="BD91" i="3"/>
  <c r="BD96" i="3" s="1"/>
  <c r="BG76" i="1"/>
  <c r="CD71" i="1"/>
  <c r="CD119" i="1"/>
  <c r="CD69" i="1"/>
  <c r="BD83" i="3"/>
  <c r="BD98" i="3" s="1"/>
  <c r="CD48" i="2"/>
  <c r="BK116" i="3" l="1"/>
  <c r="BJ122" i="3"/>
  <c r="BJ146" i="3" s="1"/>
  <c r="BE70" i="2"/>
  <c r="BE71" i="2" s="1"/>
  <c r="BE41" i="2"/>
  <c r="BE79" i="2"/>
  <c r="BE80" i="2" s="1"/>
  <c r="BE78" i="2"/>
  <c r="CD72" i="1"/>
  <c r="CD76" i="1"/>
  <c r="CD79" i="1"/>
  <c r="CD86" i="1" s="1"/>
  <c r="BG122" i="1"/>
  <c r="BG123" i="1" s="1"/>
  <c r="BG125" i="1" s="1"/>
  <c r="BG94" i="3" s="1"/>
  <c r="BG77" i="1"/>
  <c r="BG82" i="1"/>
  <c r="BG65" i="2"/>
  <c r="BF117" i="2"/>
  <c r="BF68" i="2"/>
  <c r="BF39" i="2" s="1"/>
  <c r="BG94" i="1"/>
  <c r="CD121" i="1"/>
  <c r="CD127" i="1" s="1"/>
  <c r="CD128" i="1" s="1"/>
  <c r="BE122" i="3"/>
  <c r="BE146" i="3" s="1"/>
  <c r="BF106" i="3"/>
  <c r="BG92" i="1"/>
  <c r="CD92" i="1" s="1"/>
  <c r="BG85" i="3"/>
  <c r="BG89" i="3" s="1"/>
  <c r="BG27" i="3"/>
  <c r="CD11" i="3"/>
  <c r="BK122" i="3" l="1"/>
  <c r="BK146" i="3" s="1"/>
  <c r="CE116" i="3"/>
  <c r="CE122" i="3" s="1"/>
  <c r="CE146" i="3" s="1"/>
  <c r="BH65" i="2"/>
  <c r="BH117" i="2" s="1"/>
  <c r="BG83" i="1"/>
  <c r="BG90" i="1"/>
  <c r="CD90" i="1" s="1"/>
  <c r="BG83" i="3"/>
  <c r="BG98" i="3" s="1"/>
  <c r="BG51" i="3"/>
  <c r="BF41" i="2"/>
  <c r="BF78" i="2"/>
  <c r="BF79" i="2"/>
  <c r="BF80" i="2" s="1"/>
  <c r="BF70" i="2"/>
  <c r="BF71" i="2" s="1"/>
  <c r="CD85" i="3"/>
  <c r="CD89" i="3" s="1"/>
  <c r="CD27" i="3"/>
  <c r="BG95" i="3"/>
  <c r="BG91" i="3"/>
  <c r="BG96" i="3" s="1"/>
  <c r="CD87" i="1"/>
  <c r="CD142" i="1"/>
  <c r="CD95" i="1"/>
  <c r="CD94" i="1"/>
  <c r="BF122" i="3"/>
  <c r="BF146" i="3" s="1"/>
  <c r="BG106" i="3"/>
  <c r="CD65" i="2"/>
  <c r="BG117" i="2"/>
  <c r="BG68" i="2"/>
  <c r="BG39" i="2" s="1"/>
  <c r="CD122" i="1"/>
  <c r="CD123" i="1" s="1"/>
  <c r="CD125" i="1" s="1"/>
  <c r="CD94" i="3" s="1"/>
  <c r="CD77" i="1"/>
  <c r="CD82" i="1"/>
  <c r="CD83" i="1" s="1"/>
  <c r="BI65" i="2" l="1"/>
  <c r="BH68" i="2"/>
  <c r="BH39" i="2" s="1"/>
  <c r="BG97" i="1"/>
  <c r="BG122" i="3"/>
  <c r="BG146" i="3" s="1"/>
  <c r="CD106" i="3"/>
  <c r="CD122" i="3" s="1"/>
  <c r="CD146" i="3" s="1"/>
  <c r="BG78" i="2"/>
  <c r="BG70" i="2"/>
  <c r="CD39" i="2"/>
  <c r="BG79" i="2"/>
  <c r="BG80" i="2" s="1"/>
  <c r="BG41" i="2"/>
  <c r="CD83" i="3"/>
  <c r="CD51" i="3"/>
  <c r="CD91" i="3"/>
  <c r="CD96" i="3" s="1"/>
  <c r="CD95" i="3"/>
  <c r="CD97" i="1"/>
  <c r="CD68" i="2"/>
  <c r="CD117" i="2"/>
  <c r="CD98" i="3" l="1"/>
  <c r="CD81" i="3"/>
  <c r="BH78" i="2"/>
  <c r="BH79" i="2"/>
  <c r="BH80" i="2" s="1"/>
  <c r="BH70" i="2"/>
  <c r="BH71" i="2" s="1"/>
  <c r="BH41" i="2"/>
  <c r="BJ65" i="2"/>
  <c r="BI117" i="2"/>
  <c r="BI68" i="2"/>
  <c r="BI39" i="2" s="1"/>
  <c r="CD78" i="2"/>
  <c r="CD79" i="2"/>
  <c r="CD80" i="2" s="1"/>
  <c r="CD41" i="2"/>
  <c r="CD70" i="2"/>
  <c r="CD71" i="2" s="1"/>
  <c r="BG71" i="2"/>
  <c r="BI78" i="2" l="1"/>
  <c r="BI79" i="2"/>
  <c r="BI80" i="2" s="1"/>
  <c r="BI70" i="2"/>
  <c r="BI71" i="2" s="1"/>
  <c r="BI41" i="2"/>
  <c r="BK65" i="2"/>
  <c r="BL65" i="2" s="1"/>
  <c r="BJ117" i="2"/>
  <c r="BJ68" i="2"/>
  <c r="BJ39" i="2" s="1"/>
  <c r="CE142" i="1"/>
  <c r="BM65" i="2" l="1"/>
  <c r="BL68" i="2"/>
  <c r="BL39" i="2" s="1"/>
  <c r="CE65" i="2"/>
  <c r="CE117" i="2" s="1"/>
  <c r="BJ78" i="2"/>
  <c r="BJ79" i="2"/>
  <c r="BJ80" i="2" s="1"/>
  <c r="BJ70" i="2"/>
  <c r="BJ71" i="2" s="1"/>
  <c r="BJ41" i="2"/>
  <c r="BK117" i="2"/>
  <c r="BK68" i="2"/>
  <c r="BK39" i="2" s="1"/>
  <c r="CE39" i="2" s="1"/>
  <c r="CE68" i="2" l="1"/>
  <c r="BL79" i="2"/>
  <c r="BL80" i="2" s="1"/>
  <c r="BL70" i="2"/>
  <c r="BL71" i="2" s="1"/>
  <c r="BL78" i="2"/>
  <c r="BL41" i="2"/>
  <c r="BN65" i="2"/>
  <c r="BM68" i="2"/>
  <c r="BM39" i="2" s="1"/>
  <c r="BL117" i="2"/>
  <c r="CE79" i="2"/>
  <c r="CE80" i="2" s="1"/>
  <c r="CE41" i="2"/>
  <c r="CE78" i="2"/>
  <c r="BK78" i="2"/>
  <c r="BK79" i="2"/>
  <c r="BK80" i="2" s="1"/>
  <c r="BK41" i="2"/>
  <c r="BK70" i="2"/>
  <c r="BM78" i="2" l="1"/>
  <c r="BM41" i="2"/>
  <c r="BM79" i="2"/>
  <c r="BM80" i="2" s="1"/>
  <c r="BM70" i="2"/>
  <c r="BM71" i="2" s="1"/>
  <c r="BO65" i="2"/>
  <c r="BO68" i="2" s="1"/>
  <c r="BO39" i="2" s="1"/>
  <c r="BN68" i="2"/>
  <c r="BN39" i="2" s="1"/>
  <c r="BM117" i="2"/>
  <c r="BK71" i="2"/>
  <c r="CE70" i="2"/>
  <c r="CE71" i="2" s="1"/>
  <c r="BN79" i="2" l="1"/>
  <c r="BN80" i="2" s="1"/>
  <c r="BN70" i="2"/>
  <c r="BN71" i="2" s="1"/>
  <c r="BN78" i="2"/>
  <c r="BN41" i="2"/>
  <c r="BO79" i="2"/>
  <c r="BO80" i="2" s="1"/>
  <c r="BO70" i="2"/>
  <c r="BO71" i="2" s="1"/>
  <c r="BO78" i="2"/>
  <c r="BO41" i="2"/>
  <c r="CF65" i="2"/>
  <c r="BN117" i="2"/>
  <c r="BC49" i="3"/>
  <c r="BC52" i="3" s="1"/>
  <c r="BB60" i="3"/>
  <c r="BB62" i="3" s="1"/>
  <c r="BB83" i="3"/>
  <c r="BB98" i="3" s="1"/>
  <c r="BB88" i="3"/>
  <c r="BB89" i="3" s="1"/>
  <c r="BC55" i="3" l="1"/>
  <c r="BD49" i="3"/>
  <c r="BD52" i="3" s="1"/>
  <c r="BD55" i="3" s="1"/>
  <c r="CF68" i="2"/>
  <c r="CF117" i="2"/>
  <c r="BO117" i="2"/>
  <c r="CF39" i="2"/>
  <c r="BB91" i="3"/>
  <c r="BB96" i="3" s="1"/>
  <c r="BB95" i="3"/>
  <c r="CF78" i="2" l="1"/>
  <c r="CF79" i="2"/>
  <c r="CF80" i="2" s="1"/>
  <c r="CF41" i="2"/>
  <c r="CC30" i="3"/>
  <c r="BC88" i="3"/>
  <c r="BC89" i="3" s="1"/>
  <c r="BC83" i="3"/>
  <c r="BC98" i="3" s="1"/>
  <c r="CC64" i="3"/>
  <c r="CF70" i="2" l="1"/>
  <c r="CF71" i="2" s="1"/>
  <c r="CC19" i="2"/>
  <c r="CC66" i="3" s="1"/>
  <c r="CC67" i="3" s="1"/>
  <c r="BE64" i="3"/>
  <c r="CC125" i="3"/>
  <c r="CC131" i="3" s="1"/>
  <c r="CC146" i="3" s="1"/>
  <c r="CC147" i="3" s="1"/>
  <c r="CD144" i="3" s="1"/>
  <c r="CD147" i="3" s="1"/>
  <c r="CE144" i="3" s="1"/>
  <c r="CE147" i="3" s="1"/>
  <c r="BE49" i="3"/>
  <c r="BE52" i="3" s="1"/>
  <c r="BF49" i="3" s="1"/>
  <c r="BF52" i="3" s="1"/>
  <c r="BG49" i="3" s="1"/>
  <c r="BG52" i="3" s="1"/>
  <c r="BH49" i="3" s="1"/>
  <c r="BH52" i="3" s="1"/>
  <c r="BI49" i="3" s="1"/>
  <c r="BI52" i="3" s="1"/>
  <c r="BJ49" i="3" s="1"/>
  <c r="BJ52" i="3" s="1"/>
  <c r="BK49" i="3" s="1"/>
  <c r="BK52" i="3" s="1"/>
  <c r="BL49" i="3" s="1"/>
  <c r="BL52" i="3" s="1"/>
  <c r="BM49" i="3" s="1"/>
  <c r="BM52" i="3" s="1"/>
  <c r="BN49" i="3" s="1"/>
  <c r="BN52" i="3" s="1"/>
  <c r="BO49" i="3" s="1"/>
  <c r="BO52" i="3" s="1"/>
  <c r="CC76" i="3"/>
  <c r="CC75" i="3" s="1"/>
  <c r="CC79" i="3" s="1"/>
  <c r="BC91" i="3"/>
  <c r="BC96" i="3" s="1"/>
  <c r="BC95" i="3"/>
  <c r="CC36" i="3"/>
  <c r="CC51" i="3" s="1"/>
  <c r="CC52" i="3" s="1"/>
  <c r="CD49" i="3" s="1"/>
  <c r="CD52" i="3" s="1"/>
  <c r="CE49" i="3" s="1"/>
  <c r="CE52" i="3" s="1"/>
  <c r="CF49" i="3" s="1"/>
  <c r="CF52" i="3" s="1"/>
  <c r="CC83" i="3"/>
  <c r="CC60" i="3"/>
  <c r="CC62" i="3" s="1"/>
  <c r="CC88" i="3"/>
  <c r="CC89" i="3" s="1"/>
  <c r="CC98" i="3" l="1"/>
  <c r="CC81" i="3"/>
  <c r="CD80" i="3"/>
  <c r="CC80" i="3"/>
  <c r="CB81" i="3" s="1"/>
  <c r="CF144" i="3"/>
  <c r="CF147" i="3" s="1"/>
  <c r="BC83" i="2"/>
  <c r="BC86" i="2" s="1"/>
  <c r="BC89" i="2" s="1"/>
  <c r="BC90" i="2" s="1"/>
  <c r="CC11" i="2"/>
  <c r="BC149" i="3"/>
  <c r="BC150" i="3" s="1"/>
  <c r="BF64" i="3"/>
  <c r="BE67" i="3"/>
  <c r="BE19" i="2" s="1"/>
  <c r="BE76" i="3"/>
  <c r="CC69" i="3"/>
  <c r="CC70" i="3" s="1"/>
  <c r="CC95" i="3"/>
  <c r="CC91" i="3"/>
  <c r="CC96" i="3" s="1"/>
  <c r="BE144" i="3"/>
  <c r="BE147" i="3" s="1"/>
  <c r="BG144" i="3"/>
  <c r="BG147" i="3" s="1"/>
  <c r="BH144" i="3" s="1"/>
  <c r="BF144" i="3"/>
  <c r="BF147" i="3" s="1"/>
  <c r="BI144" i="3" l="1"/>
  <c r="BI147" i="3" s="1"/>
  <c r="BK144" i="3"/>
  <c r="BK147" i="3" s="1"/>
  <c r="BL144" i="3" s="1"/>
  <c r="BH147" i="3"/>
  <c r="BJ144" i="3"/>
  <c r="BJ147" i="3" s="1"/>
  <c r="BE69" i="3"/>
  <c r="BE70" i="3" s="1"/>
  <c r="BE11" i="2"/>
  <c r="BD83" i="2"/>
  <c r="BD86" i="2" s="1"/>
  <c r="BD89" i="2" s="1"/>
  <c r="BD90" i="2" s="1"/>
  <c r="BF76" i="3"/>
  <c r="BG64" i="3"/>
  <c r="BF67" i="3"/>
  <c r="BF19" i="2" s="1"/>
  <c r="CC17" i="2"/>
  <c r="CC83" i="2"/>
  <c r="CC86" i="2" s="1"/>
  <c r="CC89" i="2" s="1"/>
  <c r="CC90" i="2" s="1"/>
  <c r="CC54" i="3"/>
  <c r="CC55" i="3" s="1"/>
  <c r="CC149" i="3"/>
  <c r="CC150" i="3" s="1"/>
  <c r="BC92" i="2"/>
  <c r="BO144" i="3" l="1"/>
  <c r="BO147" i="3" s="1"/>
  <c r="BM144" i="3"/>
  <c r="BM147" i="3" s="1"/>
  <c r="BN144" i="3"/>
  <c r="BN147" i="3" s="1"/>
  <c r="BL147" i="3"/>
  <c r="BC43" i="2"/>
  <c r="CC92" i="2"/>
  <c r="CC26" i="2"/>
  <c r="BH64" i="3"/>
  <c r="BG67" i="3"/>
  <c r="BG19" i="2" s="1"/>
  <c r="CD64" i="3"/>
  <c r="BG76" i="3"/>
  <c r="BD92" i="2"/>
  <c r="BF69" i="3"/>
  <c r="BF70" i="3" s="1"/>
  <c r="BE17" i="2"/>
  <c r="BE83" i="2"/>
  <c r="BE86" i="2" s="1"/>
  <c r="BE89" i="2" s="1"/>
  <c r="BE90" i="2" s="1"/>
  <c r="BE54" i="3"/>
  <c r="BE55" i="3" s="1"/>
  <c r="BF11" i="2"/>
  <c r="BE149" i="3"/>
  <c r="BE150" i="3" s="1"/>
  <c r="BE92" i="2" l="1"/>
  <c r="BE26" i="2"/>
  <c r="CD19" i="2"/>
  <c r="CD66" i="3" s="1"/>
  <c r="CD67" i="3" s="1"/>
  <c r="BG69" i="3"/>
  <c r="BG70" i="3" s="1"/>
  <c r="CC43" i="2"/>
  <c r="CC65" i="3"/>
  <c r="BG11" i="2"/>
  <c r="BF17" i="2"/>
  <c r="BF83" i="2"/>
  <c r="BF86" i="2" s="1"/>
  <c r="BF89" i="2" s="1"/>
  <c r="BF90" i="2" s="1"/>
  <c r="BF54" i="3"/>
  <c r="BF55" i="3" s="1"/>
  <c r="BF149" i="3"/>
  <c r="BF150" i="3" s="1"/>
  <c r="BD43" i="2"/>
  <c r="CD76" i="3"/>
  <c r="CD75" i="3" s="1"/>
  <c r="CD79" i="3" s="1"/>
  <c r="BH76" i="3"/>
  <c r="BI64" i="3"/>
  <c r="BH67" i="3"/>
  <c r="BH19" i="2" s="1"/>
  <c r="BJ64" i="3" l="1"/>
  <c r="BI67" i="3"/>
  <c r="BI19" i="2" s="1"/>
  <c r="BI76" i="3"/>
  <c r="CD11" i="2"/>
  <c r="BG17" i="2"/>
  <c r="BG83" i="2"/>
  <c r="BG86" i="2" s="1"/>
  <c r="BG89" i="2" s="1"/>
  <c r="BG90" i="2" s="1"/>
  <c r="BG54" i="3"/>
  <c r="BG55" i="3" s="1"/>
  <c r="BH11" i="2"/>
  <c r="BG149" i="3"/>
  <c r="BG150" i="3" s="1"/>
  <c r="BE43" i="2"/>
  <c r="BE65" i="3"/>
  <c r="BH69" i="3"/>
  <c r="BH70" i="3" s="1"/>
  <c r="BF92" i="2"/>
  <c r="BF26" i="2"/>
  <c r="CD69" i="3"/>
  <c r="CD70" i="3" s="1"/>
  <c r="BF43" i="2" l="1"/>
  <c r="BF65" i="3"/>
  <c r="BG92" i="2"/>
  <c r="BG26" i="2"/>
  <c r="BI69" i="3"/>
  <c r="BI70" i="3" s="1"/>
  <c r="BI11" i="2"/>
  <c r="BH17" i="2"/>
  <c r="BH83" i="2"/>
  <c r="BH86" i="2" s="1"/>
  <c r="BH89" i="2" s="1"/>
  <c r="BH90" i="2" s="1"/>
  <c r="BH54" i="3"/>
  <c r="BH55" i="3" s="1"/>
  <c r="BH149" i="3"/>
  <c r="BH150" i="3" s="1"/>
  <c r="CD17" i="2"/>
  <c r="CD83" i="2"/>
  <c r="CD86" i="2" s="1"/>
  <c r="CD89" i="2" s="1"/>
  <c r="CD90" i="2" s="1"/>
  <c r="CD54" i="3"/>
  <c r="CD55" i="3" s="1"/>
  <c r="CD149" i="3"/>
  <c r="CD150" i="3" s="1"/>
  <c r="BJ76" i="3"/>
  <c r="BK64" i="3"/>
  <c r="BL64" i="3" s="1"/>
  <c r="BJ67" i="3"/>
  <c r="BJ19" i="2" s="1"/>
  <c r="BL67" i="3" l="1"/>
  <c r="BM64" i="3"/>
  <c r="BL76" i="3"/>
  <c r="BJ69" i="3"/>
  <c r="BJ70" i="3" s="1"/>
  <c r="CD92" i="2"/>
  <c r="CD26" i="2"/>
  <c r="BH92" i="2"/>
  <c r="BH26" i="2"/>
  <c r="BG43" i="2"/>
  <c r="BG65" i="3"/>
  <c r="CE64" i="3"/>
  <c r="BK67" i="3"/>
  <c r="BK19" i="2" s="1"/>
  <c r="BK76" i="3"/>
  <c r="BI17" i="2"/>
  <c r="BI83" i="2"/>
  <c r="BI86" i="2" s="1"/>
  <c r="BI89" i="2" s="1"/>
  <c r="BI90" i="2" s="1"/>
  <c r="BI54" i="3"/>
  <c r="BI55" i="3" s="1"/>
  <c r="BJ11" i="2"/>
  <c r="BI149" i="3"/>
  <c r="BI150" i="3" s="1"/>
  <c r="BL19" i="2" l="1"/>
  <c r="BM67" i="3"/>
  <c r="BM76" i="3"/>
  <c r="BN64" i="3"/>
  <c r="BI92" i="2"/>
  <c r="BI26" i="2"/>
  <c r="BK11" i="2"/>
  <c r="BL11" i="2" s="1"/>
  <c r="BJ17" i="2"/>
  <c r="BJ83" i="2"/>
  <c r="BJ86" i="2" s="1"/>
  <c r="BJ89" i="2" s="1"/>
  <c r="BJ90" i="2" s="1"/>
  <c r="BJ54" i="3"/>
  <c r="BJ55" i="3" s="1"/>
  <c r="BJ149" i="3"/>
  <c r="BJ150" i="3" s="1"/>
  <c r="CE19" i="2"/>
  <c r="CE66" i="3" s="1"/>
  <c r="CE67" i="3" s="1"/>
  <c r="BK69" i="3"/>
  <c r="BK70" i="3" s="1"/>
  <c r="BH43" i="2"/>
  <c r="BH65" i="3"/>
  <c r="CD43" i="2"/>
  <c r="CD65" i="3"/>
  <c r="CE76" i="3"/>
  <c r="CE75" i="3" s="1"/>
  <c r="CE79" i="3" s="1"/>
  <c r="BL17" i="2" l="1"/>
  <c r="BL92" i="2" s="1"/>
  <c r="BL83" i="2"/>
  <c r="BL86" i="2" s="1"/>
  <c r="BL89" i="2" s="1"/>
  <c r="BL90" i="2" s="1"/>
  <c r="BM11" i="2"/>
  <c r="BM19" i="2"/>
  <c r="BL69" i="3"/>
  <c r="BL70" i="3" s="1"/>
  <c r="BN76" i="3"/>
  <c r="BO64" i="3"/>
  <c r="CF64" i="3" s="1"/>
  <c r="BN67" i="3"/>
  <c r="BL149" i="3"/>
  <c r="BL150" i="3" s="1"/>
  <c r="BL54" i="3"/>
  <c r="BL55" i="3" s="1"/>
  <c r="BJ92" i="2"/>
  <c r="BJ26" i="2"/>
  <c r="BI43" i="2"/>
  <c r="BI65" i="3"/>
  <c r="CE69" i="3"/>
  <c r="CE70" i="3" s="1"/>
  <c r="BK17" i="2"/>
  <c r="BK83" i="2"/>
  <c r="BK86" i="2" s="1"/>
  <c r="BK89" i="2" s="1"/>
  <c r="BK90" i="2" s="1"/>
  <c r="BK54" i="3"/>
  <c r="BK55" i="3" s="1"/>
  <c r="CE11" i="2"/>
  <c r="BK149" i="3"/>
  <c r="BK150" i="3" s="1"/>
  <c r="BL26" i="2" l="1"/>
  <c r="BL43" i="2" s="1"/>
  <c r="BN19" i="2"/>
  <c r="BM69" i="3"/>
  <c r="BM70" i="3" s="1"/>
  <c r="BM17" i="2"/>
  <c r="BM92" i="2" s="1"/>
  <c r="BM83" i="2"/>
  <c r="BM86" i="2" s="1"/>
  <c r="BM89" i="2" s="1"/>
  <c r="BM90" i="2" s="1"/>
  <c r="BN11" i="2"/>
  <c r="CF76" i="3"/>
  <c r="CF75" i="3" s="1"/>
  <c r="CF79" i="3" s="1"/>
  <c r="BO67" i="3"/>
  <c r="BO19" i="2" s="1"/>
  <c r="BO76" i="3"/>
  <c r="BM149" i="3"/>
  <c r="BM150" i="3" s="1"/>
  <c r="BM54" i="3"/>
  <c r="BM55" i="3" s="1"/>
  <c r="BK92" i="2"/>
  <c r="BK26" i="2"/>
  <c r="CE17" i="2"/>
  <c r="CE83" i="2"/>
  <c r="CE86" i="2" s="1"/>
  <c r="CE89" i="2" s="1"/>
  <c r="CE90" i="2" s="1"/>
  <c r="CE54" i="3"/>
  <c r="CE55" i="3" s="1"/>
  <c r="CE149" i="3"/>
  <c r="CE150" i="3" s="1"/>
  <c r="BJ43" i="2"/>
  <c r="BJ65" i="3"/>
  <c r="BN83" i="2" l="1"/>
  <c r="BN86" i="2" s="1"/>
  <c r="BN89" i="2" s="1"/>
  <c r="BN90" i="2" s="1"/>
  <c r="BN17" i="2"/>
  <c r="BN92" i="2" s="1"/>
  <c r="BO11" i="2"/>
  <c r="BM26" i="2"/>
  <c r="BM43" i="2" s="1"/>
  <c r="BN69" i="3"/>
  <c r="BN70" i="3" s="1"/>
  <c r="BO69" i="3"/>
  <c r="BO70" i="3" s="1"/>
  <c r="CF19" i="2"/>
  <c r="BL65" i="3"/>
  <c r="BN149" i="3"/>
  <c r="BN150" i="3" s="1"/>
  <c r="BN54" i="3"/>
  <c r="BN55" i="3" s="1"/>
  <c r="BK43" i="2"/>
  <c r="BK65" i="3"/>
  <c r="CE92" i="2"/>
  <c r="CE26" i="2"/>
  <c r="BO17" i="2" l="1"/>
  <c r="BO83" i="2"/>
  <c r="BO86" i="2" s="1"/>
  <c r="BO89" i="2" s="1"/>
  <c r="BO90" i="2" s="1"/>
  <c r="BN26" i="2"/>
  <c r="BN43" i="2" s="1"/>
  <c r="CF69" i="3"/>
  <c r="CF66" i="3"/>
  <c r="CF67" i="3" s="1"/>
  <c r="BM65" i="3"/>
  <c r="BO149" i="3"/>
  <c r="BO150" i="3" s="1"/>
  <c r="BO54" i="3"/>
  <c r="BO55" i="3" s="1"/>
  <c r="CF11" i="2"/>
  <c r="CE43" i="2"/>
  <c r="CE65" i="3"/>
  <c r="BO92" i="2" l="1"/>
  <c r="BO26" i="2"/>
  <c r="BO43" i="2" s="1"/>
  <c r="CF149" i="3"/>
  <c r="CF150" i="3" s="1"/>
  <c r="CF54" i="3"/>
  <c r="CF55" i="3" s="1"/>
  <c r="CF70" i="3"/>
  <c r="BN65" i="3"/>
  <c r="CF83" i="2"/>
  <c r="CF86" i="2" s="1"/>
  <c r="CF89" i="2" s="1"/>
  <c r="CF90" i="2" s="1"/>
  <c r="CF17" i="2"/>
  <c r="BO65" i="3" l="1"/>
  <c r="CF92" i="2"/>
  <c r="CF26" i="2"/>
  <c r="CF43" i="2" l="1"/>
  <c r="CF65" i="3"/>
</calcChain>
</file>

<file path=xl/comments1.xml><?xml version="1.0" encoding="utf-8"?>
<comments xmlns="http://schemas.openxmlformats.org/spreadsheetml/2006/main">
  <authors>
    <author>hazlett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憨书&gt;卞䕐彃䑉䑟呁⡁䘧䑗䥌䕂剕䴳㠲ⵍ䑆㩓䝆奟䕉䑌Ⱗⰰⰰⱄ低䕎丬乏ⱅ⤲_x0018_＀＀_x0018_＀＀_x0008_＀＀_x0001_＀＀_x0001_＀＀Ꭽࠕ㿺憨书&gt;卞䕐彃䑉䑟呁⡁䘧䑗䥌啂䑓䴳㘱ⵍ䑆㩓䝆奟䕉䑌Ⱗⰰⰰⱄ低䕎丬乏ⱅ⤲_x0018_＀＀_x0018_＀＀_x0008_＀＀_x0001_＀＀_x0001_＀＀䬺泷㿡憨书&gt;卞䕐彃䑉䑟呁⡁䘧䑗䥌䕂剕䴳㌷ⵍ䑆㩓䝆奟䕉䑌Ⱗⰰⰰⱄ低䕎丬乏ⱅ⤲_x0018_＀＀_x0018_＀＀_x0008_＀＀_x0001_＀＀_x0001_＀＀ꥐ攒䥯䀊憨书&gt;卞䕐彃䑉䑟呁⡁䘧䑗䥌啂䑓䴳ㄶⵍ䑆㩓䝆奟䕉䑌Ⱗⰰⰰⱄ低䕎丬乏ⱅ⤲_x0018_＀＀_x0018_＀＀_x0008_＀＀_x0001_＀＀_x0001_＀＀芲蛟輘䀅_xD9B4_二&gt;卞䕐彃䑉䑟呁⡁䘧䑗䥌䕂剕䴳㤲ⵍ䑆㩓䝆奟䕉䑌Ⱗⰰⰰⱄ低䕎丬乏ⱅ⤲_x0018_＀＀_x0018_＀＀_x0008_＀＀_x0001_＀＀_x0001_＀＀䐊詏㿻_xD9B5_二&gt;卞䕐彃䑉䑟呁⡁䘧䑗䥌䕂剕䴳〸ⵍ䑆㩓䝆奟䕉䑌Ⱗⰰⰰⱄ低䕎丬乏ⱅ⤲_x0018_＀＀_x0018_＀＀_x0008_＀＀_x0001_＀＀_x0001_＀＀螵傽雀䀇憨书=卞䕐彃䑉䑟呁⡁䘧䑗䥌䕂剕䴳䴴䘭卄䘺彇䥙䱅❄〬〬䐬丬乏ⱅ低䕎㈬착_x0018_＀＀_x0018_＀＀_x0008_＀＀_x0001_＀＀_x0001_＀＀란艀ߢ㿿憨书&gt;卞䕐彃䑉䑟呁⡁䘧䑗䥌啂䑓䴳㔸ⵍ䑆㩓䝆奟䕉䑌Ⱗⰰⰰⱄ低䕎丬乏ⱅ⤲_x0018_＀＀_x0018_＀＀_x0008_＀＀_x0001_＀＀_x0001_＀＀瘜㇟혼䀊_xD9B6_二&gt;卞䕐彃䑉䑟呁⡁䘧䑗䥌啂䑓䴳㜱ⵍ䑆㩓䝆奟䕉䑌Ⱗⰰⰰⱄ低䕎丬乏ⱅ⤲_x0018_＀＀_x0018_＀＀_x0008_＀＀_x0001_＀＀_x0001_＀＀훍閰킆㿥_xD9B6_二=卞䕐彃䑉䑟呁⡁䘧䑗䥌啂䑓䴳䴸䘭卄䘺彇䥙䱅❄〬〬䐬丬乏ⱅ低䕎㈬착_x0018_＀＀_x0018_＀＀_x0008_＀＀_x0001_＀＀_x0001_＀＀鈻臘㿥_xD9B6_二&gt;卞䕐彃䑉䑟呁⡁䘧䑗䥌啂䑓䴳㈶ⵍ䑆㩓䝆奟䕉䑌Ⱗⰰⰰⱄ低䕎丬乏ⱅ⤲_x0018_＀＀_x0018_＀＀_x0008_＀＀_x0001_＀＀_x0001_＀＀킳槎栖䀄憨书?塔幎䕆䕟呓䵉呁⡅䔧卐Ⱗ䴧䅅❎✬啑剁䕔䱒彙佒䱌Ⱗ㈧㄰⼱䌳ⰧⰰⰬ✧착_x0018_＀＀_x0018_＀＀_x0008_＀＀_x0001_＀＀_x0001_＀＀﩮ᾳ∩㿣憨书&gt;卞䕐彃䑉䑟呁⡁䘧䑗䥌䕂剕䴳㌴ⵍ䑆㩓䝆奟䕉䑌Ⱗⰰⰰⱄ低䕎丬乏ⱅ⤲_x0018_＀＀_x0018_＀＀_x0008_＀＀_x0001_＀＀_x0001_＀＀蜍膥ᔟ䀂_xD9B7_二&gt;卞䕐彃䑉䑟呁⡁䘧䑗䥌啂䑓䴳㘸ⵍ䑆㩓䝆奟䕉䑌Ⱗⰰⰰⱄ低䕎丬乏ⱅ⤲_x0018_＀＀_x0018_＀＀_x0008_＀＀_x0001_＀＀_x0001_＀＀秙鬛झ䀈_xD9B3_二=卞䕐彃䑉䑟呁⡁䘧䑗䥌䕂剕䴳䴵䘭卄䘺彇䥙䱅❄〬〬䐬丬乏ⱅ低䕎㈬착_x0018_＀＀_x0018_＀＀_x0008_＀＀_x0001_＀＀_x0001_＀＀┨ꬄꗪ䀀憨书&gt;卞䕐彃䑉䑟呁⡁䘧䑗䥌啂䑓䴳ㄳⵍ䑆㩓䝆奟䕉䑌Ⱗⰰⰰⱄ低䕎丬乏ⱅ⤲_x0018_＀＀_x0018_＀＀_x0008_＀＀_x0001_＀＀_x0001_＀＀⬰乾㿮憨书&gt;卞䕐彃䑉䑟呁⡁䘧䑗䥌䕂剕䴳㜶ⵍ䑆㩓䝆奟䕉䑌Ⱗⰰⰰⱄ低䕎丬乏ⱅ⤲_x0018_＀＀_x0018_＀＀_x0008_＀＀_x0001_＀＀_x0001_＀＀ꏰ쉻䀉_xD9B4_二&gt;卞䕐彃䑉䑟呁⡁䘧䑗䥌䕂剕䴳〵ⵍ䑆㩓䝆奟䕉䑌Ⱗⰰⰰⱄ低䕎丬乏ⱅ⤲_x0018_＀＀_x0018_＀＀_x0008_＀＀_x0001_＀＀_x0001_＀＀ኃ_xDA66_痾䀃憨书&gt;卞䕐彃䑉䑟呁⡁䘧䑗䥌啂䑓䴳㔵ⵍ䑆㩓䝆奟䕉䑌Ⱗⰰⰰⱄ低䕎丬乏ⱅ⤲_x0018_＀＀_x0018_＀＀_x0008_＀＀_x0001_＀＀_x0001_＀＀헵腕汚䀃_xD9B4_二&gt;卞䕐彃䑉䑟呁⡁䘧䑗䥌䕂剕䴳㐷ⵍ䑆㩓䝆奟䕉䑌Ⱗⰰⰰⱄ低䕎丬乏ⱅ⤲_x0018_＀＀_x0018_＀＀_x0008_＀＀_x0001_＀＀_x0001_＀＀林⌨䀮䀇憨书&gt;卞䕐彃䑉䑟呁⡁䘧䑗䥌啂䑓䴳㤷ⵍ䑆㩓䝆奟䕉䑌Ⱗⰰⰰⱄ低䕎丬乏ⱅ⤲_x0018_＀＀_x0018_＀＀_x0008_＀＀_x0001_＀＀_x0001_＀＀텁耼﹅䀉司仢_x001C_塔ⵎ单偞䉟呅彁佌䥃塄⴨䄳ⱍ⤰_x0018_＀＀_x0018_＀＀_x0008_＀＀_x0001_＀＀_x0001_＀＀䄶緔刀㿭憨书&gt;卞䕐彃䑉䑟呁⡁䘧䑗䥌䕂剕䴳㌱ⵍ䑆㩓䝆奟䕉䑌Ⱗⰰⰰⱄ低䕎丬乏ⱅ⤲_x0018_＀＀_x0018_＀＀_x0008_＀＀_x0001_＀＀_x0001_＀＀幧묎壯㿼憨书&gt;卞䕐彃䑉䑟呁⡁䘧䑗䥌䕂剕䴳㜳ⵍ䑆㩓䝆奟䕉䑌Ⱗⰰⰰⱄ低䕎丬乏ⱅ⤲_x0018_＀＀_x0018_＀＀_x0008_＀＀_x0001_＀＀_x0001_＀＀葉끆鵱䀃_xD9B3_二&gt;卞䕐彃䑉䑟呁⡁䘧䑗䥌䕂剕䴳〲ⵍ䑆㩓䝆奟䕉䑌Ⱗⰰⰰⱄ低䕎丬乏ⱅ⤲_x0018_＀＀_x0018_＀＀_x0008_＀＀_x0001_＀＀_x0001_＀＀螷㿃憨书&gt;卞䕐彃䑉䑟呁⡁䘧䑗䥌啂䑓䴳㔲ⵍ䑆㩓䝆奟䕉䑌Ⱗⰰⰰⱄ低䕎丬乏ⱅ⤲_x0018_＀＀_x0018_＀＀_x0008_＀＀_x0001_＀＀_x0001_＀＀降㗿䣅㿥_xD9B4_二&gt;卞䕐彃䑉䑟呁⡁䘧䑗䥌䕂剕䴳㐴ⵍ䑆㩓䝆奟䕉䑌Ⱗⰰⰰⱄ低䕎丬乏ⱅ⤲_x0018_＀＀_x0018_＀＀_x0008_＀＀_x0001_＀＀_x0001_＀＀ꉀᐉ䀀憨书&gt;卞䕐彃䑉䑟呁⡁䘧䑗䥌啂䑓䴳㤴ⵍ䑆㩓䝆奟䕉䑌Ⱗⰰⰰⱄ低䕎丬乏ⱅ⤲_x0018_＀＀_x0018_＀＀_x0008_＀＀_x0001_＀＀_x0001_＀＀㚤牱ꎿ䀀憨书&gt;卞䕐彃䑉䑟呁⡁䘧䑗䥌䕂剕䴳㈸ⵍ䑆㩓䝆奟䕉䑌Ⱗⰰⰰⱄ低䕎丬乏ⱅ⤲_x0018_＀＀_x0018_＀＀_x0008_＀＀_x0001_＀＀_x0001_＀＀⤹篌䦜䀋_xD9B6_二&gt;卞䕐彃䑉䑟呁⡁䘧䑗䥌啂䑓䴳㈳ⵍ䑆㩓䝆奟䕉䑌Ⱗⰰⰰⱄ低䕎丬乏ⱅ⤲_x0018_＀＀_x0018_＀＀_x0008_＀＀_x0001_＀＀_x0001_＀＀볨⻆ﵑ㿲憨书&gt;卞䕐彃䑉䑟呁⡁䘧䑗䥌啂䑓䴳〷ⵍ䑆㩓䝆奟䕉䑌Ⱗⰰⰰⱄ低䕎丬乏ⱅ⤲_x0018_＀＀_x0018_＀＀_x0008_＀＀_x0001_＀＀_x0001_＀＀痢苽택䀇_xD9B4_二&gt;卞䕐彃䑉䑟呁⡁䘧䑗䥌䕂剕䴳㠶ⵍ䑆㩓䝆奟䕉䑌Ⱗⰰⰰⱄ低䕎丬乏ⱅ⤲_x0018_＀＀_x0018_＀＀_x0008_＀＀_x0001_＀＀_x0001_＀＀‭Ẵಾ䀇䟆亏_x001C_塔幎彐剐䍉彅噁⡇〴㌶ⰳ〴㈷⤴_x0018_＀＀_x0018_＀＀_x0008_＀＀_x0001_＀＀_x0001_＀＀鷈쇒Ϻ䁁_xD9B6_二&gt;卞䕐彃䑉䑟呁⡁䘧䑗䥌啂䑓䴳㘵ⵍ䑆㩓䝆奟䕉䑌Ⱗⰰⰰⱄ低䕎丬乏ⱅ⤲_x0018_＀＀_x0018_＀＀_x0008_＀＀_x0001_＀＀_x0001_＀＀ꘉ妚ꅋ䀂_xD9B3_二&gt;卞䕐彃䑉䑟呁⡁䘧䑗䥌䕂剕䴳㐱ⵍ䑆㩓䝆奟䕉䑌Ⱗⰰⰰⱄ低䕎丬乏ⱅ⤲_x0018_＀＀_x0018_＀＀_x0008_＀＀_x0001_＀＀_x0001_＀＀뎉樢쾢㿷憨书&gt;卞䕐彃䑉䑟呁⡁䘧䑗䥌啂䑓䴳㤱ⵍ䑆㩓䝆奟䕉䑌Ⱗⰰⰰⱄ低䕎丬乏ⱅ⤲_x0018_＀＀_x0018_＀＀_x0008_＀＀_x0001_＀＀_x0001_＀＀瀱_xD88A_赱㿡憨书&gt;卞䕐彃䑉䑟呁⡁䘧䑗䥌䕂剕䴳㈵ⵍ䑆㩓䝆奟䕉䑌Ⱗⰰⰰⱄ低䕎丬乏ⱅ⤲_x0018_＀＀_x0018_＀＀_x0008_＀＀_x0001_＀＀_x0001_＀＀᳻ⴟ䀅憨书&gt;卞䕐彃䑉䑟呁⡁䘧䑗䥌啂䑓䴳〴ⵍ䑆㩓䝆奟䕉䑌Ⱗⰰⰰⱄ低䕎丬乏ⱅ⤲_x0018_＀＀_x0018_＀＀_x0008_＀＀_x0001_＀＀_x0001_＀＀ﹱᐦ•㿸_xD9B4_二&gt;卞䕐彃䑉䑟呁⡁䘧䑗䥌䕂剕䴳㠳ⵍ䑆㩓䝆奟䕉䑌Ⱗⰰⰰⱄ低䕎丬乏ⱅ⤲_x0018_＀＀_x0018_＀＀_x0008_＀＀_x0001_＀＀_x0001_＀＀↚ᑕ튯䀁憨书&gt;卞䕐彃䑉䑟呁⡁䘧䑗䥌䕂剕䴳㘷ⵍ䑆㩓䝆奟䕉䑌Ⱗⰰⰰⱄ低䕎丬乏ⱅ⤲_x0018_＀＀_x0018_＀＀_x0008_＀＀_x0001_＀＀_x0001_＀＀빝懵醽䀊_xD9B6_二&gt;卞䕐彃䑉䑟呁⡁䘧䑗䥌啂䑓䴳㘲ⵍ䑆㩓䝆奟䕉䑌Ⱗⰰⰰⱄ低䕎丬乏ⱅ⤲_x0018_＀＀_x0018_＀＀_x0008_＀＀_x0001_＀＀_x0001_＀＀_xD875_쵈㿫憨书&gt;卞䕐彃䑉䑟呁⡁䘧䑗䥌啂䑓䴳㐶ⵍ䑆㩓䝆奟䕉䑌Ⱗⰰⰰⱄ低䕎丬乏ⱅ⤲_x0018_＀＀_x0018_＀＀_x0008_＀＀_x0001_＀＀_x0001_＀＀ẚ吔䀆_xD9B5_二&gt;卞䕐彃䑉䑟呁⡁䘧䑗䥌䕂剕䴳㌸ⵍ䑆㩓䝆奟䕉䑌Ⱗⰰⰰⱄ低䕎丬乏ⱅ⤲_x0018_＀＀_x0018_＀＀_x0008_＀＀_x0001_＀＀_x0001_＀＀槃证슾䀇憨书=卞䕐彃䑉䑟呁⡁䘧䑗䥌䕂剕䴳䴷䘭卄䘺彇䥙䱅❄〬〬䐬丬乏ⱅ低䕎㈬착_x0018_＀＀_x0018_＀＀_x0008_＀＀_x0001_＀＀_x0001_＀＀ꋂ丢뤧䀂憨书&gt;卞䕐彃䑉䑟呁⡁䘧䑗䥌啂䑓䴳㠸ⵍ䑆㩓䝆奟䕉䑌Ⱗⰰⰰⱄ低䕎丬乏ⱅ⤲_x0018_＀＀_x0018_＀＀_x0008_＀＀_x0001_＀＀_x0001_＀＀虙호ළ䀋_xD9B6_二&gt;卞䕐彃䑉䑟呁⡁䘧䑗䥌啂䑓䴳ㄷⵍ䑆㩓䝆奟䕉䑌Ⱗⰰⰰⱄ低䕎丬乏ⱅ⤲_x0018_＀＀_x0018_＀＀_x0008_＀＀_x0001_＀＀_x0001_＀＀腍컌垢䀆憨书A塔幎䕆䕟呓䵉呁⡅匧䱁卅Ⱗ䴧䅅❎✬啑剁䕔䱒彙佒䱌Ⱗ㈧㄰⼱䌳ⰧⰰⰬ✧착_x0018_＀＀_x0018_＀＀_x0008_＀＀_x0001_＀＀_x0001_＀＀ꧻꚱ䂫憨书&gt;卞䕐彃䑉䑟呁⡁䘧䑗䥌䕂剕䴳㈲ⵍ䑆㩓䝆奟䕉䑌Ⱗⰰⰰⱄ低䕎丬乏ⱅ⤲_x0018_＀＀_x0018_＀＀_x0008_＀＀_x0001_＀＀_x0001_＀＀_xDB0F_ퟌ欛㿃憨书&gt;卞䕐彃䑉䑟呁⡁䘧䑗䥌啂䑓䴳〱ⵍ䑆㩓䝆奟䕉䑌Ⱗⰰⰰⱄ低䕎丬乏ⱅ⤲_x0018_＀＀_x0018_＀＀_x0008_＀＀_x0001_＀＀_x0001_＀＀頿释뎄㿡憨书&gt;卞䕐彃䑉䑟呁⡁䘧䑗䥌䕂剕䴳㘴ⵍ䑆㩓䝆奟䕉䑌Ⱗⰰⰰⱄ低䕎丬乏ⱅ⤲_x0018_＀＀_x0018_＀＀_x0008_＀＀_x0001_＀＀_x0001_＀＀ቚꚠ궖䀂憨书&gt;卞䕐彃䑉䑟呁⡁䘧䑗䥌啂䑓䴳㐳ⵍ䑆㩓䝆奟䕉䑌Ⱗⰰⰰⱄ低䕎丬乏ⱅ⤲_x0018_＀＀_x0018_＀＀_x0008_＀＀_x0001_＀＀_x0001_＀＀绠πࠃ㿲憨书=卞䕐彃䑉䑟呁⡁䘧䑗䥌啂䑓䴳䴱䘭卄䘺彇䥙䱅❄〬〬䐬丬乏ⱅ低䕎㈬착_x0018_＀＀_x0018_＀＀_x0008_＀＀_x0001_＀＀_x0001_＀＀␎꨹귤㿓_xD9B4_二&gt;卞䕐彃䑉䑟呁⡁䘧䑗䥌䕂剕䴳㌵ⵍ䑆㩓䝆奟䕉䑌Ⱗⰰⰰⱄ低䕎丬乏ⱅ⤲_x0018_＀＀_x0018_＀＀_x0008_＀＀_x0001_＀＀_x0001_＀＀接㏎䀄憨书&gt;卞䕐彃䑉䑟呁⡁䘧䑗䥌啂䑓䴳㠵ⵍ䑆㩓䝆奟䕉䑌Ⱗⰰⰰⱄ低䕎丬乏ⱅ⤲_x0018_＀＀_x0018_＀＀_x0008_＀＀_x0001_＀＀_x0001_＀＀Ň悢铆䀄_xD9B6_二&gt;卞䕐彃䑉䑟呁⡁䘧䑗䥌啂䑓䴳ㄴⵍ䑆㩓䝆奟䕉䑌Ⱗⰰⰰⱄ低䕎丬乏ⱅ⤲_x0018_＀＀_x0018_＀＀_x0008_＀＀_x0001_＀＀_x0001_＀＀軿킨㿻_xD9B5_二&gt;卞䕐彃䑉䑟呁⡁䘧䑗䥌䕂剕䴳㜷ⵍ䑆㩓䝆奟䕉䑌Ⱗⰰⰰⱄ低䕎丬乏ⱅ⤲_x0018_＀＀_x0018_＀＀_x0008_＀＀_x0001_＀＀_x0001_＀＀⟩_xDD9C_晚䀇_xD9B6_二&gt;卞䕐彃䑉䑟呁⡁䘧䑗䥌啂䑓䴳㔶ⵍ䑆㩓䝆奟䕉䑌Ⱗⰰⰰⱄ低䕎丬乏ⱅ⤲_x0018_＀＀_x0018_＀＀_x0008_＀＀_x0001_＀＀_x0001_＀＀㝐Ო䀅_xD9B7_二&gt;卞䕐彃䑉䑟呁⡁䘧䑗䥌啂䑓䴳㤸ⵍ䑆㩓䝆奟䕉䑌Ⱗⰰⰰⱄ低䕎丬乏ⱅ⤲_x0018_＀＀_x0018_＀＀_x0008_＀＀_x0001_＀＀_x0001_＀＀ꘞ獽䀇_xD9B3_二=卞䕐彃䑉䑟呁⡁䘧䑗䥌䕂剕䴳䴸䘭卄䘺彇䥙䱅❄〬〬䐬丬乏ⱅ低䕎㈬착_x0018_＀＀_x0018_＀＀_x0008_＀＀_x0001_＀＀_x0001_＀＀糲퐆军䀃憨书&gt;卞䕐彃䑉䑟呁⡁䘧䑗䥌䕂剕䴳㘱ⵍ䑆㩓䝆奟䕉䑌Ⱗⰰⰰⱄ低䕎丬乏ⱅ⤲_x0018_＀＀_x0018_＀＀_x0008_＀＀_x0001_＀＀_x0001_＀＀䶅玮㿬_xD9B5_二=卞䕐彃䑉䑟呁⡁䘧䑗䥌啂䑓䴳䴲䘭卄䘺彇䥙䱅❄〬〬䐬丬乏ⱅ低䕎㈬착_x0018_＀＀_x0018_＀＀_x0008_＀＀_x0001_＀＀_x0001_＀＀懽헰ꤳ㿜_xD9B3_二&gt;卞䕐彃䑉䑟呁⡁䘧䑗䥌䕂剕䴳㌲ⵍ䑆㩓䝆奟䕉䑌Ⱗⰰⰰⱄ低䕎丬乏ⱅ⤲_x0018_＀＀_x0018_＀＀_x0008_＀＀_x0001_＀＀_x0001_＀＀ݘ閛﵈㿒憨书&gt;卞䕐彃䑉䑟呁⡁䘧䑗䥌啂䑓䴳㠲ⵍ䑆㩓䝆奟䕉䑌Ⱗⰰⰰⱄ低䕎丬乏ⱅ⤲_x0018_＀＀_x0018_＀＀_x0008_＀＀_x0001_＀＀_x0001_＀＀䅒핅㒯㿩憨书&gt;卞䕐彃䑉䑟呁⡁䘧䑗䥌䕂剕䴳ㄶⵍ䑆㩓䝆奟䕉䑌Ⱗⰰⰰⱄ低䕎丬乏ⱅ⤲_x0018_＀＀_x0018_＀＀_x0008_＀＀_x0001_＀＀_x0001_＀＀릢⍎픭䀈_xD9B6_二&gt;卞䕐彃䑉䑟呁⡁䘧䑗䥌啂䑓䴳ㄱⵍ䑆㩓䝆奟䕉䑌Ⱗⰰⰰⱄ低䕎丬乏ⱅ⤲_x0018_＀＀_x0018_＀＀_x0008_＀＀_x0001_＀＀_x0001_＀＀_xD927_狪J㿦텑亥_x001C_塔幎彐剐䍉彅噁⡇〴㈷ⰴ〴ㄸ⤶_x0018_＀＀_x0018_＀＀_x0008_＀＀_x0001_＀＀_x0001_＀＀兙榃嘘䀼_xD9B4_二&gt;卞䕐彃䑉䑟呁⡁䘧䑗䥌䕂剕䴳㜴ⵍ䑆㩓䝆奟䕉䑌Ⱗⰰⰰⱄ低䕎丬乏ⱅ⤲_x0018_＀＀_x0018_＀＀_x0008_＀＀_x0001_＀＀_x0001_＀＀_xDFF3_힃䀁憨书&gt;卞䕐彃䑉䑟呁⡁䘧䑗䥌䕂剕䴳㔸ⵍ䑆㩓䝆奟䕉䑌Ⱗⰰⰰⱄ低䕎丬乏ⱅ⤲_x0018_＀＀_x0018_＀＀_x0008_＀＀_x0001_＀＀_x0001_＀＀ᓧ柤䀋_xD9B6_二&gt;卞䕐彃䑉䑟呁⡁䘧䑗䥌啂䑓䴳㔳ⵍ䑆㩓䝆奟䕉䑌Ⱗⰰⰰⱄ低䕎丬乏ⱅ⤲_x0018_＀＀_x0018_＀＀_x0008_＀＀_x0001_＀＀_x0001_＀＀_xFFFF_￞েؓ㿶憨书&gt;卞䕐彃䑉䑟呁⡁䘧䑗䥌啂䑓䴳㌷ⵍ䑆㩓䝆奟䕉䑌Ⱗⰰⰰⱄ低䕎丬乏ⱅ⤲_x0018_＀＀_x0018_＀＀_x0008_＀＀_x0001_＀＀_x0001_＀＀ꕻ䌬䀈_xD9B6_二&gt;卞䕐彃䑉䑟呁⡁䘧䑗䥌啂䑓䴳㤵ⵍ䑆㩓䝆奟䕉䑌Ⱗⰰⰰⱄ低䕎丬乏ⱅ⤲_x0018_＀＀_x0018_＀＀_x0008_＀＀_x0001_＀＀_x0001_＀＀衙脎脣䀃_xD9B7_二&gt;卞䕐彃䑉䑟呁⡁䘧䑗䥌啂䑓䴳〸ⵍ䑆㩓䝆奟䕉䑌Ⱗⰰⰰⱄ低䕎丬乏ⱅ⤲_x0018_＀＀_x0018_＀＀_x0008_＀＀_x0001_＀＀_x0001_＀＀伳⦮릐䀇憨书&gt;卞䕐彃䑉䑟呁⡁䘧䑗䥌䕂剕䴳ㄳⵍ䑆㩓䝆奟䕉䑌Ⱗⰰⰰⱄ低䕎丬乏ⱅ⤲_x0018_＀＀_x0018_＀＀_x0008_＀＀_x0001_＀＀_x0001_＀＀龔ﭔᱴ䀂_xD9B3_二&gt;卞䕐彃䑉䑟呁⡁䘧䑗䥌䕂剕䴳㜱ⵍ䑆㩓䝆奟䕉䑌Ⱗⰰⰰⱄ低䕎丬乏ⱅ⤲_x0018_＀＀_x0018_＀＀_x0008_＀＀_x0001_＀＀_x0001_＀＀ಿ裆慄㿥憨书&gt;卞䕐彃䑉䑟呁⡁䘧䑗䥌䕂剕䴳㔵ⵍ䑆㩓䝆奟䕉䑌Ⱗⰰⰰⱄ低䕎丬乏ⱅ⤲_x0018_＀＀_x0018_＀＀_x0008_＀＀_x0001_＀＀_x0001_＀＀䗭ᶴ睓䀇憨书&gt;卞䕐彃䑉䑟呁⡁䘧䑗䥌啂䑓䴳㌴ⵍ䑆㩓䝆奟䕉䑌Ⱗⰰⰰⱄ低䕎丬乏ⱅ⤲_x0018_＀＀_x0018_＀＀_x0008_＀＀_x0001_＀＀_x0001_＀＀市ᡦ㿻憨书&gt;卞䕐彃䑉䑟呁⡁䘧䑗䥌䕂剕䴳㤷ⵍ䑆㩓䝆奟䕉䑌Ⱗⰰⰰⱄ低䕎丬乏ⱅ⤲_x0018_＀＀_x0018_＀＀_x0008_＀＀_x0001_＀＀_x0001_＀＀䀋璣_xFFFF_￩䀊_xD9B6_二&gt;卞䕐彃䑉䑟呁⡁䘧䑗䥌啂䑓䴳㤲ⵍ䑆㩓䝆奟䕉䑌Ⱗⰰⰰⱄ低䕎丬乏ⱅ⤲_x0018_＀＀_x0018_＀＀_x0008_＀＀_x0001_＀＀_x0001_＀＀뛱毒ㆳ㿰_xD9B4_二&gt;卞䕐彃䑉䑟呁⡁䘧䑗䥌䕂剕䴳㈶ⵍ䑆㩓䝆奟䕉䑌Ⱗⰰⰰⱄ低䕎丬乏ⱅ⤲_x0018_＀＀_x0018_＀＀_x0008_＀＀_x0001_＀＀_x0001_＀＀厤㹗돋䀆憨书?塔幎䕆䕟呓䵉呁⡅䔧卐Ⱗ䴧䅅❎✬啑剁䕔䱒彙佒䱌Ⱗ㈧㄰⼱䌴ⰧⰰⰬ✧착_x0018_＀＀_x0018_＀＀_x0008_＀＀_x0001_＀＀_x0001_＀＀㪤腸ﯭ㿢憨书&gt;卞䕐彃䑉䑟呁⡁䘧䑗䥌啂䑓䴳㜶ⵍ䑆㩓䝆奟䕉䑌Ⱗⰰⰰⱄ低䕎丬乏ⱅ⤲_x0018_＀＀_x0018_＀＀_x0008_＀＀_x0001_＀＀_x0001_＀＀螘樓䀆_xD9B6_二&gt;卞䕐彃䑉䑟呁⡁䘧䑗䥌啂䑓䴳〵ⵍ䑆㩓䝆奟䕉䑌Ⱗⰰⰰⱄ低䕎丬乏ⱅ⤲_x0018_＀＀_x0018_＀＀_x0008_＀＀_x0001_＀＀_x0001_＀＀覠ᗩ䀁_xD9B5_二&gt;卞䕐彃䑉䑟呁⡁䘧䑗䥌䕂剕䴳㘸ⵍ䑆㩓䝆奟䕉䑌Ⱗⰰⰰⱄ低䕎丬乏ⱅ⤲_x0018_＀＀_x0018_＀＀_x0008_＀＀_x0001_＀＀_x0001_＀＀ق䀇_xD9B6_二&gt;卞䕐彃䑉䑟呁⡁䘧䑗䥌啂䑓䴳㐷ⵍ䑆㩓䝆奟䕉䑌Ⱗⰰⰰⱄ低䕎丬乏ⱅ⤲_x0018_＀＀_x0018_＀＀_x0008_＀＀_x0001_＀＀_x0001_＀＀โ顊ﭩ䀆憨书&gt;卞䕐彃䑉䑟呁⡁䘧䑗䥌䕂剕䴳㔲ⵍ䑆㩓䝆奟䕉䑌Ⱗⰰⰰⱄ低䕎丬乏ⱅ⤲_x0018_＀＀_x0018_＀＀_x0008_＀＀_x0001_＀＀_x0001_＀＀ৃꝌ᭵㿪憨书&gt;卞䕐彃䑉䑟呁⡁䘧䑗䥌啂䑓䴳㌱ⵍ䑆㩓䝆奟䕉䑌Ⱗⰰⰰⱄ低䕎丬乏ⱅ⤲_x0018_＀＀_x0018_＀＀_x0008_＀＀_x0001_＀＀_x0001_＀＀급瞨熧㿡憨书&gt;卞䕐彃䑉䑟呁⡁䘧䑗䥌䕂剕䴳㤴ⵍ䑆㩓䝆奟䕉䑌Ⱗⰰⰰⱄ低䕎丬乏ⱅ⤲_x0018_＀＀_x0018_＀＀_x0008_＀＀_x0001_＀＀_x0001_＀＀伯諧䉒䀄_xD9B4_二&gt;卞䕐彃䑉䑟呁⡁䘧䑗䥌䕂剕䴳㈳ⵍ䑆㩓䝆奟䕉䑌Ⱗⰰⰰⱄ低䕎丬乏ⱅ⤲_x0018_＀＀_x0018_＀＀_x0008_＀＀_x0001_＀＀_x0001_＀＀ﬖ쏉䀁憨书&gt;卞䕐彃䑉䑟呁⡁䘧䑗䥌啂䑓䴳㜳ⵍ䑆㩓䝆奟䕉䑌Ⱗⰰⰰⱄ低䕎丬乏ⱅ⤲_x0018_＀＀_x0018_＀＀_x0008_＀＀_x0001_＀＀_x0001_＀＀陂ጅᑿ㿵_xD9B6_二&gt;卞䕐彃䑉䑟呁⡁䘧䑗䥌啂䑓䴳〲ⵍ䑆㩓䝆奟䕉䑌Ⱗⰰⰰⱄ低䕎丬乏ⱅ⤲_x0018_＀＀_x0018_＀＀_x0008_＀＀_x0001_＀＀_x0001_＀＀䙙蒏舢㿦憨书=卞䕐彃䑉䑟呁⡁䘧䑗䥌啂䑓䴳䴴䘭卄䘺彇䥙䱅❄〬〬䐬丬乏ⱅ低䕎㈬착_x0018_＀＀_x0018_＀＀_x0008_＀＀_x0001_＀＀_x0001_＀＀ꁧ랍埰㿠_xD9B4_二&gt;卞䕐彃䑉䑟呁⡁䘧䑗䥌䕂剕䴳㘵ⵍ䑆㩓䝆奟䕉䑌Ⱗⰰⰰⱄ低䕎丬乏ⱅ⤲_x0018_＀＀_x0018_＀＀_x0008_＀＀_x0001_＀＀_x0001_＀＀쎠祼䀅_xD9B6_二&gt;卞䕐彃䑉䑟呁⡁䘧䑗䥌啂䑓䴳㐴ⵍ䑆㩓䝆奟䕉䑌Ⱗⰰⰰⱄ低䕎丬乏ⱅ⤲_x0018_＀＀_x0018_＀＀_x0008_＀＀_x0001_＀＀_x0001_＀＀ᮎ㝾㋝㿾憨书=卞䕐彃䑉䑟呁⡁䘧䑗䥌䕂剕䴳䴱䘭卄䘺彇䥙䱅❄〬〬䐬丬乏ⱅ低䕎㈬착_x0018_＀＀_x0018_＀＀_x0008_＀＀_x0001_＀＀_x0001_＀＀ⴎ鶲꟯㿸憨书&gt;卞䕐彃䑉䑟呁⡁䘧䑗䥌啂䑓䴳㈸ⵍ䑆㩓䝆奟䕉䑌Ⱗⰰⰰⱄ低䕎丬乏ⱅ⤲_x0018_＀＀_x0018_＀＀_x0008_＀＀_x0001_＀＀_x0001_＀＀荳ມ尫䀊_xD9B6_二&gt;卞䕐彃䑉䑟呁⡁䘧䑗䥌啂䑓䴳㠶ⵍ䑆㩓䝆奟䕉䑌Ⱗⰰⰰⱄ低䕎丬乏ⱅ⤲_x0018_＀＀_x0018_＀＀_x0008_＀＀_x0001_＀＀_x0001_＀＀_xDC3C_എ놋䀅憨书&gt;卞䕐彃䑉䑟呁⡁䘧䑗䥌䕂剕䴳㤱ⵍ䑆㩓䝆奟䕉䑌Ⱗⰰⰰⱄ低䕎丬乏ⱅ⤲_x0018_＀＀_x0018_＀＀_x0008_＀＀_x0001_＀＀_x0001_＀＀䧟_xDDB0_蛢㿎憨书&gt;卞䕐彃䑉䑟呁⡁䘧䑗䥌䕂剕䴳〷ⵍ䑆㩓䝆奟䕉䑌Ⱗⰰⰰⱄ低䕎丬乏ⱅ⤲_x0018_＀＀_x0018_＀＀_x0008_＀＀_x0001_＀＀_x0001_＀＀憿䆢Ḋ䀊_xD9B4_二&gt;卞䕐彃䑉䑟呁⡁䘧䑗䥌䕂剕䴳㘲ⵍ䑆㩓䝆奟䕉䑌Ⱗⰰⰰⱄ低䕎丬乏ⱅ⤲_x0018_＀＀_x0018_＀＀_x0008_＀＀_x0001_＀＀_x0001_＀＀㞥㿰_xD9B6_二&gt;卞䕐彃䑉䑟呁⡁䘧䑗䥌啂䑓䴳㐱ⵍ䑆㩓䝆奟䕉䑌Ⱗⰰⰰⱄ低䕎丬乏ⱅ⤲_x0018_＀＀_x0018_＀＀_x0008_＀＀_x0001_＀＀_x0001_＀＀䆋ᅱ휩㿥_xD9B6_二&gt;卞䕐彃䑉䑟呁⡁䘧䑗䥌啂䑓䴳㠳ⵍ䑆㩓䝆奟䕉䑌Ⱗⰰⰰⱄ低䕎丬乏ⱅ⤲_x0018_＀＀_x0018_＀＀_x0008_＀＀_x0001_＀＀_x0001_＀＀ᐢ䅛ዓ㿹_xD9B4_二&gt;卞䕐彃䑉䑟呁⡁䘧䑗䥌䕂剕䴳ㄷⵍ䑆㩓䝆奟䕉䑌Ⱗⰰⰰⱄ低䕎丬乏ⱅ⤲_x0018_＀＀_x0018_＀＀_x0008_＀＀_x0001_＀＀_x0001_＀＀ஷ痍⤚䀇憨书&gt;卞䕐彃䑉䑟呁⡁䘧䑗䥌啂䑓䴳㘷ⵍ䑆㩓䝆奟䕉䑌Ⱗⰰⰰⱄ低䕎丬乏ⱅ⤲_x0018_＀＀_x0018_＀＀_x0008_＀＀_x0001_＀＀_x0001_＀＀븣댓걞䀉_xD9B5_二=卞䕐彃䑉䑟呁⡁䘧䑗䥌啂䑓䴳䴵䘭卄䘺彇䥙䱅❄〬〬䐬丬乏ⱅ低䕎㈬착_x0018_＀＀_x0018_＀＀_x0008_＀＀_x0001_＀＀_x0001_＀＀〄涯㎛㿤憨书&gt;卞䕐彃䑉䑟呁⡁䘧䑗䥌䕂剕䴳〴ⵍ䑆㩓䝆奟䕉䑌Ⱗⰰⰰⱄ低䕎丬乏ⱅ⤲_x0018_＀＀_x0018_＀＀_x0008_＀＀_x0001_＀＀_x0001_＀＀챬裫癃䀂_xD9B7_二&gt;卞䕐彃䑉䑟呁⡁䘧䑗䥌啂䑓䴳㌸ⵍ䑆㩓䝆奟䕉䑌Ⱗⰰⰰⱄ低䕎丬乏ⱅ⤲_x0018_＀＀_x0018_＀＀_x0008_＀＀_x0001_＀＀_x0001_＀＀乡⛐䀇_xD9B3_二=卞䕐彃䑉䑟呁⡁䘧䑗䥌䕂剕䴳䴲䘭卄䘺彇䥙䱅❄〬〬䐬丬乏ⱅ低䕎㈬착_x0018_＀＀_x0018_＀＀_x0008_＀＀_x0001_＀＀_x0001_＀＀뜨篭忔㿻憨书&gt;卞䕐彃䑉䑟呁⡁䘧䑗䥌䕂剕䴳㐶ⵍ䑆㩓䝆奟䕉䑌Ⱗⰰⰰⱄ低䕎丬乏ⱅ⤲_x0018_＀＀_x0018_＀＀_x0008_＀＀_x0001_＀＀_x0001_＀＀鏺㳸䀉憨书&gt;卞䕐彃䑉䑟呁⡁䘧䑗䥌啂䑓䴳㈵ⵍ䑆㩓䝆奟䕉䑌Ⱗⰰⰰⱄ低䕎丬乏ⱅ⤲_x0018_＀＀_x0018_＀＀_x0008_＀＀_x0001_＀＀_x0001_＀＀⣔餤ᯕ䀂憨书&gt;卞䕐彃䑉䑟呁⡁䘧䑗䥌䕂剕䴳㠸ⵍ䑆㩓䝆奟䕉䑌Ⱗⰰⰰⱄ低䕎丬乏ⱅ⤲_x0018_＀＀_x0018_＀＀_x0008_＀＀_x0001_＀＀_x0001_＀＀䶠鼎ꉴ䀋憨书A塔幎䕆䕟呓䵉呁⡅匧䱁卅Ⱗ䴧䅅❎✬啑剁䕔䱒彙佒䱌Ⱗ㈧㄰⼱䌴ⰧⰰⰬ✧착_x0018_＀＀_x0018_＀＀_x0008_＀＀_x0001_＀＀_x0001_＀＀ၢ㥘䣴䂫_xD9B4_二&gt;卞䕐彃䑉䑟呁⡁䘧䑗䥌䕂剕䴳ㄴⵍ䑆㩓䝆奟䕉䑌Ⱗⰰⰰⱄ低䕎丬乏ⱅ⤲_x0018_＀＀_x0018_＀＀_x0008_＀＀_x0001_＀＀_x0001_＀＀ᖜፑﹽ䀀_xD9B4_二&gt;卞䕐彃䑉䑟呁⡁䘧䑗䥌䕂剕䴳㔶ⵍ䑆㩓䝆奟䕉䑌Ⱗⰰⰰⱄ低䕎丬乏ⱅ⤲_x0018_＀＀_x0018_＀＀_x0008_＀＀_x0001_＀＀_x0001_＀＀묛䀆憨书&gt;卞䕐彃䑉䑟呁⡁䘧䑗䥌䕂剕䴳〱ⵍ䑆㩓䝆奟䕉䑌Ⱗⰰⰰⱄ低䕎丬乏ⱅ⤲_x0018_＀＀_x0018_＀＀_x0008_＀＀_x0001_＀＀_x0001_＀＀ഏ冋㫗䀃_xD9B6_二&gt;卞䕐彃䑉䑟呁⡁䘧䑗䥌啂䑓䴳㌵ⵍ䑆㩓䝆奟䕉䑌Ⱗⰰⰰⱄ低䕎丬乏ⱅ⤲_x0018_＀＀_x0018_＀＀_x0008_＀＀_x0001_＀＀_x0001_＀＀굵侽䀁_xD9B5_二&gt;卞䕐彃䑉䑟呁⡁䘧䑗䥌䕂剕䴳㤸ⵍ䑆㩓䝆奟䕉䑌Ⱗⰰⰰⱄ低䕎丬乏ⱅ⤲_x0018_＀＀_x0018_＀＀_x0008_＀＀_x0001_＀＀_x0001_＀＀徝ₔ䀈憨书&gt;卞䕐彃䑉䑟呁⡁䘧䑗䥌䕂剕䴳㐳ⵍ䑆㩓䝆奟䕉䑌Ⱗⰰⰰⱄ低䕎丬乏ⱅ⤲_x0018_＀＀_x0018_＀＀_x0008_＀＀_x0001_＀＀_x0001_＀＀䮭킍瓏䀄_xD9B6_二&gt;卞䕐彃䑉䑟呁⡁䘧䑗䥌啂䑓䴳㜷ⵍ䑆㩓䝆奟䕉䑌Ⱗⰰⰰⱄ低䕎丬乏ⱅ⤲_x0018_＀＀_x0018_＀＀_x0008_＀＀_x0001_＀＀_x0001_＀＀䐆⮈潧䀇憨书&gt;卞䕐彃䑉䑟呁⡁䘧䑗䥌啂䑓䴳㈲ⵍ䑆㩓䝆奟䕉䑌Ⱗⰰⰰⱄ低䕎丬乏ⱅ⤲_x0018_＀＀_x0018_＀＀_x0008_＀＀_x0001_＀＀_x0001_＀＀鷞߆ꢇ㿢憨书&gt;卞䕐彃䑉䑟呁⡁䘧䑗䥌䕂剕䴳㠵ⵍ䑆㩓䝆奟䕉䑌Ⱗⰰⰰⱄ低䕎丬乏ⱅ⤲_x0018_＀＀_x0018_＀＀_x0008_＀＀_x0001_＀＀_x0001_＀＀襈_xDB5D_淛䀈憨书&gt;卞䕐彃䑉䑟呁⡁䘧䑗䥌啂䑓䴳㘴ⵍ䑆㩓䝆奟䕉䑌Ⱗⰰⰰⱄ低䕎丬乏ⱅ⤲_x0018_＀＀_x0018_＀＀_x0008_＀＀_x0001_＀＀_x0001_＀＀㍶ᾣ✍㿾_xD9B3_二&gt;卞䕐彃䑉䑟呁⡁䘧䑗䥌䕂剕䴳ㄱⵍ䑆㩓䝆奟䕉䑌Ⱗⰰⰰⱄ低䕎丬乏ⱅ⤲_x0018_＀＀_x0018_＀＀_x0008_＀＀_x0001_＀＀_x0001_＀＀ᬀℐﲮ䀁_xD9B4_二&gt;卞䕐彃䑉䑟呁⡁䘧䑗䥌䕂剕䴳㔳ⵍ䑆㩓䝆奟䕉䑌Ⱗⰰⰰⱄ低䕎丬乏ⱅ⤲_x0018_＀＀_x0018_＀＀_x0008_＀＀_x0001_＀＀_x0001_＀＀鞚䀂_xD9B6_二&gt;卞䕐彃䑉䑟呁⡁䘧䑗䥌啂䑓䴳㌲ⵍ䑆㩓䝆奟䕉䑌Ⱗⰰⰰⱄ低䕎丬乏ⱅ⤲_x0018_＀＀_x0018_＀＀_x0008_＀＀_x0001_＀＀_x0001_＀＀윖ნ漾㿨憨书=卞䕐彃䑉䑟呁⡁䘧䑗䥌啂䑓䴳䴷䘭卄䘺彇䥙䱅❄〬〬䐬丬乏ⱅ低䕎㈬착_x0018_＀＀_x0018_＀＀_x0008_＀＀_x0001_＀＀_x0001_＀＀況劧蹘㿢_xD9B4_二&gt;卞䕐彃䑉䑟呁⡁䘧䑗䥌䕂剕䴳㤵ⵍ䑆㩓䝆奟䕉䑌Ⱗⰰⰰⱄ低䕎丬乏ⱅ⤲_x0018_＀＀_x0018_＀＀_x0008_＀＀_x0001_＀＀_x0001_＀＀_xD8E8_╁莮䀆_xD9B6_二&gt;卞䕐彃䑉䑟呁⡁䘧䑗䥌啂䑓䴳㜴ⵍ䑆㩓䝆奟䕉䑌Ⱗⰰⰰⱄ低䕎丬乏ⱅ⤲_x0018_＀＀_x0018_＀＀_x0008_＀＀_x0001_＀＀_x0001_＀＀鰆撥⤹䀀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6693</t>
        </r>
      </text>
    </comment>
  </commentList>
</comments>
</file>

<file path=xl/sharedStrings.xml><?xml version="1.0" encoding="utf-8"?>
<sst xmlns="http://schemas.openxmlformats.org/spreadsheetml/2006/main" count="1736" uniqueCount="1243">
  <si>
    <t>Subotal</t>
  </si>
  <si>
    <t>Segment Revenue Summary</t>
  </si>
  <si>
    <t>Percent of Revenues</t>
  </si>
  <si>
    <t>One-time Items</t>
  </si>
  <si>
    <t>Other One-time Items</t>
  </si>
  <si>
    <t xml:space="preserve">COGS </t>
  </si>
  <si>
    <t>SG&amp;A - MW</t>
  </si>
  <si>
    <t>% of Revs.</t>
  </si>
  <si>
    <t>Other OpEx</t>
  </si>
  <si>
    <t>Texas Instruments Inc. GAAP Income Statement</t>
  </si>
  <si>
    <t>Net Income, Cont. Ops.</t>
  </si>
  <si>
    <t>PBT</t>
  </si>
  <si>
    <t>PBT Margin %</t>
  </si>
  <si>
    <t>Total Interest Income (net) and Other Income</t>
  </si>
  <si>
    <t>Income Tax Expense (Benefit)</t>
  </si>
  <si>
    <t>Effective tax rate  %</t>
  </si>
  <si>
    <t>Income (Loss) from Discontinued Operations</t>
  </si>
  <si>
    <t>Average Basic Shares</t>
  </si>
  <si>
    <t>Average Diluted Shares</t>
  </si>
  <si>
    <t>Share Summary</t>
  </si>
  <si>
    <t>Wireless ex Baseband</t>
  </si>
  <si>
    <t>F3Q12A</t>
  </si>
  <si>
    <t>Printers</t>
  </si>
  <si>
    <t>Revenues by end market</t>
  </si>
  <si>
    <t>Consumer electronics</t>
  </si>
  <si>
    <t>excluding non core</t>
  </si>
  <si>
    <t xml:space="preserve">  </t>
  </si>
  <si>
    <t>F4Q12A</t>
  </si>
  <si>
    <t>Net Debt (Cash) Calculation</t>
  </si>
  <si>
    <t>Note: Average Diluted Shares</t>
  </si>
  <si>
    <t>Book Value Metrics</t>
  </si>
  <si>
    <t>Cash and Equivalents</t>
  </si>
  <si>
    <t>Short-term Marketable Securities</t>
  </si>
  <si>
    <t>Long-term Marketable Securities</t>
  </si>
  <si>
    <t>F2Q13A</t>
  </si>
  <si>
    <t>Total Cash and Securities</t>
  </si>
  <si>
    <t>Principal Value of Debt</t>
  </si>
  <si>
    <t>Net Debt</t>
  </si>
  <si>
    <t>Note: Net working capital</t>
  </si>
  <si>
    <t>Net Debt per Share</t>
  </si>
  <si>
    <t>Long-term Debt (includes ST portion)</t>
  </si>
  <si>
    <t>Enterprise Systems</t>
  </si>
  <si>
    <t>Proceeds (payments) of outstanding debt</t>
  </si>
  <si>
    <t>Comms Infrastructure</t>
  </si>
  <si>
    <t>Storage</t>
  </si>
  <si>
    <t>Servers</t>
  </si>
  <si>
    <t>Monitors (DLP data projectors)</t>
  </si>
  <si>
    <t>Other Industrial</t>
  </si>
  <si>
    <t>OMAP + Connectivity</t>
  </si>
  <si>
    <t>EPS - Adjusted for Consensus</t>
  </si>
  <si>
    <t>Other One-time Items (Insurance Proceeds)</t>
  </si>
  <si>
    <t>Legacy</t>
  </si>
  <si>
    <t>Ongoing</t>
  </si>
  <si>
    <t>(Old) Embedded Processing</t>
  </si>
  <si>
    <r>
      <t xml:space="preserve">Old </t>
    </r>
    <r>
      <rPr>
        <sz val="11"/>
        <rFont val="Arial"/>
        <family val="2"/>
      </rPr>
      <t>% Operating Margin</t>
    </r>
  </si>
  <si>
    <r>
      <t xml:space="preserve">New </t>
    </r>
    <r>
      <rPr>
        <sz val="11"/>
        <rFont val="Arial"/>
        <family val="2"/>
      </rPr>
      <t>% Operating Margin</t>
    </r>
  </si>
  <si>
    <r>
      <t>Old</t>
    </r>
    <r>
      <rPr>
        <sz val="11"/>
        <rFont val="Arial"/>
        <family val="2"/>
      </rPr>
      <t xml:space="preserve"> Operating Profit (GAAP)</t>
    </r>
  </si>
  <si>
    <r>
      <t>New</t>
    </r>
    <r>
      <rPr>
        <sz val="11"/>
        <rFont val="Arial"/>
        <family val="2"/>
      </rPr>
      <t xml:space="preserve"> Operating Profit (GAAP)</t>
    </r>
  </si>
  <si>
    <r>
      <t xml:space="preserve">Old </t>
    </r>
    <r>
      <rPr>
        <sz val="11"/>
        <rFont val="Arial"/>
        <family val="2"/>
      </rPr>
      <t>Restructuring</t>
    </r>
  </si>
  <si>
    <r>
      <t xml:space="preserve">New </t>
    </r>
    <r>
      <rPr>
        <sz val="11"/>
        <rFont val="Arial"/>
        <family val="2"/>
      </rPr>
      <t>Restructuring</t>
    </r>
  </si>
  <si>
    <t>Note: Implied Op Profits of New Embedded</t>
  </si>
  <si>
    <r>
      <t>Old:</t>
    </r>
    <r>
      <rPr>
        <b/>
        <sz val="11"/>
        <rFont val="Arial"/>
        <family val="2"/>
      </rPr>
      <t xml:space="preserve"> Wireless</t>
    </r>
  </si>
  <si>
    <t>RFID / Other</t>
  </si>
  <si>
    <r>
      <t>Old</t>
    </r>
    <r>
      <rPr>
        <sz val="11"/>
        <rFont val="Arial"/>
        <family val="2"/>
      </rPr>
      <t xml:space="preserve"> Other Revenue</t>
    </r>
  </si>
  <si>
    <t>Wireless Included in Other</t>
  </si>
  <si>
    <t>F1Q13A</t>
  </si>
  <si>
    <t>EBITDA &amp; Tax Adjusted Earnings</t>
  </si>
  <si>
    <t>Taxes</t>
  </si>
  <si>
    <t>Adj. Net Income</t>
  </si>
  <si>
    <t>MW Taxes</t>
  </si>
  <si>
    <t>US Tax Rate</t>
  </si>
  <si>
    <t>Tax Adj. EPS</t>
  </si>
  <si>
    <t>Tax Adjustment</t>
  </si>
  <si>
    <t>Note: Tax Adjusted Figures</t>
  </si>
  <si>
    <t>% Reinvested vs. % Reserved</t>
  </si>
  <si>
    <t>Less: Capex</t>
  </si>
  <si>
    <t>Plus: Net Interest Expense</t>
  </si>
  <si>
    <t>Unlevered FCF</t>
  </si>
  <si>
    <t>Plus: Depreciation</t>
  </si>
  <si>
    <t>Plus: Amortization</t>
  </si>
  <si>
    <t>EBITDA</t>
  </si>
  <si>
    <r>
      <t>Old</t>
    </r>
    <r>
      <rPr>
        <sz val="11"/>
        <rFont val="Arial"/>
        <family val="2"/>
      </rPr>
      <t xml:space="preserve"> Other Product Lines</t>
    </r>
  </si>
  <si>
    <r>
      <t xml:space="preserve">New </t>
    </r>
    <r>
      <rPr>
        <sz val="11"/>
        <rFont val="Arial"/>
        <family val="2"/>
      </rPr>
      <t>Other Product Lines</t>
    </r>
  </si>
  <si>
    <t>Legacy Wireless</t>
  </si>
  <si>
    <r>
      <t xml:space="preserve">Old </t>
    </r>
    <r>
      <rPr>
        <sz val="11"/>
        <rFont val="Arial"/>
        <family val="2"/>
      </rPr>
      <t>Other Operating Profit (GAAP)</t>
    </r>
  </si>
  <si>
    <r>
      <t xml:space="preserve">New </t>
    </r>
    <r>
      <rPr>
        <sz val="11"/>
        <rFont val="Arial"/>
        <family val="2"/>
      </rPr>
      <t>Other Operating Profit (GAAP)</t>
    </r>
  </si>
  <si>
    <t>Less: RFID / Other</t>
  </si>
  <si>
    <r>
      <t>Old</t>
    </r>
    <r>
      <rPr>
        <sz val="11"/>
        <color indexed="10"/>
        <rFont val="Arial"/>
        <family val="2"/>
      </rPr>
      <t xml:space="preserve"> </t>
    </r>
    <r>
      <rPr>
        <sz val="11"/>
        <rFont val="Arial"/>
        <family val="2"/>
      </rPr>
      <t>% Operating Margin</t>
    </r>
  </si>
  <si>
    <t>Smartphones / Tablets</t>
  </si>
  <si>
    <t>($ in millions; fiscal year ends in December)</t>
  </si>
  <si>
    <t>Extraordinary</t>
  </si>
  <si>
    <t>Revenues - MW</t>
  </si>
  <si>
    <t>ISO4217:USD</t>
  </si>
  <si>
    <t>COGS - MW</t>
  </si>
  <si>
    <t>Gross Margin - GAAP</t>
  </si>
  <si>
    <t>Gross Profit - MW</t>
  </si>
  <si>
    <t>Gross Margin - MW</t>
  </si>
  <si>
    <t>R&amp;D - MW</t>
  </si>
  <si>
    <t>Other OpEx - MW</t>
  </si>
  <si>
    <t>Operating Expenses - MW</t>
  </si>
  <si>
    <t>Operating Income - MW</t>
  </si>
  <si>
    <t>Operating Margin MW%</t>
  </si>
  <si>
    <t>Interest income (expense), net</t>
  </si>
  <si>
    <t>Other income (expense), net</t>
  </si>
  <si>
    <t>Other interest income 1x</t>
  </si>
  <si>
    <t>Total Interest Income (net) and Other Income - MW</t>
  </si>
  <si>
    <t>PBT - MW</t>
  </si>
  <si>
    <t>PBT Margin MW%</t>
  </si>
  <si>
    <t>Taxes-Extraordinary</t>
  </si>
  <si>
    <t>Income Tax Expense (Benefit) - MW</t>
  </si>
  <si>
    <t>Effective tax rate MW</t>
  </si>
  <si>
    <t>Extraordinary, net of tax</t>
  </si>
  <si>
    <t>mstag:netIncomeAdjustedForConsensus</t>
  </si>
  <si>
    <t>Net Income, Cont. Ops. - MW</t>
  </si>
  <si>
    <t>Net Income Margin MW%</t>
  </si>
  <si>
    <t>Net Income - GAAP</t>
  </si>
  <si>
    <t>Net Income Margin GAAP %</t>
  </si>
  <si>
    <t>EPS - GAAP</t>
  </si>
  <si>
    <t xml:space="preserve">EPS - MW </t>
  </si>
  <si>
    <t>Period-end Shares</t>
  </si>
  <si>
    <t>Dividends Declared Per Share</t>
  </si>
  <si>
    <t>Average Price Per Share</t>
  </si>
  <si>
    <t>Statutory Tax (%)</t>
  </si>
  <si>
    <t>Operating Expenses</t>
  </si>
  <si>
    <t>2005-Q1</t>
  </si>
  <si>
    <t>2005-Q2</t>
  </si>
  <si>
    <t>2005-Q3</t>
  </si>
  <si>
    <t>2005-Q4</t>
  </si>
  <si>
    <t>2006-Q1</t>
  </si>
  <si>
    <t>2006-Q2</t>
  </si>
  <si>
    <t>2006-Q3</t>
  </si>
  <si>
    <t>2006-Q4</t>
  </si>
  <si>
    <t>2007-Q1</t>
  </si>
  <si>
    <t>2007-Q2</t>
  </si>
  <si>
    <t>2007-Q3</t>
  </si>
  <si>
    <t>2007-Q4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</si>
  <si>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</si>
  <si>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</si>
  <si>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</si>
  <si>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</si>
  <si>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</si>
  <si>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</si>
  <si>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</si>
  <si>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</si>
  <si>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</si>
  <si>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</si>
  <si>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</si>
  <si>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</si>
  <si>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</si>
  <si>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</si>
  <si>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</si>
  <si>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</si>
  <si>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</si>
  <si>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</si>
  <si>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</si>
  <si>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</si>
  <si>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</si>
  <si>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</si>
  <si>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</si>
  <si>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</si>
  <si>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</si>
  <si>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</si>
  <si>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</si>
  <si>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</si>
  <si>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2005-FY</t>
  </si>
  <si>
    <t>2006-FY</t>
  </si>
  <si>
    <t>2007-FY</t>
  </si>
  <si>
    <t>2008-FY</t>
  </si>
  <si>
    <t>2009-FY</t>
  </si>
  <si>
    <t>2010-FY</t>
  </si>
  <si>
    <t>2011-FY</t>
  </si>
  <si>
    <t>2012-FY</t>
  </si>
  <si>
    <t>2013-FY</t>
  </si>
  <si>
    <t>2014-FY</t>
  </si>
  <si>
    <t>2015-FY</t>
  </si>
  <si>
    <t>2016-FY</t>
  </si>
  <si>
    <t>2017-FY</t>
  </si>
  <si>
    <t>2018-FY</t>
  </si>
  <si>
    <t>Actual/Estimate Toggle</t>
  </si>
  <si>
    <t>Fiscal Year</t>
  </si>
  <si>
    <t>Fiscal Quarter</t>
  </si>
  <si>
    <t>Calendar Year</t>
  </si>
  <si>
    <t>Calendar Quarter</t>
  </si>
  <si>
    <t>USD</t>
  </si>
  <si>
    <t>A</t>
  </si>
  <si>
    <t>Assets</t>
  </si>
  <si>
    <t>Cash and cash equivalents</t>
  </si>
  <si>
    <t>Inventories</t>
  </si>
  <si>
    <t>Prepaid expenses and other current assets</t>
  </si>
  <si>
    <t>Total Current Assets</t>
  </si>
  <si>
    <t>Goodwill</t>
  </si>
  <si>
    <t>Total Assets</t>
  </si>
  <si>
    <t>Liabilities &amp; Shareholders' Equity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</si>
  <si>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</si>
  <si>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</si>
  <si>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</si>
  <si>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</si>
  <si>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</si>
  <si>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</si>
  <si>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</si>
  <si>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</si>
  <si>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</si>
  <si>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Prepaid expenses and other current assets % of Revenues</t>
  </si>
  <si>
    <t>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</si>
  <si>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</si>
  <si>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</si>
  <si>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</si>
  <si>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</si>
  <si>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</si>
  <si>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</si>
  <si>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</si>
  <si>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</si>
  <si>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</si>
  <si>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Auto</t>
  </si>
  <si>
    <t>Personal Electronics</t>
  </si>
  <si>
    <t>Comm Equipment</t>
  </si>
  <si>
    <t>Enterprise</t>
  </si>
  <si>
    <t>Accumulated other comprehensive income (loss)</t>
  </si>
  <si>
    <t>vs. Balance Sheet</t>
  </si>
  <si>
    <t>Balance Sheet Metrics</t>
  </si>
  <si>
    <t>Book value per share</t>
  </si>
  <si>
    <t>Tangible book value</t>
  </si>
  <si>
    <t>Tangible book value per share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</si>
  <si>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</si>
  <si>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</si>
  <si>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</si>
  <si>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</si>
  <si>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</si>
  <si>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Adjustments to reconcile net income to net cash provided by operating activities:</t>
  </si>
  <si>
    <t>Other operating activities</t>
  </si>
  <si>
    <t>Changes in current assets and liabilities:</t>
  </si>
  <si>
    <t>Accounts receivable</t>
  </si>
  <si>
    <t>Net cash provided by operating activities</t>
  </si>
  <si>
    <t>Cash flows from investing activities:</t>
  </si>
  <si>
    <t>Purchase of property and equipment, net</t>
  </si>
  <si>
    <t>Purchase of short-term investments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</si>
  <si>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</si>
  <si>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</si>
  <si>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</si>
  <si>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</si>
  <si>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</si>
  <si>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</si>
  <si>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</si>
  <si>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</si>
  <si>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</si>
  <si>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</si>
  <si>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</si>
  <si>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</si>
  <si>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</si>
  <si>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</si>
  <si>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</si>
  <si>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</si>
  <si>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</si>
  <si>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</si>
  <si>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</si>
  <si>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Total Depreciation and Amortization</t>
  </si>
  <si>
    <t>Percentage of Gross PP&amp;E</t>
  </si>
  <si>
    <t>vs. Cash Flow Statement</t>
  </si>
  <si>
    <t>Cash Flow Statement Metrics</t>
  </si>
  <si>
    <t>Free Cash Flow</t>
  </si>
  <si>
    <t>Adjusted FCF</t>
  </si>
  <si>
    <t>Revenue</t>
  </si>
  <si>
    <t>Gross Margin</t>
  </si>
  <si>
    <t>BRCM.O,mscalc:sedolCodeCalc</t>
  </si>
  <si>
    <t>BRCM.O,mscalc:closePriceCurrencyCalc</t>
  </si>
  <si>
    <t>BRCM.O,mscalc:targetPrice,,,,USD</t>
  </si>
  <si>
    <t>NA</t>
  </si>
  <si>
    <t>F1Q14A</t>
  </si>
  <si>
    <t>Q-o-Q growth</t>
  </si>
  <si>
    <t>Y-o-Y growth</t>
  </si>
  <si>
    <t>Percent of Revenue</t>
  </si>
  <si>
    <t>BU / Income Statement Check</t>
  </si>
  <si>
    <t>100% Check</t>
  </si>
  <si>
    <t>This sheet contains Factset binary data for use with this workbook's =FDS codes.  Modifying the worksheet's contents may damage the workbook's =FDS functionality.</t>
  </si>
  <si>
    <t>Difference</t>
  </si>
  <si>
    <t>Gross Profit</t>
  </si>
  <si>
    <t>R&amp;D</t>
  </si>
  <si>
    <t>SG&amp;A</t>
  </si>
  <si>
    <t>Operating Income</t>
  </si>
  <si>
    <t>Operating Margin</t>
  </si>
  <si>
    <t>Net Income</t>
  </si>
  <si>
    <t>Bull Case</t>
  </si>
  <si>
    <t>Base Case</t>
  </si>
  <si>
    <t>Bear Case</t>
  </si>
  <si>
    <t>Currency</t>
  </si>
  <si>
    <t>Current Stock Price</t>
  </si>
  <si>
    <t>Count</t>
  </si>
  <si>
    <t>Comm Infrastructure</t>
  </si>
  <si>
    <t>PCs and Other</t>
  </si>
  <si>
    <t>Common stock repurchase</t>
  </si>
  <si>
    <t>Accounts payable and accrued expenses</t>
  </si>
  <si>
    <t>Other liabilities</t>
  </si>
  <si>
    <t>Issue of Common Stock/Tax benefit/Purchase of options</t>
  </si>
  <si>
    <t>Other</t>
  </si>
  <si>
    <t>F3Q13A</t>
  </si>
  <si>
    <t>LSCC.O,mscalc:sedolCodeCalc</t>
  </si>
  <si>
    <t>LSCC.O,mscalc:closePriceCurrencyCalc</t>
  </si>
  <si>
    <t>LSCC.O,mscalc:targetPrice,,,,USD</t>
  </si>
  <si>
    <t>2506658</t>
  </si>
  <si>
    <t>Property and equipment, net</t>
  </si>
  <si>
    <t>Short term marketable securities</t>
  </si>
  <si>
    <t>Texas Instruments</t>
  </si>
  <si>
    <t>TXN.N,mscalc:sedolCodeCalc</t>
  </si>
  <si>
    <t>TXN.N,mscalc:targetPrice,,,,USD</t>
  </si>
  <si>
    <t>TXN.N,mscalc:closePriceCurrencyCalc</t>
  </si>
  <si>
    <t>Texas Instruments Inc.</t>
  </si>
  <si>
    <t>Texas Instruments Inc. Bottoms Up Model</t>
  </si>
  <si>
    <t>Texas Instruments Inc. Balance Sheet</t>
  </si>
  <si>
    <t>Texas Instruments Statement of Cash Flows (Cumulative)</t>
  </si>
  <si>
    <t>Restructuring expense</t>
  </si>
  <si>
    <t>Acquisition cost</t>
  </si>
  <si>
    <t>Gain on divestiture</t>
  </si>
  <si>
    <t>Analog</t>
  </si>
  <si>
    <t>Embedded Processing</t>
  </si>
  <si>
    <t>Wireless</t>
  </si>
  <si>
    <t>Deferred income taxes</t>
  </si>
  <si>
    <t>Long-term investments</t>
  </si>
  <si>
    <t>Acquisition-related intangibles</t>
  </si>
  <si>
    <t>Capitalized software licenses</t>
  </si>
  <si>
    <t>Other assets</t>
  </si>
  <si>
    <t>Accounts payables</t>
  </si>
  <si>
    <t>Accrued expenses and other liabilities</t>
  </si>
  <si>
    <t>Income taxes payable</t>
  </si>
  <si>
    <t>Accrued compensation</t>
  </si>
  <si>
    <t>Purchase of long-term investments</t>
  </si>
  <si>
    <t>Sales and redemptions of long-term investments</t>
  </si>
  <si>
    <t>Sales and redemptions of short-term investments</t>
  </si>
  <si>
    <t>Dividends paid</t>
  </si>
  <si>
    <t>Amortization of acquired-related intangibles</t>
  </si>
  <si>
    <t>Stock-based compensation</t>
  </si>
  <si>
    <t xml:space="preserve">Depreciation </t>
  </si>
  <si>
    <t>Loss (gain) on sale of assets</t>
  </si>
  <si>
    <t>Net cash provided by discontinued operations</t>
  </si>
  <si>
    <t>Treasury stock</t>
  </si>
  <si>
    <t>% Operating Margin</t>
  </si>
  <si>
    <t>Operating Profit (GAAP)</t>
  </si>
  <si>
    <t>Operating Profit (non-GAAP)</t>
  </si>
  <si>
    <t>Restructuring</t>
  </si>
  <si>
    <t>Acquisition cost / divestiture (gain)</t>
  </si>
  <si>
    <t>Baseband</t>
  </si>
  <si>
    <t>Connectivity</t>
  </si>
  <si>
    <t>OMAP</t>
  </si>
  <si>
    <t>DSP</t>
  </si>
  <si>
    <t>Microcontrollers</t>
  </si>
  <si>
    <t>Power</t>
  </si>
  <si>
    <t>HVAL</t>
  </si>
  <si>
    <t>HPA</t>
  </si>
  <si>
    <t>DLP</t>
  </si>
  <si>
    <t>Custom ASIC</t>
  </si>
  <si>
    <t>Calculators</t>
  </si>
  <si>
    <t>Less income allocated to RSUs - GAAP</t>
  </si>
  <si>
    <t>Less income allocated to RSUs - non GAAP</t>
  </si>
  <si>
    <t>Total Handset Units (in millions)</t>
  </si>
  <si>
    <t>Total Smart Phone Units (in millions)</t>
  </si>
  <si>
    <t>Tablets (in millions)</t>
  </si>
  <si>
    <t>Bluetooth</t>
  </si>
  <si>
    <t>% Bluetooth Share of Handsets ex Smart Phones</t>
  </si>
  <si>
    <t>% Bluetooth Share of Smart Phones</t>
  </si>
  <si>
    <t>% Bluetooth Share of Tablets</t>
  </si>
  <si>
    <t>Bluetooth Chips in Handsets ex Smart Phones</t>
  </si>
  <si>
    <t>Bluetooth Chips in Smart Phones</t>
  </si>
  <si>
    <t>Bluetooth Chips in Tablets</t>
  </si>
  <si>
    <t>GPS</t>
  </si>
  <si>
    <t>F4Q13A</t>
  </si>
  <si>
    <t>% GPS Share of Handsets ex Smart Phones</t>
  </si>
  <si>
    <t>% GPS Share of Smart Phones</t>
  </si>
  <si>
    <t>% GPS Share of Tablets</t>
  </si>
  <si>
    <t>GPS Chips in Handsets ex Smart Phones</t>
  </si>
  <si>
    <t>GPS Chips in Smart Phones</t>
  </si>
  <si>
    <t>GPS Chips in Tablets</t>
  </si>
  <si>
    <t>NFC</t>
  </si>
  <si>
    <t>% NFC Share of Handsets ex Smart Phones</t>
  </si>
  <si>
    <t>% NFC Share of Smart Phones</t>
  </si>
  <si>
    <t>% NFC Share of Tablets</t>
  </si>
  <si>
    <t>NFC Chips in Handsets ex Smart Phones</t>
  </si>
  <si>
    <t>NFC Chips in Smart Phones</t>
  </si>
  <si>
    <t>NFC Chips in Tablets</t>
  </si>
  <si>
    <t>Bluetooth Chips in Handsets ex Smart Phones ASP</t>
  </si>
  <si>
    <t>Bluetooth Chips in Smart Phones ASP</t>
  </si>
  <si>
    <t>% TXN Share of Tablets w/ Bluetooth</t>
  </si>
  <si>
    <t>% TXN Share of Smart Phones w/ Bluetooth</t>
  </si>
  <si>
    <t>% TXN Share of Handsets ex Smart Phones w/ Bluetooth</t>
  </si>
  <si>
    <t>Bluetooth Chips in Tablets ASP</t>
  </si>
  <si>
    <t>GPS Chips in Handsets ex Smart Phones ASP</t>
  </si>
  <si>
    <t>GPS Chips in Smart Phones ASP</t>
  </si>
  <si>
    <t>GPS Chips in Tablets ASP</t>
  </si>
  <si>
    <t>Net Income (Less income allocated to RSUs) - GAAP</t>
  </si>
  <si>
    <t>% TXN Share of Handsets ex Smart Phones w/ GPS</t>
  </si>
  <si>
    <t>% TXN Share of Smart Phones w/ GPS</t>
  </si>
  <si>
    <t>% TXN Share of Tablets w/ GPS</t>
  </si>
  <si>
    <t>% TXN Share of Handsets ex Smart Phones w/ NFC</t>
  </si>
  <si>
    <t>% TXN Share of Smart Phones w/ NFC</t>
  </si>
  <si>
    <t>% TXN Share of Tablets w/ NFC</t>
  </si>
  <si>
    <t>NFC Chips in Handsets ex Smart Phones ASP</t>
  </si>
  <si>
    <t>NFC Chips in Smart Phones ASP</t>
  </si>
  <si>
    <t>NFC Chips in Tablets ASP</t>
  </si>
  <si>
    <t>Royalties</t>
  </si>
  <si>
    <t>TXN.N,mscalc:targetPrice</t>
  </si>
  <si>
    <t>,mscalc:sedolCodeCalc</t>
  </si>
  <si>
    <t>,mscalc:targetPrice,,,,USD</t>
  </si>
  <si>
    <t>,mscalc:closePriceCurrencyCalc</t>
  </si>
  <si>
    <t>TXN.O</t>
  </si>
  <si>
    <t>TXN.O,mscalc:targetPrice,,,,USD</t>
  </si>
  <si>
    <t>35</t>
  </si>
  <si>
    <t>TXN.0,mscalc:closePriceCurrencyCalc</t>
  </si>
  <si>
    <t>TXN.0,mscalc:targetPrice,,,,USD</t>
  </si>
  <si>
    <t>TXN.O,mscalc:closePriceCurrencyCalc</t>
  </si>
  <si>
    <t>TXN.0,mscalc:sedolCodeCalc</t>
  </si>
  <si>
    <t>TXN.O,mscalc:sedolCodeCalc</t>
  </si>
  <si>
    <t>2885409</t>
  </si>
  <si>
    <t>TXN.O,mscalc:targetPrice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</si>
  <si>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</si>
  <si>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</si>
  <si>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</si>
  <si>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</si>
  <si>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</si>
  <si>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</si>
  <si>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</si>
  <si>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</si>
  <si>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</si>
  <si>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</si>
  <si>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</si>
  <si>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</si>
  <si>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</si>
  <si>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</si>
  <si>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</si>
  <si>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</si>
  <si>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</si>
  <si>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</si>
  <si>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F2Q14E</t>
  </si>
  <si>
    <t>FY2007A</t>
  </si>
  <si>
    <t>FY2008A</t>
  </si>
  <si>
    <t>FY2009A</t>
  </si>
  <si>
    <t>FY2010A</t>
  </si>
  <si>
    <t>FY2017E</t>
  </si>
  <si>
    <t>FY2018E</t>
  </si>
  <si>
    <t>FY2019E</t>
  </si>
  <si>
    <t>EPS - Consensus</t>
  </si>
  <si>
    <t>Key Metrics</t>
  </si>
  <si>
    <t>Key Markets by Revenue ($)</t>
  </si>
  <si>
    <t xml:space="preserve">Total </t>
  </si>
  <si>
    <t>Key Markets by Units (in millions)</t>
  </si>
  <si>
    <t>Key Markets by ASP ($ per Unit)</t>
  </si>
  <si>
    <t>Average</t>
  </si>
  <si>
    <t>Top Down Market Model Build</t>
  </si>
  <si>
    <t>Analyst's Bull Case Scenario</t>
  </si>
  <si>
    <t>Analyst's Base Case Scenario; Generally = Official Case</t>
  </si>
  <si>
    <t>Analyst's Bear Case Scenario</t>
  </si>
  <si>
    <t>Revenues by Product ($)</t>
  </si>
  <si>
    <t>Revenues by Product (%)</t>
  </si>
  <si>
    <t>Revenues by Geography ($)</t>
  </si>
  <si>
    <t>United States</t>
  </si>
  <si>
    <t>Europe</t>
  </si>
  <si>
    <t>Japan</t>
  </si>
  <si>
    <t>Revenues by Geography (%)</t>
  </si>
  <si>
    <t>Nokia</t>
  </si>
  <si>
    <t>Asia</t>
  </si>
  <si>
    <t>Rest of World</t>
  </si>
  <si>
    <t>Revenues by Major Customer ($)</t>
  </si>
  <si>
    <t>Internal wafer fabrication capacity (%)</t>
  </si>
  <si>
    <t>Orders ($ in millions)</t>
  </si>
  <si>
    <t>Revenue by Major Customer (%)</t>
  </si>
  <si>
    <t>Backlog ($ in millions)</t>
  </si>
  <si>
    <t>Distributors</t>
  </si>
  <si>
    <t>Key OEM Markets by Units (in millions)</t>
  </si>
  <si>
    <t>Handsets</t>
  </si>
  <si>
    <t>Smartphones</t>
  </si>
  <si>
    <t>Handsets ex Smartphones</t>
  </si>
  <si>
    <t>Tablets</t>
  </si>
  <si>
    <t>Wi-Fi</t>
  </si>
  <si>
    <t>% Wi-Fi Share of Handsets ex Smart Phones</t>
  </si>
  <si>
    <t>% Wi-Fi Share of Smart Phones</t>
  </si>
  <si>
    <t>% Wi-Fi Share of Tablets</t>
  </si>
  <si>
    <t>% TXN Share of Handsets ex Smart Phones w/ Wi-Fi</t>
  </si>
  <si>
    <t>% TXN Share of Smart Phones w/ Wi-Fi</t>
  </si>
  <si>
    <t>% TXN Share of Tablets w/ Wi-Fi</t>
  </si>
  <si>
    <t>Wi-Fi Chips in Handsets ex Smart Phones ASP</t>
  </si>
  <si>
    <t>Wi-Fi Chips in Smart Phones ASP</t>
  </si>
  <si>
    <t>Wi-Fi Chips in Tablets ASP</t>
  </si>
  <si>
    <t>Wi-Fi Chips in Handsets ex Smart Phones</t>
  </si>
  <si>
    <t>Wi-Fi Chips in Smart Phones</t>
  </si>
  <si>
    <t>Wi-Fi Chips in Tablets</t>
  </si>
  <si>
    <t>Embedded</t>
  </si>
  <si>
    <t>Gross Margins</t>
  </si>
  <si>
    <t>Operating Profit (GAAP) by Segment ($)</t>
  </si>
  <si>
    <t>Restructuring and Acquisition Cost by Segment ($)</t>
  </si>
  <si>
    <t>Other (Restructuring)</t>
  </si>
  <si>
    <t>Other (Acquisition cost / divestiture (gain))</t>
  </si>
  <si>
    <t>Other Other</t>
  </si>
  <si>
    <t>Book-to-Bill</t>
  </si>
  <si>
    <t>F2Q18E</t>
  </si>
  <si>
    <t>F3Q18E</t>
  </si>
  <si>
    <t>F4Q18E</t>
  </si>
  <si>
    <t>Analog Revenue</t>
  </si>
  <si>
    <t xml:space="preserve"> </t>
  </si>
  <si>
    <t>Q-o-Q organic growth</t>
  </si>
  <si>
    <t>Y-o-Y organic growth</t>
  </si>
  <si>
    <t>Wireless Revenue</t>
  </si>
  <si>
    <t>Depreciation</t>
  </si>
  <si>
    <t>Last 5 Year Average</t>
  </si>
  <si>
    <t>COGS Build Up</t>
  </si>
  <si>
    <t>Subtotal</t>
  </si>
  <si>
    <t>Cost of building foundry product</t>
  </si>
  <si>
    <t>Consensus revs</t>
  </si>
  <si>
    <t>Consensus Gross Margin</t>
  </si>
  <si>
    <t>Y/Y Change</t>
  </si>
  <si>
    <t>F1Q05A</t>
  </si>
  <si>
    <t>F2Q05A</t>
  </si>
  <si>
    <t>F3Q05A</t>
  </si>
  <si>
    <t>F4Q05A</t>
  </si>
  <si>
    <t>F1Q06A</t>
  </si>
  <si>
    <t>F2Q06A</t>
  </si>
  <si>
    <t>F3Q06A</t>
  </si>
  <si>
    <t>F4Q06A</t>
  </si>
  <si>
    <t>F3Q11A</t>
  </si>
  <si>
    <t>F4Q11A</t>
  </si>
  <si>
    <t>F1Q12A</t>
  </si>
  <si>
    <t>FY2005A</t>
  </si>
  <si>
    <t>FY2006A</t>
  </si>
  <si>
    <t>FY2011A</t>
  </si>
  <si>
    <t>Company</t>
  </si>
  <si>
    <t>Note: Operating Profit ex Wireless</t>
  </si>
  <si>
    <t>F2Q12A</t>
  </si>
  <si>
    <t>Q/Q Change</t>
  </si>
  <si>
    <t>Communications</t>
  </si>
  <si>
    <t>Computing</t>
  </si>
  <si>
    <t>Industrial</t>
  </si>
  <si>
    <t>Automotive</t>
  </si>
  <si>
    <t>Education</t>
  </si>
  <si>
    <t>Organic Revenues (excluding NSM)</t>
  </si>
  <si>
    <t>SVA Revenues (est.)</t>
  </si>
  <si>
    <t>Estimated Breakdown</t>
  </si>
  <si>
    <t>Connectivity Revenue</t>
  </si>
  <si>
    <t>F2Q14A</t>
  </si>
  <si>
    <t>F3Q14A</t>
  </si>
  <si>
    <t>bottom up other</t>
  </si>
  <si>
    <t>Calculators / Others</t>
  </si>
  <si>
    <t>Net income adjusted for consensus</t>
  </si>
  <si>
    <t>Do not Delete</t>
  </si>
  <si>
    <t>F4Q14A</t>
  </si>
  <si>
    <t>F1Q15A</t>
  </si>
  <si>
    <t>F2Q15A</t>
  </si>
  <si>
    <t>F3Q15A</t>
  </si>
  <si>
    <r>
      <t xml:space="preserve">(New) </t>
    </r>
    <r>
      <rPr>
        <b/>
        <sz val="11"/>
        <rFont val="Arial"/>
        <family val="2"/>
      </rPr>
      <t>Embedded Processing</t>
    </r>
  </si>
  <si>
    <t>Others</t>
  </si>
  <si>
    <t>Embedded processing</t>
  </si>
  <si>
    <t>F4Q15A</t>
  </si>
  <si>
    <t>F1Q16A</t>
  </si>
  <si>
    <t>F2Q16A</t>
  </si>
  <si>
    <t>F3Q16A</t>
  </si>
  <si>
    <t>Historic COGS (top down)</t>
  </si>
  <si>
    <t>% of revenue from foundry wafers:</t>
  </si>
  <si>
    <t>Revenue from foundry wafers</t>
  </si>
  <si>
    <t>Total revenue from foundry</t>
  </si>
  <si>
    <t>% of total revenues from foundry</t>
  </si>
  <si>
    <t>Variable portion of COGS:</t>
  </si>
  <si>
    <t>Gross margins on foundry product</t>
  </si>
  <si>
    <t>ASIC</t>
  </si>
  <si>
    <t>COGS from foundry related products</t>
  </si>
  <si>
    <t>Assumed wafer costs from foundry:</t>
  </si>
  <si>
    <t>Test and packaging</t>
  </si>
  <si>
    <t>Calculator COGS (assume 60% GMs)</t>
  </si>
  <si>
    <t>% of revenues from test and packaging by segment</t>
  </si>
  <si>
    <t>Other (ex calculators and royalties)</t>
  </si>
  <si>
    <t>test and packaging costs</t>
  </si>
  <si>
    <t>Other fixed costs</t>
  </si>
  <si>
    <t>Underutilization charges</t>
  </si>
  <si>
    <t>DMOS 6 utilzation ($3 bn analog revenue potential)</t>
  </si>
  <si>
    <t>RFAB utilization ($5 bn analog revenue potential)</t>
  </si>
  <si>
    <t>Analog revenue on 300 mm</t>
  </si>
  <si>
    <t>% of analog on smaller wafers</t>
  </si>
  <si>
    <t>% of analog revenue on 300 mm (assume 40% lower die cost)</t>
  </si>
  <si>
    <t>indexed die cost (200 mm = 100)</t>
  </si>
  <si>
    <t>Adjustment for 300 mm migration:</t>
  </si>
  <si>
    <t>End market exposures (estimated on quarterly basis)</t>
  </si>
  <si>
    <t>percent of revs</t>
  </si>
  <si>
    <t>revenue</t>
  </si>
  <si>
    <t>check</t>
  </si>
  <si>
    <t>total</t>
  </si>
  <si>
    <t>revenue y/y</t>
  </si>
  <si>
    <t>FY2014A</t>
  </si>
  <si>
    <t>FY2015A</t>
  </si>
  <si>
    <t>TXN.O,mstag:revenueNet,2015FY,,FYR</t>
  </si>
  <si>
    <t>XLNX.O,mstag:revenueNet,2016FY,,FYR</t>
  </si>
  <si>
    <t>TXN.O,mstag:revenueNet,2017FY,,FYR</t>
  </si>
  <si>
    <t>MXIM.O,mstag:revenueNet,2017FY,,FYR</t>
  </si>
  <si>
    <t>MXIM.O,mstag:revenueNet,2015FY,,FYR</t>
  </si>
  <si>
    <t>XLNX.O,mstag:revenueNet,2015FY,,FYR</t>
  </si>
  <si>
    <t>TXN.O,mstag:revenueNet,2016FY,,FYR</t>
  </si>
  <si>
    <t>LLTC.O,mstag:revenueNet,2016FY,,FYR</t>
  </si>
  <si>
    <t>QCOM.O,mstag:revenueNet,2015FY,,FYR</t>
  </si>
  <si>
    <t>LLTC.O,mstag:revenueNet,2015FY,,FYR</t>
  </si>
  <si>
    <t>INTC.O,mstag:revenueNet,2016FY,,FYR</t>
  </si>
  <si>
    <t>XLNX.O,mstag:revenueNet,2017FY,,FYR</t>
  </si>
  <si>
    <t>QCOM.O,mstag:revenueNet,2017FY,,FYR</t>
  </si>
  <si>
    <t>LLTC.O,mstag:revenueNet,2017FY,,FYR</t>
  </si>
  <si>
    <t>QCOM.O,mstag:revenueNet,2016FY,,FYR</t>
  </si>
  <si>
    <t>MXIM.O,mstag:revenueNet,2016FY,,FYR</t>
  </si>
  <si>
    <t>INTC.O,mstag:revenueNet,2015FY,,FYR</t>
  </si>
  <si>
    <t>INTC.O,mstag:revenueNet,2017FY,,FYR</t>
  </si>
  <si>
    <t>13,000</t>
  </si>
  <si>
    <t>2,213.881</t>
  </si>
  <si>
    <t>13,992.7228974753</t>
  </si>
  <si>
    <t>2,237.01810193884</t>
  </si>
  <si>
    <t>2,306.864</t>
  </si>
  <si>
    <t>2,377.344</t>
  </si>
  <si>
    <t>13,320.0101656316</t>
  </si>
  <si>
    <t>1,423.936</t>
  </si>
  <si>
    <t>25,277</t>
  </si>
  <si>
    <t>1,475.139</t>
  </si>
  <si>
    <t>58,716.8711540635</t>
  </si>
  <si>
    <t>2,335.57041902222</t>
  </si>
  <si>
    <t>23,786.4073093297</t>
  </si>
  <si>
    <t>1,543.32769190681</t>
  </si>
  <si>
    <t>23,490.8774577685</t>
  </si>
  <si>
    <t>2,194.719</t>
  </si>
  <si>
    <t>55,355</t>
  </si>
  <si>
    <t>59,775.7675984896</t>
  </si>
  <si>
    <t>XLNX.O,mscalc:epsForConsensusForThomsonFeed,2015FY,,FYR</t>
  </si>
  <si>
    <t>ADI.O,mscalc:epsForConsensusForThomsonFeed,2017FY,,FYR</t>
  </si>
  <si>
    <t>ADI.O,mscalc:epsForConsensusForThomsonFeed,2016FY,,FYR</t>
  </si>
  <si>
    <t>AVGO.O,mscalc:epsForConsensusForThomsonFeed,2016FY,,FYR</t>
  </si>
  <si>
    <t>TXN.O,mscalc:epsForConsensusForThomsonFeed,2016FY,,FYR</t>
  </si>
  <si>
    <t>QCOM.O,mscalc:epsForConsensusForThomsonFeed,2015FY,,FYR</t>
  </si>
  <si>
    <t>MXIM.O,mscalc:epsForConsensusForThomsonFeed,2015FY,,FYR</t>
  </si>
  <si>
    <t>AVGO.O,mscalc:epsForConsensusForThomsonFeed,2015FY,,FYR</t>
  </si>
  <si>
    <t>NXPI.O,mscalc:epsForConsensusForThomsonFeed,2016FY,,FYR</t>
  </si>
  <si>
    <t>INTC.O,mscalc:epsForConsensusForThomsonFeed,2016FY,,FYR</t>
  </si>
  <si>
    <t>QCOM.O,mscalc:epsForConsensusForThomsonFeed,2016FY,,FYR</t>
  </si>
  <si>
    <t>NXPI.O,mscalc:epsForConsensusForThomsonFeed,2015FY,,FYR</t>
  </si>
  <si>
    <t>LLTC.O,mscalc:epsForConsensusForThomsonFeed,2016FY,,FYR</t>
  </si>
  <si>
    <t>TXN.O,mscalc:epsForConsensusForThomsonFeed,2015FY,,FYR</t>
  </si>
  <si>
    <t>MXIM.O,mscalc:epsForConsensusForThomsonFeed,2016FY,,FYR</t>
  </si>
  <si>
    <t>LLTC.O,mscalc:epsForConsensusForThomsonFeed,2015FY,,FYR</t>
  </si>
  <si>
    <t>AVGO.O,mscalc:epsForConsensusForThomsonFeed,2017FY,,FYR</t>
  </si>
  <si>
    <t>XLNX.O,mscalc:epsForConsensusForThomsonFeed,2017FY,,FYR</t>
  </si>
  <si>
    <t>NXPI.O,mscalc:epsForConsensusForThomsonFeed,2017FY,,FYR</t>
  </si>
  <si>
    <t>ADI.O,mscalc:epsForConsensusForThomsonFeed,2015FY,,FYR</t>
  </si>
  <si>
    <t>TXN.O,mscalc:epsForConsensusForThomsonFeed,2017FY,,FYR</t>
  </si>
  <si>
    <t>INTC.O,mscalc:epsForConsensusForThomsonFeed,2017FY,,FYR</t>
  </si>
  <si>
    <t>QCOM.O,mscalc:epsForConsensusForThomsonFeed,2017FY,,FYR</t>
  </si>
  <si>
    <t>MXIM.O,mscalc:epsForConsensusForThomsonFeed,2017FY,,FYR</t>
  </si>
  <si>
    <t>INTC.O,mscalc:epsForConsensusForThomsonFeed,2015FY,,FYR</t>
  </si>
  <si>
    <t>XLNX.O,mscalc:epsForConsensusForThomsonFeed,2016FY,,FYR</t>
  </si>
  <si>
    <t>LLTC.O,mscalc:epsForConsensusForThomsonFeed,2017FY,,FYR</t>
  </si>
  <si>
    <t>2.47933656040586</t>
  </si>
  <si>
    <t>3.3161455853292</t>
  </si>
  <si>
    <t>2.90993425257855</t>
  </si>
  <si>
    <t>11.3681091413434</t>
  </si>
  <si>
    <t>3.18259303364463</t>
  </si>
  <si>
    <t>4.66209000762777</t>
  </si>
  <si>
    <t>1.52527506001388</t>
  </si>
  <si>
    <t>8.97938144329897</t>
  </si>
  <si>
    <t>5.83290903883248</t>
  </si>
  <si>
    <t>2.56302104780419</t>
  </si>
  <si>
    <t>4.31687688913363</t>
  </si>
  <si>
    <t>5.59149533559456</t>
  </si>
  <si>
    <t>2.01812798590749</t>
  </si>
  <si>
    <t>2.82127455678007</t>
  </si>
  <si>
    <t>1.62820310171929</t>
  </si>
  <si>
    <t>2.12648157615722</t>
  </si>
  <si>
    <t>13.5699237927745</t>
  </si>
  <si>
    <t>2.26540745641947</t>
  </si>
  <si>
    <t>7.29073680450009</t>
  </si>
  <si>
    <t>3.1688006759822</t>
  </si>
  <si>
    <t>3.60329580074903</t>
  </si>
  <si>
    <t>2.71765938419316</t>
  </si>
  <si>
    <t>4.72205913057483</t>
  </si>
  <si>
    <t>1.89911465479111</t>
  </si>
  <si>
    <t>2.47722886437012</t>
  </si>
  <si>
    <t>2.07440486989335</t>
  </si>
  <si>
    <t>2.22969347762768</t>
  </si>
  <si>
    <t>LLTC.O,mstag:revenueNet,2015FY,,CY</t>
  </si>
  <si>
    <t>INTC.O,mstag:revenueNet,2016FY,,CY</t>
  </si>
  <si>
    <t>MXIM.O,mstag:revenueNet,2016FY,,CY</t>
  </si>
  <si>
    <t>QCOM.O,mstag:revenueNet,2017FY,,CY</t>
  </si>
  <si>
    <t>LLTC.O,mstag:revenueNet,2017FY,,CY</t>
  </si>
  <si>
    <t>LLTC.O,mstag:revenueNet,2016FY,,CY</t>
  </si>
  <si>
    <t>XLNX.O,mstag:revenueNet,2016FY,,CY</t>
  </si>
  <si>
    <t>MXIM.O,mstag:revenueNet,2015FY,,CY</t>
  </si>
  <si>
    <t>XLNX.O,mstag:revenueNet,2017FY,,CY</t>
  </si>
  <si>
    <t>TXN.O,mstag:revenueNet,2016FY,,CY</t>
  </si>
  <si>
    <t>QCOM.O,mstag:revenueNet,2016FY,,CY</t>
  </si>
  <si>
    <t>QCOM.O,mstag:revenueNet,2015FY,,CY</t>
  </si>
  <si>
    <t>TXN.O,mstag:revenueNet,2017FY,,CY</t>
  </si>
  <si>
    <t>INTC.O,mstag:revenueNet,2015FY,,CY</t>
  </si>
  <si>
    <t>TXN.O,mstag:revenueNet,2015FY,,CY</t>
  </si>
  <si>
    <t>MXIM.O,mstag:revenueNet,2017FY,,CY</t>
  </si>
  <si>
    <t>XLNX.O,mstag:revenueNet,2015FY,,CY</t>
  </si>
  <si>
    <t>INTC.O,mstag:revenueNet,2017FY,,CY</t>
  </si>
  <si>
    <t>1,440.549</t>
  </si>
  <si>
    <t>2,218.345784</t>
  </si>
  <si>
    <t>23,967.3830790269</t>
  </si>
  <si>
    <t>1,602.25764240426</t>
  </si>
  <si>
    <t>1,482.9576823</t>
  </si>
  <si>
    <t>2,304.465</t>
  </si>
  <si>
    <t>2,233.121</t>
  </si>
  <si>
    <t>2,440.76703338483</t>
  </si>
  <si>
    <t>24,167.2898801322</t>
  </si>
  <si>
    <t>23,944</t>
  </si>
  <si>
    <t>2,296.71865491565</t>
  </si>
  <si>
    <t>2,209.715</t>
  </si>
  <si>
    <t>QCOM.O,mscalc:epsForConsensusForThomsonFeed,2015FY,,CY</t>
  </si>
  <si>
    <t>TXN.O,mscalc:epsForConsensusForThomsonFeed,2016FY,,CY</t>
  </si>
  <si>
    <t>XLNX.O,mscalc:epsForConsensusForThomsonFeed,2016FY,,CY</t>
  </si>
  <si>
    <t>MXIM.O,mscalc:epsForConsensusForThomsonFeed,2016FY,,CY</t>
  </si>
  <si>
    <t>TXN.O,mscalc:epsForConsensusForThomsonFeed,2017FY,,CY</t>
  </si>
  <si>
    <t>MXIM.O,mscalc:epsForConsensusForThomsonFeed,2017FY,,CY</t>
  </si>
  <si>
    <t>ADI.O,mscalc:epsForConsensusForThomsonFeed,2017FY,,CY</t>
  </si>
  <si>
    <t>INTC.O,mscalc:epsForConsensusForThomsonFeed,2016FY,,CY</t>
  </si>
  <si>
    <t>AVGO.O,mscalc:epsForConsensusForThomsonFeed,2016FY,,CY</t>
  </si>
  <si>
    <t>XLNX.O,mscalc:epsForConsensusForThomsonFeed,2017FY,,CY</t>
  </si>
  <si>
    <t>ADI.O,mscalc:epsForConsensusForThomsonFeed,2015FY,,CY</t>
  </si>
  <si>
    <t>QCOM.O,mscalc:epsForConsensusForThomsonFeed,2017FY,,CY</t>
  </si>
  <si>
    <t>AVGO.O,mscalc:epsForConsensusForThomsonFeed,2017FY,,CY</t>
  </si>
  <si>
    <t>LLTC.O,mscalc:epsForConsensusForThomsonFeed,2017FY,,CY</t>
  </si>
  <si>
    <t>TXN.O,mscalc:epsForConsensusForThomsonFeed,2015FY,,CY</t>
  </si>
  <si>
    <t>LLTC.O,mscalc:epsForConsensusForThomsonFeed,2016FY,,CY</t>
  </si>
  <si>
    <t>NXPI.O,mscalc:epsForConsensusForThomsonFeed,2016FY,,CY</t>
  </si>
  <si>
    <t>NXPI.O,mscalc:epsForConsensusForThomsonFeed,2017FY,,CY</t>
  </si>
  <si>
    <t>MXIM.O,mscalc:epsForConsensusForThomsonFeed,2015FY,,CY</t>
  </si>
  <si>
    <t>ADI.O,mscalc:epsForConsensusForThomsonFeed,2016FY,,CY</t>
  </si>
  <si>
    <t>QCOM.O,mscalc:epsForConsensusForThomsonFeed,2016FY,,CY</t>
  </si>
  <si>
    <t>AVGO.O,mscalc:epsForConsensusForThomsonFeed,2015FY,,CY</t>
  </si>
  <si>
    <t>LLTC.O,mscalc:epsForConsensusForThomsonFeed,2015FY,,CY</t>
  </si>
  <si>
    <t>INTC.O,mscalc:epsForConsensusForThomsonFeed,2017FY,,CY</t>
  </si>
  <si>
    <t>XLNX.O,mscalc:epsForConsensusForThomsonFeed,2015FY,,CY</t>
  </si>
  <si>
    <t>NXPI.O,mscalc:epsForConsensusForThomsonFeed,2015FY,,CY</t>
  </si>
  <si>
    <t>INTC.O,mscalc:epsForConsensusForThomsonFeed,2015FY,,CY</t>
  </si>
  <si>
    <t>4.26761198023836</t>
  </si>
  <si>
    <t>2.2709726484694</t>
  </si>
  <si>
    <t>1.79756410014782</t>
  </si>
  <si>
    <t>2.03382591755873</t>
  </si>
  <si>
    <t>3.38777171388407</t>
  </si>
  <si>
    <t>12.0145082608636</t>
  </si>
  <si>
    <t>2.37307985785183</t>
  </si>
  <si>
    <t>3.11293135489036</t>
  </si>
  <si>
    <t>4.81626307979793</t>
  </si>
  <si>
    <t>13.9154374170131</t>
  </si>
  <si>
    <t>2.3497018049645</t>
  </si>
  <si>
    <t>2.12147247444403</t>
  </si>
  <si>
    <t>1.56035584006038</t>
  </si>
  <si>
    <t>3.07512525430735</t>
  </si>
  <si>
    <t>4.60881286423583</t>
  </si>
  <si>
    <t>9.28906453372892</t>
  </si>
  <si>
    <t>2.04786426004574</t>
  </si>
  <si>
    <t>2.12822455853559</t>
  </si>
  <si>
    <t>INTC.O,mscalc:priceToEarningsConsensus,2017FY,,FYR</t>
  </si>
  <si>
    <t>NXPI.O,mscalc:priceToEarningsConsensus,2017FY,,FYR</t>
  </si>
  <si>
    <t>ADI.O,mscalc:priceToEarningsConsensus,2017FY,,FYR</t>
  </si>
  <si>
    <t>MXIM.O,mscalc:priceToEarningsConsensus,2017FY,,FYR</t>
  </si>
  <si>
    <t>XLNX.O,mscalc:priceToEarningsConsensus,2017FY,,FYR</t>
  </si>
  <si>
    <t>AVGO.O,mscalc:priceToEarningsConsensus,2017FY,,FYR</t>
  </si>
  <si>
    <t>TXN.O,mscalc:priceToEarningsConsensus,2017FY,,FYR</t>
  </si>
  <si>
    <t>LLTC.O,mscalc:priceToEarningsConsensus,2017FY,,FYR</t>
  </si>
  <si>
    <t>QCOM.O,mscalc:priceToEarningsConsensus,2017FY,,FYR</t>
  </si>
  <si>
    <t>11.9693728453813</t>
  </si>
  <si>
    <t>14.1728886861213</t>
  </si>
  <si>
    <t>19.2445388126784</t>
  </si>
  <si>
    <t>19.9436769114429</t>
  </si>
  <si>
    <t>22.2853303398083</t>
  </si>
  <si>
    <t>12.817897405178</t>
  </si>
  <si>
    <t>19.8240464218441</t>
  </si>
  <si>
    <t>27.2196899928203</t>
  </si>
  <si>
    <t>14.0691544530136</t>
  </si>
  <si>
    <t>XLNX.O,mscalc:priceToEarningsConsensus,2017FY,,CY</t>
  </si>
  <si>
    <t>QCOM.O,mscalc:priceToEarningsConsensus,2017FY,,CY</t>
  </si>
  <si>
    <t>MXIM.O,mscalc:priceToEarningsConsensus,2017FY,,CY</t>
  </si>
  <si>
    <t>INTC.O,mscalc:priceToEarningsConsensus,2017FY,,CY</t>
  </si>
  <si>
    <t>TXN.O,mscalc:priceToEarningsConsensus,2017FY,,CY</t>
  </si>
  <si>
    <t>AVGO.O,mscalc:priceToEarningsConsensus,2017FY,,CY</t>
  </si>
  <si>
    <t>LLTC.O,mscalc:priceToEarningsConsensus,2017FY,,CY</t>
  </si>
  <si>
    <t>ADI.O,mscalc:priceToEarningsConsensus,2017FY,,CY</t>
  </si>
  <si>
    <t>NXPI.O,mscalc:priceToEarningsConsensus,2017FY,,CY</t>
  </si>
  <si>
    <t>21.2404096043461</t>
  </si>
  <si>
    <t>XLNX.O,mscalc:enterpriseFirmValue,2017FY,,CY</t>
  </si>
  <si>
    <t>QCOM.O,mscalc:enterpriseFirmValue,2017FY,,CY</t>
  </si>
  <si>
    <t>NXPI.O,mscalc:enterpriseFirmValue,2017FY,,CY</t>
  </si>
  <si>
    <t>ADI.O,mscalc:enterpriseFirmValue,2017FY,,CY</t>
  </si>
  <si>
    <t>INTC.O,mscalc:enterpriseFirmValue,2017FY,,CY</t>
  </si>
  <si>
    <t>TXN.O,mscalc:enterpriseFirmValue,2017FY,,CY</t>
  </si>
  <si>
    <t>LLTC.O,mscalc:enterpriseFirmValue,2017FY,,CY</t>
  </si>
  <si>
    <t>MXIM.O,mscalc:enterpriseFirmValue,2017FY,,CY</t>
  </si>
  <si>
    <t>AVGO.O,mscalc:enterpriseFirmValue,2017FY,,CY</t>
  </si>
  <si>
    <t>$IV$3</t>
  </si>
  <si>
    <t>11,317.5001064198</t>
  </si>
  <si>
    <t>76,365.2633329798</t>
  </si>
  <si>
    <t>40,336.8051637199</t>
  </si>
  <si>
    <t>16,541.9757379303</t>
  </si>
  <si>
    <t>155,600.134255839</t>
  </si>
  <si>
    <t>65,612.0896515164</t>
  </si>
  <si>
    <t>12,677.2184983427</t>
  </si>
  <si>
    <t>9,674.33997860104</t>
  </si>
  <si>
    <t>96,774.1350548118</t>
  </si>
  <si>
    <t>TXN.O,mscalc:fcffyAOnly,2017FY,,CY</t>
  </si>
  <si>
    <t>MXIM.O,mscalc:fcffyAOnly,2017FY,,CY</t>
  </si>
  <si>
    <t>NXPI.O,mscalc:fcffyAOnly,2017FY,,CY</t>
  </si>
  <si>
    <t>XLNX.O,mscalc:fcffyAOnly,2017FY,,CY</t>
  </si>
  <si>
    <t>ADI.O,mscalc:fcffyAOnly,2017FY,,CY</t>
  </si>
  <si>
    <t>LLTC.O,mscalc:fcffyAOnly,2017FY,,CY</t>
  </si>
  <si>
    <t>AVGO.O,mscalc:fcffyAOnly,2017FY,,CY</t>
  </si>
  <si>
    <t>INTC.O,mscalc:fcffyAOnly,2017FY,,CY</t>
  </si>
  <si>
    <t>QCOM.O,mscalc:fcffyAOnly,2017FY,,CY</t>
  </si>
  <si>
    <t>3,627.36045806674</t>
  </si>
  <si>
    <t>729.973984226051</t>
  </si>
  <si>
    <t>1,787.70670190057</t>
  </si>
  <si>
    <t>1,046.92586782552</t>
  </si>
  <si>
    <t>566.620005305685</t>
  </si>
  <si>
    <t>2,473.44927014652</t>
  </si>
  <si>
    <t>11,284.1983607082</t>
  </si>
  <si>
    <t>5,337.22686848232</t>
  </si>
  <si>
    <t>FY2012A</t>
  </si>
  <si>
    <t>FY2013A</t>
  </si>
  <si>
    <t>LLTC.O,mscalc:marketCapitalizationCurrent</t>
  </si>
  <si>
    <t>ADI.O,mscalc:marketCapitalizationCurrent</t>
  </si>
  <si>
    <t>NXPI.O,mscalc:marketCapitalizationCurrent</t>
  </si>
  <si>
    <t>INTC.O,mscalc:marketCapitalizationCurrent</t>
  </si>
  <si>
    <t>XLNX.O,mscalc:marketCapitalizationCurrent</t>
  </si>
  <si>
    <t>TXN.O,mscalc:marketCapitalizationCurrent</t>
  </si>
  <si>
    <t>AVGO.O,mscalc:marketCapitalizationCurrent</t>
  </si>
  <si>
    <t>MXIM.O,mscalc:marketCapitalizationCurrent</t>
  </si>
  <si>
    <t>QCOM.O,mscalc:marketCapitalizationCurrent</t>
  </si>
  <si>
    <t>14,705.7526266039</t>
  </si>
  <si>
    <t>19,913.8304152863</t>
  </si>
  <si>
    <t>34,489.11536</t>
  </si>
  <si>
    <t>174,293.647023659</t>
  </si>
  <si>
    <t>14,783.7813393218</t>
  </si>
  <si>
    <t>70,114.16</t>
  </si>
  <si>
    <t>83,695.376969697</t>
  </si>
  <si>
    <t>11,432.2972645109</t>
  </si>
  <si>
    <t>101,731.56</t>
  </si>
  <si>
    <t>NXPI.O,mscalc:evToEbitda,2017FY,,FYR</t>
  </si>
  <si>
    <t>AVGO.O,mscalc:evToEbitda,2017FY,,FYR</t>
  </si>
  <si>
    <t>ADI.O,mscalc:evToEbitda,2017FY,,FYR</t>
  </si>
  <si>
    <t>INTC.O,mscalc:evToEbitda,2017FY,,FYR</t>
  </si>
  <si>
    <t>MXIM.O,mscalc:evToEbitda,2017FY,,FYR</t>
  </si>
  <si>
    <t>LLTC.O,mscalc:evToEbitda,2017FY,,FYR</t>
  </si>
  <si>
    <t>QCOM.O,mscalc:evToEbitda,2017FY,,FYR</t>
  </si>
  <si>
    <t>TXN.O,mscalc:evToEbitda,2017FY,,FYR</t>
  </si>
  <si>
    <t>XLNX.O,mscalc:evToEbitda,2017FY,,FYR</t>
  </si>
  <si>
    <t>13.5409851671748</t>
  </si>
  <si>
    <t>15.5472795366739</t>
  </si>
  <si>
    <t>12.2855842576167</t>
  </si>
  <si>
    <t>6.13907076463056</t>
  </si>
  <si>
    <t>11.1915008129231</t>
  </si>
  <si>
    <t>16.9264426268314</t>
  </si>
  <si>
    <t>9.14573278739254</t>
  </si>
  <si>
    <t>10.9690114002439</t>
  </si>
  <si>
    <t>15.9446304158423</t>
  </si>
  <si>
    <t>F4Q16A</t>
  </si>
  <si>
    <r>
      <t>New</t>
    </r>
    <r>
      <rPr>
        <b/>
        <sz val="11"/>
        <rFont val="Arial"/>
        <family val="2"/>
      </rPr>
      <t xml:space="preserve"> Other Revenue</t>
    </r>
  </si>
  <si>
    <t>Operating Profit (reported)</t>
  </si>
  <si>
    <t>FY2016A</t>
  </si>
  <si>
    <t>F1Q17A</t>
  </si>
  <si>
    <t>F2Q17A</t>
  </si>
  <si>
    <t>F1Q19E</t>
  </si>
  <si>
    <t>F2Q19E</t>
  </si>
  <si>
    <t>F3Q19E</t>
  </si>
  <si>
    <t>F4Q19E</t>
  </si>
  <si>
    <t>F3Q17A</t>
  </si>
  <si>
    <t>F4Q17A</t>
  </si>
  <si>
    <t>F1Q20E</t>
  </si>
  <si>
    <t>F2Q20E</t>
  </si>
  <si>
    <t>F3Q20E</t>
  </si>
  <si>
    <t>F4Q20E</t>
  </si>
  <si>
    <t>FY2020E</t>
  </si>
  <si>
    <t xml:space="preserve">Texas Instruments Statement of Cash Flows </t>
  </si>
  <si>
    <t>101</t>
  </si>
  <si>
    <t>F1Q18A</t>
  </si>
  <si>
    <t>Research</t>
  </si>
  <si>
    <t xml:space="preserve">                                         Manual Calculation                                         </t>
  </si>
  <si>
    <t xml:space="preserve">                                          Manual Calculation                                          </t>
  </si>
  <si>
    <t xml:space="preserve">                                           Manual Calculation                                           </t>
  </si>
  <si>
    <t xml:space="preserve">                                                Manual Calculation                                                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</si>
  <si>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</si>
  <si>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</si>
  <si>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</si>
  <si>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</si>
  <si>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</si>
  <si>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</si>
  <si>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Joseph Moore, Craig Hettenbach</t>
  </si>
  <si>
    <t>Date: 26 Apr 2018</t>
  </si>
  <si>
    <t>Ticker: TXN.O</t>
  </si>
  <si>
    <t>Stock Rating: Equal-Weight</t>
  </si>
  <si>
    <t>Industry: Semiconductors</t>
  </si>
  <si>
    <t>Industry View: In-Line</t>
  </si>
  <si>
    <t>Price as of 26 Apr 2018: 103.00</t>
  </si>
  <si>
    <t>Target Price: 110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</si>
  <si>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</si>
  <si>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</si>
  <si>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</si>
  <si>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</si>
  <si>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Texas Instruments.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</si>
  <si>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</si>
  <si>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</si>
  <si>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</si>
  <si>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</si>
  <si>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</si>
  <si>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</si>
  <si>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</si>
  <si>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</si>
  <si>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</si>
  <si>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</si>
  <si>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</si>
  <si>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</si>
  <si>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</si>
  <si>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</si>
  <si>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</si>
  <si>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</si>
  <si>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</si>
  <si>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</si>
  <si>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</si>
  <si>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</si>
  <si>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</si>
  <si>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</si>
  <si>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</si>
  <si>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</si>
  <si>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</si>
  <si>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</si>
  <si>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</si>
  <si>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</si>
  <si>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</si>
  <si>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</si>
  <si>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</si>
  <si>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</si>
  <si>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</si>
  <si>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</si>
  <si>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</si>
  <si>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</si>
  <si>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</si>
  <si>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</si>
  <si>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</si>
  <si>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</si>
  <si>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</si>
  <si>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</si>
  <si>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</si>
  <si>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</si>
  <si>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</si>
  <si>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</si>
  <si>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</si>
  <si>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</si>
  <si>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</si>
  <si>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</si>
  <si>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</si>
  <si>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</si>
  <si>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</si>
  <si>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</si>
  <si>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</si>
  <si>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</si>
  <si>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</si>
  <si>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</si>
  <si>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</si>
  <si>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</si>
  <si>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</si>
  <si>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</si>
  <si>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</si>
  <si>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</si>
  <si>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</si>
  <si>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</si>
  <si>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</si>
  <si>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</si>
  <si>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</si>
  <si>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</si>
  <si>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</si>
  <si>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</si>
  <si>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</si>
  <si>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</si>
  <si>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</si>
  <si>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</si>
  <si>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</si>
  <si>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</si>
  <si>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</si>
  <si>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</si>
  <si>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</si>
  <si>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</si>
  <si>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</si>
  <si>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</si>
  <si>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</si>
  <si>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</si>
  <si>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</si>
  <si>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</si>
  <si>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</si>
  <si>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</si>
  <si>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</si>
  <si>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</si>
  <si>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</si>
  <si>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</si>
  <si>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</si>
  <si>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</si>
  <si>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</si>
  <si>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</si>
  <si>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</si>
  <si>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</si>
  <si>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</si>
  <si>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</si>
  <si>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</si>
  <si>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</si>
  <si>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</si>
  <si>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</si>
  <si>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</si>
  <si>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</si>
  <si>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</si>
  <si>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</si>
  <si>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</si>
  <si>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</si>
  <si>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</si>
  <si>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</si>
  <si>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</si>
  <si>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</si>
  <si>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</si>
  <si>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</si>
  <si>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</si>
  <si>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</si>
  <si>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</si>
  <si>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</si>
  <si>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</si>
  <si>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</si>
  <si>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</si>
  <si>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</si>
  <si>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</si>
  <si>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</si>
  <si>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</si>
  <si>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</si>
  <si>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</si>
  <si>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</si>
  <si>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</si>
  <si>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</si>
  <si>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</si>
  <si>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</si>
  <si>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</si>
  <si>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</si>
  <si>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</si>
  <si>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</si>
  <si>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</si>
  <si>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</si>
  <si>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</si>
  <si>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</si>
  <si>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</si>
  <si>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</si>
  <si>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</si>
  <si>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</si>
  <si>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</si>
  <si>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</si>
  <si>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</si>
  <si>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</si>
  <si>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</si>
  <si>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</si>
  <si>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</si>
  <si>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</si>
  <si>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</si>
  <si>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</si>
  <si>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</si>
  <si>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</si>
  <si>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</si>
  <si>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</si>
  <si>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</si>
  <si>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</si>
  <si>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</si>
  <si>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</si>
  <si>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</si>
  <si>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</si>
  <si>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</si>
  <si>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</si>
  <si>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</si>
  <si>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</si>
  <si>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</si>
  <si>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</si>
  <si>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</si>
  <si>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</si>
  <si>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</si>
  <si>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Texas Instruments.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</si>
  <si>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</si>
  <si>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</si>
  <si>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</si>
  <si>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</si>
  <si>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</si>
  <si>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</si>
  <si>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</si>
  <si>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</si>
  <si>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</si>
  <si>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</si>
  <si>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</si>
  <si>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</si>
  <si>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</si>
  <si>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</si>
  <si>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</si>
  <si>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</si>
  <si>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</si>
  <si>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</si>
  <si>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</si>
  <si>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</si>
  <si>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</si>
  <si>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</si>
  <si>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</si>
  <si>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</si>
  <si>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</si>
  <si>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</si>
  <si>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</si>
  <si>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</si>
  <si>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</si>
  <si>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</si>
  <si>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</si>
  <si>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</si>
  <si>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</si>
  <si>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</si>
  <si>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</si>
  <si>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</si>
  <si>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</si>
  <si>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</si>
  <si>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</si>
  <si>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</si>
  <si>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</si>
  <si>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</si>
  <si>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</si>
  <si>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</si>
  <si>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</si>
  <si>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</si>
  <si>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</si>
  <si>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</si>
  <si>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</si>
  <si>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</si>
  <si>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</si>
  <si>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</si>
  <si>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</si>
  <si>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</si>
  <si>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</si>
  <si>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</si>
  <si>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</si>
  <si>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</si>
  <si>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</si>
  <si>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</si>
  <si>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</si>
  <si>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</si>
  <si>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</si>
  <si>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</si>
  <si>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</si>
  <si>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</si>
  <si>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</si>
  <si>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</si>
  <si>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Texas Instruments.</t>
  </si>
  <si>
    <t>Within the last 12 months, Morgan Stanley has provided or is providing investment banking services to,</t>
  </si>
  <si>
    <t>or has an investment banking client relationship with, the following company: Texas Instruments.</t>
  </si>
  <si>
    <t>Within the last 12 months, Morgan Stanley has received compensation for products and services other than</t>
  </si>
  <si>
    <t>investment banking services from Texas Instruments.</t>
  </si>
  <si>
    <t>In the next 3 months, Morgan Stanley expects to receive or intends to seek compensation for investment</t>
  </si>
  <si>
    <t>banking services from Texas Instruments.</t>
  </si>
  <si>
    <t>Within the last 12 months, Morgan Stanley has received compensation for investment banking services from</t>
  </si>
  <si>
    <t>Texas Instruments.</t>
  </si>
  <si>
    <t>Within the last 12 months, Morgan Stanley managed or co-managed a public offering (or 144A offering) of</t>
  </si>
  <si>
    <t>securities of Texas Instruments.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</si>
  <si>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</si>
  <si>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</si>
  <si>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</si>
  <si>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</si>
  <si>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</si>
  <si>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Moore.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</si>
  <si>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</si>
  <si>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</si>
  <si>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</si>
  <si>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</si>
  <si>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</si>
  <si>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</si>
  <si>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</si>
  <si>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</si>
  <si>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</si>
  <si>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</si>
  <si>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</si>
  <si>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</si>
  <si>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</si>
  <si>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</si>
  <si>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</si>
  <si>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</si>
  <si>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</si>
  <si>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</si>
  <si>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</si>
  <si>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</si>
  <si>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</si>
  <si>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</si>
  <si>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</si>
  <si>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</si>
  <si>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</si>
  <si>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</si>
  <si>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</si>
  <si>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</si>
  <si>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</si>
  <si>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</si>
  <si>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</si>
  <si>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</si>
  <si>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</si>
  <si>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</si>
  <si>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</si>
  <si>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</si>
  <si>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</si>
  <si>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</si>
  <si>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</si>
  <si>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</si>
  <si>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</si>
  <si>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</si>
  <si>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</si>
  <si>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</si>
  <si>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</si>
  <si>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</si>
  <si>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</si>
  <si>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</si>
  <si>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</si>
  <si>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</si>
  <si>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</si>
  <si>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</si>
  <si>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</si>
  <si>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</si>
  <si>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</si>
  <si>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</si>
  <si>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</si>
  <si>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</si>
  <si>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</si>
  <si>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</si>
  <si>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</si>
  <si>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</si>
  <si>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</si>
  <si>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</si>
  <si>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</si>
  <si>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</si>
  <si>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</si>
  <si>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</si>
  <si>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</si>
  <si>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NorthAmerica</t>
  </si>
  <si>
    <t>sarlinde</t>
  </si>
  <si>
    <t>MSA32FNJ, MSA89GWN</t>
  </si>
  <si>
    <t>L:\SEMI CAP\Joe Files\Companies\TXN\TXN_WIP_nocomments.xlsm</t>
  </si>
  <si>
    <t>please publish immediatly</t>
  </si>
  <si>
    <t>[BRO MSA]</t>
  </si>
  <si>
    <t>[PRODUCT MODEL]</t>
  </si>
  <si>
    <t>[EMAIL_ALERT YES]</t>
  </si>
  <si>
    <t>[DISCIPLINE Company]</t>
  </si>
  <si>
    <t>[SUPPRESSED NO]</t>
  </si>
  <si>
    <t>[DOCDAT 2018-04-26]</t>
  </si>
  <si>
    <t>[DOCTIME 08:41]</t>
  </si>
  <si>
    <t>[PSYM TXN.O(S&amp;P) (None)]</t>
  </si>
  <si>
    <t>[COU 1]</t>
  </si>
  <si>
    <t>[ANA MSA89GWN]</t>
  </si>
  <si>
    <t>[HL TXN.O Model]</t>
  </si>
  <si>
    <t>[IND SEMICO]</t>
  </si>
  <si>
    <t>[PANA MSA32FNJ]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</si>
</sst>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&quot;$&quot;#,##0.0_);\(&quot;$&quot;#,##0.0\)"/>
    <numFmt numFmtId="166" formatCode="_(&quot;$&quot;* #,##0.0_);_(&quot;$&quot;* \(#,##0.0\);_(&quot;$&quot;* &quot;-&quot;?_);_(@_)"/>
    <numFmt numFmtId="167" formatCode="0.0%"/>
    <numFmt numFmtId="168" formatCode="_(&quot;$&quot;* #,##0.0_);_(&quot;$&quot;* \(#,##0.0\);_(&quot;$&quot;* &quot;-&quot;_);_(@_)"/>
    <numFmt numFmtId="169" formatCode="_(&quot;$&quot;* #,##0.000_);_(&quot;$&quot;* \(#,##0.000\);_(&quot;$&quot;* &quot;-&quot;_);_(@_)"/>
    <numFmt numFmtId="170" formatCode="_(&quot;$&quot;* #,##0.0000_);_(&quot;$&quot;* \(#,##0.0000\);_(&quot;$&quot;* &quot;-&quot;_);_(@_)"/>
    <numFmt numFmtId="171" formatCode="_(* #,##0.000_);_(* \(#,##0.000\);_(* &quot;-&quot;?_);_(@_)"/>
    <numFmt numFmtId="172" formatCode="_(* #,##0.0000_);_(* \(#,##0.0000\);_(* &quot;-&quot;?_);_(@_)"/>
    <numFmt numFmtId="173" formatCode="_(* #,##0.0000_);_(* \(#,##0.0000\);_(* &quot;-&quot;??_);_(@_)"/>
    <numFmt numFmtId="174" formatCode="_(&quot;$&quot;* #,##0.00_);_(&quot;$&quot;* \(#,##0.00\);_(&quot;$&quot;* &quot;-&quot;_);_(@_)"/>
    <numFmt numFmtId="175" formatCode="#,##0.0_);\(#,##0.0\);#,##0.0_);@_)"/>
    <numFmt numFmtId="176" formatCode="_(* #,##0.00_);_(* \(#,##0.00\);_(* &quot;-&quot;?_);_(@_)"/>
    <numFmt numFmtId="178" formatCode="_(* #,##0.0_);_(* \(#,##0.0\);_(* &quot;-&quot;??_);_(@_)"/>
    <numFmt numFmtId="179" formatCode="#,##0.0000_);\(#,##0.0000\)"/>
    <numFmt numFmtId="180" formatCode="#,##0.0_);\(#,##0.0\)"/>
    <numFmt numFmtId="181" formatCode="_(* #,##0.0_);_(* \(#,##0.0\);_(* &quot;-&quot;_);_(@_)"/>
    <numFmt numFmtId="182" formatCode="#,##0.000_);\(#,##0.000\)"/>
    <numFmt numFmtId="183" formatCode="0.0"/>
    <numFmt numFmtId="184" formatCode="_(* #,##0.000_);_(* \(#,##0.000\);_(* &quot;-&quot;_);_(@_)"/>
    <numFmt numFmtId="185" formatCode="_(* #,##0_);_(* \(#,##0\);_(* &quot;-&quot;??_);_(@_)"/>
    <numFmt numFmtId="186" formatCode="_(* #,##0.00_);_(* \(#,##0.00\);_(* &quot;-&quot;_);_(@_)"/>
    <numFmt numFmtId="189" formatCode="&quot;$&quot;#,##0.0_);[Red]\(&quot;$&quot;#,##0.0\)"/>
    <numFmt numFmtId="190" formatCode="_(&quot;$&quot;* #,##0_);_(&quot;$&quot;* \(#,##0\);_(&quot;$&quot;* &quot;-&quot;??_);_(@_)"/>
    <numFmt numFmtId="195" formatCode="#,##0.0"/>
    <numFmt numFmtId="196" formatCode="&quot;$&quot;#,##0.000_);[Red]\(&quot;$&quot;#,##0.000\)"/>
    <numFmt numFmtId="197" formatCode="&quot;$&quot;#,##0.00"/>
    <numFmt numFmtId="198" formatCode="0.00_);\(0.00\)"/>
    <numFmt numFmtId="199" formatCode="#,##0.0_);[Red]\(#,##0.0\)"/>
    <numFmt numFmtId="200" formatCode="mmm\-yyyy"/>
    <numFmt numFmtId="201" formatCode="General_)"/>
    <numFmt numFmtId="202" formatCode="0.000_)"/>
    <numFmt numFmtId="203" formatCode="0.00_)"/>
    <numFmt numFmtId="204" formatCode="&quot;$&quot;#,##0.0;\(&quot;$&quot;#,##0.0\)"/>
    <numFmt numFmtId="205" formatCode="\£\ #,##0_);[Red]\(\£\ #,##0\)"/>
    <numFmt numFmtId="206" formatCode="\¥\ #,##0_);[Red]\(\¥\ #,##0\)"/>
    <numFmt numFmtId="207" formatCode="_(* #,##0.0_);_(* \(#,##0.0\);_(* &quot;--- &quot;_)"/>
    <numFmt numFmtId="208" formatCode="\•\ \ @"/>
    <numFmt numFmtId="209" formatCode="\ \ _•\–\ \ \ \ @"/>
    <numFmt numFmtId="210" formatCode="#,##0.0;\(###0.0\)"/>
    <numFmt numFmtId="211" formatCode="0.00000000000000000%"/>
    <numFmt numFmtId="212" formatCode="#,##0.0;\(#,##0.0\)"/>
    <numFmt numFmtId="213" formatCode="0.00\ "/>
    <numFmt numFmtId="214" formatCode="0_)"/>
    <numFmt numFmtId="215" formatCode="&quot;Ç&quot;\ &quot;´&quot;&quot;´&quot;&quot;´&quot;&quot;´&quot;\ &quot;»&quot;&quot;»&quot;&quot;»&quot;&quot;»&quot;"/>
    <numFmt numFmtId="216" formatCode="0.0_)\%;\(0.0\)\%;0.0_)\%;@_)_%"/>
    <numFmt numFmtId="217" formatCode="&quot;$&quot;_(#,##0.00_);&quot;$&quot;\(#,##0.00\);&quot;$&quot;_(0.00_);@_)"/>
    <numFmt numFmtId="218" formatCode="#,##0.0_)_x;\(#,##0.0\)_x;0.0_)_x;@_)_x"/>
    <numFmt numFmtId="219" formatCode="0.0%;\(0.0%\)"/>
    <numFmt numFmtId="220" formatCode="0.0%_);\(0.0%\)"/>
    <numFmt numFmtId="221" formatCode="0.00\ \ \ \ "/>
    <numFmt numFmtId="222" formatCode="yyyy"/>
    <numFmt numFmtId="223" formatCode="0.00%_);[Red]\(0.00%\)"/>
    <numFmt numFmtId="224" formatCode="0.0%_);[Red]\(0.0%\)"/>
    <numFmt numFmtId="225" formatCode="#,##0.000_);[Red]\(#,##0.000\)"/>
    <numFmt numFmtId="226" formatCode="0.00%;[Red]\(0.00%\)"/>
    <numFmt numFmtId="227" formatCode="&quot;Fr.&quot;#,##0_);[Red]\(&quot;Fr.&quot;#,##0\)"/>
    <numFmt numFmtId="228" formatCode="&quot;£&quot;\ #,##0_);[Red]\(&quot;£&quot;\ #,##0\)"/>
    <numFmt numFmtId="229" formatCode="&quot;\&quot;\ #,##0_);[Red]\(&quot;\&quot;\ #,##0\)"/>
    <numFmt numFmtId="230" formatCode="&quot;•&quot;\ \ @"/>
    <numFmt numFmtId="231" formatCode="#,##0.00000;[Red]\(#,##0.00000\)"/>
    <numFmt numFmtId="232" formatCode="&quot;$&quot;#,##0.00;\(&quot;$&quot;#,##0.00\)"/>
    <numFmt numFmtId="233" formatCode="_ * #,##0_)_£_ ;_ * \(#,##0\)_£_ ;_ * &quot;-&quot;_)_£_ ;_ @_ "/>
    <numFmt numFmtId="234" formatCode="&quot;$&quot;#,##0.0;[Red]\(&quot;$&quot;#,##0.0\)"/>
    <numFmt numFmtId="235" formatCode="\ \ _•&quot;–&quot;\ \ \ \ @"/>
    <numFmt numFmtId="236" formatCode="#,##0.0;[Red]\(#,##0.0\)"/>
    <numFmt numFmtId="237" formatCode="#,##0;[Red]\(#,##0\)"/>
    <numFmt numFmtId="238" formatCode="#,##0.00\x_);[Red]\(#,##0.00\x\)"/>
    <numFmt numFmtId="239" formatCode="0%;[Red]\(0%\)"/>
    <numFmt numFmtId="240" formatCode="_-* #,##0.00_-;\-* #,##0.00_-;_-* &quot;-&quot;??_-;_-@_-"/>
    <numFmt numFmtId="241" formatCode="#,##0_);\(#,##0\);\-_)"/>
    <numFmt numFmtId="242" formatCode="_(#,##0_)\ &quot;e&quot;;\(#,##0\)\ &quot;e&quot;"/>
    <numFmt numFmtId="243" formatCode="_([$€-2]* #,##0.00_);_([$€-2]* \(#,##0.00\);_([$€-2]* &quot;-&quot;??_)"/>
    <numFmt numFmtId="245" formatCode="_-&quot;$&quot;* #,##0_-;\-&quot;$&quot;* #,##0_-;_-&quot;$&quot;* &quot;-&quot;_-;_-@_-"/>
    <numFmt numFmtId="246" formatCode="_-* #,##0_-;\-* #,##0_-;_-* &quot;-&quot;_-;_-@_-"/>
    <numFmt numFmtId="247" formatCode="&quot;¥&quot;\ #,##0_);[Red]\(&quot;¥&quot;\ #,##0\)"/>
    <numFmt numFmtId="248" formatCode="_-&quot;$&quot;* #,##0.00_-;\-&quot;$&quot;* #,##0.00_-;_-&quot;$&quot;* &quot;-&quot;??_-;_-@_-"/>
    <numFmt numFmtId="249" formatCode="[Blue]General;[Blue]\-General;[Blue]&quot;--&quot;"/>
    <numFmt numFmtId="250" formatCode="&quot;$&quot;#,##0.00;[Red]\(&quot;$&quot;#,##0.00\)"/>
    <numFmt numFmtId="251" formatCode="0.00_);\(0.00\);0.00"/>
    <numFmt numFmtId="252" formatCode="&quot;$&quot;#,##0\ ;\(&quot;$&quot;#,##0\)"/>
    <numFmt numFmtId="253" formatCode="&quot;SFr.&quot;#,##0.00;&quot;SFr.&quot;\-#,##0.00"/>
    <numFmt numFmtId="254" formatCode="0.0%;[Red]\(0.0%\)"/>
    <numFmt numFmtId="255" formatCode="0.00\%;\-0.00\%;0.00\%"/>
    <numFmt numFmtId="256" formatCode="0.00\x;\-0.00\x;0.00\x"/>
    <numFmt numFmtId="257" formatCode="##0.00000"/>
    <numFmt numFmtId="258" formatCode="&quot;?G&quot;#,##0.00;\-&quot;?G&quot;#,###"/>
    <numFmt numFmtId="259" formatCode="[$-409]mmm\-yy;@"/>
    <numFmt numFmtId="260" formatCode="_(&quot;$&quot;* #,##0_);_(&quot;$&quot;* \(#,##0\);_(&quot;$&quot;* &quot;-&quot;?_);_(@_)"/>
    <numFmt numFmtId="261" formatCode="0.00000"/>
    <numFmt numFmtId="262" formatCode="_(* #,##0.000_);_(* \(#,##0.000\);_(* &quot;-&quot;??_);_(@_)"/>
    <numFmt numFmtId="263" formatCode="0.0%_);\(0.0%\);&quot;–&quot;_)"/>
    <numFmt numFmtId="264" formatCode="#,##0.000_);\(#,##0.000\);#,##0.000_);@_)"/>
    <numFmt numFmtId="267" formatCode="_(* #,##0_);_(* \(#,##0\);_(* &quot;-&quot;?_);_(@_)"/>
    <numFmt numFmtId="268" formatCode="#,##0.0\x"/>
    <numFmt numFmtId="269" formatCode="#,##0.000"/>
    <numFmt numFmtId="270" formatCode="#,##0.0;[Red]#,##0.0"/>
    <numFmt numFmtId="284" formatCode="mm/dd/yy\ hh:mm"/>
  </numFmts>
  <fonts count="274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b/>
      <sz val="11"/>
      <color indexed="12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u/>
      <sz val="10"/>
      <color indexed="12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indexed="9"/>
      <name val="Arial"/>
      <family val="2"/>
    </font>
    <font>
      <i/>
      <sz val="10"/>
      <name val="Arial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Arial"/>
      <family val="2"/>
    </font>
    <font>
      <sz val="11"/>
      <color indexed="10"/>
      <name val="Arial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0"/>
      <color indexed="8"/>
      <name val="Times New Roman"/>
      <family val="1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b/>
      <sz val="11"/>
      <color indexed="10"/>
      <name val="Calibri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b/>
      <sz val="10"/>
      <color indexed="17"/>
      <name val="Helvetica"/>
      <family val="2"/>
    </font>
    <font>
      <sz val="10"/>
      <name val="Tahoma"/>
      <family val="2"/>
    </font>
    <font>
      <u/>
      <sz val="9"/>
      <color indexed="12"/>
      <name val="Arial"/>
      <family val="2"/>
    </font>
    <font>
      <u/>
      <sz val="11"/>
      <color indexed="24"/>
      <name val="Calibri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1"/>
      <color indexed="19"/>
      <name val="Calibri"/>
      <family val="2"/>
    </font>
    <font>
      <sz val="10"/>
      <name val="Segoe UI"/>
      <family val="2"/>
    </font>
    <font>
      <sz val="8"/>
      <color indexed="12"/>
      <name val="Helvetica"/>
      <family val="2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Courier"/>
      <family val="3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7"/>
      <color indexed="8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b/>
      <sz val="10"/>
      <color indexed="8"/>
      <name val="Arial"/>
      <family val="2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sz val="10"/>
      <name val="Helv"/>
      <family val="2"/>
    </font>
    <font>
      <sz val="10"/>
      <color indexed="2"/>
      <name val="Segoe UI"/>
      <family val="2"/>
    </font>
    <font>
      <b/>
      <sz val="10"/>
      <color indexed="0"/>
      <name val="Segoe UI"/>
      <family val="2"/>
    </font>
    <font>
      <b/>
      <i/>
      <sz val="10"/>
      <color indexed="4"/>
      <name val="Segoe UI"/>
      <family val="2"/>
    </font>
    <font>
      <sz val="10"/>
      <color indexed="4"/>
      <name val="Segoe UI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b/>
      <sz val="10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u/>
      <sz val="10"/>
      <color indexed="8"/>
      <name val="Arial"/>
      <family val="2"/>
    </font>
    <font>
      <sz val="12"/>
      <name val="바탕체"/>
      <family val="3"/>
    </font>
    <font>
      <sz val="12"/>
      <name val="新細明體"/>
      <family val="1"/>
      <charset val="136"/>
    </font>
    <font>
      <u/>
      <sz val="8.5"/>
      <color indexed="12"/>
      <name val="Arial"/>
      <family val="2"/>
    </font>
    <font>
      <u/>
      <sz val="8"/>
      <color indexed="12"/>
      <name val="Arial"/>
      <family val="2"/>
    </font>
    <font>
      <sz val="12"/>
      <name val="바탕체"/>
      <family val="1"/>
    </font>
    <font>
      <sz val="10"/>
      <color indexed="63"/>
      <name val="Verdana"/>
      <family val="2"/>
    </font>
    <font>
      <sz val="10"/>
      <color indexed="9"/>
      <name val="Verdana"/>
      <family val="2"/>
    </font>
    <font>
      <b/>
      <sz val="10"/>
      <color indexed="63"/>
      <name val="Verdana"/>
      <family val="2"/>
    </font>
    <font>
      <u/>
      <sz val="11"/>
      <color indexed="24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5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indexed="24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13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9"/>
      <name val="Arial"/>
      <family val="2"/>
    </font>
    <font>
      <b/>
      <sz val="8"/>
      <color indexed="9"/>
      <name val="Arial"/>
      <family val="2"/>
    </font>
    <font>
      <sz val="7"/>
      <color theme="1"/>
      <name val="Avenir LT Std 35 Light"/>
      <family val="2"/>
    </font>
    <font>
      <b/>
      <sz val="10"/>
      <name val="Helvetica"/>
      <family val="2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7"/>
      <name val="Arial"/>
      <family val="2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8"/>
      <color indexed="12"/>
      <name val="FrankfurtGothicHeavy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u/>
      <sz val="11"/>
      <color theme="10"/>
      <name val="Calibri"/>
      <family val="2"/>
      <scheme val="minor"/>
    </font>
    <font>
      <sz val="8"/>
      <color indexed="63"/>
      <name val="Verdana"/>
      <family val="2"/>
    </font>
    <font>
      <i/>
      <sz val="11"/>
      <color indexed="10"/>
      <name val="Arial"/>
      <family val="2"/>
    </font>
    <font>
      <u/>
      <sz val="11"/>
      <name val="Arial"/>
      <family val="2"/>
    </font>
    <font>
      <u/>
      <sz val="11"/>
      <color indexed="12"/>
      <name val="Arial"/>
      <family val="2"/>
    </font>
    <font>
      <u/>
      <sz val="11"/>
      <color indexed="53"/>
      <name val="Arial"/>
      <family val="2"/>
    </font>
    <font>
      <u/>
      <sz val="11"/>
      <color indexed="17"/>
      <name val="Arial"/>
      <family val="2"/>
    </font>
    <font>
      <i/>
      <sz val="11"/>
      <color indexed="17"/>
      <name val="Arial"/>
      <family val="2"/>
    </font>
    <font>
      <sz val="11"/>
      <color rgb="FF000000"/>
      <name val="Arial"/>
      <family val="2"/>
    </font>
    <font>
      <b/>
      <sz val="11"/>
      <color indexed="19"/>
      <name val="Arial"/>
      <family val="2"/>
    </font>
    <font>
      <sz val="11"/>
      <color indexed="19"/>
      <name val="Arial"/>
      <family val="2"/>
    </font>
    <font>
      <sz val="10"/>
      <color rgb="FFFF0000"/>
      <name val="Arial"/>
      <family val="2"/>
    </font>
    <font>
      <sz val="10"/>
      <color indexed="9"/>
      <name val="Arial"/>
      <family val="2"/>
    </font>
    <font>
      <sz val="11"/>
      <color indexed="24"/>
      <name val="Arial"/>
      <family val="2"/>
    </font>
    <font>
      <sz val="11"/>
      <color theme="3" tint="0.39994506668294322"/>
      <name val="Arial"/>
      <family val="2"/>
    </font>
    <font>
      <b/>
      <u/>
      <sz val="11"/>
      <name val="Arial"/>
      <family val="2"/>
    </font>
    <font>
      <u/>
      <sz val="11"/>
      <color indexed="8"/>
      <name val="Arial"/>
      <family val="2"/>
    </font>
    <font>
      <u/>
      <sz val="10"/>
      <name val="Arial"/>
      <family val="2"/>
    </font>
    <font>
      <b/>
      <sz val="11"/>
      <color indexed="30"/>
      <name val="Arial"/>
      <family val="2"/>
    </font>
    <font>
      <b/>
      <sz val="11"/>
      <color theme="0"/>
      <name val="Arial"/>
      <family val="2"/>
    </font>
    <font>
      <b/>
      <i/>
      <sz val="11"/>
      <name val="Arial"/>
      <family val="2"/>
    </font>
    <font>
      <i/>
      <u/>
      <sz val="11"/>
      <name val="Arial"/>
      <family val="2"/>
    </font>
    <font>
      <i/>
      <sz val="11"/>
      <color indexed="24"/>
      <name val="Arial"/>
      <family val="2"/>
    </font>
    <font>
      <i/>
      <sz val="11"/>
      <color rgb="FF000000"/>
      <name val="Arial"/>
      <family val="2"/>
    </font>
    <font>
      <i/>
      <u/>
      <sz val="11"/>
      <color indexed="12"/>
      <name val="Arial"/>
      <family val="2"/>
    </font>
    <font>
      <i/>
      <sz val="11"/>
      <color indexed="14"/>
      <name val="Arial"/>
      <family val="2"/>
    </font>
    <font>
      <sz val="11"/>
      <color theme="3"/>
      <name val="Arial"/>
      <family val="2"/>
    </font>
    <font>
      <b/>
      <sz val="11"/>
      <color rgb="FF0066CC"/>
      <name val="Arial"/>
      <family val="2"/>
    </font>
    <font>
      <sz val="11"/>
      <color theme="4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41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60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5"/>
      </patternFill>
    </fill>
    <fill>
      <patternFill patternType="solid">
        <fgColor indexed="15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8"/>
      </patternFill>
    </fill>
    <fill>
      <patternFill patternType="solid">
        <fgColor indexed="51"/>
      </patternFill>
    </fill>
    <fill>
      <patternFill patternType="solid">
        <fgColor indexed="35"/>
      </patternFill>
    </fill>
    <fill>
      <patternFill patternType="solid">
        <fgColor indexed="56"/>
      </patternFill>
    </fill>
    <fill>
      <patternFill patternType="solid">
        <fgColor indexed="48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31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gray0625"/>
    </fill>
    <fill>
      <patternFill patternType="solid">
        <fgColor indexed="6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mediumGray"/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lightGray">
        <fgColor indexed="12"/>
      </patternFill>
    </fill>
    <fill>
      <patternFill patternType="solid">
        <fgColor indexed="11"/>
        <bgColor indexed="64"/>
      </patternFill>
    </fill>
    <fill>
      <patternFill patternType="solid">
        <fgColor indexed="21"/>
      </patternFill>
    </fill>
    <fill>
      <patternFill patternType="solid">
        <fgColor indexed="2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960">
    <xf numFmtId="0" fontId="0" fillId="0" borderId="0" applyNumberFormat="0" applyFont="0" applyFill="0" applyBorder="0" applyAlignment="0" applyProtection="0"/>
    <xf numFmtId="9" fontId="40" fillId="0" borderId="0">
      <alignment horizontal="right"/>
    </xf>
    <xf numFmtId="0" fontId="21" fillId="0" borderId="0" applyFont="0" applyFill="0" applyBorder="0" applyAlignment="0" applyProtection="0"/>
    <xf numFmtId="3" fontId="100" fillId="0" borderId="0"/>
    <xf numFmtId="0" fontId="97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62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21" fillId="0" borderId="0" applyNumberFormat="0" applyFill="0" applyBorder="0" applyAlignment="0" applyProtection="0"/>
    <xf numFmtId="5" fontId="138" fillId="0" borderId="0" applyFont="0" applyFill="0" applyBorder="0" applyAlignment="0" applyProtection="0"/>
    <xf numFmtId="8" fontId="138" fillId="0" borderId="0" applyFont="0" applyFill="0" applyBorder="0" applyAlignment="0" applyProtection="0"/>
    <xf numFmtId="204" fontId="61" fillId="0" borderId="0">
      <alignment horizontal="right"/>
    </xf>
    <xf numFmtId="0" fontId="133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5" fillId="0" borderId="0"/>
    <xf numFmtId="0" fontId="21" fillId="0" borderId="0"/>
    <xf numFmtId="0" fontId="129" fillId="0" borderId="0"/>
    <xf numFmtId="0" fontId="21" fillId="0" borderId="0"/>
    <xf numFmtId="223" fontId="139" fillId="0" borderId="0"/>
    <xf numFmtId="226" fontId="137" fillId="0" borderId="0"/>
    <xf numFmtId="10" fontId="138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42" fontId="21" fillId="0" borderId="0" applyFont="0" applyFill="0" applyBorder="0" applyAlignment="0" applyProtection="0"/>
    <xf numFmtId="227" fontId="140" fillId="0" borderId="0" applyFont="0" applyFill="0" applyBorder="0" applyAlignment="0" applyProtection="0"/>
    <xf numFmtId="0" fontId="141" fillId="0" borderId="0" applyFont="0" applyFill="0" applyBorder="0" applyAlignment="0" applyProtection="0"/>
    <xf numFmtId="0" fontId="203" fillId="0" borderId="0"/>
    <xf numFmtId="40" fontId="142" fillId="0" borderId="0" applyFont="0" applyFill="0" applyBorder="0" applyAlignment="0" applyProtection="0"/>
    <xf numFmtId="0" fontId="143" fillId="0" borderId="0" applyNumberFormat="0" applyFill="0" applyBorder="0" applyAlignment="0" applyProtection="0">
      <alignment vertical="top"/>
      <protection locked="0"/>
    </xf>
    <xf numFmtId="38" fontId="142" fillId="0" borderId="0" applyFont="0" applyFill="0" applyBorder="0" applyAlignment="0" applyProtection="0"/>
    <xf numFmtId="0" fontId="141" fillId="0" borderId="0"/>
    <xf numFmtId="0" fontId="17" fillId="0" borderId="1" applyNumberFormat="0" applyBorder="0" applyAlignment="0">
      <alignment horizontal="left"/>
    </xf>
    <xf numFmtId="0" fontId="21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5" fillId="0" borderId="0"/>
    <xf numFmtId="0" fontId="185" fillId="0" borderId="0"/>
    <xf numFmtId="3" fontId="100" fillId="0" borderId="0"/>
    <xf numFmtId="3" fontId="100" fillId="0" borderId="0"/>
    <xf numFmtId="0" fontId="21" fillId="0" borderId="0"/>
    <xf numFmtId="0" fontId="185" fillId="0" borderId="0"/>
    <xf numFmtId="0" fontId="185" fillId="0" borderId="0"/>
    <xf numFmtId="0" fontId="185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" fontId="100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75" fontId="21" fillId="0" borderId="0" applyFont="0" applyFill="0" applyBorder="0" applyAlignment="0" applyProtection="0"/>
    <xf numFmtId="3" fontId="100" fillId="0" borderId="0"/>
    <xf numFmtId="0" fontId="21" fillId="0" borderId="0" applyNumberFormat="0" applyFill="0" applyBorder="0" applyAlignment="0" applyProtection="0"/>
    <xf numFmtId="0" fontId="21" fillId="0" borderId="0"/>
    <xf numFmtId="0" fontId="21" fillId="0" borderId="0"/>
    <xf numFmtId="217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0" fontId="21" fillId="0" borderId="0" applyNumberFormat="0" applyFill="0" applyBorder="0" applyAlignment="0" applyProtection="0"/>
    <xf numFmtId="3" fontId="100" fillId="0" borderId="0"/>
    <xf numFmtId="215" fontId="101" fillId="0" borderId="0"/>
    <xf numFmtId="0" fontId="101" fillId="0" borderId="0"/>
    <xf numFmtId="3" fontId="100" fillId="0" borderId="0"/>
    <xf numFmtId="0" fontId="21" fillId="0" borderId="0" applyNumberFormat="0" applyFill="0" applyBorder="0" applyAlignment="0" applyProtection="0"/>
    <xf numFmtId="3" fontId="100" fillId="0" borderId="0"/>
    <xf numFmtId="3" fontId="100" fillId="0" borderId="0"/>
    <xf numFmtId="3" fontId="100" fillId="0" borderId="0"/>
    <xf numFmtId="3" fontId="100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3" fontId="100" fillId="0" borderId="0"/>
    <xf numFmtId="3" fontId="100" fillId="0" borderId="0"/>
    <xf numFmtId="3" fontId="100" fillId="0" borderId="0"/>
    <xf numFmtId="0" fontId="21" fillId="0" borderId="0" applyFill="0" applyAlignment="0">
      <protection locked="0"/>
    </xf>
    <xf numFmtId="0" fontId="21" fillId="0" borderId="0"/>
    <xf numFmtId="0" fontId="21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3" fontId="100" fillId="0" borderId="0"/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/>
    <xf numFmtId="0" fontId="21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Font="0" applyFill="0" applyBorder="0" applyAlignment="0" applyProtection="0"/>
    <xf numFmtId="218" fontId="21" fillId="0" borderId="0" applyFont="0" applyFill="0" applyBorder="0" applyAlignment="0" applyProtection="0"/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216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3" fontId="100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5" fillId="0" borderId="0"/>
    <xf numFmtId="0" fontId="21" fillId="0" borderId="0"/>
    <xf numFmtId="0" fontId="12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5" fillId="0" borderId="0"/>
    <xf numFmtId="0" fontId="21" fillId="0" borderId="0"/>
    <xf numFmtId="0" fontId="129" fillId="0" borderId="0"/>
    <xf numFmtId="0" fontId="21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5" fillId="0" borderId="0"/>
    <xf numFmtId="0" fontId="21" fillId="0" borderId="0"/>
    <xf numFmtId="0" fontId="129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3" fontId="100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5" fillId="0" borderId="0"/>
    <xf numFmtId="0" fontId="21" fillId="0" borderId="0"/>
    <xf numFmtId="0" fontId="21" fillId="0" borderId="0"/>
    <xf numFmtId="0" fontId="12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NumberFormat="0" applyFill="0" applyBorder="0" applyAlignment="0" applyProtection="0"/>
    <xf numFmtId="3" fontId="100" fillId="0" borderId="0"/>
    <xf numFmtId="3" fontId="100" fillId="0" borderId="0"/>
    <xf numFmtId="0" fontId="185" fillId="0" borderId="0"/>
    <xf numFmtId="0" fontId="21" fillId="0" borderId="0" applyNumberFormat="0" applyFill="0" applyBorder="0" applyAlignment="0" applyProtection="0"/>
    <xf numFmtId="0" fontId="21" fillId="0" borderId="0"/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 applyFill="0" applyAlignment="0">
      <protection locked="0"/>
    </xf>
    <xf numFmtId="0" fontId="21" fillId="0" borderId="0"/>
    <xf numFmtId="0" fontId="21" fillId="0" borderId="0"/>
    <xf numFmtId="3" fontId="100" fillId="0" borderId="0"/>
    <xf numFmtId="44" fontId="62" fillId="0" borderId="0" applyFont="0" applyFill="0" applyBorder="0" applyAlignment="0" applyProtection="0"/>
    <xf numFmtId="42" fontId="62" fillId="0" borderId="0" applyFont="0" applyFill="0" applyBorder="0" applyAlignment="0" applyProtection="0"/>
    <xf numFmtId="0" fontId="144" fillId="0" borderId="2" applyBorder="0"/>
    <xf numFmtId="205" fontId="63" fillId="0" borderId="0" applyFont="0" applyFill="0" applyBorder="0" applyAlignment="0" applyProtection="0"/>
    <xf numFmtId="228" fontId="63" fillId="0" borderId="0" applyFont="0" applyFill="0" applyBorder="0" applyAlignment="0" applyProtection="0"/>
    <xf numFmtId="206" fontId="63" fillId="0" borderId="0" applyFont="0" applyFill="0" applyBorder="0" applyAlignment="0" applyProtection="0"/>
    <xf numFmtId="229" fontId="63" fillId="0" borderId="0" applyFont="0" applyFill="0" applyBorder="0" applyAlignment="0" applyProtection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5" fillId="0" borderId="0"/>
    <xf numFmtId="0" fontId="21" fillId="0" borderId="0"/>
    <xf numFmtId="0" fontId="129" fillId="0" borderId="0"/>
    <xf numFmtId="0" fontId="21" fillId="0" borderId="0"/>
    <xf numFmtId="0" fontId="21" fillId="0" borderId="0" applyNumberFormat="0" applyFill="0" applyBorder="0" applyAlignment="0" applyProtection="0"/>
    <xf numFmtId="0" fontId="64" fillId="0" borderId="0"/>
    <xf numFmtId="0" fontId="21" fillId="0" borderId="0"/>
    <xf numFmtId="0" fontId="24" fillId="0" borderId="0"/>
    <xf numFmtId="0" fontId="24" fillId="0" borderId="0"/>
    <xf numFmtId="9" fontId="2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21" fillId="0" borderId="0"/>
    <xf numFmtId="9" fontId="125" fillId="0" borderId="0"/>
    <xf numFmtId="9" fontId="21" fillId="0" borderId="0"/>
    <xf numFmtId="9" fontId="129" fillId="0" borderId="0"/>
    <xf numFmtId="9" fontId="21" fillId="0" borderId="0"/>
    <xf numFmtId="0" fontId="21" fillId="0" borderId="0"/>
    <xf numFmtId="0" fontId="21" fillId="0" borderId="0"/>
    <xf numFmtId="0" fontId="10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2" fontId="24" fillId="0" borderId="0"/>
    <xf numFmtId="2" fontId="24" fillId="0" borderId="0"/>
    <xf numFmtId="10" fontId="24" fillId="0" borderId="0"/>
    <xf numFmtId="10" fontId="24" fillId="0" borderId="0"/>
    <xf numFmtId="2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214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214" fontId="24" fillId="0" borderId="0"/>
    <xf numFmtId="214" fontId="24" fillId="0" borderId="0"/>
    <xf numFmtId="214" fontId="24" fillId="0" borderId="0"/>
    <xf numFmtId="0" fontId="24" fillId="0" borderId="0"/>
    <xf numFmtId="180" fontId="2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21" fillId="0" borderId="0"/>
    <xf numFmtId="180" fontId="125" fillId="0" borderId="0"/>
    <xf numFmtId="180" fontId="21" fillId="0" borderId="0"/>
    <xf numFmtId="180" fontId="129" fillId="0" borderId="0"/>
    <xf numFmtId="180" fontId="21" fillId="0" borderId="0"/>
    <xf numFmtId="10" fontId="102" fillId="0" borderId="0" applyFont="0" applyFill="0" applyBorder="0" applyAlignment="0" applyProtection="0"/>
    <xf numFmtId="0" fontId="42" fillId="2" borderId="0" applyNumberFormat="0" applyBorder="0" applyAlignment="0" applyProtection="0"/>
    <xf numFmtId="0" fontId="42" fillId="3" borderId="0" applyNumberFormat="0" applyBorder="0" applyAlignment="0" applyProtection="0"/>
    <xf numFmtId="0" fontId="42" fillId="2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42" fillId="2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42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212" fillId="46" borderId="0" applyNumberFormat="0" applyBorder="0" applyAlignment="0" applyProtection="0"/>
    <xf numFmtId="0" fontId="212" fillId="46" borderId="0" applyNumberFormat="0" applyBorder="0" applyAlignment="0" applyProtection="0"/>
    <xf numFmtId="0" fontId="212" fillId="46" borderId="0" applyNumberFormat="0" applyBorder="0" applyAlignment="0" applyProtection="0"/>
    <xf numFmtId="0" fontId="42" fillId="6" borderId="0" applyNumberFormat="0" applyBorder="0" applyAlignment="0" applyProtection="0"/>
    <xf numFmtId="0" fontId="212" fillId="46" borderId="0" applyNumberFormat="0" applyBorder="0" applyAlignment="0" applyProtection="0"/>
    <xf numFmtId="0" fontId="212" fillId="46" borderId="0" applyNumberFormat="0" applyBorder="0" applyAlignment="0" applyProtection="0"/>
    <xf numFmtId="0" fontId="212" fillId="46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212" fillId="9" borderId="0" applyNumberFormat="0" applyBorder="0" applyAlignment="0" applyProtection="0"/>
    <xf numFmtId="0" fontId="212" fillId="9" borderId="0" applyNumberFormat="0" applyBorder="0" applyAlignment="0" applyProtection="0"/>
    <xf numFmtId="0" fontId="212" fillId="9" borderId="0" applyNumberFormat="0" applyBorder="0" applyAlignment="0" applyProtection="0"/>
    <xf numFmtId="0" fontId="212" fillId="9" borderId="0" applyNumberFormat="0" applyBorder="0" applyAlignment="0" applyProtection="0"/>
    <xf numFmtId="0" fontId="212" fillId="9" borderId="0" applyNumberFormat="0" applyBorder="0" applyAlignment="0" applyProtection="0"/>
    <xf numFmtId="0" fontId="212" fillId="9" borderId="0" applyNumberFormat="0" applyBorder="0" applyAlignment="0" applyProtection="0"/>
    <xf numFmtId="0" fontId="42" fillId="2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42" fillId="10" borderId="0" applyNumberFormat="0" applyBorder="0" applyAlignment="0" applyProtection="0"/>
    <xf numFmtId="0" fontId="42" fillId="6" borderId="0" applyNumberFormat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212" fillId="47" borderId="0" applyNumberFormat="0" applyBorder="0" applyAlignment="0" applyProtection="0"/>
    <xf numFmtId="0" fontId="212" fillId="47" borderId="0" applyNumberFormat="0" applyBorder="0" applyAlignment="0" applyProtection="0"/>
    <xf numFmtId="0" fontId="212" fillId="47" borderId="0" applyNumberFormat="0" applyBorder="0" applyAlignment="0" applyProtection="0"/>
    <xf numFmtId="0" fontId="42" fillId="6" borderId="0" applyNumberFormat="0" applyBorder="0" applyAlignment="0" applyProtection="0"/>
    <xf numFmtId="0" fontId="212" fillId="47" borderId="0" applyNumberFormat="0" applyBorder="0" applyAlignment="0" applyProtection="0"/>
    <xf numFmtId="0" fontId="212" fillId="47" borderId="0" applyNumberFormat="0" applyBorder="0" applyAlignment="0" applyProtection="0"/>
    <xf numFmtId="0" fontId="212" fillId="47" borderId="0" applyNumberFormat="0" applyBorder="0" applyAlignment="0" applyProtection="0"/>
    <xf numFmtId="0" fontId="42" fillId="11" borderId="0" applyNumberFormat="0" applyBorder="0" applyAlignment="0" applyProtection="0"/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212" fillId="4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42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212" fillId="5" borderId="0" applyNumberFormat="0" applyBorder="0" applyAlignment="0" applyProtection="0"/>
    <xf numFmtId="0" fontId="212" fillId="5" borderId="0" applyNumberFormat="0" applyBorder="0" applyAlignment="0" applyProtection="0"/>
    <xf numFmtId="0" fontId="212" fillId="5" borderId="0" applyNumberFormat="0" applyBorder="0" applyAlignment="0" applyProtection="0"/>
    <xf numFmtId="0" fontId="212" fillId="5" borderId="0" applyNumberFormat="0" applyBorder="0" applyAlignment="0" applyProtection="0"/>
    <xf numFmtId="0" fontId="212" fillId="5" borderId="0" applyNumberFormat="0" applyBorder="0" applyAlignment="0" applyProtection="0"/>
    <xf numFmtId="0" fontId="212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11" borderId="0" applyNumberFormat="0" applyBorder="0" applyAlignment="0" applyProtection="0"/>
    <xf numFmtId="0" fontId="212" fillId="11" borderId="0" applyNumberFormat="0" applyBorder="0" applyAlignment="0" applyProtection="0"/>
    <xf numFmtId="0" fontId="212" fillId="11" borderId="0" applyNumberFormat="0" applyBorder="0" applyAlignment="0" applyProtection="0"/>
    <xf numFmtId="0" fontId="212" fillId="11" borderId="0" applyNumberFormat="0" applyBorder="0" applyAlignment="0" applyProtection="0"/>
    <xf numFmtId="0" fontId="212" fillId="11" borderId="0" applyNumberFormat="0" applyBorder="0" applyAlignment="0" applyProtection="0"/>
    <xf numFmtId="0" fontId="212" fillId="11" borderId="0" applyNumberFormat="0" applyBorder="0" applyAlignment="0" applyProtection="0"/>
    <xf numFmtId="0" fontId="212" fillId="11" borderId="0" applyNumberFormat="0" applyBorder="0" applyAlignment="0" applyProtection="0"/>
    <xf numFmtId="0" fontId="42" fillId="11" borderId="0" applyNumberFormat="0" applyBorder="0" applyAlignment="0" applyProtection="0"/>
    <xf numFmtId="0" fontId="42" fillId="3" borderId="0" applyNumberFormat="0" applyBorder="0" applyAlignment="0" applyProtection="0"/>
    <xf numFmtId="0" fontId="42" fillId="10" borderId="0" applyNumberFormat="0" applyBorder="0" applyAlignment="0" applyProtection="0"/>
    <xf numFmtId="0" fontId="42" fillId="3" borderId="0" applyNumberFormat="0" applyBorder="0" applyAlignment="0" applyProtection="0"/>
    <xf numFmtId="0" fontId="212" fillId="13" borderId="0" applyNumberFormat="0" applyBorder="0" applyAlignment="0" applyProtection="0"/>
    <xf numFmtId="0" fontId="212" fillId="13" borderId="0" applyNumberFormat="0" applyBorder="0" applyAlignment="0" applyProtection="0"/>
    <xf numFmtId="0" fontId="212" fillId="13" borderId="0" applyNumberFormat="0" applyBorder="0" applyAlignment="0" applyProtection="0"/>
    <xf numFmtId="0" fontId="212" fillId="13" borderId="0" applyNumberFormat="0" applyBorder="0" applyAlignment="0" applyProtection="0"/>
    <xf numFmtId="0" fontId="212" fillId="13" borderId="0" applyNumberFormat="0" applyBorder="0" applyAlignment="0" applyProtection="0"/>
    <xf numFmtId="0" fontId="212" fillId="13" borderId="0" applyNumberFormat="0" applyBorder="0" applyAlignment="0" applyProtection="0"/>
    <xf numFmtId="0" fontId="42" fillId="3" borderId="0" applyNumberFormat="0" applyBorder="0" applyAlignment="0" applyProtection="0"/>
    <xf numFmtId="0" fontId="42" fillId="6" borderId="0" applyNumberFormat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212" fillId="2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0" borderId="0" applyNumberFormat="0" applyBorder="0" applyAlignment="0" applyProtection="0"/>
    <xf numFmtId="0" fontId="43" fillId="14" borderId="0" applyNumberFormat="0" applyBorder="0" applyAlignment="0" applyProtection="0"/>
    <xf numFmtId="0" fontId="213" fillId="3" borderId="0" applyNumberFormat="0" applyBorder="0" applyAlignment="0" applyProtection="0"/>
    <xf numFmtId="0" fontId="43" fillId="14" borderId="0" applyNumberFormat="0" applyBorder="0" applyAlignment="0" applyProtection="0"/>
    <xf numFmtId="0" fontId="43" fillId="5" borderId="0" applyNumberFormat="0" applyBorder="0" applyAlignment="0" applyProtection="0"/>
    <xf numFmtId="0" fontId="43" fillId="15" borderId="0" applyNumberFormat="0" applyBorder="0" applyAlignment="0" applyProtection="0"/>
    <xf numFmtId="0" fontId="43" fillId="5" borderId="0" applyNumberFormat="0" applyBorder="0" applyAlignment="0" applyProtection="0"/>
    <xf numFmtId="0" fontId="213" fillId="16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7" borderId="0" applyNumberFormat="0" applyBorder="0" applyAlignment="0" applyProtection="0"/>
    <xf numFmtId="0" fontId="43" fillId="7" borderId="0" applyNumberFormat="0" applyBorder="0" applyAlignment="0" applyProtection="0"/>
    <xf numFmtId="0" fontId="21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12" borderId="0" applyNumberFormat="0" applyBorder="0" applyAlignment="0" applyProtection="0"/>
    <xf numFmtId="0" fontId="43" fillId="11" borderId="0" applyNumberFormat="0" applyBorder="0" applyAlignment="0" applyProtection="0"/>
    <xf numFmtId="0" fontId="213" fillId="11" borderId="0" applyNumberFormat="0" applyBorder="0" applyAlignment="0" applyProtection="0"/>
    <xf numFmtId="0" fontId="43" fillId="11" borderId="0" applyNumberFormat="0" applyBorder="0" applyAlignment="0" applyProtection="0"/>
    <xf numFmtId="0" fontId="43" fillId="14" borderId="0" applyNumberFormat="0" applyBorder="0" applyAlignment="0" applyProtection="0"/>
    <xf numFmtId="0" fontId="43" fillId="10" borderId="0" applyNumberFormat="0" applyBorder="0" applyAlignment="0" applyProtection="0"/>
    <xf numFmtId="0" fontId="43" fillId="14" borderId="0" applyNumberFormat="0" applyBorder="0" applyAlignment="0" applyProtection="0"/>
    <xf numFmtId="0" fontId="213" fillId="18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43" fillId="5" borderId="0" applyNumberFormat="0" applyBorder="0" applyAlignment="0" applyProtection="0"/>
    <xf numFmtId="0" fontId="43" fillId="6" borderId="0" applyNumberFormat="0" applyBorder="0" applyAlignment="0" applyProtection="0"/>
    <xf numFmtId="0" fontId="213" fillId="2" borderId="0" applyNumberFormat="0" applyBorder="0" applyAlignment="0" applyProtection="0"/>
    <xf numFmtId="0" fontId="43" fillId="6" borderId="0" applyNumberFormat="0" applyBorder="0" applyAlignment="0" applyProtection="0"/>
    <xf numFmtId="37" fontId="65" fillId="0" borderId="0">
      <alignment horizontal="center"/>
    </xf>
    <xf numFmtId="37" fontId="145" fillId="0" borderId="0">
      <alignment horizontal="center"/>
    </xf>
    <xf numFmtId="0" fontId="103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43" fillId="14" borderId="0" applyNumberFormat="0" applyBorder="0" applyAlignment="0" applyProtection="0"/>
    <xf numFmtId="0" fontId="43" fillId="19" borderId="0" applyNumberFormat="0" applyBorder="0" applyAlignment="0" applyProtection="0"/>
    <xf numFmtId="0" fontId="43" fillId="14" borderId="0" applyNumberFormat="0" applyBorder="0" applyAlignment="0" applyProtection="0"/>
    <xf numFmtId="0" fontId="213" fillId="20" borderId="0" applyNumberFormat="0" applyBorder="0" applyAlignment="0" applyProtection="0"/>
    <xf numFmtId="0" fontId="43" fillId="14" borderId="0" applyNumberFormat="0" applyBorder="0" applyAlignment="0" applyProtection="0"/>
    <xf numFmtId="0" fontId="43" fillId="5" borderId="0" applyNumberFormat="0" applyBorder="0" applyAlignment="0" applyProtection="0"/>
    <xf numFmtId="0" fontId="43" fillId="15" borderId="0" applyNumberFormat="0" applyBorder="0" applyAlignment="0" applyProtection="0"/>
    <xf numFmtId="0" fontId="43" fillId="5" borderId="0" applyNumberFormat="0" applyBorder="0" applyAlignment="0" applyProtection="0"/>
    <xf numFmtId="0" fontId="213" fillId="2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7" borderId="0" applyNumberFormat="0" applyBorder="0" applyAlignment="0" applyProtection="0"/>
    <xf numFmtId="0" fontId="43" fillId="7" borderId="0" applyNumberFormat="0" applyBorder="0" applyAlignment="0" applyProtection="0"/>
    <xf numFmtId="0" fontId="213" fillId="22" borderId="0" applyNumberFormat="0" applyBorder="0" applyAlignment="0" applyProtection="0"/>
    <xf numFmtId="0" fontId="43" fillId="7" borderId="0" applyNumberFormat="0" applyBorder="0" applyAlignment="0" applyProtection="0"/>
    <xf numFmtId="0" fontId="43" fillId="23" borderId="0" applyNumberFormat="0" applyBorder="0" applyAlignment="0" applyProtection="0"/>
    <xf numFmtId="0" fontId="43" fillId="23" borderId="0" applyNumberFormat="0" applyBorder="0" applyAlignment="0" applyProtection="0"/>
    <xf numFmtId="0" fontId="213" fillId="24" borderId="0" applyNumberFormat="0" applyBorder="0" applyAlignment="0" applyProtection="0"/>
    <xf numFmtId="0" fontId="43" fillId="23" borderId="0" applyNumberFormat="0" applyBorder="0" applyAlignment="0" applyProtection="0"/>
    <xf numFmtId="0" fontId="43" fillId="14" borderId="0" applyNumberFormat="0" applyBorder="0" applyAlignment="0" applyProtection="0"/>
    <xf numFmtId="0" fontId="43" fillId="14" borderId="0" applyNumberFormat="0" applyBorder="0" applyAlignment="0" applyProtection="0"/>
    <xf numFmtId="0" fontId="213" fillId="20" borderId="0" applyNumberFormat="0" applyBorder="0" applyAlignment="0" applyProtection="0"/>
    <xf numFmtId="0" fontId="43" fillId="14" borderId="0" applyNumberFormat="0" applyBorder="0" applyAlignment="0" applyProtection="0"/>
    <xf numFmtId="0" fontId="43" fillId="5" borderId="0" applyNumberFormat="0" applyBorder="0" applyAlignment="0" applyProtection="0"/>
    <xf numFmtId="0" fontId="43" fillId="25" borderId="0" applyNumberFormat="0" applyBorder="0" applyAlignment="0" applyProtection="0"/>
    <xf numFmtId="0" fontId="43" fillId="5" borderId="0" applyNumberFormat="0" applyBorder="0" applyAlignment="0" applyProtection="0"/>
    <xf numFmtId="0" fontId="213" fillId="48" borderId="0" applyNumberFormat="0" applyBorder="0" applyAlignment="0" applyProtection="0"/>
    <xf numFmtId="0" fontId="43" fillId="5" borderId="0" applyNumberFormat="0" applyBorder="0" applyAlignment="0" applyProtection="0"/>
    <xf numFmtId="207" fontId="66" fillId="0" borderId="0" applyFont="0" applyFill="0" applyBorder="0" applyAlignment="0" applyProtection="0"/>
    <xf numFmtId="241" fontId="22" fillId="0" borderId="0" applyFont="0" applyFill="0" applyBorder="0" applyProtection="0"/>
    <xf numFmtId="241" fontId="22" fillId="0" borderId="0" applyFont="0" applyFill="0" applyBorder="0" applyProtection="0"/>
    <xf numFmtId="0" fontId="10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21" fillId="0" borderId="0"/>
    <xf numFmtId="201" fontId="67" fillId="0" borderId="0">
      <alignment horizontal="left"/>
    </xf>
    <xf numFmtId="0" fontId="10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67" fontId="204" fillId="0" borderId="0" applyFont="0" applyFill="0" applyBorder="0" applyAlignment="0" applyProtection="0"/>
    <xf numFmtId="0" fontId="44" fillId="12" borderId="0" applyNumberFormat="0" applyBorder="0" applyAlignment="0" applyProtection="0"/>
    <xf numFmtId="0" fontId="44" fillId="26" borderId="0" applyNumberFormat="0" applyBorder="0" applyAlignment="0" applyProtection="0"/>
    <xf numFmtId="0" fontId="44" fillId="12" borderId="0" applyNumberFormat="0" applyBorder="0" applyAlignment="0" applyProtection="0"/>
    <xf numFmtId="0" fontId="178" fillId="27" borderId="0" applyNumberFormat="0" applyBorder="0" applyAlignment="0" applyProtection="0"/>
    <xf numFmtId="0" fontId="178" fillId="27" borderId="0" applyNumberFormat="0" applyBorder="0" applyAlignment="0" applyProtection="0"/>
    <xf numFmtId="0" fontId="44" fillId="12" borderId="0" applyNumberFormat="0" applyBorder="0" applyAlignment="0" applyProtection="0"/>
    <xf numFmtId="223" fontId="137" fillId="0" borderId="0"/>
    <xf numFmtId="199" fontId="76" fillId="0" borderId="0" applyFont="0" applyFill="0" applyBorder="0" applyAlignment="0" applyProtection="0"/>
    <xf numFmtId="1" fontId="68" fillId="28" borderId="3" applyNumberFormat="0" applyBorder="0" applyAlignment="0">
      <alignment horizontal="center" vertical="top" wrapText="1"/>
      <protection hidden="1"/>
    </xf>
    <xf numFmtId="1" fontId="68" fillId="28" borderId="3" applyNumberFormat="0" applyBorder="0" applyAlignment="0">
      <alignment horizontal="center" vertical="top" wrapText="1"/>
      <protection hidden="1"/>
    </xf>
    <xf numFmtId="37" fontId="61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70" fillId="0" borderId="4" applyNumberFormat="0" applyFill="0" applyAlignment="0" applyProtection="0"/>
    <xf numFmtId="0" fontId="138" fillId="0" borderId="4" applyNumberFormat="0" applyFont="0" applyFill="0" applyAlignment="0" applyProtection="0"/>
    <xf numFmtId="0" fontId="138" fillId="0" borderId="3" applyNumberFormat="0" applyFont="0" applyFill="0" applyAlignment="0" applyProtection="0"/>
    <xf numFmtId="0" fontId="138" fillId="0" borderId="3" applyNumberFormat="0" applyFont="0" applyFill="0" applyAlignment="0" applyProtection="0"/>
    <xf numFmtId="0" fontId="138" fillId="0" borderId="5" applyNumberFormat="0" applyFont="0" applyFill="0" applyAlignment="0" applyProtection="0"/>
    <xf numFmtId="0" fontId="138" fillId="0" borderId="6" applyNumberFormat="0" applyFont="0" applyFill="0" applyAlignment="0" applyProtection="0"/>
    <xf numFmtId="37" fontId="148" fillId="0" borderId="0" applyNumberFormat="0" applyFill="0" applyBorder="0" applyAlignment="0" applyProtection="0">
      <alignment horizontal="center"/>
    </xf>
    <xf numFmtId="208" fontId="63" fillId="0" borderId="0" applyFont="0" applyFill="0" applyBorder="0" applyAlignment="0" applyProtection="0"/>
    <xf numFmtId="230" fontId="63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05" fillId="0" borderId="0"/>
    <xf numFmtId="0" fontId="106" fillId="0" borderId="0"/>
    <xf numFmtId="0" fontId="105" fillId="0" borderId="0"/>
    <xf numFmtId="0" fontId="105" fillId="0" borderId="0"/>
    <xf numFmtId="0" fontId="107" fillId="0" borderId="0"/>
    <xf numFmtId="0" fontId="104" fillId="0" borderId="0"/>
    <xf numFmtId="0" fontId="107" fillId="0" borderId="0"/>
    <xf numFmtId="0" fontId="104" fillId="0" borderId="0"/>
    <xf numFmtId="0" fontId="107" fillId="0" borderId="0"/>
    <xf numFmtId="0" fontId="104" fillId="0" borderId="0"/>
    <xf numFmtId="0" fontId="21" fillId="0" borderId="0"/>
    <xf numFmtId="0" fontId="33" fillId="0" borderId="0"/>
    <xf numFmtId="231" fontId="140" fillId="0" borderId="0" applyFill="0" applyBorder="0" applyAlignment="0"/>
    <xf numFmtId="0" fontId="45" fillId="29" borderId="7" applyNumberFormat="0" applyAlignment="0" applyProtection="0"/>
    <xf numFmtId="0" fontId="108" fillId="29" borderId="7" applyNumberFormat="0" applyAlignment="0" applyProtection="0"/>
    <xf numFmtId="0" fontId="45" fillId="29" borderId="7" applyNumberFormat="0" applyAlignment="0" applyProtection="0"/>
    <xf numFmtId="0" fontId="214" fillId="29" borderId="46" applyNumberFormat="0" applyAlignment="0" applyProtection="0"/>
    <xf numFmtId="0" fontId="45" fillId="29" borderId="7" applyNumberFormat="0" applyAlignment="0" applyProtection="0"/>
    <xf numFmtId="199" fontId="135" fillId="0" borderId="0" applyFont="0" applyFill="0" applyBorder="0" applyAlignment="0" applyProtection="0"/>
    <xf numFmtId="0" fontId="61" fillId="0" borderId="0">
      <alignment horizontal="right"/>
    </xf>
    <xf numFmtId="0" fontId="149" fillId="0" borderId="0">
      <alignment horizontal="right"/>
    </xf>
    <xf numFmtId="232" fontId="149" fillId="0" borderId="0"/>
    <xf numFmtId="1" fontId="71" fillId="0" borderId="0"/>
    <xf numFmtId="0" fontId="41" fillId="0" borderId="0" applyAlignment="0"/>
    <xf numFmtId="0" fontId="46" fillId="30" borderId="8" applyNumberFormat="0" applyAlignment="0" applyProtection="0"/>
    <xf numFmtId="0" fontId="46" fillId="30" borderId="8" applyNumberFormat="0" applyAlignment="0" applyProtection="0"/>
    <xf numFmtId="0" fontId="215" fillId="49" borderId="47" applyNumberFormat="0" applyAlignment="0" applyProtection="0"/>
    <xf numFmtId="0" fontId="46" fillId="30" borderId="8" applyNumberFormat="0" applyAlignment="0" applyProtection="0"/>
    <xf numFmtId="0" fontId="190" fillId="0" borderId="0" applyAlignment="0"/>
    <xf numFmtId="0" fontId="190" fillId="0" borderId="0" applyAlignment="0"/>
    <xf numFmtId="0" fontId="190" fillId="0" borderId="0" applyAlignment="0"/>
    <xf numFmtId="0" fontId="190" fillId="0" borderId="0" applyAlignment="0"/>
    <xf numFmtId="0" fontId="72" fillId="0" borderId="4" applyNumberFormat="0" applyFill="0" applyProtection="0">
      <alignment horizontal="left" vertical="center"/>
    </xf>
    <xf numFmtId="0" fontId="191" fillId="31" borderId="0" applyAlignment="0"/>
    <xf numFmtId="183" fontId="39" fillId="0" borderId="0" applyBorder="0">
      <alignment horizontal="right"/>
    </xf>
    <xf numFmtId="183" fontId="39" fillId="0" borderId="9" applyAlignment="0">
      <alignment horizontal="right"/>
    </xf>
    <xf numFmtId="43" fontId="2" fillId="0" borderId="0" applyFont="0" applyFill="0" applyBorder="0" applyAlignment="0" applyProtection="0"/>
    <xf numFmtId="202" fontId="73" fillId="0" borderId="0"/>
    <xf numFmtId="202" fontId="73" fillId="0" borderId="0"/>
    <xf numFmtId="233" fontId="21" fillId="0" borderId="0"/>
    <xf numFmtId="202" fontId="73" fillId="0" borderId="0"/>
    <xf numFmtId="233" fontId="21" fillId="0" borderId="0"/>
    <xf numFmtId="202" fontId="73" fillId="0" borderId="0"/>
    <xf numFmtId="233" fontId="21" fillId="0" borderId="0"/>
    <xf numFmtId="202" fontId="73" fillId="0" borderId="0"/>
    <xf numFmtId="233" fontId="21" fillId="0" borderId="0"/>
    <xf numFmtId="202" fontId="73" fillId="0" borderId="0"/>
    <xf numFmtId="233" fontId="21" fillId="0" borderId="0"/>
    <xf numFmtId="202" fontId="73" fillId="0" borderId="0"/>
    <xf numFmtId="233" fontId="21" fillId="0" borderId="0"/>
    <xf numFmtId="202" fontId="73" fillId="0" borderId="0"/>
    <xf numFmtId="233" fontId="21" fillId="0" borderId="0"/>
    <xf numFmtId="212" fontId="136" fillId="0" borderId="0" applyFont="0"/>
    <xf numFmtId="180" fontId="70" fillId="0" borderId="0" applyFont="0" applyFill="0" applyBorder="0" applyAlignment="0">
      <alignment horizontal="center" wrapText="1"/>
    </xf>
    <xf numFmtId="38" fontId="27" fillId="0" borderId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95" fontId="100" fillId="0" borderId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195" fontId="100" fillId="0" borderId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240" fontId="42" fillId="0" borderId="0" applyFont="0" applyFill="0" applyBorder="0" applyAlignment="0" applyProtection="0"/>
    <xf numFmtId="240" fontId="42" fillId="0" borderId="0" applyFont="0" applyFill="0" applyBorder="0" applyAlignment="0" applyProtection="0"/>
    <xf numFmtId="43" fontId="13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24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2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3" fontId="150" fillId="0" borderId="0"/>
    <xf numFmtId="195" fontId="150" fillId="0" borderId="0"/>
    <xf numFmtId="2" fontId="150" fillId="0" borderId="0"/>
    <xf numFmtId="0" fontId="74" fillId="0" borderId="0"/>
    <xf numFmtId="0" fontId="75" fillId="0" borderId="0" applyFill="0" applyBorder="0">
      <alignment horizontal="left"/>
    </xf>
    <xf numFmtId="201" fontId="75" fillId="0" borderId="0" applyFill="0" applyBorder="0">
      <alignment horizontal="left"/>
    </xf>
    <xf numFmtId="0" fontId="151" fillId="0" borderId="0" applyNumberFormat="0" applyAlignment="0">
      <alignment horizontal="left"/>
    </xf>
    <xf numFmtId="44" fontId="2" fillId="0" borderId="0" applyFont="0" applyFill="0" applyBorder="0" applyAlignment="0" applyProtection="0"/>
    <xf numFmtId="234" fontId="76" fillId="0" borderId="0"/>
    <xf numFmtId="165" fontId="70" fillId="0" borderId="0" applyFont="0" applyFill="0" applyBorder="0" applyAlignment="0">
      <alignment horizontal="center" wrapText="1"/>
    </xf>
    <xf numFmtId="8" fontId="76" fillId="0" borderId="0" applyFont="0" applyFill="0" applyBorder="0" applyAlignment="0" applyProtection="0">
      <alignment horizontal="left"/>
    </xf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2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29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98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99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189" fontId="152" fillId="0" borderId="0" applyFont="0" applyFill="0" applyBorder="0" applyAlignment="0" applyProtection="0"/>
    <xf numFmtId="219" fontId="21" fillId="32" borderId="5">
      <alignment horizontal="right"/>
    </xf>
    <xf numFmtId="209" fontId="63" fillId="0" borderId="0" applyFont="0" applyFill="0" applyBorder="0" applyAlignment="0" applyProtection="0"/>
    <xf numFmtId="235" fontId="63" fillId="0" borderId="0" applyFont="0" applyFill="0" applyBorder="0" applyAlignment="0" applyProtection="0"/>
    <xf numFmtId="14" fontId="17" fillId="0" borderId="1" applyFont="0">
      <alignment horizontal="right"/>
    </xf>
    <xf numFmtId="200" fontId="21" fillId="0" borderId="0" applyFont="0" applyFill="0" applyBorder="0" applyAlignment="0" applyProtection="0"/>
    <xf numFmtId="200" fontId="21" fillId="0" borderId="0" applyFont="0" applyFill="0" applyBorder="0" applyAlignment="0" applyProtection="0"/>
    <xf numFmtId="0" fontId="62" fillId="0" borderId="0"/>
    <xf numFmtId="14" fontId="135" fillId="0" borderId="0" applyFont="0" applyFill="0" applyBorder="0" applyAlignment="0" applyProtection="0">
      <alignment horizontal="center"/>
    </xf>
    <xf numFmtId="222" fontId="135" fillId="0" borderId="0" applyFont="0" applyFill="0" applyBorder="0" applyAlignment="0" applyProtection="0">
      <alignment horizontal="center"/>
    </xf>
    <xf numFmtId="0" fontId="76" fillId="0" borderId="0"/>
    <xf numFmtId="210" fontId="61" fillId="0" borderId="0">
      <alignment horizontal="right"/>
    </xf>
    <xf numFmtId="0" fontId="76" fillId="0" borderId="0"/>
    <xf numFmtId="0" fontId="61" fillId="0" borderId="0"/>
    <xf numFmtId="234" fontId="149" fillId="0" borderId="0"/>
    <xf numFmtId="5" fontId="41" fillId="0" borderId="0" applyFont="0" applyFill="0" applyBorder="0" applyAlignment="0" applyProtection="0">
      <protection locked="0"/>
    </xf>
    <xf numFmtId="5" fontId="41" fillId="0" borderId="0" applyFont="0" applyFill="0" applyBorder="0" applyAlignment="0" applyProtection="0">
      <protection locked="0"/>
    </xf>
    <xf numFmtId="6" fontId="76" fillId="0" borderId="0" applyFont="0" applyFill="0" applyBorder="0" applyAlignment="0" applyProtection="0"/>
    <xf numFmtId="0" fontId="153" fillId="0" borderId="0" applyNumberFormat="0" applyAlignment="0">
      <alignment horizontal="left"/>
    </xf>
    <xf numFmtId="243" fontId="42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21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130" fillId="0" borderId="0">
      <alignment vertical="center"/>
    </xf>
    <xf numFmtId="0" fontId="109" fillId="0" borderId="0"/>
    <xf numFmtId="0" fontId="154" fillId="0" borderId="0"/>
    <xf numFmtId="0" fontId="186" fillId="0" borderId="0"/>
    <xf numFmtId="0" fontId="109" fillId="0" borderId="0"/>
    <xf numFmtId="1" fontId="77" fillId="33" borderId="10" applyNumberFormat="0" applyBorder="0" applyAlignment="0">
      <alignment horizontal="centerContinuous" vertical="center"/>
      <protection locked="0"/>
    </xf>
    <xf numFmtId="0" fontId="110" fillId="20" borderId="0"/>
    <xf numFmtId="0" fontId="155" fillId="20" borderId="0"/>
    <xf numFmtId="0" fontId="187" fillId="20" borderId="0"/>
    <xf numFmtId="0" fontId="110" fillId="20" borderId="0"/>
    <xf numFmtId="0" fontId="61" fillId="0" borderId="0"/>
    <xf numFmtId="236" fontId="149" fillId="0" borderId="0"/>
    <xf numFmtId="0" fontId="78" fillId="0" borderId="0" applyNumberFormat="0" applyFill="0" applyBorder="0" applyProtection="0">
      <alignment horizontal="left" vertical="center"/>
    </xf>
    <xf numFmtId="189" fontId="21" fillId="32" borderId="5">
      <alignment horizontal="right"/>
    </xf>
    <xf numFmtId="49" fontId="22" fillId="0" borderId="0" applyFill="0" applyBorder="0"/>
    <xf numFmtId="49" fontId="22" fillId="0" borderId="0" applyFill="0" applyBorder="0"/>
    <xf numFmtId="49" fontId="2" fillId="0" borderId="0"/>
    <xf numFmtId="49" fontId="2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125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129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125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49" fontId="129" fillId="0" borderId="0" applyFill="0" applyBorder="0">
      <alignment horizontal="right" vertical="center"/>
    </xf>
    <xf numFmtId="49" fontId="21" fillId="0" borderId="0" applyFill="0" applyBorder="0">
      <alignment horizontal="right" vertical="center"/>
    </xf>
    <xf numFmtId="0" fontId="48" fillId="8" borderId="0" applyNumberFormat="0" applyBorder="0" applyAlignment="0" applyProtection="0"/>
    <xf numFmtId="0" fontId="48" fillId="10" borderId="0" applyNumberFormat="0" applyBorder="0" applyAlignment="0" applyProtection="0"/>
    <xf numFmtId="0" fontId="48" fillId="8" borderId="0" applyNumberFormat="0" applyBorder="0" applyAlignment="0" applyProtection="0"/>
    <xf numFmtId="0" fontId="179" fillId="5" borderId="0" applyNumberFormat="0" applyBorder="0" applyAlignment="0" applyProtection="0"/>
    <xf numFmtId="0" fontId="179" fillId="5" borderId="0" applyNumberFormat="0" applyBorder="0" applyAlignment="0" applyProtection="0"/>
    <xf numFmtId="0" fontId="48" fillId="8" borderId="0" applyNumberFormat="0" applyBorder="0" applyAlignment="0" applyProtection="0"/>
    <xf numFmtId="0" fontId="79" fillId="0" borderId="0"/>
    <xf numFmtId="0" fontId="111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38" fontId="33" fillId="32" borderId="0" applyNumberFormat="0" applyBorder="0" applyAlignment="0" applyProtection="0"/>
    <xf numFmtId="38" fontId="22" fillId="32" borderId="0" applyNumberFormat="0" applyBorder="0" applyAlignment="0" applyProtection="0"/>
    <xf numFmtId="38" fontId="22" fillId="32" borderId="0" applyNumberFormat="0" applyBorder="0" applyAlignment="0" applyProtection="0"/>
    <xf numFmtId="226" fontId="139" fillId="0" borderId="0"/>
    <xf numFmtId="223" fontId="139" fillId="0" borderId="0" applyFill="0" applyBorder="0" applyAlignment="0" applyProtection="0"/>
    <xf numFmtId="167" fontId="21" fillId="34" borderId="11" applyNumberFormat="0" applyFont="0" applyBorder="0" applyAlignment="0" applyProtection="0"/>
    <xf numFmtId="167" fontId="21" fillId="34" borderId="11" applyNumberFormat="0" applyFont="0" applyBorder="0" applyAlignment="0" applyProtection="0"/>
    <xf numFmtId="167" fontId="21" fillId="34" borderId="11" applyNumberFormat="0" applyFont="0" applyBorder="0" applyAlignment="0" applyProtection="0"/>
    <xf numFmtId="167" fontId="21" fillId="34" borderId="11" applyNumberFormat="0" applyFont="0" applyBorder="0" applyAlignment="0" applyProtection="0"/>
    <xf numFmtId="180" fontId="80" fillId="34" borderId="0" applyNumberFormat="0" applyFont="0" applyAlignment="0"/>
    <xf numFmtId="0" fontId="156" fillId="0" borderId="0" applyNumberFormat="0" applyFill="0" applyBorder="0" applyAlignment="0" applyProtection="0"/>
    <xf numFmtId="0" fontId="37" fillId="0" borderId="12" applyNumberFormat="0" applyAlignment="0" applyProtection="0">
      <alignment horizontal="left" vertical="center"/>
    </xf>
    <xf numFmtId="0" fontId="124" fillId="0" borderId="12" applyNumberFormat="0" applyAlignment="0" applyProtection="0">
      <alignment horizontal="left" vertical="center"/>
    </xf>
    <xf numFmtId="0" fontId="37" fillId="0" borderId="1">
      <alignment horizontal="left" vertical="center"/>
    </xf>
    <xf numFmtId="0" fontId="124" fillId="0" borderId="1">
      <alignment horizontal="left" vertical="center"/>
    </xf>
    <xf numFmtId="0" fontId="49" fillId="0" borderId="13" applyNumberFormat="0" applyFill="0" applyAlignment="0" applyProtection="0"/>
    <xf numFmtId="0" fontId="49" fillId="0" borderId="14" applyNumberFormat="0" applyFill="0" applyAlignment="0" applyProtection="0"/>
    <xf numFmtId="0" fontId="49" fillId="0" borderId="13" applyNumberFormat="0" applyFill="0" applyAlignment="0" applyProtection="0"/>
    <xf numFmtId="0" fontId="180" fillId="0" borderId="15" applyNumberFormat="0" applyFill="0" applyAlignment="0" applyProtection="0"/>
    <xf numFmtId="0" fontId="180" fillId="0" borderId="15" applyNumberFormat="0" applyFill="0" applyAlignment="0" applyProtection="0"/>
    <xf numFmtId="0" fontId="49" fillId="0" borderId="13" applyNumberFormat="0" applyFill="0" applyAlignment="0" applyProtection="0"/>
    <xf numFmtId="0" fontId="50" fillId="0" borderId="16" applyNumberFormat="0" applyFill="0" applyAlignment="0" applyProtection="0"/>
    <xf numFmtId="0" fontId="50" fillId="0" borderId="17" applyNumberFormat="0" applyFill="0" applyAlignment="0" applyProtection="0"/>
    <xf numFmtId="0" fontId="50" fillId="0" borderId="16" applyNumberFormat="0" applyFill="0" applyAlignment="0" applyProtection="0"/>
    <xf numFmtId="0" fontId="181" fillId="0" borderId="18" applyNumberFormat="0" applyFill="0" applyAlignment="0" applyProtection="0"/>
    <xf numFmtId="0" fontId="181" fillId="0" borderId="18" applyNumberFormat="0" applyFill="0" applyAlignment="0" applyProtection="0"/>
    <xf numFmtId="0" fontId="50" fillId="0" borderId="16" applyNumberFormat="0" applyFill="0" applyAlignment="0" applyProtection="0"/>
    <xf numFmtId="0" fontId="51" fillId="0" borderId="19" applyNumberFormat="0" applyFill="0" applyAlignment="0" applyProtection="0"/>
    <xf numFmtId="0" fontId="51" fillId="0" borderId="20" applyNumberFormat="0" applyFill="0" applyAlignment="0" applyProtection="0"/>
    <xf numFmtId="0" fontId="51" fillId="0" borderId="19" applyNumberFormat="0" applyFill="0" applyAlignment="0" applyProtection="0"/>
    <xf numFmtId="0" fontId="182" fillId="0" borderId="21" applyNumberFormat="0" applyFill="0" applyAlignment="0" applyProtection="0"/>
    <xf numFmtId="0" fontId="182" fillId="0" borderId="21" applyNumberFormat="0" applyFill="0" applyAlignment="0" applyProtection="0"/>
    <xf numFmtId="0" fontId="51" fillId="0" borderId="19" applyNumberFormat="0" applyFill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82" fillId="0" borderId="0" applyNumberFormat="0" applyFill="0" applyBorder="0" applyAlignment="0" applyProtection="0"/>
    <xf numFmtId="0" fontId="182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57" fillId="0" borderId="0">
      <protection locked="0"/>
    </xf>
    <xf numFmtId="0" fontId="157" fillId="0" borderId="0">
      <protection locked="0"/>
    </xf>
    <xf numFmtId="0" fontId="112" fillId="0" borderId="0">
      <alignment wrapText="1"/>
    </xf>
    <xf numFmtId="0" fontId="158" fillId="0" borderId="0">
      <alignment wrapText="1"/>
    </xf>
    <xf numFmtId="0" fontId="118" fillId="0" borderId="0">
      <alignment wrapText="1"/>
    </xf>
    <xf numFmtId="0" fontId="112" fillId="0" borderId="0">
      <alignment wrapText="1"/>
    </xf>
    <xf numFmtId="0" fontId="38" fillId="0" borderId="22" applyNumberFormat="0" applyFill="0" applyAlignment="0" applyProtection="0"/>
    <xf numFmtId="0" fontId="113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02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202" fillId="0" borderId="0" applyNumberFormat="0" applyFill="0" applyBorder="0" applyAlignment="0" applyProtection="0">
      <alignment vertical="top"/>
      <protection locked="0"/>
    </xf>
    <xf numFmtId="0" fontId="131" fillId="0" borderId="0" applyNumberFormat="0" applyFill="0" applyBorder="0" applyAlignment="0" applyProtection="0">
      <alignment vertical="top"/>
      <protection locked="0"/>
    </xf>
    <xf numFmtId="0" fontId="206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6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211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113" fillId="0" borderId="0" applyNumberFormat="0" applyFill="0" applyBorder="0" applyAlignment="0" applyProtection="0">
      <alignment vertical="top"/>
      <protection locked="0"/>
    </xf>
    <xf numFmtId="0" fontId="211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38" fontId="76" fillId="0" borderId="0"/>
    <xf numFmtId="199" fontId="76" fillId="0" borderId="0" applyFont="0" applyFill="0" applyBorder="0" applyAlignment="0" applyProtection="0"/>
    <xf numFmtId="0" fontId="52" fillId="6" borderId="7" applyNumberFormat="0" applyAlignment="0" applyProtection="0"/>
    <xf numFmtId="10" fontId="33" fillId="35" borderId="11" applyNumberFormat="0" applyBorder="0" applyAlignment="0" applyProtection="0"/>
    <xf numFmtId="10" fontId="22" fillId="35" borderId="11" applyNumberFormat="0" applyBorder="0" applyAlignment="0" applyProtection="0"/>
    <xf numFmtId="10" fontId="22" fillId="35" borderId="11" applyNumberFormat="0" applyBorder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218" fillId="50" borderId="46" applyNumberFormat="0" applyAlignment="0" applyProtection="0"/>
    <xf numFmtId="0" fontId="52" fillId="6" borderId="7" applyNumberFormat="0" applyAlignment="0" applyProtection="0"/>
    <xf numFmtId="0" fontId="218" fillId="50" borderId="46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52" fillId="6" borderId="7" applyNumberFormat="0" applyAlignment="0" applyProtection="0"/>
    <xf numFmtId="0" fontId="81" fillId="0" borderId="0" applyNumberFormat="0" applyFill="0" applyBorder="0" applyAlignment="0">
      <protection locked="0"/>
    </xf>
    <xf numFmtId="0" fontId="61" fillId="0" borderId="0"/>
    <xf numFmtId="237" fontId="149" fillId="0" borderId="0"/>
    <xf numFmtId="0" fontId="192" fillId="0" borderId="0" applyAlignment="0"/>
    <xf numFmtId="38" fontId="29" fillId="0" borderId="0" applyNumberFormat="0" applyBorder="0" applyProtection="0">
      <alignment horizontal="left"/>
    </xf>
    <xf numFmtId="0" fontId="82" fillId="0" borderId="0" applyNumberFormat="0" applyFill="0" applyBorder="0" applyProtection="0">
      <alignment horizontal="left" vertical="center"/>
    </xf>
    <xf numFmtId="38" fontId="159" fillId="0" borderId="0"/>
    <xf numFmtId="38" fontId="160" fillId="0" borderId="0"/>
    <xf numFmtId="38" fontId="161" fillId="0" borderId="0"/>
    <xf numFmtId="38" fontId="162" fillId="0" borderId="0"/>
    <xf numFmtId="0" fontId="163" fillId="0" borderId="0"/>
    <xf numFmtId="0" fontId="163" fillId="0" borderId="0"/>
    <xf numFmtId="0" fontId="21" fillId="0" borderId="0"/>
    <xf numFmtId="0" fontId="53" fillId="0" borderId="23" applyNumberFormat="0" applyFill="0" applyAlignment="0" applyProtection="0"/>
    <xf numFmtId="0" fontId="58" fillId="0" borderId="24" applyNumberFormat="0" applyFill="0" applyAlignment="0" applyProtection="0"/>
    <xf numFmtId="0" fontId="53" fillId="0" borderId="23" applyNumberFormat="0" applyFill="0" applyAlignment="0" applyProtection="0"/>
    <xf numFmtId="0" fontId="183" fillId="0" borderId="25" applyNumberFormat="0" applyFill="0" applyAlignment="0" applyProtection="0"/>
    <xf numFmtId="0" fontId="183" fillId="0" borderId="25" applyNumberFormat="0" applyFill="0" applyAlignment="0" applyProtection="0"/>
    <xf numFmtId="0" fontId="53" fillId="0" borderId="23" applyNumberFormat="0" applyFill="0" applyAlignment="0" applyProtection="0"/>
    <xf numFmtId="220" fontId="21" fillId="0" borderId="0">
      <alignment horizontal="right"/>
    </xf>
    <xf numFmtId="223" fontId="137" fillId="0" borderId="0" applyFill="0" applyBorder="0" applyAlignment="0" applyProtection="0"/>
    <xf numFmtId="0" fontId="110" fillId="0" borderId="0"/>
    <xf numFmtId="0" fontId="155" fillId="0" borderId="0"/>
    <xf numFmtId="0" fontId="187" fillId="0" borderId="0"/>
    <xf numFmtId="0" fontId="110" fillId="0" borderId="0"/>
    <xf numFmtId="0" fontId="115" fillId="0" borderId="0"/>
    <xf numFmtId="0" fontId="164" fillId="0" borderId="0"/>
    <xf numFmtId="0" fontId="188" fillId="0" borderId="0"/>
    <xf numFmtId="0" fontId="115" fillId="0" borderId="0"/>
    <xf numFmtId="0" fontId="116" fillId="0" borderId="0"/>
    <xf numFmtId="0" fontId="165" fillId="0" borderId="0"/>
    <xf numFmtId="0" fontId="189" fillId="0" borderId="0"/>
    <xf numFmtId="0" fontId="116" fillId="0" borderId="0"/>
    <xf numFmtId="37" fontId="85" fillId="0" borderId="0" applyNumberFormat="0" applyFill="0" applyBorder="0" applyAlignment="0" applyProtection="0">
      <alignment horizontal="center"/>
    </xf>
    <xf numFmtId="37" fontId="85" fillId="0" borderId="0" applyNumberFormat="0" applyFill="0" applyBorder="0" applyAlignment="0" applyProtection="0">
      <alignment horizontal="center"/>
    </xf>
    <xf numFmtId="14" fontId="138" fillId="0" borderId="0" applyFont="0" applyFill="0" applyBorder="0" applyAlignment="0" applyProtection="0"/>
    <xf numFmtId="200" fontId="33" fillId="35" borderId="0">
      <alignment horizontal="center"/>
    </xf>
    <xf numFmtId="200" fontId="22" fillId="35" borderId="0">
      <alignment horizontal="center"/>
    </xf>
    <xf numFmtId="200" fontId="22" fillId="35" borderId="0">
      <alignment horizontal="center"/>
    </xf>
    <xf numFmtId="238" fontId="76" fillId="0" borderId="0" applyFont="0" applyFill="0" applyBorder="0" applyAlignment="0" applyProtection="0"/>
    <xf numFmtId="242" fontId="22" fillId="0" borderId="0"/>
    <xf numFmtId="0" fontId="54" fillId="6" borderId="0" applyNumberFormat="0" applyBorder="0" applyAlignment="0" applyProtection="0"/>
    <xf numFmtId="0" fontId="117" fillId="6" borderId="0" applyNumberFormat="0" applyBorder="0" applyAlignment="0" applyProtection="0"/>
    <xf numFmtId="0" fontId="54" fillId="6" borderId="0" applyNumberFormat="0" applyBorder="0" applyAlignment="0" applyProtection="0"/>
    <xf numFmtId="0" fontId="219" fillId="51" borderId="0" applyNumberFormat="0" applyBorder="0" applyAlignment="0" applyProtection="0"/>
    <xf numFmtId="0" fontId="54" fillId="6" borderId="0" applyNumberFormat="0" applyBorder="0" applyAlignment="0" applyProtection="0"/>
    <xf numFmtId="0" fontId="193" fillId="36" borderId="0" applyAlignment="0"/>
    <xf numFmtId="0" fontId="59" fillId="37" borderId="0" applyAlignment="0"/>
    <xf numFmtId="0" fontId="194" fillId="0" borderId="0" applyAlignment="0"/>
    <xf numFmtId="0" fontId="27" fillId="0" borderId="0"/>
    <xf numFmtId="37" fontId="83" fillId="0" borderId="0"/>
    <xf numFmtId="203" fontId="84" fillId="0" borderId="0"/>
    <xf numFmtId="0" fontId="63" fillId="0" borderId="0"/>
    <xf numFmtId="3" fontId="100" fillId="0" borderId="0"/>
    <xf numFmtId="3" fontId="100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2" fillId="0" borderId="0"/>
    <xf numFmtId="0" fontId="21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100" fillId="0" borderId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2" fillId="0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118" fillId="0" borderId="0"/>
    <xf numFmtId="0" fontId="21" fillId="0" borderId="0"/>
    <xf numFmtId="0" fontId="118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98" fillId="0" borderId="0"/>
    <xf numFmtId="0" fontId="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2" fillId="0" borderId="0"/>
    <xf numFmtId="0" fontId="21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4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42" fillId="0" borderId="0"/>
    <xf numFmtId="3" fontId="100" fillId="0" borderId="0"/>
    <xf numFmtId="3" fontId="100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3" fontId="100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>
      <alignment vertical="center"/>
    </xf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>
      <alignment vertical="center"/>
    </xf>
    <xf numFmtId="0" fontId="21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3" fontId="100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118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1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3" fontId="10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0" fillId="0" borderId="0"/>
    <xf numFmtId="0" fontId="21" fillId="0" borderId="0"/>
    <xf numFmtId="0" fontId="220" fillId="0" borderId="0"/>
    <xf numFmtId="0" fontId="21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2" fillId="0" borderId="0" applyNumberFormat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" fillId="0" borderId="0"/>
    <xf numFmtId="0" fontId="21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/>
    <xf numFmtId="0" fontId="21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2" fillId="0" borderId="0" applyNumberFormat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4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2" fillId="0" borderId="0"/>
    <xf numFmtId="0" fontId="21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4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2" fillId="0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42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4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20" fillId="0" borderId="0"/>
    <xf numFmtId="0" fontId="42" fillId="0" borderId="0"/>
    <xf numFmtId="0" fontId="21" fillId="0" borderId="0" applyNumberFormat="0" applyFont="0" applyFill="0" applyBorder="0" applyAlignment="0" applyProtection="0"/>
    <xf numFmtId="0" fontId="220" fillId="0" borderId="0"/>
    <xf numFmtId="0" fontId="42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 applyNumberFormat="0" applyFont="0" applyFill="0" applyBorder="0" applyAlignment="0" applyProtection="0"/>
    <xf numFmtId="0" fontId="220" fillId="0" borderId="0"/>
    <xf numFmtId="0" fontId="220" fillId="0" borderId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99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118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2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21" fillId="0" borderId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85" fillId="0" borderId="0"/>
    <xf numFmtId="0" fontId="166" fillId="0" borderId="0"/>
    <xf numFmtId="0" fontId="6" fillId="0" borderId="0"/>
    <xf numFmtId="165" fontId="11" fillId="0" borderId="0"/>
    <xf numFmtId="0" fontId="6" fillId="0" borderId="0"/>
    <xf numFmtId="201" fontId="29" fillId="0" borderId="0" applyBorder="0">
      <alignment horizontal="left"/>
    </xf>
    <xf numFmtId="0" fontId="2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125" fillId="6" borderId="26" applyNumberFormat="0" applyFont="0" applyAlignment="0" applyProtection="0"/>
    <xf numFmtId="0" fontId="21" fillId="6" borderId="26" applyNumberFormat="0" applyFont="0" applyAlignment="0" applyProtection="0"/>
    <xf numFmtId="0" fontId="129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42" fillId="6" borderId="48" applyNumberFormat="0" applyFont="0" applyAlignment="0" applyProtection="0"/>
    <xf numFmtId="0" fontId="21" fillId="7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42" fillId="6" borderId="48" applyNumberFormat="0" applyFont="0" applyAlignment="0" applyProtection="0"/>
    <xf numFmtId="0" fontId="42" fillId="6" borderId="48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0" fontId="21" fillId="6" borderId="26" applyNumberFormat="0" applyFont="0" applyAlignment="0" applyProtection="0"/>
    <xf numFmtId="164" fontId="40" fillId="0" borderId="0" applyFont="0" applyFill="0" applyBorder="0" applyProtection="0">
      <alignment horizontal="right"/>
    </xf>
    <xf numFmtId="3" fontId="100" fillId="0" borderId="0" applyBorder="0"/>
    <xf numFmtId="164" fontId="40" fillId="0" borderId="0" applyFont="0" applyFill="0" applyBorder="0" applyProtection="0">
      <alignment horizontal="right"/>
    </xf>
    <xf numFmtId="3" fontId="100" fillId="0" borderId="6" applyBorder="0"/>
    <xf numFmtId="3" fontId="100" fillId="0" borderId="6" applyBorder="0"/>
    <xf numFmtId="3" fontId="100" fillId="0" borderId="6" applyBorder="0"/>
    <xf numFmtId="164" fontId="40" fillId="0" borderId="0" applyFont="0" applyFill="0" applyBorder="0" applyProtection="0">
      <alignment horizontal="right"/>
    </xf>
    <xf numFmtId="3" fontId="100" fillId="0" borderId="0" applyBorder="0"/>
    <xf numFmtId="3" fontId="100" fillId="0" borderId="0" applyBorder="0"/>
    <xf numFmtId="3" fontId="100" fillId="0" borderId="0" applyBorder="0"/>
    <xf numFmtId="3" fontId="100" fillId="0" borderId="0" applyBorder="0"/>
    <xf numFmtId="3" fontId="100" fillId="0" borderId="0" applyBorder="0"/>
    <xf numFmtId="3" fontId="100" fillId="0" borderId="0" applyBorder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183" fontId="2" fillId="0" borderId="0"/>
    <xf numFmtId="199" fontId="76" fillId="0" borderId="0" applyFont="0" applyFill="0" applyBorder="0" applyAlignment="0" applyProtection="0"/>
    <xf numFmtId="226" fontId="137" fillId="0" borderId="0"/>
    <xf numFmtId="0" fontId="86" fillId="0" borderId="0">
      <alignment horizontal="left"/>
    </xf>
    <xf numFmtId="0" fontId="55" fillId="29" borderId="27" applyNumberFormat="0" applyAlignment="0" applyProtection="0"/>
    <xf numFmtId="0" fontId="55" fillId="29" borderId="27" applyNumberFormat="0" applyAlignment="0" applyProtection="0"/>
    <xf numFmtId="0" fontId="222" fillId="29" borderId="49" applyNumberFormat="0" applyAlignment="0" applyProtection="0"/>
    <xf numFmtId="0" fontId="55" fillId="29" borderId="27" applyNumberFormat="0" applyAlignment="0" applyProtection="0"/>
    <xf numFmtId="0" fontId="27" fillId="0" borderId="0">
      <alignment vertical="center"/>
    </xf>
    <xf numFmtId="0" fontId="116" fillId="0" borderId="0"/>
    <xf numFmtId="0" fontId="165" fillId="0" borderId="0"/>
    <xf numFmtId="0" fontId="189" fillId="0" borderId="0"/>
    <xf numFmtId="0" fontId="116" fillId="0" borderId="0"/>
    <xf numFmtId="9" fontId="2" fillId="0" borderId="0" applyFont="0" applyFill="0" applyBorder="0" applyAlignment="0" applyProtection="0"/>
    <xf numFmtId="167" fontId="76" fillId="0" borderId="0"/>
    <xf numFmtId="10" fontId="2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125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129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00" fillId="0" borderId="0" applyFont="0" applyFill="0" applyBorder="0" applyProtection="0">
      <alignment horizontal="right"/>
    </xf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00" fillId="0" borderId="0" applyFont="0" applyFill="0" applyBorder="0" applyProtection="0">
      <alignment horizontal="right"/>
    </xf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6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5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136" fillId="0" borderId="0"/>
    <xf numFmtId="239" fontId="76" fillId="0" borderId="0" applyFont="0" applyBorder="0"/>
    <xf numFmtId="167" fontId="152" fillId="0" borderId="0" applyFont="0" applyFill="0" applyBorder="0" applyAlignment="0" applyProtection="0"/>
    <xf numFmtId="10" fontId="152" fillId="0" borderId="0" applyFont="0" applyFill="0" applyBorder="0" applyAlignment="0" applyProtection="0"/>
    <xf numFmtId="9" fontId="21" fillId="0" borderId="0"/>
    <xf numFmtId="167" fontId="167" fillId="0" borderId="0" applyFill="0" applyBorder="0" applyAlignment="0" applyProtection="0"/>
    <xf numFmtId="224" fontId="76" fillId="0" borderId="0" applyFont="0" applyFill="0" applyBorder="0" applyAlignment="0" applyProtection="0"/>
    <xf numFmtId="225" fontId="76" fillId="0" borderId="0" applyFont="0" applyFill="0" applyBorder="0" applyAlignment="0" applyProtection="0"/>
    <xf numFmtId="38" fontId="76" fillId="0" borderId="0" applyFont="0" applyFill="0" applyBorder="0" applyAlignment="0" applyProtection="0"/>
    <xf numFmtId="3" fontId="76" fillId="0" borderId="0"/>
    <xf numFmtId="1" fontId="87" fillId="32" borderId="0">
      <alignment horizontal="center"/>
    </xf>
    <xf numFmtId="221" fontId="133" fillId="32" borderId="0"/>
    <xf numFmtId="211" fontId="22" fillId="0" borderId="0"/>
    <xf numFmtId="211" fontId="22" fillId="0" borderId="0"/>
    <xf numFmtId="49" fontId="100" fillId="0" borderId="0">
      <alignment horizontal="right"/>
    </xf>
    <xf numFmtId="49" fontId="100" fillId="0" borderId="0">
      <alignment horizontal="right"/>
    </xf>
    <xf numFmtId="0" fontId="88" fillId="0" borderId="0"/>
    <xf numFmtId="0" fontId="119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190" fontId="168" fillId="0" borderId="0" applyNumberFormat="0" applyFill="0" applyBorder="0" applyAlignment="0" applyProtection="0">
      <alignment horizontal="left"/>
    </xf>
    <xf numFmtId="0" fontId="82" fillId="0" borderId="0" applyNumberFormat="0" applyFill="0" applyBorder="0" applyProtection="0">
      <alignment horizontal="right" vertical="center"/>
    </xf>
    <xf numFmtId="0" fontId="21" fillId="38" borderId="0" applyNumberFormat="0" applyFont="0" applyBorder="0" applyAlignment="0" applyProtection="0"/>
    <xf numFmtId="0" fontId="21" fillId="38" borderId="0" applyNumberFormat="0" applyFont="0" applyBorder="0" applyAlignment="0" applyProtection="0"/>
    <xf numFmtId="0" fontId="21" fillId="38" borderId="0" applyNumberFormat="0" applyFont="0" applyBorder="0" applyAlignment="0" applyProtection="0"/>
    <xf numFmtId="0" fontId="21" fillId="38" borderId="0" applyNumberFormat="0" applyFont="0" applyBorder="0" applyAlignment="0" applyProtection="0"/>
    <xf numFmtId="180" fontId="28" fillId="0" borderId="0"/>
    <xf numFmtId="180" fontId="28" fillId="0" borderId="0"/>
    <xf numFmtId="18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28" fillId="0" borderId="28">
      <alignment horizontal="centerContinuous"/>
    </xf>
    <xf numFmtId="0" fontId="195" fillId="39" borderId="0" applyAlignment="0"/>
    <xf numFmtId="0" fontId="169" fillId="40" borderId="0" applyNumberFormat="0" applyFont="0" applyBorder="0" applyAlignment="0" applyProtection="0"/>
    <xf numFmtId="199" fontId="76" fillId="0" borderId="0" applyFont="0" applyFill="0" applyBorder="0" applyAlignment="0" applyProtection="0"/>
    <xf numFmtId="3" fontId="22" fillId="0" borderId="0"/>
    <xf numFmtId="3" fontId="22" fillId="0" borderId="0"/>
    <xf numFmtId="0" fontId="29" fillId="0" borderId="28"/>
    <xf numFmtId="0" fontId="2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 applyNumberFormat="0" applyFill="0" applyBorder="0" applyAlignment="0" applyProtection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125" fillId="0" borderId="0">
      <alignment vertical="top"/>
    </xf>
    <xf numFmtId="0" fontId="21" fillId="0" borderId="0">
      <alignment vertical="top"/>
    </xf>
    <xf numFmtId="0" fontId="129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3" fontId="100" fillId="0" borderId="0"/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3" fontId="100" fillId="0" borderId="0"/>
    <xf numFmtId="0" fontId="21" fillId="0" borderId="0"/>
    <xf numFmtId="0" fontId="21" fillId="0" borderId="0">
      <alignment vertical="top"/>
    </xf>
    <xf numFmtId="0" fontId="21" fillId="0" borderId="0" applyNumberFormat="0" applyFill="0" applyBorder="0" applyAlignment="0" applyProtection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/>
    <xf numFmtId="3" fontId="100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3" fontId="100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3" fontId="100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/>
    <xf numFmtId="0" fontId="21" fillId="0" borderId="0">
      <alignment vertical="top"/>
    </xf>
    <xf numFmtId="0" fontId="208" fillId="36" borderId="29" applyNumberFormat="0" applyAlignment="0" applyProtection="0"/>
    <xf numFmtId="2" fontId="208" fillId="41" borderId="29" applyProtection="0">
      <alignment horizontal="right"/>
    </xf>
    <xf numFmtId="2" fontId="209" fillId="42" borderId="29" applyProtection="0">
      <alignment horizontal="right"/>
    </xf>
    <xf numFmtId="0" fontId="22" fillId="43" borderId="11" applyNumberFormat="0" applyProtection="0">
      <alignment horizontal="center" wrapText="1"/>
    </xf>
    <xf numFmtId="14" fontId="196" fillId="31" borderId="29" applyProtection="0">
      <alignment horizontal="right"/>
    </xf>
    <xf numFmtId="14" fontId="196" fillId="31" borderId="29" applyProtection="0">
      <alignment horizontal="left"/>
    </xf>
    <xf numFmtId="0" fontId="22" fillId="0" borderId="0" applyNumberFormat="0" applyFill="0" applyBorder="0" applyProtection="0">
      <alignment vertical="center"/>
    </xf>
    <xf numFmtId="0" fontId="210" fillId="36" borderId="29" applyNumberFormat="0" applyProtection="0">
      <alignment horizontal="left"/>
    </xf>
    <xf numFmtId="0" fontId="39" fillId="0" borderId="0" applyNumberFormat="0" applyFill="0" applyBorder="0" applyProtection="0">
      <alignment vertical="center"/>
    </xf>
    <xf numFmtId="0" fontId="96" fillId="0" borderId="0"/>
    <xf numFmtId="0" fontId="36" fillId="0" borderId="0"/>
    <xf numFmtId="41" fontId="21" fillId="0" borderId="0" applyFont="0" applyFill="0" applyBorder="0" applyAlignment="0" applyProtection="0"/>
    <xf numFmtId="0" fontId="22" fillId="44" borderId="11" applyNumberFormat="0" applyProtection="0">
      <alignment wrapText="1"/>
    </xf>
    <xf numFmtId="0" fontId="96" fillId="0" borderId="0"/>
    <xf numFmtId="0" fontId="36" fillId="0" borderId="0"/>
    <xf numFmtId="41" fontId="21" fillId="0" borderId="0" applyFont="0" applyFill="0" applyBorder="0" applyAlignment="0" applyProtection="0"/>
    <xf numFmtId="0" fontId="2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41" fontId="21" fillId="0" borderId="0" applyFont="0" applyFill="0" applyBorder="0" applyAlignment="0" applyProtection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125" fillId="0" borderId="0">
      <alignment vertical="top"/>
    </xf>
    <xf numFmtId="0" fontId="21" fillId="0" borderId="0">
      <alignment vertical="top"/>
    </xf>
    <xf numFmtId="0" fontId="129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41" fillId="0" borderId="0" applyNumberFormat="0" applyBorder="0" applyAlignment="0"/>
    <xf numFmtId="0" fontId="170" fillId="0" borderId="0" applyNumberFormat="0" applyBorder="0" applyAlignment="0"/>
    <xf numFmtId="2" fontId="196" fillId="36" borderId="29" applyProtection="0"/>
    <xf numFmtId="2" fontId="197" fillId="41" borderId="29" applyProtection="0"/>
    <xf numFmtId="2" fontId="197" fillId="37" borderId="29" applyProtection="0"/>
    <xf numFmtId="2" fontId="197" fillId="31" borderId="29" applyProtection="0"/>
    <xf numFmtId="196" fontId="171" fillId="0" borderId="0" applyFill="0" applyBorder="0" applyAlignment="0" applyProtection="0"/>
    <xf numFmtId="223" fontId="172" fillId="0" borderId="0" applyFill="0" applyBorder="0" applyAlignment="0" applyProtection="0"/>
    <xf numFmtId="0" fontId="89" fillId="0" borderId="0" applyNumberFormat="0" applyFill="0" applyBorder="0" applyProtection="0">
      <alignment horizontal="left" vertical="center"/>
    </xf>
    <xf numFmtId="199" fontId="76" fillId="0" borderId="0" applyFill="0" applyBorder="0" applyAlignment="0" applyProtection="0">
      <protection locked="0"/>
    </xf>
    <xf numFmtId="0" fontId="198" fillId="0" borderId="0" applyAlignment="0"/>
    <xf numFmtId="40" fontId="173" fillId="0" borderId="0" applyBorder="0">
      <alignment horizontal="right"/>
    </xf>
    <xf numFmtId="199" fontId="171" fillId="0" borderId="0" applyFill="0" applyBorder="0" applyAlignment="0" applyProtection="0"/>
    <xf numFmtId="0" fontId="199" fillId="0" borderId="0" applyAlignment="0"/>
    <xf numFmtId="3" fontId="35" fillId="0" borderId="0" applyNumberFormat="0"/>
    <xf numFmtId="0" fontId="35" fillId="0" borderId="0" applyFill="0" applyBorder="0" applyProtection="0">
      <alignment horizontal="left"/>
    </xf>
    <xf numFmtId="0" fontId="22" fillId="0" borderId="3" applyFill="0" applyBorder="0" applyProtection="0">
      <alignment horizontal="left" vertical="top"/>
    </xf>
    <xf numFmtId="0" fontId="22" fillId="0" borderId="3" applyFill="0" applyBorder="0" applyProtection="0">
      <alignment horizontal="left" vertical="top"/>
    </xf>
    <xf numFmtId="38" fontId="150" fillId="0" borderId="0" applyNumberFormat="0" applyBorder="0">
      <alignment horizontal="left"/>
    </xf>
    <xf numFmtId="0" fontId="138" fillId="0" borderId="0" applyNumberFormat="0" applyFont="0" applyFill="0" applyBorder="0" applyProtection="0">
      <alignment horizontal="left" vertical="top" wrapText="1"/>
    </xf>
    <xf numFmtId="0" fontId="9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27" fillId="0" borderId="0" applyAlignment="0"/>
    <xf numFmtId="0" fontId="127" fillId="0" borderId="0" applyAlignment="0"/>
    <xf numFmtId="0" fontId="200" fillId="0" borderId="0" applyAlignment="0"/>
    <xf numFmtId="0" fontId="126" fillId="0" borderId="0" applyAlignment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84" fillId="0" borderId="0" applyNumberFormat="0" applyFill="0" applyBorder="0" applyAlignment="0" applyProtection="0"/>
    <xf numFmtId="0" fontId="184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3" fontId="120" fillId="0" borderId="0"/>
    <xf numFmtId="0" fontId="91" fillId="45" borderId="0" applyNumberFormat="0" applyBorder="0" applyProtection="0">
      <alignment horizontal="left" vertical="center"/>
    </xf>
    <xf numFmtId="0" fontId="92" fillId="1" borderId="0" applyNumberFormat="0" applyBorder="0" applyProtection="0">
      <alignment horizontal="left" vertical="center"/>
    </xf>
    <xf numFmtId="199" fontId="174" fillId="0" borderId="0" applyNumberFormat="0" applyFill="0" applyBorder="0" applyAlignment="0" applyProtection="0"/>
    <xf numFmtId="0" fontId="201" fillId="0" borderId="0" applyAlignment="0"/>
    <xf numFmtId="183" fontId="35" fillId="0" borderId="0"/>
    <xf numFmtId="37" fontId="152" fillId="0" borderId="0" applyNumberFormat="0" applyFill="0" applyBorder="0" applyAlignment="0" applyProtection="0">
      <alignment horizontal="center"/>
    </xf>
    <xf numFmtId="190" fontId="93" fillId="0" borderId="6" applyNumberFormat="0" applyFont="0" applyFill="0" applyAlignment="0" applyProtection="0"/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center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0" fontId="35" fillId="0" borderId="1">
      <alignment horizontal="right" wrapText="1"/>
    </xf>
    <xf numFmtId="37" fontId="152" fillId="0" borderId="0" applyNumberFormat="0" applyFill="0" applyBorder="0" applyAlignment="0" applyProtection="0">
      <alignment horizontal="center"/>
    </xf>
    <xf numFmtId="0" fontId="57" fillId="0" borderId="30" applyNumberFormat="0" applyFill="0" applyAlignment="0" applyProtection="0"/>
    <xf numFmtId="0" fontId="223" fillId="0" borderId="31" applyNumberFormat="0" applyFill="0" applyAlignment="0" applyProtection="0"/>
    <xf numFmtId="0" fontId="57" fillId="0" borderId="32" applyNumberFormat="0" applyFill="0" applyAlignment="0" applyProtection="0"/>
    <xf numFmtId="0" fontId="57" fillId="0" borderId="30" applyNumberFormat="0" applyFill="0" applyAlignment="0" applyProtection="0"/>
    <xf numFmtId="0" fontId="127" fillId="0" borderId="0" applyAlignment="0">
      <alignment wrapText="1"/>
    </xf>
    <xf numFmtId="0" fontId="127" fillId="0" borderId="0" applyAlignment="0">
      <alignment wrapText="1"/>
    </xf>
    <xf numFmtId="0" fontId="57" fillId="0" borderId="30" applyNumberFormat="0" applyFill="0" applyAlignment="0" applyProtection="0"/>
    <xf numFmtId="0" fontId="127" fillId="0" borderId="0" applyAlignment="0">
      <alignment wrapText="1"/>
    </xf>
    <xf numFmtId="0" fontId="127" fillId="0" borderId="0" applyAlignment="0">
      <alignment wrapText="1"/>
    </xf>
    <xf numFmtId="0" fontId="127" fillId="0" borderId="0" applyAlignment="0">
      <alignment wrapText="1"/>
    </xf>
    <xf numFmtId="0" fontId="127" fillId="0" borderId="0" applyAlignment="0">
      <alignment wrapText="1"/>
    </xf>
    <xf numFmtId="0" fontId="127" fillId="0" borderId="0" applyAlignment="0">
      <alignment wrapText="1"/>
    </xf>
    <xf numFmtId="0" fontId="127" fillId="0" borderId="0" applyAlignment="0">
      <alignment wrapText="1"/>
    </xf>
    <xf numFmtId="3" fontId="35" fillId="0" borderId="4" applyNumberFormat="0"/>
    <xf numFmtId="183" fontId="39" fillId="0" borderId="33"/>
    <xf numFmtId="212" fontId="94" fillId="0" borderId="0">
      <alignment horizontal="right"/>
    </xf>
    <xf numFmtId="1" fontId="76" fillId="0" borderId="4" applyNumberFormat="0">
      <alignment horizontal="right"/>
    </xf>
    <xf numFmtId="37" fontId="22" fillId="38" borderId="0" applyNumberFormat="0" applyBorder="0" applyAlignment="0" applyProtection="0"/>
    <xf numFmtId="37" fontId="22" fillId="0" borderId="0"/>
    <xf numFmtId="3" fontId="40" fillId="0" borderId="22" applyProtection="0"/>
    <xf numFmtId="6" fontId="175" fillId="0" borderId="34" applyNumberFormat="0" applyFill="0" applyBorder="0" applyAlignment="0" applyProtection="0">
      <alignment horizontal="right"/>
    </xf>
    <xf numFmtId="213" fontId="87" fillId="32" borderId="3" applyBorder="0">
      <alignment horizontal="right" vertical="center"/>
      <protection locked="0"/>
    </xf>
    <xf numFmtId="213" fontId="87" fillId="32" borderId="3" applyBorder="0">
      <alignment horizontal="right" vertical="center"/>
      <protection locked="0"/>
    </xf>
    <xf numFmtId="0" fontId="95" fillId="0" borderId="0" applyNumberFormat="0"/>
    <xf numFmtId="0" fontId="176" fillId="0" borderId="0" applyNumberFormat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" fontId="76" fillId="0" borderId="0" applyFont="0" applyFill="0" applyBorder="0" applyAlignment="0" applyProtection="0"/>
    <xf numFmtId="1" fontId="2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21" fillId="0" borderId="0">
      <alignment horizontal="center"/>
    </xf>
    <xf numFmtId="1" fontId="125" fillId="0" borderId="0">
      <alignment horizontal="center"/>
    </xf>
    <xf numFmtId="1" fontId="21" fillId="0" borderId="0">
      <alignment horizontal="center"/>
    </xf>
    <xf numFmtId="1" fontId="129" fillId="0" borderId="0">
      <alignment horizontal="center"/>
    </xf>
    <xf numFmtId="1" fontId="21" fillId="0" borderId="0">
      <alignment horizontal="center"/>
    </xf>
    <xf numFmtId="1" fontId="169" fillId="0" borderId="4">
      <alignment horizontal="center"/>
    </xf>
    <xf numFmtId="167" fontId="121" fillId="0" borderId="0" applyFont="0" applyFill="0" applyBorder="0" applyAlignment="0" applyProtection="0"/>
    <xf numFmtId="0" fontId="122" fillId="0" borderId="0"/>
    <xf numFmtId="40" fontId="132" fillId="0" borderId="0" applyFont="0" applyFill="0" applyBorder="0" applyAlignment="0" applyProtection="0"/>
    <xf numFmtId="0" fontId="21" fillId="0" borderId="0"/>
    <xf numFmtId="0" fontId="123" fillId="0" borderId="0" applyFont="0" applyFill="0" applyBorder="0" applyAlignment="0" applyProtection="0"/>
    <xf numFmtId="0" fontId="123" fillId="0" borderId="0" applyFont="0" applyFill="0" applyBorder="0" applyAlignment="0" applyProtection="0"/>
    <xf numFmtId="42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7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177" fillId="0" borderId="0"/>
    <xf numFmtId="40" fontId="124" fillId="0" borderId="0" applyFont="0" applyFill="0" applyBorder="0" applyAlignment="0" applyProtection="0">
      <alignment vertical="center"/>
    </xf>
    <xf numFmtId="0" fontId="140" fillId="0" borderId="0"/>
    <xf numFmtId="0" fontId="21" fillId="0" borderId="0" applyNumberFormat="0" applyFont="0" applyFill="0" applyBorder="0" applyAlignment="0" applyProtection="0"/>
    <xf numFmtId="43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7" fillId="0" borderId="0" applyFont="0" applyFill="0" applyBorder="0" applyAlignment="0" applyProtection="0"/>
    <xf numFmtId="43" fontId="2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1" fillId="0" borderId="0" applyFont="0" applyFill="0" applyBorder="0" applyAlignment="0" applyProtection="0"/>
    <xf numFmtId="3" fontId="100" fillId="0" borderId="6" applyBorder="0"/>
    <xf numFmtId="1" fontId="68" fillId="28" borderId="51" applyNumberFormat="0" applyBorder="0" applyAlignment="0">
      <alignment horizontal="center" vertical="top" wrapText="1"/>
      <protection hidden="1"/>
    </xf>
    <xf numFmtId="0" fontId="21" fillId="0" borderId="0" applyNumberFormat="0" applyFont="0" applyFill="0" applyBorder="0" applyAlignment="0" applyProtection="0"/>
    <xf numFmtId="9" fontId="2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21" fillId="0" borderId="0"/>
    <xf numFmtId="0" fontId="21" fillId="0" borderId="0"/>
    <xf numFmtId="246" fontId="21" fillId="0" borderId="0" applyFont="0" applyFill="0" applyBorder="0" applyAlignment="0" applyProtection="0"/>
    <xf numFmtId="240" fontId="2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" fontId="100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" fontId="100" fillId="0" borderId="0"/>
    <xf numFmtId="0" fontId="21" fillId="0" borderId="0" applyNumberFormat="0" applyFill="0" applyBorder="0" applyAlignment="0" applyProtection="0"/>
    <xf numFmtId="3" fontId="100" fillId="0" borderId="0"/>
    <xf numFmtId="3" fontId="100" fillId="0" borderId="0"/>
    <xf numFmtId="0" fontId="21" fillId="0" borderId="0" applyNumberFormat="0" applyFill="0" applyBorder="0" applyAlignment="0" applyProtection="0"/>
    <xf numFmtId="3" fontId="100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" fontId="100" fillId="0" borderId="0"/>
    <xf numFmtId="0" fontId="62" fillId="0" borderId="0"/>
    <xf numFmtId="246" fontId="62" fillId="0" borderId="0" applyFont="0" applyFill="0" applyBorder="0" applyAlignment="0" applyProtection="0"/>
    <xf numFmtId="240" fontId="62" fillId="0" borderId="0" applyFont="0" applyFill="0" applyBorder="0" applyAlignment="0" applyProtection="0"/>
    <xf numFmtId="247" fontId="6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245" fontId="62" fillId="0" borderId="0" applyFont="0" applyFill="0" applyBorder="0" applyAlignment="0" applyProtection="0"/>
    <xf numFmtId="248" fontId="62" fillId="0" borderId="0" applyFont="0" applyFill="0" applyBorder="0" applyAlignment="0" applyProtection="0"/>
    <xf numFmtId="0" fontId="228" fillId="0" borderId="0">
      <alignment horizontal="right"/>
    </xf>
    <xf numFmtId="0" fontId="27" fillId="0" borderId="0"/>
    <xf numFmtId="0" fontId="21" fillId="11" borderId="0" applyNumberFormat="0" applyFont="0" applyAlignment="0"/>
    <xf numFmtId="249" fontId="76" fillId="0" borderId="0">
      <alignment horizontal="right"/>
    </xf>
    <xf numFmtId="0" fontId="229" fillId="0" borderId="0"/>
    <xf numFmtId="250" fontId="149" fillId="0" borderId="0">
      <alignment horizontal="right"/>
    </xf>
    <xf numFmtId="0" fontId="21" fillId="0" borderId="0">
      <alignment horizontal="center" wrapText="1"/>
      <protection hidden="1"/>
    </xf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3" fontId="21" fillId="0" borderId="0" applyFont="0" applyFill="0" applyBorder="0" applyAlignment="0" applyProtection="0"/>
    <xf numFmtId="0" fontId="225" fillId="32" borderId="0" applyNumberFormat="0" applyFill="0" applyBorder="0" applyAlignment="0"/>
    <xf numFmtId="0" fontId="230" fillId="53" borderId="0">
      <alignment horizontal="center" vertical="center" wrapText="1"/>
    </xf>
    <xf numFmtId="251" fontId="21" fillId="0" borderId="0" applyFill="0" applyBorder="0">
      <alignment horizontal="right"/>
      <protection locked="0"/>
    </xf>
    <xf numFmtId="201" fontId="231" fillId="0" borderId="0"/>
    <xf numFmtId="201" fontId="231" fillId="0" borderId="0"/>
    <xf numFmtId="8" fontId="24" fillId="0" borderId="0" applyFont="0" applyFill="0" applyBorder="0" applyAlignment="0" applyProtection="0"/>
    <xf numFmtId="189" fontId="232" fillId="0" borderId="0" applyFont="0" applyFill="0" applyBorder="0" applyAlignment="0" applyProtection="0"/>
    <xf numFmtId="252" fontId="21" fillId="0" borderId="0" applyFont="0" applyFill="0" applyBorder="0" applyAlignment="0" applyProtection="0"/>
    <xf numFmtId="0" fontId="24" fillId="0" borderId="0" applyFont="0" applyFill="0" applyBorder="0" applyAlignment="0">
      <protection locked="0"/>
    </xf>
    <xf numFmtId="44" fontId="21" fillId="0" borderId="0" applyFont="0" applyFill="0" applyBorder="0" applyAlignment="0" applyProtection="0"/>
    <xf numFmtId="38" fontId="126" fillId="34" borderId="52">
      <protection locked="0"/>
    </xf>
    <xf numFmtId="37" fontId="38" fillId="0" borderId="53" applyAlignment="0">
      <protection locked="0"/>
    </xf>
    <xf numFmtId="10" fontId="38" fillId="0" borderId="53" applyAlignment="0">
      <protection locked="0"/>
    </xf>
    <xf numFmtId="37" fontId="38" fillId="0" borderId="53" applyAlignment="0">
      <protection locked="0"/>
    </xf>
    <xf numFmtId="183" fontId="149" fillId="0" borderId="0"/>
    <xf numFmtId="2" fontId="127" fillId="54" borderId="0">
      <alignment horizontal="left"/>
      <protection hidden="1"/>
    </xf>
    <xf numFmtId="212" fontId="76" fillId="0" borderId="0"/>
    <xf numFmtId="2" fontId="149" fillId="0" borderId="0"/>
    <xf numFmtId="239" fontId="76" fillId="0" borderId="0"/>
    <xf numFmtId="236" fontId="149" fillId="0" borderId="0"/>
    <xf numFmtId="237" fontId="233" fillId="0" borderId="0" applyBorder="0" applyAlignment="0"/>
    <xf numFmtId="199" fontId="234" fillId="35" borderId="0" applyNumberFormat="0" applyBorder="0" applyAlignment="0">
      <protection locked="0"/>
    </xf>
    <xf numFmtId="10" fontId="235" fillId="0" borderId="0">
      <protection locked="0"/>
    </xf>
    <xf numFmtId="15" fontId="235" fillId="0" borderId="0">
      <protection locked="0"/>
    </xf>
    <xf numFmtId="2" fontId="235" fillId="0" borderId="40">
      <protection locked="0"/>
    </xf>
    <xf numFmtId="37" fontId="39" fillId="11" borderId="0"/>
    <xf numFmtId="37" fontId="37" fillId="11" borderId="0"/>
    <xf numFmtId="0" fontId="235" fillId="0" borderId="0">
      <protection locked="0"/>
    </xf>
    <xf numFmtId="198" fontId="21" fillId="0" borderId="0" applyFill="0" applyBorder="0">
      <alignment horizontal="right"/>
      <protection locked="0"/>
    </xf>
    <xf numFmtId="0" fontId="17" fillId="52" borderId="50">
      <alignment horizontal="left" vertical="center" wrapText="1"/>
    </xf>
    <xf numFmtId="4" fontId="149" fillId="0" borderId="0"/>
    <xf numFmtId="253" fontId="76" fillId="0" borderId="0"/>
    <xf numFmtId="0" fontId="24" fillId="0" borderId="0"/>
    <xf numFmtId="0" fontId="21" fillId="0" borderId="0" applyNumberFormat="0" applyFill="0" applyBorder="0" applyAlignment="0" applyProtection="0"/>
    <xf numFmtId="0" fontId="24" fillId="0" borderId="0"/>
    <xf numFmtId="0" fontId="1" fillId="0" borderId="0"/>
    <xf numFmtId="0" fontId="1" fillId="0" borderId="0"/>
    <xf numFmtId="199" fontId="39" fillId="0" borderId="0" applyNumberFormat="0" applyFill="0" applyBorder="0" applyAlignment="0" applyProtection="0"/>
    <xf numFmtId="0" fontId="236" fillId="0" borderId="40"/>
    <xf numFmtId="38" fontId="237" fillId="0" borderId="0"/>
    <xf numFmtId="3" fontId="100" fillId="0" borderId="6" applyBorder="0"/>
    <xf numFmtId="199" fontId="35" fillId="0" borderId="0" applyFont="0" applyBorder="0">
      <alignment horizontal="right"/>
    </xf>
    <xf numFmtId="1" fontId="35" fillId="0" borderId="0">
      <alignment horizontal="right"/>
    </xf>
    <xf numFmtId="37" fontId="38" fillId="0" borderId="53">
      <protection locked="0"/>
    </xf>
    <xf numFmtId="10" fontId="237" fillId="0" borderId="0"/>
    <xf numFmtId="9" fontId="24" fillId="0" borderId="0" applyFont="0" applyFill="0" applyBorder="0" applyAlignment="0" applyProtection="0"/>
    <xf numFmtId="254" fontId="76" fillId="0" borderId="0">
      <alignment horizontal="right"/>
    </xf>
    <xf numFmtId="10" fontId="232" fillId="0" borderId="0" applyFont="0" applyFill="0" applyBorder="0" applyAlignment="0" applyProtection="0"/>
    <xf numFmtId="199" fontId="238" fillId="0" borderId="0">
      <alignment horizontal="right"/>
    </xf>
    <xf numFmtId="255" fontId="21" fillId="0" borderId="0" applyFill="0" applyBorder="0">
      <alignment horizontal="right"/>
      <protection locked="0"/>
    </xf>
    <xf numFmtId="37" fontId="38" fillId="0" borderId="0">
      <protection locked="0"/>
    </xf>
    <xf numFmtId="225" fontId="63" fillId="0" borderId="0" applyFill="0" applyBorder="0">
      <alignment horizontal="right"/>
      <protection locked="0"/>
    </xf>
    <xf numFmtId="2" fontId="237" fillId="0" borderId="0"/>
    <xf numFmtId="256" fontId="21" fillId="0" borderId="0">
      <alignment horizontal="right"/>
      <protection locked="0"/>
    </xf>
    <xf numFmtId="37" fontId="24" fillId="0" borderId="0" applyFont="0" applyFill="0" applyBorder="0" applyAlignment="0" applyProtection="0"/>
    <xf numFmtId="0" fontId="233" fillId="0" borderId="0" applyNumberFormat="0" applyFill="0" applyBorder="0" applyAlignment="0" applyProtection="0"/>
    <xf numFmtId="257" fontId="239" fillId="0" borderId="0" applyFill="0" applyBorder="0">
      <alignment horizontal="right"/>
      <protection hidden="1"/>
    </xf>
    <xf numFmtId="0" fontId="37" fillId="53" borderId="11">
      <alignment horizontal="center" vertical="center" wrapText="1"/>
      <protection hidden="1"/>
    </xf>
    <xf numFmtId="0" fontId="226" fillId="42" borderId="0">
      <alignment horizontal="right"/>
    </xf>
    <xf numFmtId="183" fontId="76" fillId="0" borderId="0"/>
    <xf numFmtId="258" fontId="63" fillId="0" borderId="0">
      <protection locked="0"/>
    </xf>
    <xf numFmtId="0" fontId="41" fillId="0" borderId="3" applyBorder="0">
      <alignment horizontal="center"/>
    </xf>
    <xf numFmtId="38" fontId="21" fillId="0" borderId="0" applyNumberFormat="0" applyBorder="0">
      <alignment horizontal="left"/>
    </xf>
    <xf numFmtId="0" fontId="237" fillId="0" borderId="0"/>
    <xf numFmtId="0" fontId="59" fillId="55" borderId="0" applyNumberFormat="0" applyBorder="0">
      <alignment horizontal="centerContinuous"/>
    </xf>
    <xf numFmtId="0" fontId="21" fillId="0" borderId="0" applyBorder="0"/>
    <xf numFmtId="38" fontId="21" fillId="0" borderId="0">
      <alignment horizontal="right"/>
    </xf>
    <xf numFmtId="199" fontId="22" fillId="35" borderId="52">
      <alignment horizontal="right"/>
    </xf>
    <xf numFmtId="199" fontId="39" fillId="35" borderId="52"/>
    <xf numFmtId="1" fontId="240" fillId="0" borderId="0" applyFont="0">
      <alignment horizontal="right"/>
    </xf>
    <xf numFmtId="0" fontId="204" fillId="0" borderId="0"/>
    <xf numFmtId="246" fontId="204" fillId="0" borderId="0" applyFont="0" applyFill="0" applyBorder="0" applyAlignment="0" applyProtection="0"/>
    <xf numFmtId="240" fontId="204" fillId="0" borderId="0" applyFont="0" applyFill="0" applyBorder="0" applyAlignment="0" applyProtection="0"/>
    <xf numFmtId="9" fontId="100" fillId="0" borderId="0" applyFont="0" applyFill="0" applyBorder="0" applyProtection="0">
      <alignment horizontal="right"/>
    </xf>
    <xf numFmtId="245" fontId="204" fillId="0" borderId="0" applyFont="0" applyFill="0" applyBorder="0" applyAlignment="0" applyProtection="0"/>
    <xf numFmtId="248" fontId="204" fillId="0" borderId="0" applyFont="0" applyFill="0" applyBorder="0" applyAlignment="0" applyProtection="0"/>
    <xf numFmtId="0" fontId="113" fillId="0" borderId="0" applyNumberFormat="0" applyFill="0" applyBorder="0" applyAlignment="0" applyProtection="0">
      <alignment vertical="top"/>
      <protection locked="0"/>
    </xf>
    <xf numFmtId="0" fontId="22" fillId="0" borderId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219" fontId="21" fillId="32" borderId="5">
      <alignment horizontal="right"/>
    </xf>
    <xf numFmtId="43" fontId="1" fillId="0" borderId="0" applyFont="0" applyFill="0" applyBorder="0" applyAlignment="0" applyProtection="0"/>
    <xf numFmtId="189" fontId="21" fillId="32" borderId="5">
      <alignment horizontal="right"/>
    </xf>
    <xf numFmtId="43" fontId="1" fillId="0" borderId="0" applyFont="0" applyFill="0" applyBorder="0" applyAlignment="0" applyProtection="0"/>
    <xf numFmtId="0" fontId="241" fillId="0" borderId="0"/>
    <xf numFmtId="43" fontId="1" fillId="0" borderId="0" applyFont="0" applyFill="0" applyBorder="0" applyAlignment="0" applyProtection="0"/>
    <xf numFmtId="0" fontId="1" fillId="0" borderId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1" fillId="0" borderId="0"/>
    <xf numFmtId="0" fontId="1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2" fillId="0" borderId="0"/>
    <xf numFmtId="0" fontId="22" fillId="0" borderId="0"/>
    <xf numFmtId="0" fontId="22" fillId="0" borderId="0"/>
    <xf numFmtId="0" fontId="21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215" fontId="101" fillId="0" borderId="0"/>
    <xf numFmtId="0" fontId="42" fillId="3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10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3" fillId="10" borderId="0" applyNumberFormat="0" applyBorder="0" applyAlignment="0" applyProtection="0"/>
    <xf numFmtId="0" fontId="43" fillId="15" borderId="0" applyNumberFormat="0" applyBorder="0" applyAlignment="0" applyProtection="0"/>
    <xf numFmtId="0" fontId="43" fillId="1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5" borderId="0" applyNumberFormat="0" applyBorder="0" applyAlignment="0" applyProtection="0"/>
    <xf numFmtId="0" fontId="43" fillId="19" borderId="0" applyNumberFormat="0" applyBorder="0" applyAlignment="0" applyProtection="0"/>
    <xf numFmtId="0" fontId="43" fillId="15" borderId="0" applyNumberFormat="0" applyBorder="0" applyAlignment="0" applyProtection="0"/>
    <xf numFmtId="0" fontId="43" fillId="17" borderId="0" applyNumberFormat="0" applyBorder="0" applyAlignment="0" applyProtection="0"/>
    <xf numFmtId="0" fontId="43" fillId="25" borderId="0" applyNumberFormat="0" applyBorder="0" applyAlignment="0" applyProtection="0"/>
    <xf numFmtId="0" fontId="44" fillId="26" borderId="0" applyNumberFormat="0" applyBorder="0" applyAlignment="0" applyProtection="0"/>
    <xf numFmtId="0" fontId="108" fillId="29" borderId="7" applyNumberFormat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1" fillId="0" borderId="51" applyBorder="0">
      <alignment horizontal="center"/>
    </xf>
    <xf numFmtId="0" fontId="48" fillId="10" borderId="0" applyNumberFormat="0" applyBorder="0" applyAlignment="0" applyProtection="0"/>
    <xf numFmtId="0" fontId="49" fillId="0" borderId="14" applyNumberFormat="0" applyFill="0" applyAlignment="0" applyProtection="0"/>
    <xf numFmtId="0" fontId="50" fillId="0" borderId="17" applyNumberFormat="0" applyFill="0" applyAlignment="0" applyProtection="0"/>
    <xf numFmtId="0" fontId="51" fillId="0" borderId="20" applyNumberFormat="0" applyFill="0" applyAlignment="0" applyProtection="0"/>
    <xf numFmtId="0" fontId="113" fillId="0" borderId="0" applyNumberFormat="0" applyFill="0" applyBorder="0" applyAlignment="0" applyProtection="0">
      <alignment vertical="top"/>
      <protection locked="0"/>
    </xf>
    <xf numFmtId="0" fontId="243" fillId="0" borderId="0" applyNumberFormat="0" applyFill="0" applyBorder="0" applyAlignment="0" applyProtection="0"/>
    <xf numFmtId="0" fontId="58" fillId="0" borderId="24" applyNumberFormat="0" applyFill="0" applyAlignment="0" applyProtection="0"/>
    <xf numFmtId="0" fontId="117" fillId="6" borderId="0" applyNumberFormat="0" applyBorder="0" applyAlignment="0" applyProtection="0"/>
    <xf numFmtId="0" fontId="21" fillId="0" borderId="0" applyNumberFormat="0" applyFont="0" applyFill="0" applyBorder="0" applyAlignment="0" applyProtection="0"/>
    <xf numFmtId="0" fontId="1" fillId="0" borderId="0"/>
    <xf numFmtId="0" fontId="1" fillId="0" borderId="0"/>
    <xf numFmtId="0" fontId="21" fillId="0" borderId="0" applyNumberFormat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1" fillId="0" borderId="0" applyNumberFormat="0" applyFont="0" applyFill="0" applyBorder="0" applyAlignment="0" applyProtection="0"/>
    <xf numFmtId="0" fontId="1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20" fillId="0" borderId="0"/>
    <xf numFmtId="0" fontId="21" fillId="0" borderId="0"/>
    <xf numFmtId="3" fontId="100" fillId="0" borderId="0" applyBorder="0"/>
    <xf numFmtId="0" fontId="22" fillId="0" borderId="51" applyFill="0" applyBorder="0" applyProtection="0">
      <alignment horizontal="left" vertical="top"/>
    </xf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38" fillId="0" borderId="51" applyNumberFormat="0" applyFont="0" applyFill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213" fontId="87" fillId="32" borderId="51" applyBorder="0">
      <alignment horizontal="right" vertical="center"/>
      <protection locked="0"/>
    </xf>
    <xf numFmtId="9" fontId="21" fillId="0" borderId="0" applyFont="0" applyFill="0" applyBorder="0" applyAlignment="0" applyProtection="0"/>
    <xf numFmtId="0" fontId="36" fillId="0" borderId="0"/>
    <xf numFmtId="0" fontId="36" fillId="0" borderId="0"/>
    <xf numFmtId="4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57" fillId="0" borderId="32" applyNumberFormat="0" applyFill="0" applyAlignment="0" applyProtection="0"/>
    <xf numFmtId="0" fontId="6" fillId="0" borderId="0"/>
    <xf numFmtId="0" fontId="2" fillId="0" borderId="0"/>
    <xf numFmtId="0" fontId="2" fillId="38" borderId="0" applyNumberFormat="0" applyFont="0" applyBorder="0" applyAlignment="0" applyProtection="0"/>
    <xf numFmtId="0" fontId="130" fillId="0" borderId="0"/>
  </cellStyleXfs>
  <cellXfs count="1207">
    <xf numFmtId="0" fontId="0" fillId="0" borderId="0" xfId="0"/>
    <xf numFmtId="0" fontId="2" fillId="0" borderId="0" xfId="4" applyFont="1"/>
    <xf numFmtId="0" fontId="4" fillId="0" borderId="0" xfId="4" applyFont="1" applyFill="1" applyAlignment="1">
      <alignment vertical="center"/>
    </xf>
    <xf numFmtId="0" fontId="2" fillId="32" borderId="0" xfId="4" applyFont="1" applyFill="1"/>
    <xf numFmtId="0" fontId="5" fillId="0" borderId="0" xfId="2555" applyNumberFormat="1" applyFont="1" applyFill="1" applyBorder="1" applyAlignment="1">
      <alignment horizontal="left"/>
    </xf>
    <xf numFmtId="0" fontId="2" fillId="0" borderId="0" xfId="4" applyFont="1" applyFill="1"/>
    <xf numFmtId="164" fontId="2" fillId="0" borderId="0" xfId="4" applyNumberFormat="1" applyFont="1"/>
    <xf numFmtId="0" fontId="2" fillId="0" borderId="4" xfId="4" applyFont="1" applyBorder="1"/>
    <xf numFmtId="0" fontId="7" fillId="0" borderId="0" xfId="4" applyFont="1"/>
    <xf numFmtId="0" fontId="8" fillId="0" borderId="10" xfId="4" applyFont="1" applyBorder="1"/>
    <xf numFmtId="0" fontId="8" fillId="0" borderId="35" xfId="4" applyFont="1" applyBorder="1"/>
    <xf numFmtId="0" fontId="2" fillId="0" borderId="4" xfId="4" applyFont="1" applyFill="1" applyBorder="1"/>
    <xf numFmtId="0" fontId="7" fillId="0" borderId="0" xfId="4" applyFont="1" applyFill="1"/>
    <xf numFmtId="0" fontId="9" fillId="0" borderId="5" xfId="4" applyFont="1" applyBorder="1"/>
    <xf numFmtId="0" fontId="7" fillId="0" borderId="0" xfId="4" applyFont="1" applyBorder="1"/>
    <xf numFmtId="0" fontId="7" fillId="0" borderId="36" xfId="4" applyFont="1" applyBorder="1"/>
    <xf numFmtId="0" fontId="7" fillId="0" borderId="37" xfId="4" applyFont="1" applyBorder="1"/>
    <xf numFmtId="1" fontId="10" fillId="32" borderId="38" xfId="2554" applyNumberFormat="1" applyFont="1" applyFill="1" applyBorder="1" applyAlignment="1">
      <alignment horizontal="right"/>
    </xf>
    <xf numFmtId="1" fontId="10" fillId="32" borderId="1" xfId="2554" applyNumberFormat="1" applyFont="1" applyFill="1" applyBorder="1" applyAlignment="1">
      <alignment horizontal="right"/>
    </xf>
    <xf numFmtId="1" fontId="10" fillId="32" borderId="39" xfId="2554" applyNumberFormat="1" applyFont="1" applyFill="1" applyBorder="1" applyAlignment="1">
      <alignment horizontal="right"/>
    </xf>
    <xf numFmtId="0" fontId="7" fillId="0" borderId="40" xfId="4" applyFont="1" applyBorder="1"/>
    <xf numFmtId="0" fontId="7" fillId="0" borderId="5" xfId="4" applyFont="1" applyFill="1" applyBorder="1"/>
    <xf numFmtId="166" fontId="12" fillId="0" borderId="0" xfId="4" applyNumberFormat="1" applyFont="1" applyFill="1" applyBorder="1" applyAlignment="1"/>
    <xf numFmtId="166" fontId="7" fillId="0" borderId="0" xfId="4" applyNumberFormat="1" applyFont="1" applyFill="1" applyBorder="1" applyAlignment="1"/>
    <xf numFmtId="0" fontId="7" fillId="0" borderId="5" xfId="4" applyFont="1" applyFill="1" applyBorder="1" applyAlignment="1">
      <alignment horizontal="left" indent="1"/>
    </xf>
    <xf numFmtId="164" fontId="12" fillId="0" borderId="0" xfId="4" applyNumberFormat="1" applyFont="1" applyFill="1" applyBorder="1" applyAlignment="1"/>
    <xf numFmtId="164" fontId="12" fillId="0" borderId="5" xfId="4" applyNumberFormat="1" applyFont="1" applyFill="1" applyBorder="1" applyAlignment="1"/>
    <xf numFmtId="164" fontId="7" fillId="0" borderId="0" xfId="4" applyNumberFormat="1" applyFont="1" applyFill="1" applyBorder="1" applyAlignment="1"/>
    <xf numFmtId="164" fontId="7" fillId="0" borderId="5" xfId="4" applyNumberFormat="1" applyFont="1" applyFill="1" applyBorder="1" applyAlignment="1"/>
    <xf numFmtId="0" fontId="9" fillId="0" borderId="5" xfId="4" applyFont="1" applyFill="1" applyBorder="1" applyAlignment="1">
      <alignment horizontal="left" indent="1"/>
    </xf>
    <xf numFmtId="167" fontId="9" fillId="0" borderId="0" xfId="2621" applyNumberFormat="1" applyFont="1" applyFill="1" applyBorder="1" applyAlignment="1"/>
    <xf numFmtId="167" fontId="9" fillId="0" borderId="5" xfId="2621" applyNumberFormat="1" applyFont="1" applyFill="1" applyBorder="1" applyAlignment="1"/>
    <xf numFmtId="167" fontId="13" fillId="0" borderId="0" xfId="2621" applyNumberFormat="1" applyFont="1" applyFill="1" applyBorder="1" applyAlignment="1"/>
    <xf numFmtId="167" fontId="13" fillId="0" borderId="5" xfId="2621" applyNumberFormat="1" applyFont="1" applyFill="1" applyBorder="1" applyAlignment="1"/>
    <xf numFmtId="168" fontId="12" fillId="0" borderId="0" xfId="4" applyNumberFormat="1" applyFont="1" applyFill="1" applyBorder="1" applyAlignment="1"/>
    <xf numFmtId="168" fontId="12" fillId="0" borderId="5" xfId="4" applyNumberFormat="1" applyFont="1" applyFill="1" applyBorder="1" applyAlignment="1"/>
    <xf numFmtId="168" fontId="12" fillId="0" borderId="0" xfId="4" applyNumberFormat="1" applyFont="1" applyFill="1" applyBorder="1"/>
    <xf numFmtId="168" fontId="12" fillId="0" borderId="5" xfId="4" applyNumberFormat="1" applyFont="1" applyFill="1" applyBorder="1"/>
    <xf numFmtId="169" fontId="12" fillId="0" borderId="0" xfId="4" applyNumberFormat="1" applyFont="1" applyFill="1" applyBorder="1" applyAlignment="1"/>
    <xf numFmtId="0" fontId="8" fillId="0" borderId="5" xfId="4" applyFont="1" applyFill="1" applyBorder="1"/>
    <xf numFmtId="164" fontId="8" fillId="0" borderId="0" xfId="4" applyNumberFormat="1" applyFont="1" applyFill="1" applyBorder="1" applyAlignment="1"/>
    <xf numFmtId="164" fontId="8" fillId="0" borderId="5" xfId="4" applyNumberFormat="1" applyFont="1" applyFill="1" applyBorder="1" applyAlignment="1"/>
    <xf numFmtId="0" fontId="7" fillId="0" borderId="5" xfId="4" applyFont="1" applyFill="1" applyBorder="1" applyAlignment="1">
      <alignment horizontal="left" indent="2"/>
    </xf>
    <xf numFmtId="170" fontId="12" fillId="0" borderId="0" xfId="4" applyNumberFormat="1" applyFont="1" applyFill="1" applyBorder="1" applyAlignment="1"/>
    <xf numFmtId="171" fontId="12" fillId="0" borderId="5" xfId="4" applyNumberFormat="1" applyFont="1" applyFill="1" applyBorder="1" applyAlignment="1"/>
    <xf numFmtId="167" fontId="12" fillId="0" borderId="0" xfId="2621" applyNumberFormat="1" applyFont="1" applyFill="1" applyBorder="1" applyAlignment="1"/>
    <xf numFmtId="167" fontId="9" fillId="0" borderId="0" xfId="2621" applyNumberFormat="1" applyFont="1" applyFill="1" applyBorder="1" applyAlignment="1">
      <alignment horizontal="right"/>
    </xf>
    <xf numFmtId="172" fontId="7" fillId="0" borderId="0" xfId="4" applyNumberFormat="1" applyFont="1" applyFill="1" applyBorder="1" applyAlignment="1"/>
    <xf numFmtId="173" fontId="12" fillId="0" borderId="0" xfId="867" applyNumberFormat="1" applyFont="1" applyFill="1" applyBorder="1" applyAlignment="1"/>
    <xf numFmtId="174" fontId="7" fillId="0" borderId="0" xfId="4" applyNumberFormat="1" applyFont="1" applyFill="1" applyBorder="1"/>
    <xf numFmtId="174" fontId="7" fillId="0" borderId="5" xfId="4" applyNumberFormat="1" applyFont="1" applyFill="1" applyBorder="1"/>
    <xf numFmtId="0" fontId="7" fillId="0" borderId="36" xfId="4" applyFont="1" applyFill="1" applyBorder="1"/>
    <xf numFmtId="0" fontId="7" fillId="0" borderId="37" xfId="4" applyFont="1" applyFill="1" applyBorder="1"/>
    <xf numFmtId="0" fontId="7" fillId="0" borderId="6" xfId="4" applyFont="1" applyFill="1" applyBorder="1"/>
    <xf numFmtId="0" fontId="7" fillId="0" borderId="0" xfId="4" applyFont="1" applyFill="1" applyBorder="1"/>
    <xf numFmtId="37" fontId="12" fillId="0" borderId="0" xfId="4" applyNumberFormat="1" applyFont="1" applyFill="1" applyBorder="1"/>
    <xf numFmtId="43" fontId="12" fillId="0" borderId="0" xfId="4" applyNumberFormat="1" applyFont="1" applyFill="1" applyBorder="1"/>
    <xf numFmtId="0" fontId="7" fillId="0" borderId="4" xfId="4" applyFont="1" applyFill="1" applyBorder="1"/>
    <xf numFmtId="0" fontId="7" fillId="0" borderId="10" xfId="4" applyFont="1" applyFill="1" applyBorder="1"/>
    <xf numFmtId="0" fontId="7" fillId="0" borderId="35" xfId="4" applyFont="1" applyFill="1" applyBorder="1"/>
    <xf numFmtId="164" fontId="12" fillId="0" borderId="10" xfId="4" applyNumberFormat="1" applyFont="1" applyFill="1" applyBorder="1"/>
    <xf numFmtId="164" fontId="12" fillId="0" borderId="6" xfId="4" applyNumberFormat="1" applyFont="1" applyFill="1" applyBorder="1"/>
    <xf numFmtId="164" fontId="12" fillId="0" borderId="35" xfId="4" applyNumberFormat="1" applyFont="1" applyFill="1" applyBorder="1"/>
    <xf numFmtId="164" fontId="7" fillId="0" borderId="0" xfId="4" applyNumberFormat="1" applyFont="1" applyFill="1" applyBorder="1"/>
    <xf numFmtId="164" fontId="7" fillId="0" borderId="5" xfId="4" applyNumberFormat="1" applyFont="1" applyFill="1" applyBorder="1"/>
    <xf numFmtId="164" fontId="12" fillId="0" borderId="0" xfId="4" applyNumberFormat="1" applyFont="1" applyFill="1" applyBorder="1"/>
    <xf numFmtId="164" fontId="12" fillId="0" borderId="5" xfId="4" applyNumberFormat="1" applyFont="1" applyFill="1" applyBorder="1"/>
    <xf numFmtId="175" fontId="7" fillId="0" borderId="0" xfId="4" applyNumberFormat="1" applyFont="1" applyFill="1" applyBorder="1"/>
    <xf numFmtId="175" fontId="12" fillId="0" borderId="0" xfId="4" applyNumberFormat="1" applyFont="1" applyFill="1" applyBorder="1"/>
    <xf numFmtId="175" fontId="12" fillId="0" borderId="5" xfId="4" applyNumberFormat="1" applyFont="1" applyFill="1" applyBorder="1"/>
    <xf numFmtId="176" fontId="16" fillId="0" borderId="0" xfId="4" applyNumberFormat="1" applyFont="1" applyFill="1" applyBorder="1"/>
    <xf numFmtId="176" fontId="16" fillId="0" borderId="5" xfId="4" applyNumberFormat="1" applyFont="1" applyFill="1" applyBorder="1"/>
    <xf numFmtId="164" fontId="16" fillId="0" borderId="0" xfId="4" applyNumberFormat="1" applyFont="1" applyFill="1" applyBorder="1"/>
    <xf numFmtId="164" fontId="16" fillId="0" borderId="5" xfId="4" applyNumberFormat="1" applyFont="1" applyFill="1" applyBorder="1"/>
    <xf numFmtId="164" fontId="13" fillId="0" borderId="0" xfId="4" applyNumberFormat="1" applyFont="1" applyFill="1" applyBorder="1"/>
    <xf numFmtId="164" fontId="13" fillId="0" borderId="5" xfId="4" applyNumberFormat="1" applyFont="1" applyFill="1" applyBorder="1"/>
    <xf numFmtId="167" fontId="9" fillId="0" borderId="0" xfId="2621" applyNumberFormat="1" applyFont="1" applyFill="1" applyBorder="1"/>
    <xf numFmtId="167" fontId="9" fillId="0" borderId="5" xfId="2621" applyNumberFormat="1" applyFont="1" applyFill="1" applyBorder="1"/>
    <xf numFmtId="167" fontId="13" fillId="0" borderId="0" xfId="2621" applyNumberFormat="1" applyFont="1" applyFill="1" applyBorder="1"/>
    <xf numFmtId="167" fontId="13" fillId="0" borderId="5" xfId="2621" applyNumberFormat="1" applyFont="1" applyFill="1" applyBorder="1"/>
    <xf numFmtId="0" fontId="7" fillId="0" borderId="5" xfId="4" applyFont="1" applyFill="1" applyBorder="1" applyAlignment="1">
      <alignment horizontal="left"/>
    </xf>
    <xf numFmtId="168" fontId="7" fillId="0" borderId="0" xfId="4" applyNumberFormat="1" applyFont="1" applyFill="1" applyBorder="1"/>
    <xf numFmtId="168" fontId="7" fillId="0" borderId="5" xfId="4" applyNumberFormat="1" applyFont="1" applyFill="1" applyBorder="1"/>
    <xf numFmtId="0" fontId="7" fillId="0" borderId="0" xfId="4" applyFont="1" applyFill="1" applyBorder="1" applyAlignment="1">
      <alignment horizontal="left" wrapText="1" indent="2"/>
    </xf>
    <xf numFmtId="37" fontId="7" fillId="0" borderId="0" xfId="4" applyNumberFormat="1" applyFont="1" applyFill="1" applyAlignment="1">
      <alignment horizontal="center"/>
    </xf>
    <xf numFmtId="0" fontId="17" fillId="0" borderId="0" xfId="4" applyFont="1"/>
    <xf numFmtId="0" fontId="18" fillId="0" borderId="0" xfId="4" applyFont="1"/>
    <xf numFmtId="165" fontId="8" fillId="0" borderId="5" xfId="2554" applyFont="1" applyFill="1" applyBorder="1"/>
    <xf numFmtId="0" fontId="12" fillId="0" borderId="0" xfId="4" applyFont="1" applyFill="1" applyBorder="1"/>
    <xf numFmtId="0" fontId="12" fillId="0" borderId="5" xfId="4" applyFont="1" applyFill="1" applyBorder="1"/>
    <xf numFmtId="164" fontId="7" fillId="0" borderId="40" xfId="4" applyNumberFormat="1" applyFont="1" applyBorder="1"/>
    <xf numFmtId="164" fontId="14" fillId="0" borderId="0" xfId="4" applyNumberFormat="1" applyFont="1" applyFill="1" applyBorder="1"/>
    <xf numFmtId="164" fontId="14" fillId="0" borderId="5" xfId="4" applyNumberFormat="1" applyFont="1" applyFill="1" applyBorder="1"/>
    <xf numFmtId="0" fontId="7" fillId="0" borderId="36" xfId="4" applyFont="1" applyFill="1" applyBorder="1" applyAlignment="1">
      <alignment horizontal="left" indent="1"/>
    </xf>
    <xf numFmtId="0" fontId="7" fillId="0" borderId="37" xfId="4" applyFont="1" applyFill="1" applyBorder="1" applyAlignment="1">
      <alignment horizontal="left" indent="1"/>
    </xf>
    <xf numFmtId="164" fontId="7" fillId="0" borderId="4" xfId="4" applyNumberFormat="1" applyFont="1" applyFill="1" applyBorder="1"/>
    <xf numFmtId="164" fontId="7" fillId="0" borderId="37" xfId="4" applyNumberFormat="1" applyFont="1" applyFill="1" applyBorder="1"/>
    <xf numFmtId="165" fontId="8" fillId="0" borderId="5" xfId="2554" applyNumberFormat="1" applyFont="1" applyFill="1" applyBorder="1" applyAlignment="1"/>
    <xf numFmtId="164" fontId="8" fillId="0" borderId="6" xfId="4" applyNumberFormat="1" applyFont="1" applyFill="1" applyBorder="1"/>
    <xf numFmtId="164" fontId="8" fillId="0" borderId="35" xfId="4" applyNumberFormat="1" applyFont="1" applyFill="1" applyBorder="1"/>
    <xf numFmtId="164" fontId="8" fillId="0" borderId="10" xfId="4" applyNumberFormat="1" applyFont="1" applyFill="1" applyBorder="1"/>
    <xf numFmtId="164" fontId="8" fillId="0" borderId="0" xfId="4" applyNumberFormat="1" applyFont="1" applyFill="1" applyBorder="1"/>
    <xf numFmtId="164" fontId="8" fillId="0" borderId="5" xfId="4" applyNumberFormat="1" applyFont="1" applyFill="1" applyBorder="1"/>
    <xf numFmtId="164" fontId="12" fillId="0" borderId="0" xfId="867" applyNumberFormat="1" applyFont="1" applyFill="1" applyBorder="1"/>
    <xf numFmtId="164" fontId="12" fillId="0" borderId="5" xfId="867" applyNumberFormat="1" applyFont="1" applyFill="1" applyBorder="1"/>
    <xf numFmtId="165" fontId="8" fillId="0" borderId="38" xfId="2554" applyFont="1" applyFill="1" applyBorder="1"/>
    <xf numFmtId="165" fontId="8" fillId="0" borderId="39" xfId="2554" applyFont="1" applyFill="1" applyBorder="1"/>
    <xf numFmtId="164" fontId="8" fillId="0" borderId="1" xfId="4" applyNumberFormat="1" applyFont="1" applyFill="1" applyBorder="1"/>
    <xf numFmtId="164" fontId="8" fillId="0" borderId="39" xfId="4" applyNumberFormat="1" applyFont="1" applyFill="1" applyBorder="1"/>
    <xf numFmtId="164" fontId="8" fillId="0" borderId="38" xfId="4" applyNumberFormat="1" applyFont="1" applyFill="1" applyBorder="1"/>
    <xf numFmtId="37" fontId="8" fillId="0" borderId="5" xfId="2554" applyNumberFormat="1" applyFont="1" applyFill="1" applyBorder="1"/>
    <xf numFmtId="164" fontId="15" fillId="0" borderId="0" xfId="4" applyNumberFormat="1" applyFont="1" applyFill="1" applyBorder="1"/>
    <xf numFmtId="164" fontId="15" fillId="0" borderId="5" xfId="4" applyNumberFormat="1" applyFont="1" applyFill="1" applyBorder="1"/>
    <xf numFmtId="37" fontId="8" fillId="0" borderId="38" xfId="2554" applyNumberFormat="1" applyFont="1" applyFill="1" applyBorder="1"/>
    <xf numFmtId="37" fontId="8" fillId="0" borderId="39" xfId="2554" applyNumberFormat="1" applyFont="1" applyFill="1" applyBorder="1"/>
    <xf numFmtId="0" fontId="7" fillId="0" borderId="1" xfId="4" applyFont="1" applyFill="1" applyBorder="1"/>
    <xf numFmtId="37" fontId="12" fillId="0" borderId="1" xfId="4" applyNumberFormat="1" applyFont="1" applyFill="1" applyBorder="1"/>
    <xf numFmtId="0" fontId="19" fillId="0" borderId="38" xfId="4" applyFont="1" applyFill="1" applyBorder="1"/>
    <xf numFmtId="0" fontId="19" fillId="0" borderId="39" xfId="4" applyFont="1" applyFill="1" applyBorder="1"/>
    <xf numFmtId="178" fontId="19" fillId="0" borderId="1" xfId="867" applyNumberFormat="1" applyFont="1" applyFill="1" applyBorder="1"/>
    <xf numFmtId="178" fontId="19" fillId="0" borderId="39" xfId="867" applyNumberFormat="1" applyFont="1" applyFill="1" applyBorder="1"/>
    <xf numFmtId="178" fontId="19" fillId="0" borderId="38" xfId="867" applyNumberFormat="1" applyFont="1" applyFill="1" applyBorder="1"/>
    <xf numFmtId="179" fontId="12" fillId="0" borderId="0" xfId="4" applyNumberFormat="1" applyFont="1" applyFill="1" applyBorder="1"/>
    <xf numFmtId="179" fontId="12" fillId="0" borderId="6" xfId="4" applyNumberFormat="1" applyFont="1" applyFill="1" applyBorder="1"/>
    <xf numFmtId="43" fontId="12" fillId="0" borderId="6" xfId="4" applyNumberFormat="1" applyFont="1" applyFill="1" applyBorder="1"/>
    <xf numFmtId="37" fontId="12" fillId="0" borderId="4" xfId="4" applyNumberFormat="1" applyFont="1" applyFill="1" applyBorder="1"/>
    <xf numFmtId="0" fontId="8" fillId="32" borderId="38" xfId="4" applyFont="1" applyFill="1" applyBorder="1" applyAlignment="1">
      <alignment horizontal="left"/>
    </xf>
    <xf numFmtId="0" fontId="8" fillId="32" borderId="39" xfId="4" applyFont="1" applyFill="1" applyBorder="1" applyAlignment="1">
      <alignment horizontal="left"/>
    </xf>
    <xf numFmtId="164" fontId="7" fillId="0" borderId="6" xfId="4" applyNumberFormat="1" applyFont="1" applyFill="1" applyBorder="1"/>
    <xf numFmtId="167" fontId="13" fillId="32" borderId="0" xfId="2621" applyNumberFormat="1" applyFont="1" applyFill="1" applyBorder="1"/>
    <xf numFmtId="167" fontId="13" fillId="32" borderId="5" xfId="2621" applyNumberFormat="1" applyFont="1" applyFill="1" applyBorder="1"/>
    <xf numFmtId="180" fontId="7" fillId="0" borderId="0" xfId="4" applyNumberFormat="1" applyFont="1" applyFill="1" applyBorder="1"/>
    <xf numFmtId="180" fontId="7" fillId="0" borderId="5" xfId="4" applyNumberFormat="1" applyFont="1" applyFill="1" applyBorder="1"/>
    <xf numFmtId="180" fontId="7" fillId="0" borderId="4" xfId="4" applyNumberFormat="1" applyFont="1" applyFill="1" applyBorder="1"/>
    <xf numFmtId="180" fontId="7" fillId="0" borderId="37" xfId="4" applyNumberFormat="1" applyFont="1" applyFill="1" applyBorder="1"/>
    <xf numFmtId="180" fontId="7" fillId="0" borderId="36" xfId="4" applyNumberFormat="1" applyFont="1" applyFill="1" applyBorder="1"/>
    <xf numFmtId="9" fontId="7" fillId="0" borderId="6" xfId="2621" applyFont="1" applyFill="1" applyBorder="1"/>
    <xf numFmtId="0" fontId="7" fillId="0" borderId="10" xfId="4" applyFont="1" applyFill="1" applyBorder="1" applyAlignment="1">
      <alignment horizontal="left"/>
    </xf>
    <xf numFmtId="0" fontId="7" fillId="0" borderId="35" xfId="4" applyFont="1" applyFill="1" applyBorder="1" applyAlignment="1">
      <alignment horizontal="left"/>
    </xf>
    <xf numFmtId="164" fontId="7" fillId="0" borderId="35" xfId="4" applyNumberFormat="1" applyFont="1" applyFill="1" applyBorder="1"/>
    <xf numFmtId="0" fontId="8" fillId="0" borderId="38" xfId="4" applyFont="1" applyFill="1" applyBorder="1" applyAlignment="1">
      <alignment horizontal="left" indent="1"/>
    </xf>
    <xf numFmtId="0" fontId="8" fillId="0" borderId="39" xfId="4" applyFont="1" applyFill="1" applyBorder="1" applyAlignment="1">
      <alignment horizontal="left" indent="1"/>
    </xf>
    <xf numFmtId="181" fontId="8" fillId="0" borderId="1" xfId="4" applyNumberFormat="1" applyFont="1" applyFill="1" applyBorder="1"/>
    <xf numFmtId="181" fontId="8" fillId="0" borderId="39" xfId="4" applyNumberFormat="1" applyFont="1" applyFill="1" applyBorder="1"/>
    <xf numFmtId="181" fontId="8" fillId="0" borderId="38" xfId="4" applyNumberFormat="1" applyFont="1" applyFill="1" applyBorder="1"/>
    <xf numFmtId="164" fontId="12" fillId="0" borderId="37" xfId="4" applyNumberFormat="1" applyFont="1" applyFill="1" applyBorder="1"/>
    <xf numFmtId="37" fontId="8" fillId="0" borderId="0" xfId="2554" applyNumberFormat="1" applyFont="1" applyFill="1" applyBorder="1"/>
    <xf numFmtId="164" fontId="7" fillId="0" borderId="1" xfId="4" applyNumberFormat="1" applyFont="1" applyFill="1" applyBorder="1"/>
    <xf numFmtId="178" fontId="7" fillId="0" borderId="6" xfId="867" applyNumberFormat="1" applyFont="1" applyFill="1" applyBorder="1"/>
    <xf numFmtId="178" fontId="7" fillId="0" borderId="39" xfId="867" applyNumberFormat="1" applyFont="1" applyFill="1" applyBorder="1"/>
    <xf numFmtId="178" fontId="7" fillId="0" borderId="10" xfId="867" applyNumberFormat="1" applyFont="1" applyFill="1" applyBorder="1"/>
    <xf numFmtId="178" fontId="7" fillId="0" borderId="35" xfId="867" applyNumberFormat="1" applyFont="1" applyFill="1" applyBorder="1"/>
    <xf numFmtId="0" fontId="7" fillId="0" borderId="40" xfId="4" applyFont="1" applyFill="1" applyBorder="1"/>
    <xf numFmtId="178" fontId="19" fillId="0" borderId="1" xfId="867" applyNumberFormat="1" applyFont="1" applyFill="1" applyBorder="1" applyAlignment="1"/>
    <xf numFmtId="182" fontId="7" fillId="0" borderId="0" xfId="4" applyNumberFormat="1" applyFont="1" applyFill="1" applyBorder="1"/>
    <xf numFmtId="164" fontId="7" fillId="44" borderId="0" xfId="2553" applyNumberFormat="1" applyFont="1" applyFill="1" applyBorder="1"/>
    <xf numFmtId="164" fontId="7" fillId="44" borderId="35" xfId="2553" applyNumberFormat="1" applyFont="1" applyFill="1" applyBorder="1"/>
    <xf numFmtId="166" fontId="7" fillId="44" borderId="0" xfId="2553" applyNumberFormat="1" applyFont="1" applyFill="1" applyBorder="1"/>
    <xf numFmtId="166" fontId="7" fillId="44" borderId="5" xfId="2553" applyNumberFormat="1" applyFont="1" applyFill="1" applyBorder="1"/>
    <xf numFmtId="166" fontId="20" fillId="44" borderId="0" xfId="2553" applyNumberFormat="1" applyFont="1" applyFill="1" applyBorder="1"/>
    <xf numFmtId="166" fontId="20" fillId="44" borderId="5" xfId="2553" applyNumberFormat="1" applyFont="1" applyFill="1" applyBorder="1"/>
    <xf numFmtId="164" fontId="7" fillId="44" borderId="5" xfId="2553" applyNumberFormat="1" applyFont="1" applyFill="1" applyBorder="1"/>
    <xf numFmtId="164" fontId="20" fillId="44" borderId="0" xfId="2553" applyNumberFormat="1" applyFont="1" applyFill="1" applyBorder="1"/>
    <xf numFmtId="164" fontId="20" fillId="44" borderId="5" xfId="2553" applyNumberFormat="1" applyFont="1" applyFill="1" applyBorder="1"/>
    <xf numFmtId="164" fontId="7" fillId="44" borderId="4" xfId="2553" applyNumberFormat="1" applyFont="1" applyFill="1" applyBorder="1"/>
    <xf numFmtId="164" fontId="7" fillId="44" borderId="37" xfId="2553" applyNumberFormat="1" applyFont="1" applyFill="1" applyBorder="1"/>
    <xf numFmtId="164" fontId="7" fillId="44" borderId="36" xfId="2553" applyNumberFormat="1" applyFont="1" applyFill="1" applyBorder="1"/>
    <xf numFmtId="164" fontId="20" fillId="44" borderId="4" xfId="2553" applyNumberFormat="1" applyFont="1" applyFill="1" applyBorder="1"/>
    <xf numFmtId="164" fontId="20" fillId="44" borderId="37" xfId="2553" applyNumberFormat="1" applyFont="1" applyFill="1" applyBorder="1"/>
    <xf numFmtId="0" fontId="12" fillId="0" borderId="0" xfId="4" applyFont="1" applyAlignment="1">
      <alignment horizontal="center"/>
    </xf>
    <xf numFmtId="164" fontId="7" fillId="0" borderId="0" xfId="4" applyNumberFormat="1" applyFont="1" applyAlignment="1">
      <alignment horizontal="center"/>
    </xf>
    <xf numFmtId="183" fontId="7" fillId="0" borderId="0" xfId="4" applyNumberFormat="1" applyFont="1"/>
    <xf numFmtId="0" fontId="2" fillId="0" borderId="0" xfId="4" applyFont="1" applyFill="1" applyBorder="1" applyAlignment="1">
      <alignment horizontal="left" wrapText="1" indent="2"/>
    </xf>
    <xf numFmtId="0" fontId="2" fillId="0" borderId="0" xfId="4" applyFont="1" applyBorder="1"/>
    <xf numFmtId="2" fontId="2" fillId="0" borderId="0" xfId="4" applyNumberFormat="1" applyFont="1"/>
    <xf numFmtId="0" fontId="9" fillId="0" borderId="37" xfId="4" applyFont="1" applyBorder="1"/>
    <xf numFmtId="0" fontId="8" fillId="0" borderId="10" xfId="4" applyFont="1" applyFill="1" applyBorder="1"/>
    <xf numFmtId="37" fontId="7" fillId="0" borderId="0" xfId="4" applyNumberFormat="1" applyFont="1" applyFill="1" applyBorder="1"/>
    <xf numFmtId="37" fontId="7" fillId="0" borderId="5" xfId="4" applyNumberFormat="1" applyFont="1" applyFill="1" applyBorder="1"/>
    <xf numFmtId="37" fontId="7" fillId="0" borderId="6" xfId="4" applyNumberFormat="1" applyFont="1" applyFill="1" applyBorder="1"/>
    <xf numFmtId="37" fontId="7" fillId="0" borderId="35" xfId="4" applyNumberFormat="1" applyFont="1" applyFill="1" applyBorder="1"/>
    <xf numFmtId="0" fontId="7" fillId="0" borderId="5" xfId="4" applyFont="1" applyFill="1" applyBorder="1" applyAlignment="1">
      <alignment horizontal="left" wrapText="1" indent="1"/>
    </xf>
    <xf numFmtId="41" fontId="12" fillId="0" borderId="0" xfId="4" applyNumberFormat="1" applyFont="1" applyFill="1" applyBorder="1"/>
    <xf numFmtId="41" fontId="12" fillId="0" borderId="5" xfId="4" applyNumberFormat="1" applyFont="1" applyFill="1" applyBorder="1"/>
    <xf numFmtId="181" fontId="7" fillId="0" borderId="0" xfId="4" applyNumberFormat="1" applyFont="1" applyFill="1" applyBorder="1"/>
    <xf numFmtId="181" fontId="7" fillId="0" borderId="5" xfId="4" applyNumberFormat="1" applyFont="1" applyFill="1" applyBorder="1"/>
    <xf numFmtId="181" fontId="12" fillId="0" borderId="0" xfId="4" applyNumberFormat="1" applyFont="1" applyFill="1" applyBorder="1"/>
    <xf numFmtId="181" fontId="12" fillId="0" borderId="5" xfId="4" applyNumberFormat="1" applyFont="1" applyFill="1" applyBorder="1"/>
    <xf numFmtId="0" fontId="8" fillId="0" borderId="41" xfId="4" applyFont="1" applyFill="1" applyBorder="1" applyAlignment="1">
      <alignment horizontal="left"/>
    </xf>
    <xf numFmtId="0" fontId="8" fillId="0" borderId="42" xfId="4" applyFont="1" applyFill="1" applyBorder="1" applyAlignment="1">
      <alignment horizontal="left"/>
    </xf>
    <xf numFmtId="181" fontId="8" fillId="0" borderId="43" xfId="4" applyNumberFormat="1" applyFont="1" applyFill="1" applyBorder="1"/>
    <xf numFmtId="181" fontId="8" fillId="0" borderId="41" xfId="4" applyNumberFormat="1" applyFont="1" applyFill="1" applyBorder="1"/>
    <xf numFmtId="181" fontId="8" fillId="0" borderId="42" xfId="4" applyNumberFormat="1" applyFont="1" applyFill="1" applyBorder="1"/>
    <xf numFmtId="184" fontId="12" fillId="0" borderId="0" xfId="4" applyNumberFormat="1" applyFont="1" applyFill="1" applyBorder="1"/>
    <xf numFmtId="0" fontId="8" fillId="0" borderId="5" xfId="4" applyFont="1" applyFill="1" applyBorder="1" applyAlignment="1">
      <alignment horizontal="left"/>
    </xf>
    <xf numFmtId="181" fontId="14" fillId="0" borderId="0" xfId="4" applyNumberFormat="1" applyFont="1" applyFill="1" applyBorder="1"/>
    <xf numFmtId="181" fontId="8" fillId="0" borderId="0" xfId="4" applyNumberFormat="1" applyFont="1" applyFill="1" applyBorder="1"/>
    <xf numFmtId="181" fontId="8" fillId="0" borderId="5" xfId="4" applyNumberFormat="1" applyFont="1" applyFill="1" applyBorder="1"/>
    <xf numFmtId="181" fontId="15" fillId="0" borderId="0" xfId="4" applyNumberFormat="1" applyFont="1" applyFill="1" applyBorder="1"/>
    <xf numFmtId="181" fontId="15" fillId="0" borderId="5" xfId="4" applyNumberFormat="1" applyFont="1" applyFill="1" applyBorder="1"/>
    <xf numFmtId="41" fontId="8" fillId="0" borderId="0" xfId="4" applyNumberFormat="1" applyFont="1" applyFill="1" applyBorder="1"/>
    <xf numFmtId="0" fontId="8" fillId="0" borderId="36" xfId="4" applyFont="1" applyFill="1" applyBorder="1" applyAlignment="1">
      <alignment horizontal="left"/>
    </xf>
    <xf numFmtId="0" fontId="8" fillId="0" borderId="37" xfId="4" applyFont="1" applyFill="1" applyBorder="1" applyAlignment="1">
      <alignment horizontal="left"/>
    </xf>
    <xf numFmtId="181" fontId="8" fillId="0" borderId="4" xfId="4" applyNumberFormat="1" applyFont="1" applyFill="1" applyBorder="1"/>
    <xf numFmtId="181" fontId="8" fillId="0" borderId="36" xfId="4" applyNumberFormat="1" applyFont="1" applyFill="1" applyBorder="1"/>
    <xf numFmtId="181" fontId="8" fillId="0" borderId="37" xfId="4" applyNumberFormat="1" applyFont="1" applyFill="1" applyBorder="1"/>
    <xf numFmtId="0" fontId="8" fillId="0" borderId="0" xfId="4" applyFont="1" applyFill="1" applyBorder="1" applyAlignment="1">
      <alignment horizontal="left"/>
    </xf>
    <xf numFmtId="184" fontId="8" fillId="0" borderId="0" xfId="4" applyNumberFormat="1" applyFont="1" applyFill="1" applyBorder="1"/>
    <xf numFmtId="181" fontId="8" fillId="0" borderId="6" xfId="4" applyNumberFormat="1" applyFont="1" applyFill="1" applyBorder="1"/>
    <xf numFmtId="0" fontId="7" fillId="0" borderId="39" xfId="4" applyFont="1" applyFill="1" applyBorder="1"/>
    <xf numFmtId="178" fontId="7" fillId="0" borderId="1" xfId="867" applyNumberFormat="1" applyFont="1" applyFill="1" applyBorder="1"/>
    <xf numFmtId="178" fontId="19" fillId="0" borderId="4" xfId="867" applyNumberFormat="1" applyFont="1" applyFill="1" applyBorder="1"/>
    <xf numFmtId="0" fontId="9" fillId="0" borderId="0" xfId="4" applyFont="1" applyFill="1" applyBorder="1"/>
    <xf numFmtId="37" fontId="15" fillId="0" borderId="0" xfId="4" applyNumberFormat="1" applyFont="1" applyFill="1" applyBorder="1"/>
    <xf numFmtId="0" fontId="12" fillId="0" borderId="0" xfId="4" applyFont="1"/>
    <xf numFmtId="0" fontId="7" fillId="0" borderId="4" xfId="4" applyFont="1" applyBorder="1"/>
    <xf numFmtId="1" fontId="8" fillId="32" borderId="1" xfId="2554" applyNumberFormat="1" applyFont="1" applyFill="1" applyBorder="1" applyAlignment="1">
      <alignment horizontal="right"/>
    </xf>
    <xf numFmtId="1" fontId="8" fillId="32" borderId="39" xfId="2554" applyNumberFormat="1" applyFont="1" applyFill="1" applyBorder="1" applyAlignment="1">
      <alignment horizontal="right"/>
    </xf>
    <xf numFmtId="0" fontId="7" fillId="0" borderId="35" xfId="4" applyFont="1" applyBorder="1"/>
    <xf numFmtId="178" fontId="7" fillId="0" borderId="0" xfId="867" applyNumberFormat="1" applyFont="1" applyFill="1"/>
    <xf numFmtId="178" fontId="7" fillId="0" borderId="5" xfId="867" applyNumberFormat="1" applyFont="1" applyFill="1" applyBorder="1"/>
    <xf numFmtId="178" fontId="7" fillId="0" borderId="0" xfId="867" applyNumberFormat="1" applyFont="1" applyBorder="1"/>
    <xf numFmtId="178" fontId="7" fillId="0" borderId="5" xfId="867" applyNumberFormat="1" applyFont="1" applyBorder="1"/>
    <xf numFmtId="178" fontId="20" fillId="0" borderId="10" xfId="867" applyNumberFormat="1" applyFont="1" applyFill="1" applyBorder="1"/>
    <xf numFmtId="0" fontId="7" fillId="0" borderId="5" xfId="4" applyFont="1" applyBorder="1"/>
    <xf numFmtId="178" fontId="12" fillId="0" borderId="0" xfId="867" applyNumberFormat="1" applyFont="1" applyFill="1"/>
    <xf numFmtId="178" fontId="12" fillId="0" borderId="5" xfId="867" applyNumberFormat="1" applyFont="1" applyFill="1" applyBorder="1"/>
    <xf numFmtId="178" fontId="12" fillId="0" borderId="0" xfId="867" applyNumberFormat="1" applyFont="1" applyBorder="1"/>
    <xf numFmtId="178" fontId="12" fillId="0" borderId="5" xfId="867" applyNumberFormat="1" applyFont="1" applyBorder="1"/>
    <xf numFmtId="178" fontId="12" fillId="0" borderId="0" xfId="867" applyNumberFormat="1" applyFont="1" applyFill="1" applyBorder="1"/>
    <xf numFmtId="0" fontId="9" fillId="0" borderId="5" xfId="4" applyFont="1" applyBorder="1" applyAlignment="1">
      <alignment horizontal="left" indent="1"/>
    </xf>
    <xf numFmtId="167" fontId="9" fillId="0" borderId="0" xfId="2621" applyNumberFormat="1" applyFont="1" applyBorder="1"/>
    <xf numFmtId="167" fontId="9" fillId="0" borderId="4" xfId="2621" applyNumberFormat="1" applyFont="1" applyFill="1" applyBorder="1"/>
    <xf numFmtId="167" fontId="9" fillId="0" borderId="37" xfId="2621" applyNumberFormat="1" applyFont="1" applyFill="1" applyBorder="1"/>
    <xf numFmtId="178" fontId="20" fillId="0" borderId="4" xfId="867" applyNumberFormat="1" applyFont="1" applyFill="1" applyBorder="1"/>
    <xf numFmtId="178" fontId="7" fillId="0" borderId="37" xfId="867" applyNumberFormat="1" applyFont="1" applyFill="1" applyBorder="1"/>
    <xf numFmtId="178" fontId="7" fillId="0" borderId="4" xfId="867" applyNumberFormat="1" applyFont="1" applyFill="1" applyBorder="1"/>
    <xf numFmtId="178" fontId="20" fillId="0" borderId="36" xfId="867" applyNumberFormat="1" applyFont="1" applyFill="1" applyBorder="1"/>
    <xf numFmtId="178" fontId="7" fillId="0" borderId="36" xfId="867" applyNumberFormat="1" applyFont="1" applyFill="1" applyBorder="1"/>
    <xf numFmtId="178" fontId="7" fillId="0" borderId="0" xfId="867" applyNumberFormat="1" applyFont="1" applyFill="1" applyBorder="1"/>
    <xf numFmtId="0" fontId="8" fillId="0" borderId="36" xfId="4" applyFont="1" applyBorder="1"/>
    <xf numFmtId="0" fontId="8" fillId="0" borderId="37" xfId="4" applyFont="1" applyBorder="1"/>
    <xf numFmtId="178" fontId="8" fillId="0" borderId="1" xfId="867" applyNumberFormat="1" applyFont="1" applyBorder="1"/>
    <xf numFmtId="178" fontId="8" fillId="0" borderId="39" xfId="867" applyNumberFormat="1" applyFont="1" applyBorder="1"/>
    <xf numFmtId="178" fontId="8" fillId="0" borderId="38" xfId="867" applyNumberFormat="1" applyFont="1" applyBorder="1"/>
    <xf numFmtId="178" fontId="7" fillId="0" borderId="1" xfId="867" applyNumberFormat="1" applyFont="1" applyBorder="1"/>
    <xf numFmtId="185" fontId="12" fillId="0" borderId="0" xfId="4" applyNumberFormat="1" applyFont="1"/>
    <xf numFmtId="167" fontId="9" fillId="0" borderId="0" xfId="2621" applyNumberFormat="1" applyFont="1" applyFill="1"/>
    <xf numFmtId="167" fontId="12" fillId="0" borderId="0" xfId="4" applyNumberFormat="1" applyFont="1"/>
    <xf numFmtId="178" fontId="12" fillId="0" borderId="0" xfId="4" applyNumberFormat="1" applyFont="1"/>
    <xf numFmtId="178" fontId="12" fillId="0" borderId="0" xfId="867" applyNumberFormat="1" applyFont="1"/>
    <xf numFmtId="0" fontId="14" fillId="0" borderId="0" xfId="4" applyFont="1"/>
    <xf numFmtId="1" fontId="8" fillId="32" borderId="38" xfId="2554" applyNumberFormat="1" applyFont="1" applyFill="1" applyBorder="1" applyAlignment="1">
      <alignment horizontal="right"/>
    </xf>
    <xf numFmtId="181" fontId="7" fillId="0" borderId="0" xfId="4" applyNumberFormat="1" applyFont="1"/>
    <xf numFmtId="181" fontId="7" fillId="0" borderId="35" xfId="4" applyNumberFormat="1" applyFont="1" applyBorder="1"/>
    <xf numFmtId="181" fontId="7" fillId="0" borderId="10" xfId="4" applyNumberFormat="1" applyFont="1" applyBorder="1"/>
    <xf numFmtId="181" fontId="7" fillId="0" borderId="6" xfId="4" applyNumberFormat="1" applyFont="1" applyBorder="1"/>
    <xf numFmtId="181" fontId="7" fillId="0" borderId="4" xfId="4" applyNumberFormat="1" applyFont="1" applyBorder="1"/>
    <xf numFmtId="181" fontId="7" fillId="0" borderId="37" xfId="4" applyNumberFormat="1" applyFont="1" applyBorder="1"/>
    <xf numFmtId="181" fontId="7" fillId="0" borderId="36" xfId="4" applyNumberFormat="1" applyFont="1" applyBorder="1"/>
    <xf numFmtId="186" fontId="7" fillId="0" borderId="4" xfId="4" applyNumberFormat="1" applyFont="1" applyBorder="1"/>
    <xf numFmtId="0" fontId="21" fillId="0" borderId="0" xfId="4" applyFont="1"/>
    <xf numFmtId="0" fontId="8" fillId="0" borderId="4" xfId="4" applyFont="1" applyFill="1" applyBorder="1" applyAlignment="1">
      <alignment horizontal="left"/>
    </xf>
    <xf numFmtId="0" fontId="8" fillId="0" borderId="39" xfId="4" applyFont="1" applyFill="1" applyBorder="1" applyAlignment="1">
      <alignment horizontal="left"/>
    </xf>
    <xf numFmtId="0" fontId="2" fillId="32" borderId="0" xfId="4" applyFont="1" applyFill="1" applyBorder="1"/>
    <xf numFmtId="37" fontId="2" fillId="0" borderId="0" xfId="4" applyNumberFormat="1" applyFont="1" applyFill="1" applyAlignment="1">
      <alignment horizontal="center"/>
    </xf>
    <xf numFmtId="0" fontId="23" fillId="0" borderId="0" xfId="4" applyFont="1"/>
    <xf numFmtId="49" fontId="0" fillId="0" borderId="0" xfId="4" applyNumberFormat="1" applyFont="1"/>
    <xf numFmtId="0" fontId="8" fillId="0" borderId="0" xfId="4" applyFont="1" applyBorder="1"/>
    <xf numFmtId="0" fontId="2" fillId="0" borderId="0" xfId="4" applyFont="1" applyFill="1" applyBorder="1"/>
    <xf numFmtId="165" fontId="31" fillId="0" borderId="4" xfId="2554" applyNumberFormat="1" applyFont="1" applyFill="1" applyBorder="1" applyAlignment="1"/>
    <xf numFmtId="0" fontId="9" fillId="0" borderId="0" xfId="4" applyFont="1" applyBorder="1"/>
    <xf numFmtId="0" fontId="8" fillId="0" borderId="4" xfId="4" applyFont="1" applyBorder="1"/>
    <xf numFmtId="164" fontId="7" fillId="0" borderId="0" xfId="4" applyNumberFormat="1" applyFont="1" applyBorder="1"/>
    <xf numFmtId="0" fontId="9" fillId="0" borderId="0" xfId="4" applyFont="1" applyBorder="1" applyAlignment="1">
      <alignment horizontal="left" indent="1"/>
    </xf>
    <xf numFmtId="167" fontId="9" fillId="0" borderId="0" xfId="2621" applyNumberFormat="1" applyFont="1"/>
    <xf numFmtId="167" fontId="9" fillId="0" borderId="5" xfId="2621" applyNumberFormat="1" applyFont="1" applyBorder="1"/>
    <xf numFmtId="0" fontId="9" fillId="0" borderId="0" xfId="4" applyFont="1" applyFill="1" applyBorder="1" applyAlignment="1">
      <alignment horizontal="left" indent="1"/>
    </xf>
    <xf numFmtId="167" fontId="13" fillId="0" borderId="0" xfId="2621" applyNumberFormat="1" applyFont="1" applyBorder="1"/>
    <xf numFmtId="167" fontId="13" fillId="0" borderId="5" xfId="2621" applyNumberFormat="1" applyFont="1" applyBorder="1"/>
    <xf numFmtId="175" fontId="8" fillId="0" borderId="0" xfId="4" applyNumberFormat="1" applyFont="1" applyBorder="1" applyAlignment="1">
      <alignment horizontal="centerContinuous"/>
    </xf>
    <xf numFmtId="0" fontId="17" fillId="0" borderId="0" xfId="0" applyFont="1"/>
    <xf numFmtId="1" fontId="0" fillId="0" borderId="0" xfId="0" applyNumberFormat="1"/>
    <xf numFmtId="0" fontId="0" fillId="0" borderId="0" xfId="0"/>
    <xf numFmtId="0" fontId="9" fillId="0" borderId="51" xfId="4" applyFont="1" applyBorder="1"/>
    <xf numFmtId="259" fontId="8" fillId="32" borderId="51" xfId="2555" applyNumberFormat="1" applyFont="1" applyFill="1" applyBorder="1" applyAlignment="1">
      <alignment horizontal="right"/>
    </xf>
    <xf numFmtId="259" fontId="8" fillId="32" borderId="0" xfId="2555" applyNumberFormat="1" applyFont="1" applyFill="1" applyBorder="1" applyAlignment="1">
      <alignment horizontal="right"/>
    </xf>
    <xf numFmtId="259" fontId="8" fillId="32" borderId="5" xfId="2555" applyNumberFormat="1" applyFont="1" applyFill="1" applyBorder="1" applyAlignment="1">
      <alignment horizontal="right"/>
    </xf>
    <xf numFmtId="259" fontId="10" fillId="32" borderId="0" xfId="2555" applyNumberFormat="1" applyFont="1" applyFill="1" applyBorder="1" applyAlignment="1">
      <alignment horizontal="right"/>
    </xf>
    <xf numFmtId="259" fontId="10" fillId="32" borderId="5" xfId="2555" applyNumberFormat="1" applyFont="1" applyFill="1" applyBorder="1" applyAlignment="1">
      <alignment horizontal="right"/>
    </xf>
    <xf numFmtId="259" fontId="10" fillId="32" borderId="51" xfId="2555" applyNumberFormat="1" applyFont="1" applyFill="1" applyBorder="1" applyAlignment="1">
      <alignment horizontal="right"/>
    </xf>
    <xf numFmtId="259" fontId="10" fillId="32" borderId="38" xfId="2555" applyNumberFormat="1" applyFont="1" applyFill="1" applyBorder="1" applyAlignment="1">
      <alignment horizontal="right"/>
    </xf>
    <xf numFmtId="259" fontId="10" fillId="32" borderId="1" xfId="2555" applyNumberFormat="1" applyFont="1" applyFill="1" applyBorder="1" applyAlignment="1">
      <alignment horizontal="right"/>
    </xf>
    <xf numFmtId="259" fontId="10" fillId="32" borderId="39" xfId="2555" applyNumberFormat="1" applyFont="1" applyFill="1" applyBorder="1" applyAlignment="1">
      <alignment horizontal="right"/>
    </xf>
    <xf numFmtId="259" fontId="10" fillId="32" borderId="10" xfId="2555" applyNumberFormat="1" applyFont="1" applyFill="1" applyBorder="1" applyAlignment="1">
      <alignment horizontal="right"/>
    </xf>
    <xf numFmtId="1" fontId="10" fillId="32" borderId="6" xfId="2554" applyNumberFormat="1" applyFont="1" applyFill="1" applyBorder="1" applyAlignment="1">
      <alignment horizontal="right"/>
    </xf>
    <xf numFmtId="1" fontId="10" fillId="32" borderId="10" xfId="2554" applyNumberFormat="1" applyFont="1" applyFill="1" applyBorder="1" applyAlignment="1">
      <alignment horizontal="right"/>
    </xf>
    <xf numFmtId="0" fontId="7" fillId="0" borderId="51" xfId="4" applyFont="1" applyBorder="1"/>
    <xf numFmtId="0" fontId="244" fillId="0" borderId="0" xfId="4" applyFont="1" applyFill="1"/>
    <xf numFmtId="260" fontId="2" fillId="0" borderId="0" xfId="4" applyNumberFormat="1" applyFont="1"/>
    <xf numFmtId="10" fontId="2" fillId="0" borderId="0" xfId="4" applyNumberFormat="1" applyFont="1"/>
    <xf numFmtId="176" fontId="2" fillId="0" borderId="0" xfId="4" applyNumberFormat="1" applyFont="1"/>
    <xf numFmtId="164" fontId="2" fillId="0" borderId="0" xfId="4" applyNumberFormat="1" applyFont="1" applyBorder="1"/>
    <xf numFmtId="185" fontId="38" fillId="0" borderId="0" xfId="867" applyNumberFormat="1" applyFont="1" applyBorder="1"/>
    <xf numFmtId="178" fontId="38" fillId="0" borderId="0" xfId="867" applyNumberFormat="1" applyFont="1" applyBorder="1"/>
    <xf numFmtId="43" fontId="38" fillId="0" borderId="0" xfId="867" applyNumberFormat="1" applyFont="1" applyBorder="1"/>
    <xf numFmtId="42" fontId="60" fillId="0" borderId="0" xfId="4" applyNumberFormat="1" applyFont="1" applyFill="1" applyBorder="1"/>
    <xf numFmtId="165" fontId="30" fillId="57" borderId="11" xfId="2554" applyNumberFormat="1" applyFont="1" applyFill="1" applyBorder="1" applyAlignment="1"/>
    <xf numFmtId="166" fontId="2" fillId="0" borderId="0" xfId="4" applyNumberFormat="1" applyFont="1"/>
    <xf numFmtId="261" fontId="2" fillId="0" borderId="0" xfId="4" applyNumberFormat="1" applyFont="1" applyBorder="1"/>
    <xf numFmtId="262" fontId="2" fillId="0" borderId="0" xfId="867" applyNumberFormat="1" applyFont="1" applyBorder="1"/>
    <xf numFmtId="185" fontId="2" fillId="0" borderId="0" xfId="867" applyNumberFormat="1" applyFont="1" applyBorder="1"/>
    <xf numFmtId="9" fontId="12" fillId="0" borderId="0" xfId="2621" applyFont="1" applyFill="1" applyBorder="1"/>
    <xf numFmtId="166" fontId="2" fillId="0" borderId="4" xfId="4" applyNumberFormat="1" applyFont="1" applyBorder="1"/>
    <xf numFmtId="164" fontId="2" fillId="0" borderId="4" xfId="4" applyNumberFormat="1" applyFont="1" applyBorder="1"/>
    <xf numFmtId="167" fontId="2" fillId="0" borderId="4" xfId="2621" applyNumberFormat="1" applyFont="1" applyBorder="1"/>
    <xf numFmtId="43" fontId="2" fillId="0" borderId="4" xfId="4" applyNumberFormat="1" applyFont="1" applyBorder="1"/>
    <xf numFmtId="43" fontId="2" fillId="0" borderId="0" xfId="867" applyFont="1" applyBorder="1"/>
    <xf numFmtId="0" fontId="0" fillId="0" borderId="0" xfId="4" applyFont="1" applyBorder="1"/>
    <xf numFmtId="0" fontId="2" fillId="0" borderId="0" xfId="0" applyFont="1"/>
    <xf numFmtId="0" fontId="8" fillId="0" borderId="51" xfId="4" applyFont="1" applyFill="1" applyBorder="1"/>
    <xf numFmtId="166" fontId="12" fillId="0" borderId="51" xfId="4" applyNumberFormat="1" applyFont="1" applyFill="1" applyBorder="1" applyAlignment="1"/>
    <xf numFmtId="166" fontId="12" fillId="0" borderId="5" xfId="4" applyNumberFormat="1" applyFont="1" applyFill="1" applyBorder="1" applyAlignment="1"/>
    <xf numFmtId="166" fontId="14" fillId="0" borderId="5" xfId="4" applyNumberFormat="1" applyFont="1" applyFill="1" applyBorder="1" applyAlignment="1"/>
    <xf numFmtId="166" fontId="12" fillId="0" borderId="6" xfId="4" applyNumberFormat="1" applyFont="1" applyFill="1" applyBorder="1" applyAlignment="1"/>
    <xf numFmtId="166" fontId="12" fillId="0" borderId="35" xfId="4" applyNumberFormat="1" applyFont="1" applyFill="1" applyBorder="1" applyAlignment="1"/>
    <xf numFmtId="260" fontId="12" fillId="0" borderId="0" xfId="4" applyNumberFormat="1" applyFont="1" applyFill="1" applyBorder="1" applyAlignment="1"/>
    <xf numFmtId="260" fontId="12" fillId="0" borderId="35" xfId="4" applyNumberFormat="1" applyFont="1" applyFill="1" applyBorder="1" applyAlignment="1"/>
    <xf numFmtId="260" fontId="16" fillId="0" borderId="5" xfId="4" applyNumberFormat="1" applyFont="1" applyFill="1" applyBorder="1" applyAlignment="1"/>
    <xf numFmtId="260" fontId="16" fillId="0" borderId="0" xfId="4" applyNumberFormat="1" applyFont="1" applyFill="1" applyBorder="1" applyAlignment="1"/>
    <xf numFmtId="260" fontId="7" fillId="0" borderId="5" xfId="4" applyNumberFormat="1" applyFont="1" applyFill="1" applyBorder="1"/>
    <xf numFmtId="260" fontId="7" fillId="0" borderId="0" xfId="4" applyNumberFormat="1" applyFont="1" applyFill="1" applyBorder="1" applyAlignment="1"/>
    <xf numFmtId="0" fontId="9" fillId="0" borderId="51" xfId="4" applyFont="1" applyFill="1" applyBorder="1" applyAlignment="1">
      <alignment horizontal="left" indent="1"/>
    </xf>
    <xf numFmtId="166" fontId="16" fillId="0" borderId="0" xfId="4" applyNumberFormat="1" applyFont="1" applyFill="1" applyBorder="1" applyAlignment="1"/>
    <xf numFmtId="166" fontId="16" fillId="0" borderId="5" xfId="4" applyNumberFormat="1" applyFont="1" applyFill="1" applyBorder="1" applyAlignment="1"/>
    <xf numFmtId="260" fontId="16" fillId="0" borderId="51" xfId="4" applyNumberFormat="1" applyFont="1" applyFill="1" applyBorder="1" applyAlignment="1"/>
    <xf numFmtId="0" fontId="7" fillId="0" borderId="51" xfId="4" applyFont="1" applyFill="1" applyBorder="1" applyAlignment="1">
      <alignment horizontal="left" indent="1"/>
    </xf>
    <xf numFmtId="164" fontId="12" fillId="0" borderId="51" xfId="4" applyNumberFormat="1" applyFont="1" applyFill="1" applyBorder="1" applyAlignment="1"/>
    <xf numFmtId="164" fontId="7" fillId="0" borderId="51" xfId="4" applyNumberFormat="1" applyFont="1" applyFill="1" applyBorder="1" applyAlignment="1"/>
    <xf numFmtId="167" fontId="9" fillId="0" borderId="51" xfId="2621" applyNumberFormat="1" applyFont="1" applyFill="1" applyBorder="1" applyAlignment="1"/>
    <xf numFmtId="185" fontId="245" fillId="0" borderId="0" xfId="867" applyNumberFormat="1" applyFont="1" applyFill="1" applyBorder="1" applyAlignment="1"/>
    <xf numFmtId="9" fontId="245" fillId="0" borderId="0" xfId="2621" applyFont="1" applyFill="1" applyBorder="1" applyAlignment="1"/>
    <xf numFmtId="0" fontId="7" fillId="0" borderId="51" xfId="4" applyFont="1" applyFill="1" applyBorder="1"/>
    <xf numFmtId="168" fontId="12" fillId="0" borderId="51" xfId="4" applyNumberFormat="1" applyFont="1" applyFill="1" applyBorder="1" applyAlignment="1"/>
    <xf numFmtId="168" fontId="60" fillId="0" borderId="0" xfId="4" applyNumberFormat="1" applyFont="1" applyFill="1" applyBorder="1"/>
    <xf numFmtId="0" fontId="246" fillId="0" borderId="51" xfId="4" applyFont="1" applyFill="1" applyBorder="1"/>
    <xf numFmtId="0" fontId="246" fillId="0" borderId="5" xfId="4" applyFont="1" applyFill="1" applyBorder="1"/>
    <xf numFmtId="164" fontId="247" fillId="0" borderId="51" xfId="4" applyNumberFormat="1" applyFont="1" applyFill="1" applyBorder="1" applyAlignment="1"/>
    <xf numFmtId="164" fontId="247" fillId="0" borderId="0" xfId="4" applyNumberFormat="1" applyFont="1" applyFill="1" applyBorder="1" applyAlignment="1"/>
    <xf numFmtId="164" fontId="247" fillId="0" borderId="5" xfId="4" applyNumberFormat="1" applyFont="1" applyFill="1" applyBorder="1" applyAlignment="1"/>
    <xf numFmtId="164" fontId="248" fillId="0" borderId="5" xfId="4" applyNumberFormat="1" applyFont="1" applyFill="1" applyBorder="1" applyAlignment="1"/>
    <xf numFmtId="164" fontId="249" fillId="0" borderId="0" xfId="4" applyNumberFormat="1" applyFont="1" applyFill="1" applyBorder="1" applyAlignment="1"/>
    <xf numFmtId="164" fontId="246" fillId="0" borderId="0" xfId="4" applyNumberFormat="1" applyFont="1" applyFill="1" applyBorder="1" applyAlignment="1"/>
    <xf numFmtId="164" fontId="246" fillId="0" borderId="51" xfId="4" applyNumberFormat="1" applyFont="1" applyFill="1" applyBorder="1" applyAlignment="1"/>
    <xf numFmtId="164" fontId="246" fillId="0" borderId="5" xfId="4" applyNumberFormat="1" applyFont="1" applyFill="1" applyBorder="1" applyAlignment="1"/>
    <xf numFmtId="164" fontId="14" fillId="0" borderId="5" xfId="4" applyNumberFormat="1" applyFont="1" applyFill="1" applyBorder="1" applyAlignment="1"/>
    <xf numFmtId="0" fontId="7" fillId="0" borderId="51" xfId="4" applyFont="1" applyFill="1" applyBorder="1" applyAlignment="1">
      <alignment horizontal="left"/>
    </xf>
    <xf numFmtId="164" fontId="8" fillId="0" borderId="51" xfId="4" applyNumberFormat="1" applyFont="1" applyFill="1" applyBorder="1" applyAlignment="1"/>
    <xf numFmtId="167" fontId="250" fillId="0" borderId="0" xfId="2621" applyNumberFormat="1" applyFont="1" applyFill="1" applyBorder="1" applyAlignment="1"/>
    <xf numFmtId="167" fontId="250" fillId="0" borderId="5" xfId="2621" applyNumberFormat="1" applyFont="1" applyFill="1" applyBorder="1" applyAlignment="1"/>
    <xf numFmtId="10" fontId="8" fillId="0" borderId="5" xfId="2621" applyNumberFormat="1" applyFont="1" applyFill="1" applyBorder="1" applyAlignment="1"/>
    <xf numFmtId="168" fontId="60" fillId="0" borderId="51" xfId="4" applyNumberFormat="1" applyFont="1" applyFill="1" applyBorder="1" applyAlignment="1"/>
    <xf numFmtId="168" fontId="12" fillId="0" borderId="51" xfId="4" applyNumberFormat="1" applyFont="1" applyFill="1" applyBorder="1"/>
    <xf numFmtId="0" fontId="0" fillId="0" borderId="0" xfId="0" applyBorder="1"/>
    <xf numFmtId="0" fontId="0" fillId="0" borderId="51" xfId="0" applyBorder="1"/>
    <xf numFmtId="0" fontId="0" fillId="0" borderId="5" xfId="0" applyBorder="1"/>
    <xf numFmtId="164" fontId="12" fillId="0" borderId="0" xfId="5" applyNumberFormat="1" applyFont="1" applyFill="1" applyBorder="1" applyAlignment="1"/>
    <xf numFmtId="164" fontId="12" fillId="0" borderId="51" xfId="5" applyNumberFormat="1" applyFont="1" applyFill="1" applyBorder="1" applyAlignment="1"/>
    <xf numFmtId="0" fontId="246" fillId="0" borderId="0" xfId="4" applyFont="1"/>
    <xf numFmtId="0" fontId="246" fillId="0" borderId="51" xfId="4" applyFont="1" applyFill="1" applyBorder="1" applyAlignment="1">
      <alignment horizontal="left"/>
    </xf>
    <xf numFmtId="0" fontId="246" fillId="0" borderId="5" xfId="4" applyFont="1" applyFill="1" applyBorder="1" applyAlignment="1">
      <alignment horizontal="left" indent="1"/>
    </xf>
    <xf numFmtId="0" fontId="246" fillId="0" borderId="40" xfId="4" applyFont="1" applyFill="1" applyBorder="1"/>
    <xf numFmtId="0" fontId="7" fillId="0" borderId="51" xfId="4" applyFont="1" applyFill="1" applyBorder="1" applyAlignment="1">
      <alignment horizontal="left" indent="2"/>
    </xf>
    <xf numFmtId="43" fontId="12" fillId="0" borderId="0" xfId="867" applyFont="1" applyFill="1" applyBorder="1" applyAlignment="1"/>
    <xf numFmtId="9" fontId="12" fillId="0" borderId="0" xfId="2621" applyFont="1" applyFill="1" applyBorder="1" applyAlignment="1"/>
    <xf numFmtId="9" fontId="12" fillId="0" borderId="5" xfId="2621" applyFont="1" applyFill="1" applyBorder="1" applyAlignment="1"/>
    <xf numFmtId="170" fontId="38" fillId="0" borderId="0" xfId="4" applyNumberFormat="1" applyFont="1" applyFill="1" applyBorder="1" applyAlignment="1"/>
    <xf numFmtId="171" fontId="12" fillId="0" borderId="0" xfId="4" applyNumberFormat="1" applyFont="1" applyFill="1" applyBorder="1" applyAlignment="1"/>
    <xf numFmtId="164" fontId="16" fillId="0" borderId="0" xfId="4" applyNumberFormat="1" applyFont="1" applyFill="1" applyBorder="1" applyAlignment="1"/>
    <xf numFmtId="164" fontId="16" fillId="0" borderId="51" xfId="4" applyNumberFormat="1" applyFont="1" applyFill="1" applyBorder="1" applyAlignment="1"/>
    <xf numFmtId="43" fontId="12" fillId="0" borderId="5" xfId="867" applyFont="1" applyFill="1" applyBorder="1" applyAlignment="1"/>
    <xf numFmtId="167" fontId="12" fillId="0" borderId="51" xfId="2621" applyNumberFormat="1" applyFont="1" applyFill="1" applyBorder="1" applyAlignment="1"/>
    <xf numFmtId="167" fontId="13" fillId="0" borderId="51" xfId="2621" applyNumberFormat="1" applyFont="1" applyFill="1" applyBorder="1" applyAlignment="1"/>
    <xf numFmtId="164" fontId="251" fillId="0" borderId="0" xfId="4" applyNumberFormat="1" applyFont="1" applyFill="1" applyBorder="1" applyAlignment="1"/>
    <xf numFmtId="164" fontId="251" fillId="0" borderId="5" xfId="4" applyNumberFormat="1" applyFont="1" applyFill="1" applyBorder="1" applyAlignment="1"/>
    <xf numFmtId="43" fontId="7" fillId="0" borderId="0" xfId="867" applyFont="1" applyFill="1" applyBorder="1" applyAlignment="1"/>
    <xf numFmtId="172" fontId="7" fillId="0" borderId="51" xfId="4" applyNumberFormat="1" applyFont="1" applyFill="1" applyBorder="1" applyAlignment="1"/>
    <xf numFmtId="176" fontId="12" fillId="0" borderId="51" xfId="4" applyNumberFormat="1" applyFont="1" applyFill="1" applyBorder="1" applyAlignment="1"/>
    <xf numFmtId="176" fontId="12" fillId="0" borderId="0" xfId="4" applyNumberFormat="1" applyFont="1" applyFill="1" applyBorder="1" applyAlignment="1"/>
    <xf numFmtId="176" fontId="12" fillId="0" borderId="5" xfId="4" applyNumberFormat="1" applyFont="1" applyFill="1" applyBorder="1" applyAlignment="1"/>
    <xf numFmtId="176" fontId="7" fillId="0" borderId="0" xfId="4" applyNumberFormat="1" applyFont="1" applyFill="1" applyBorder="1" applyAlignment="1"/>
    <xf numFmtId="176" fontId="7" fillId="0" borderId="51" xfId="4" applyNumberFormat="1" applyFont="1" applyFill="1" applyBorder="1" applyAlignment="1"/>
    <xf numFmtId="0" fontId="8" fillId="0" borderId="0" xfId="4" applyFont="1"/>
    <xf numFmtId="0" fontId="8" fillId="0" borderId="36" xfId="4" applyFont="1" applyFill="1" applyBorder="1"/>
    <xf numFmtId="0" fontId="8" fillId="0" borderId="37" xfId="4" applyFont="1" applyFill="1" applyBorder="1"/>
    <xf numFmtId="174" fontId="8" fillId="0" borderId="36" xfId="4" applyNumberFormat="1" applyFont="1" applyFill="1" applyBorder="1"/>
    <xf numFmtId="174" fontId="8" fillId="0" borderId="4" xfId="4" applyNumberFormat="1" applyFont="1" applyFill="1" applyBorder="1"/>
    <xf numFmtId="174" fontId="8" fillId="0" borderId="37" xfId="4" applyNumberFormat="1" applyFont="1" applyFill="1" applyBorder="1"/>
    <xf numFmtId="174" fontId="7" fillId="0" borderId="10" xfId="4" applyNumberFormat="1" applyFont="1" applyFill="1" applyBorder="1"/>
    <xf numFmtId="174" fontId="7" fillId="0" borderId="6" xfId="4" applyNumberFormat="1" applyFont="1" applyFill="1" applyBorder="1"/>
    <xf numFmtId="174" fontId="7" fillId="0" borderId="35" xfId="4" applyNumberFormat="1" applyFont="1" applyFill="1" applyBorder="1"/>
    <xf numFmtId="174" fontId="252" fillId="0" borderId="0" xfId="4" applyNumberFormat="1" applyFont="1" applyFill="1" applyBorder="1"/>
    <xf numFmtId="174" fontId="252" fillId="0" borderId="5" xfId="4" applyNumberFormat="1" applyFont="1" applyFill="1" applyBorder="1"/>
    <xf numFmtId="174" fontId="252" fillId="0" borderId="51" xfId="4" applyNumberFormat="1" applyFont="1" applyFill="1" applyBorder="1"/>
    <xf numFmtId="174" fontId="7" fillId="0" borderId="36" xfId="4" applyNumberFormat="1" applyFont="1" applyFill="1" applyBorder="1"/>
    <xf numFmtId="174" fontId="7" fillId="0" borderId="4" xfId="4" applyNumberFormat="1" applyFont="1" applyFill="1" applyBorder="1"/>
    <xf numFmtId="174" fontId="7" fillId="0" borderId="37" xfId="4" applyNumberFormat="1" applyFont="1" applyFill="1" applyBorder="1"/>
    <xf numFmtId="8" fontId="0" fillId="0" borderId="0" xfId="4" applyNumberFormat="1" applyFont="1"/>
    <xf numFmtId="8" fontId="2" fillId="0" borderId="0" xfId="4" applyNumberFormat="1" applyFont="1"/>
    <xf numFmtId="174" fontId="0" fillId="0" borderId="0" xfId="4" applyNumberFormat="1" applyFont="1"/>
    <xf numFmtId="43" fontId="12" fillId="0" borderId="0" xfId="867" applyFont="1" applyFill="1" applyBorder="1"/>
    <xf numFmtId="174" fontId="12" fillId="0" borderId="0" xfId="4" applyNumberFormat="1" applyFont="1" applyFill="1" applyBorder="1"/>
    <xf numFmtId="174" fontId="60" fillId="0" borderId="0" xfId="4" applyNumberFormat="1" applyFont="1" applyFill="1" applyBorder="1"/>
    <xf numFmtId="186" fontId="12" fillId="0" borderId="0" xfId="4" applyNumberFormat="1" applyFont="1" applyFill="1" applyBorder="1"/>
    <xf numFmtId="263" fontId="13" fillId="0" borderId="0" xfId="4" applyNumberFormat="1" applyFont="1" applyFill="1" applyBorder="1"/>
    <xf numFmtId="0" fontId="8" fillId="32" borderId="38" xfId="4" applyFont="1" applyFill="1" applyBorder="1"/>
    <xf numFmtId="0" fontId="7" fillId="32" borderId="39" xfId="4" applyFont="1" applyFill="1" applyBorder="1"/>
    <xf numFmtId="175" fontId="12" fillId="0" borderId="51" xfId="4" applyNumberFormat="1" applyFont="1" applyFill="1" applyBorder="1"/>
    <xf numFmtId="175" fontId="7" fillId="0" borderId="5" xfId="4" applyNumberFormat="1" applyFont="1" applyFill="1" applyBorder="1"/>
    <xf numFmtId="164" fontId="12" fillId="0" borderId="51" xfId="4" applyNumberFormat="1" applyFont="1" applyFill="1" applyBorder="1"/>
    <xf numFmtId="183" fontId="12" fillId="0" borderId="5" xfId="3956" applyNumberFormat="1" applyFont="1" applyFill="1" applyBorder="1"/>
    <xf numFmtId="175" fontId="7" fillId="0" borderId="51" xfId="4" applyNumberFormat="1" applyFont="1" applyFill="1" applyBorder="1"/>
    <xf numFmtId="264" fontId="12" fillId="0" borderId="51" xfId="4" applyNumberFormat="1" applyFont="1" applyFill="1" applyBorder="1"/>
    <xf numFmtId="7" fontId="12" fillId="0" borderId="51" xfId="4" applyNumberFormat="1" applyFont="1" applyFill="1" applyBorder="1"/>
    <xf numFmtId="7" fontId="12" fillId="0" borderId="0" xfId="4" applyNumberFormat="1" applyFont="1" applyFill="1" applyBorder="1"/>
    <xf numFmtId="7" fontId="14" fillId="0" borderId="5" xfId="4" applyNumberFormat="1" applyFont="1" applyFill="1" applyBorder="1"/>
    <xf numFmtId="7" fontId="12" fillId="0" borderId="5" xfId="4" applyNumberFormat="1" applyFont="1" applyFill="1" applyBorder="1"/>
    <xf numFmtId="7" fontId="7" fillId="0" borderId="0" xfId="4" applyNumberFormat="1" applyFont="1" applyFill="1" applyBorder="1"/>
    <xf numFmtId="7" fontId="7" fillId="0" borderId="51" xfId="4" applyNumberFormat="1" applyFont="1" applyFill="1" applyBorder="1"/>
    <xf numFmtId="7" fontId="7" fillId="0" borderId="40" xfId="4" applyNumberFormat="1" applyFont="1" applyFill="1" applyBorder="1"/>
    <xf numFmtId="7" fontId="7" fillId="0" borderId="0" xfId="4" applyNumberFormat="1" applyFont="1" applyFill="1" applyBorder="1" applyAlignment="1"/>
    <xf numFmtId="176" fontId="16" fillId="0" borderId="51" xfId="4" applyNumberFormat="1" applyFont="1" applyFill="1" applyBorder="1"/>
    <xf numFmtId="164" fontId="253" fillId="0" borderId="0" xfId="4" applyNumberFormat="1" applyFont="1" applyFill="1" applyBorder="1" applyAlignment="1"/>
    <xf numFmtId="164" fontId="16" fillId="0" borderId="5" xfId="4" applyNumberFormat="1" applyFont="1" applyFill="1" applyBorder="1" applyAlignment="1"/>
    <xf numFmtId="164" fontId="13" fillId="0" borderId="51" xfId="4" applyNumberFormat="1" applyFont="1" applyFill="1" applyBorder="1"/>
    <xf numFmtId="167" fontId="13" fillId="0" borderId="36" xfId="2621" applyNumberFormat="1" applyFont="1" applyFill="1" applyBorder="1"/>
    <xf numFmtId="167" fontId="13" fillId="0" borderId="4" xfId="2621" applyNumberFormat="1" applyFont="1" applyFill="1" applyBorder="1"/>
    <xf numFmtId="167" fontId="13" fillId="0" borderId="37" xfId="2621" applyNumberFormat="1" applyFont="1" applyFill="1" applyBorder="1"/>
    <xf numFmtId="185" fontId="7" fillId="0" borderId="0" xfId="867" applyNumberFormat="1" applyFont="1"/>
    <xf numFmtId="0" fontId="7" fillId="0" borderId="51" xfId="867" applyNumberFormat="1" applyFont="1" applyBorder="1"/>
    <xf numFmtId="185" fontId="7" fillId="0" borderId="0" xfId="867" applyNumberFormat="1" applyFont="1" applyBorder="1"/>
    <xf numFmtId="185" fontId="7" fillId="0" borderId="51" xfId="867" applyNumberFormat="1" applyFont="1" applyBorder="1"/>
    <xf numFmtId="185" fontId="7" fillId="0" borderId="5" xfId="867" applyNumberFormat="1" applyFont="1" applyBorder="1"/>
    <xf numFmtId="185" fontId="7" fillId="0" borderId="0" xfId="867" applyNumberFormat="1" applyFont="1" applyFill="1"/>
    <xf numFmtId="185" fontId="7" fillId="0" borderId="51" xfId="867" applyNumberFormat="1" applyFont="1" applyFill="1" applyBorder="1"/>
    <xf numFmtId="185" fontId="7" fillId="0" borderId="0" xfId="867" applyNumberFormat="1" applyFont="1" applyFill="1" applyBorder="1"/>
    <xf numFmtId="185" fontId="7" fillId="0" borderId="5" xfId="867" applyNumberFormat="1" applyFont="1" applyFill="1" applyBorder="1"/>
    <xf numFmtId="185" fontId="246" fillId="0" borderId="0" xfId="867" applyNumberFormat="1" applyFont="1"/>
    <xf numFmtId="0" fontId="246" fillId="0" borderId="51" xfId="867" applyNumberFormat="1" applyFont="1" applyBorder="1"/>
    <xf numFmtId="185" fontId="246" fillId="0" borderId="0" xfId="867" applyNumberFormat="1" applyFont="1" applyBorder="1"/>
    <xf numFmtId="185" fontId="246" fillId="0" borderId="51" xfId="867" applyNumberFormat="1" applyFont="1" applyBorder="1"/>
    <xf numFmtId="185" fontId="246" fillId="0" borderId="5" xfId="867" applyNumberFormat="1" applyFont="1" applyBorder="1"/>
    <xf numFmtId="185" fontId="246" fillId="0" borderId="0" xfId="867" applyNumberFormat="1" applyFont="1" applyFill="1"/>
    <xf numFmtId="185" fontId="246" fillId="0" borderId="51" xfId="867" applyNumberFormat="1" applyFont="1" applyFill="1" applyBorder="1"/>
    <xf numFmtId="185" fontId="246" fillId="0" borderId="0" xfId="867" applyNumberFormat="1" applyFont="1" applyFill="1" applyBorder="1"/>
    <xf numFmtId="185" fontId="246" fillId="0" borderId="5" xfId="867" applyNumberFormat="1" applyFont="1" applyFill="1" applyBorder="1"/>
    <xf numFmtId="185" fontId="8" fillId="0" borderId="0" xfId="867" applyNumberFormat="1" applyFont="1"/>
    <xf numFmtId="0" fontId="8" fillId="0" borderId="51" xfId="867" applyNumberFormat="1" applyFont="1" applyBorder="1"/>
    <xf numFmtId="185" fontId="8" fillId="0" borderId="0" xfId="867" applyNumberFormat="1" applyFont="1" applyBorder="1"/>
    <xf numFmtId="185" fontId="8" fillId="0" borderId="51" xfId="867" applyNumberFormat="1" applyFont="1" applyBorder="1"/>
    <xf numFmtId="185" fontId="8" fillId="0" borderId="5" xfId="867" applyNumberFormat="1" applyFont="1" applyBorder="1"/>
    <xf numFmtId="185" fontId="8" fillId="0" borderId="51" xfId="867" applyNumberFormat="1" applyFont="1" applyFill="1" applyBorder="1"/>
    <xf numFmtId="185" fontId="8" fillId="0" borderId="0" xfId="867" applyNumberFormat="1" applyFont="1" applyFill="1" applyBorder="1"/>
    <xf numFmtId="185" fontId="8" fillId="0" borderId="5" xfId="867" applyNumberFormat="1" applyFont="1" applyFill="1" applyBorder="1"/>
    <xf numFmtId="167" fontId="7" fillId="0" borderId="0" xfId="2621" applyNumberFormat="1" applyFont="1"/>
    <xf numFmtId="0" fontId="7" fillId="0" borderId="51" xfId="2621" applyNumberFormat="1" applyFont="1" applyBorder="1"/>
    <xf numFmtId="167" fontId="7" fillId="0" borderId="0" xfId="2621" applyNumberFormat="1" applyFont="1" applyBorder="1"/>
    <xf numFmtId="167" fontId="15" fillId="0" borderId="51" xfId="2621" applyNumberFormat="1" applyFont="1" applyBorder="1"/>
    <xf numFmtId="167" fontId="7" fillId="0" borderId="5" xfId="2621" applyNumberFormat="1" applyFont="1" applyBorder="1"/>
    <xf numFmtId="167" fontId="7" fillId="0" borderId="51" xfId="2621" applyNumberFormat="1" applyFont="1" applyBorder="1"/>
    <xf numFmtId="167" fontId="7" fillId="0" borderId="0" xfId="2621" applyNumberFormat="1" applyFont="1" applyFill="1"/>
    <xf numFmtId="167" fontId="7" fillId="0" borderId="51" xfId="2621" applyNumberFormat="1" applyFont="1" applyFill="1" applyBorder="1"/>
    <xf numFmtId="167" fontId="7" fillId="0" borderId="0" xfId="2621" applyNumberFormat="1" applyFont="1" applyFill="1" applyBorder="1"/>
    <xf numFmtId="167" fontId="7" fillId="0" borderId="5" xfId="2621" applyNumberFormat="1" applyFont="1" applyFill="1" applyBorder="1"/>
    <xf numFmtId="9" fontId="7" fillId="0" borderId="51" xfId="867" applyNumberFormat="1" applyFont="1" applyBorder="1" applyAlignment="1">
      <alignment horizontal="left"/>
    </xf>
    <xf numFmtId="9" fontId="15" fillId="0" borderId="51" xfId="2621" applyFont="1" applyBorder="1"/>
    <xf numFmtId="167" fontId="12" fillId="0" borderId="51" xfId="2621" applyNumberFormat="1" applyFont="1" applyFill="1" applyBorder="1"/>
    <xf numFmtId="44" fontId="8" fillId="0" borderId="0" xfId="1368" applyFont="1"/>
    <xf numFmtId="0" fontId="8" fillId="0" borderId="36" xfId="1368" applyNumberFormat="1" applyFont="1" applyBorder="1"/>
    <xf numFmtId="44" fontId="8" fillId="0" borderId="4" xfId="1368" applyFont="1" applyBorder="1"/>
    <xf numFmtId="44" fontId="8" fillId="0" borderId="36" xfId="1368" applyFont="1" applyBorder="1"/>
    <xf numFmtId="44" fontId="8" fillId="0" borderId="37" xfId="1368" applyFont="1" applyBorder="1"/>
    <xf numFmtId="44" fontId="8" fillId="0" borderId="36" xfId="1368" applyFont="1" applyFill="1" applyBorder="1"/>
    <xf numFmtId="44" fontId="8" fillId="0" borderId="4" xfId="1368" applyFont="1" applyFill="1" applyBorder="1"/>
    <xf numFmtId="0" fontId="0" fillId="0" borderId="0" xfId="4" applyFont="1" applyFill="1"/>
    <xf numFmtId="0" fontId="7" fillId="0" borderId="0" xfId="5" applyFont="1"/>
    <xf numFmtId="0" fontId="7" fillId="0" borderId="0" xfId="5" applyFont="1" applyFill="1" applyBorder="1" applyAlignment="1">
      <alignment horizontal="left" wrapText="1" indent="2"/>
    </xf>
    <xf numFmtId="37" fontId="7" fillId="0" borderId="0" xfId="5" applyNumberFormat="1" applyFont="1" applyFill="1" applyAlignment="1">
      <alignment horizontal="center"/>
    </xf>
    <xf numFmtId="0" fontId="7" fillId="0" borderId="0" xfId="5" applyFont="1" applyFill="1"/>
    <xf numFmtId="0" fontId="254" fillId="0" borderId="0" xfId="0" applyFont="1"/>
    <xf numFmtId="164" fontId="0" fillId="0" borderId="0" xfId="0" applyNumberFormat="1"/>
    <xf numFmtId="0" fontId="31" fillId="0" borderId="0" xfId="4" applyFont="1"/>
    <xf numFmtId="43" fontId="2" fillId="0" borderId="0" xfId="867" applyFont="1"/>
    <xf numFmtId="38" fontId="2" fillId="0" borderId="0" xfId="4" applyNumberFormat="1" applyFont="1"/>
    <xf numFmtId="199" fontId="2" fillId="0" borderId="0" xfId="4" applyNumberFormat="1" applyFont="1"/>
    <xf numFmtId="168" fontId="2" fillId="0" borderId="0" xfId="4" applyNumberFormat="1" applyFont="1"/>
    <xf numFmtId="164" fontId="7" fillId="0" borderId="0" xfId="4" applyNumberFormat="1" applyFont="1"/>
    <xf numFmtId="38" fontId="7" fillId="0" borderId="0" xfId="4" applyNumberFormat="1" applyFont="1"/>
    <xf numFmtId="165" fontId="8" fillId="0" borderId="51" xfId="2554" applyFont="1" applyFill="1" applyBorder="1"/>
    <xf numFmtId="0" fontId="12" fillId="0" borderId="51" xfId="4" applyFont="1" applyFill="1" applyBorder="1"/>
    <xf numFmtId="168" fontId="7" fillId="0" borderId="51" xfId="4" applyNumberFormat="1" applyFont="1" applyFill="1" applyBorder="1"/>
    <xf numFmtId="168" fontId="7" fillId="0" borderId="51" xfId="4" applyNumberFormat="1" applyFont="1" applyBorder="1"/>
    <xf numFmtId="164" fontId="256" fillId="0" borderId="0" xfId="4" applyNumberFormat="1" applyFont="1" applyFill="1" applyBorder="1"/>
    <xf numFmtId="164" fontId="7" fillId="0" borderId="51" xfId="4" applyNumberFormat="1" applyFont="1" applyFill="1" applyBorder="1"/>
    <xf numFmtId="43" fontId="14" fillId="0" borderId="51" xfId="4" applyNumberFormat="1" applyFont="1" applyFill="1" applyBorder="1"/>
    <xf numFmtId="164" fontId="14" fillId="0" borderId="51" xfId="4" applyNumberFormat="1" applyFont="1" applyFill="1" applyBorder="1"/>
    <xf numFmtId="164" fontId="7" fillId="0" borderId="36" xfId="4" applyNumberFormat="1" applyFont="1" applyFill="1" applyBorder="1"/>
    <xf numFmtId="165" fontId="8" fillId="0" borderId="51" xfId="2554" applyNumberFormat="1" applyFont="1" applyFill="1" applyBorder="1" applyAlignment="1"/>
    <xf numFmtId="164" fontId="8" fillId="0" borderId="51" xfId="4" applyNumberFormat="1" applyFont="1" applyFill="1" applyBorder="1"/>
    <xf numFmtId="164" fontId="12" fillId="0" borderId="51" xfId="867" applyNumberFormat="1" applyFont="1" applyFill="1" applyBorder="1"/>
    <xf numFmtId="164" fontId="12" fillId="0" borderId="36" xfId="4" applyNumberFormat="1" applyFont="1" applyFill="1" applyBorder="1"/>
    <xf numFmtId="37" fontId="8" fillId="0" borderId="51" xfId="2554" applyNumberFormat="1" applyFont="1" applyFill="1" applyBorder="1"/>
    <xf numFmtId="164" fontId="15" fillId="0" borderId="51" xfId="4" applyNumberFormat="1" applyFont="1" applyFill="1" applyBorder="1"/>
    <xf numFmtId="164" fontId="12" fillId="0" borderId="4" xfId="4" applyNumberFormat="1" applyFont="1" applyFill="1" applyBorder="1"/>
    <xf numFmtId="182" fontId="12" fillId="0" borderId="0" xfId="4" applyNumberFormat="1" applyFont="1" applyFill="1" applyBorder="1"/>
    <xf numFmtId="182" fontId="12" fillId="0" borderId="4" xfId="4" applyNumberFormat="1" applyFont="1" applyFill="1" applyBorder="1"/>
    <xf numFmtId="164" fontId="7" fillId="0" borderId="0" xfId="2621" applyNumberFormat="1" applyFont="1" applyFill="1" applyBorder="1"/>
    <xf numFmtId="180" fontId="257" fillId="0" borderId="5" xfId="2621" applyNumberFormat="1" applyFont="1" applyFill="1" applyBorder="1"/>
    <xf numFmtId="180" fontId="257" fillId="0" borderId="51" xfId="2621" applyNumberFormat="1" applyFont="1" applyFill="1" applyBorder="1"/>
    <xf numFmtId="180" fontId="257" fillId="0" borderId="0" xfId="2621" applyNumberFormat="1" applyFont="1" applyFill="1" applyBorder="1"/>
    <xf numFmtId="164" fontId="7" fillId="0" borderId="40" xfId="4" applyNumberFormat="1" applyFont="1" applyFill="1" applyBorder="1"/>
    <xf numFmtId="164" fontId="7" fillId="0" borderId="51" xfId="2621" applyNumberFormat="1" applyFont="1" applyFill="1" applyBorder="1"/>
    <xf numFmtId="167" fontId="9" fillId="0" borderId="51" xfId="2621" applyNumberFormat="1" applyFont="1" applyFill="1" applyBorder="1"/>
    <xf numFmtId="167" fontId="9" fillId="0" borderId="40" xfId="2621" applyNumberFormat="1" applyFont="1" applyFill="1" applyBorder="1"/>
    <xf numFmtId="180" fontId="7" fillId="0" borderId="51" xfId="4" applyNumberFormat="1" applyFont="1" applyFill="1" applyBorder="1"/>
    <xf numFmtId="9" fontId="7" fillId="0" borderId="0" xfId="2621" applyFont="1" applyFill="1" applyBorder="1"/>
    <xf numFmtId="171" fontId="8" fillId="0" borderId="38" xfId="4" applyNumberFormat="1" applyFont="1" applyFill="1" applyBorder="1"/>
    <xf numFmtId="178" fontId="7" fillId="0" borderId="38" xfId="867" applyNumberFormat="1" applyFont="1" applyFill="1" applyBorder="1"/>
    <xf numFmtId="164" fontId="7" fillId="44" borderId="51" xfId="2553" applyNumberFormat="1" applyFont="1" applyFill="1" applyBorder="1"/>
    <xf numFmtId="164" fontId="7" fillId="44" borderId="10" xfId="2553" applyNumberFormat="1" applyFont="1" applyFill="1" applyBorder="1"/>
    <xf numFmtId="0" fontId="258" fillId="0" borderId="51" xfId="4" applyFont="1" applyFill="1" applyBorder="1"/>
    <xf numFmtId="166" fontId="7" fillId="44" borderId="51" xfId="2553" applyNumberFormat="1" applyFont="1" applyFill="1" applyBorder="1"/>
    <xf numFmtId="267" fontId="7" fillId="44" borderId="51" xfId="2553" applyNumberFormat="1" applyFont="1" applyFill="1" applyBorder="1"/>
    <xf numFmtId="267" fontId="7" fillId="44" borderId="0" xfId="2553" applyNumberFormat="1" applyFont="1" applyFill="1" applyBorder="1"/>
    <xf numFmtId="267" fontId="7" fillId="44" borderId="5" xfId="2553" applyNumberFormat="1" applyFont="1" applyFill="1" applyBorder="1"/>
    <xf numFmtId="267" fontId="7" fillId="0" borderId="40" xfId="4" applyNumberFormat="1" applyFont="1" applyBorder="1"/>
    <xf numFmtId="267" fontId="20" fillId="44" borderId="0" xfId="2553" applyNumberFormat="1" applyFont="1" applyFill="1" applyBorder="1"/>
    <xf numFmtId="267" fontId="20" fillId="44" borderId="5" xfId="2553" applyNumberFormat="1" applyFont="1" applyFill="1" applyBorder="1"/>
    <xf numFmtId="164" fontId="246" fillId="44" borderId="0" xfId="2553" applyNumberFormat="1" applyFont="1" applyFill="1" applyBorder="1"/>
    <xf numFmtId="164" fontId="246" fillId="44" borderId="5" xfId="2553" applyNumberFormat="1" applyFont="1" applyFill="1" applyBorder="1"/>
    <xf numFmtId="164" fontId="246" fillId="44" borderId="51" xfId="2553" applyNumberFormat="1" applyFont="1" applyFill="1" applyBorder="1"/>
    <xf numFmtId="267" fontId="246" fillId="44" borderId="51" xfId="2553" applyNumberFormat="1" applyFont="1" applyFill="1" applyBorder="1"/>
    <xf numFmtId="267" fontId="246" fillId="44" borderId="0" xfId="2553" applyNumberFormat="1" applyFont="1" applyFill="1" applyBorder="1"/>
    <xf numFmtId="267" fontId="246" fillId="44" borderId="5" xfId="2553" applyNumberFormat="1" applyFont="1" applyFill="1" applyBorder="1"/>
    <xf numFmtId="267" fontId="246" fillId="0" borderId="40" xfId="4" applyNumberFormat="1" applyFont="1" applyBorder="1"/>
    <xf numFmtId="267" fontId="259" fillId="44" borderId="0" xfId="2553" applyNumberFormat="1" applyFont="1" applyFill="1" applyBorder="1"/>
    <xf numFmtId="267" fontId="259" fillId="44" borderId="5" xfId="2553" applyNumberFormat="1" applyFont="1" applyFill="1" applyBorder="1"/>
    <xf numFmtId="0" fontId="246" fillId="0" borderId="51" xfId="4" applyFont="1" applyBorder="1"/>
    <xf numFmtId="164" fontId="8" fillId="44" borderId="0" xfId="2553" applyNumberFormat="1" applyFont="1" applyFill="1" applyBorder="1"/>
    <xf numFmtId="164" fontId="8" fillId="44" borderId="5" xfId="2553" applyNumberFormat="1" applyFont="1" applyFill="1" applyBorder="1"/>
    <xf numFmtId="164" fontId="8" fillId="44" borderId="51" xfId="2553" applyNumberFormat="1" applyFont="1" applyFill="1" applyBorder="1"/>
    <xf numFmtId="267" fontId="8" fillId="44" borderId="51" xfId="2553" applyNumberFormat="1" applyFont="1" applyFill="1" applyBorder="1"/>
    <xf numFmtId="267" fontId="8" fillId="44" borderId="0" xfId="2553" applyNumberFormat="1" applyFont="1" applyFill="1" applyBorder="1"/>
    <xf numFmtId="267" fontId="8" fillId="44" borderId="5" xfId="2553" applyNumberFormat="1" applyFont="1" applyFill="1" applyBorder="1"/>
    <xf numFmtId="267" fontId="8" fillId="0" borderId="40" xfId="4" applyNumberFormat="1" applyFont="1" applyBorder="1"/>
    <xf numFmtId="267" fontId="10" fillId="44" borderId="0" xfId="2553" applyNumberFormat="1" applyFont="1" applyFill="1" applyBorder="1"/>
    <xf numFmtId="267" fontId="10" fillId="44" borderId="5" xfId="2553" applyNumberFormat="1" applyFont="1" applyFill="1" applyBorder="1"/>
    <xf numFmtId="0" fontId="8" fillId="0" borderId="51" xfId="4" applyFont="1" applyBorder="1"/>
    <xf numFmtId="44" fontId="7" fillId="44" borderId="51" xfId="1368" applyNumberFormat="1" applyFont="1" applyFill="1" applyBorder="1"/>
    <xf numFmtId="44" fontId="7" fillId="44" borderId="0" xfId="1368" applyNumberFormat="1" applyFont="1" applyFill="1" applyBorder="1"/>
    <xf numFmtId="44" fontId="7" fillId="44" borderId="5" xfId="1368" applyNumberFormat="1" applyFont="1" applyFill="1" applyBorder="1"/>
    <xf numFmtId="44" fontId="20" fillId="44" borderId="0" xfId="1368" applyFont="1" applyFill="1" applyBorder="1"/>
    <xf numFmtId="44" fontId="20" fillId="44" borderId="5" xfId="1368" applyFont="1" applyFill="1" applyBorder="1"/>
    <xf numFmtId="44" fontId="2" fillId="0" borderId="0" xfId="4" applyNumberFormat="1" applyFont="1"/>
    <xf numFmtId="181" fontId="2" fillId="0" borderId="0" xfId="4" applyNumberFormat="1" applyFont="1"/>
    <xf numFmtId="37" fontId="7" fillId="0" borderId="51" xfId="4" applyNumberFormat="1" applyFont="1" applyFill="1" applyBorder="1"/>
    <xf numFmtId="168" fontId="7" fillId="0" borderId="40" xfId="4" applyNumberFormat="1" applyFont="1" applyFill="1" applyBorder="1"/>
    <xf numFmtId="43" fontId="7" fillId="0" borderId="51" xfId="4" applyNumberFormat="1" applyFont="1" applyBorder="1"/>
    <xf numFmtId="0" fontId="7" fillId="0" borderId="51" xfId="4" applyFont="1" applyFill="1" applyBorder="1" applyAlignment="1">
      <alignment horizontal="left" wrapText="1" indent="1"/>
    </xf>
    <xf numFmtId="41" fontId="12" fillId="0" borderId="51" xfId="4" applyNumberFormat="1" applyFont="1" applyFill="1" applyBorder="1"/>
    <xf numFmtId="41" fontId="7" fillId="0" borderId="0" xfId="4" applyNumberFormat="1" applyFont="1" applyFill="1" applyBorder="1"/>
    <xf numFmtId="41" fontId="12" fillId="0" borderId="40" xfId="4" applyNumberFormat="1" applyFont="1" applyFill="1" applyBorder="1"/>
    <xf numFmtId="181" fontId="7" fillId="0" borderId="51" xfId="4" applyNumberFormat="1" applyFont="1" applyFill="1" applyBorder="1"/>
    <xf numFmtId="181" fontId="7" fillId="0" borderId="40" xfId="4" applyNumberFormat="1" applyFont="1" applyFill="1" applyBorder="1"/>
    <xf numFmtId="181" fontId="12" fillId="0" borderId="51" xfId="4" applyNumberFormat="1" applyFont="1" applyFill="1" applyBorder="1"/>
    <xf numFmtId="181" fontId="8" fillId="0" borderId="54" xfId="4" applyNumberFormat="1" applyFont="1" applyFill="1" applyBorder="1"/>
    <xf numFmtId="181" fontId="12" fillId="0" borderId="55" xfId="4" applyNumberFormat="1" applyFont="1" applyFill="1" applyBorder="1"/>
    <xf numFmtId="167" fontId="12" fillId="0" borderId="0" xfId="2621" applyNumberFormat="1" applyFont="1" applyFill="1" applyBorder="1"/>
    <xf numFmtId="0" fontId="8" fillId="0" borderId="51" xfId="4" applyFont="1" applyFill="1" applyBorder="1" applyAlignment="1">
      <alignment horizontal="left"/>
    </xf>
    <xf numFmtId="181" fontId="8" fillId="0" borderId="51" xfId="4" applyNumberFormat="1" applyFont="1" applyFill="1" applyBorder="1"/>
    <xf numFmtId="181" fontId="8" fillId="0" borderId="56" xfId="4" applyNumberFormat="1" applyFont="1" applyFill="1" applyBorder="1"/>
    <xf numFmtId="181" fontId="15" fillId="0" borderId="51" xfId="4" applyNumberFormat="1" applyFont="1" applyFill="1" applyBorder="1"/>
    <xf numFmtId="43" fontId="15" fillId="0" borderId="0" xfId="867" applyFont="1" applyFill="1" applyBorder="1"/>
    <xf numFmtId="37" fontId="15" fillId="0" borderId="0" xfId="5" applyNumberFormat="1" applyFont="1" applyFill="1" applyBorder="1"/>
    <xf numFmtId="0" fontId="12" fillId="0" borderId="0" xfId="5" applyFont="1"/>
    <xf numFmtId="178" fontId="7" fillId="0" borderId="0" xfId="1094" applyNumberFormat="1" applyFont="1" applyFill="1"/>
    <xf numFmtId="178" fontId="20" fillId="0" borderId="0" xfId="867" applyNumberFormat="1" applyFont="1" applyFill="1" applyBorder="1"/>
    <xf numFmtId="178" fontId="12" fillId="0" borderId="51" xfId="867" applyNumberFormat="1" applyFont="1" applyFill="1" applyBorder="1"/>
    <xf numFmtId="167" fontId="9" fillId="0" borderId="0" xfId="2885" applyNumberFormat="1" applyFont="1" applyFill="1" applyBorder="1"/>
    <xf numFmtId="167" fontId="9" fillId="0" borderId="4" xfId="2885" applyNumberFormat="1" applyFont="1" applyFill="1" applyBorder="1"/>
    <xf numFmtId="178" fontId="12" fillId="0" borderId="35" xfId="867" applyNumberFormat="1" applyFont="1" applyBorder="1"/>
    <xf numFmtId="178" fontId="12" fillId="0" borderId="0" xfId="1094" applyNumberFormat="1" applyFont="1" applyBorder="1"/>
    <xf numFmtId="178" fontId="7" fillId="0" borderId="51" xfId="867" applyNumberFormat="1" applyFont="1" applyFill="1" applyBorder="1"/>
    <xf numFmtId="0" fontId="9" fillId="0" borderId="51" xfId="4" applyFont="1" applyBorder="1" applyAlignment="1">
      <alignment horizontal="left" indent="1"/>
    </xf>
    <xf numFmtId="178" fontId="12" fillId="0" borderId="37" xfId="867" applyNumberFormat="1" applyFont="1" applyBorder="1"/>
    <xf numFmtId="178" fontId="12" fillId="0" borderId="0" xfId="1094" applyNumberFormat="1" applyFont="1" applyFill="1"/>
    <xf numFmtId="178" fontId="8" fillId="0" borderId="1" xfId="1094" applyNumberFormat="1" applyFont="1" applyBorder="1"/>
    <xf numFmtId="178" fontId="7" fillId="0" borderId="0" xfId="1094" applyNumberFormat="1" applyFont="1" applyBorder="1"/>
    <xf numFmtId="178" fontId="7" fillId="0" borderId="6" xfId="1094" applyNumberFormat="1" applyFont="1" applyFill="1" applyBorder="1"/>
    <xf numFmtId="178" fontId="19" fillId="0" borderId="1" xfId="1094" applyNumberFormat="1" applyFont="1" applyFill="1" applyBorder="1"/>
    <xf numFmtId="0" fontId="9" fillId="0" borderId="36" xfId="4" applyFont="1" applyFill="1" applyBorder="1" applyAlignment="1">
      <alignment horizontal="left" indent="1"/>
    </xf>
    <xf numFmtId="0" fontId="9" fillId="0" borderId="37" xfId="4" applyFont="1" applyFill="1" applyBorder="1" applyAlignment="1">
      <alignment horizontal="left" indent="1"/>
    </xf>
    <xf numFmtId="167" fontId="9" fillId="0" borderId="36" xfId="2621" applyNumberFormat="1" applyFont="1" applyFill="1" applyBorder="1"/>
    <xf numFmtId="178" fontId="7" fillId="0" borderId="51" xfId="867" applyNumberFormat="1" applyFont="1" applyBorder="1"/>
    <xf numFmtId="181" fontId="7" fillId="0" borderId="0" xfId="4" applyNumberFormat="1" applyFont="1" applyBorder="1"/>
    <xf numFmtId="181" fontId="7" fillId="0" borderId="5" xfId="4" applyNumberFormat="1" applyFont="1" applyBorder="1"/>
    <xf numFmtId="181" fontId="7" fillId="0" borderId="51" xfId="4" applyNumberFormat="1" applyFont="1" applyBorder="1"/>
    <xf numFmtId="0" fontId="246" fillId="0" borderId="5" xfId="4" applyFont="1" applyBorder="1"/>
    <xf numFmtId="178" fontId="246" fillId="0" borderId="0" xfId="867" applyNumberFormat="1" applyFont="1" applyBorder="1"/>
    <xf numFmtId="178" fontId="246" fillId="0" borderId="5" xfId="867" applyNumberFormat="1" applyFont="1" applyBorder="1"/>
    <xf numFmtId="181" fontId="246" fillId="0" borderId="5" xfId="4" applyNumberFormat="1" applyFont="1" applyBorder="1"/>
    <xf numFmtId="181" fontId="246" fillId="0" borderId="0" xfId="4" applyNumberFormat="1" applyFont="1"/>
    <xf numFmtId="0" fontId="246" fillId="0" borderId="40" xfId="4" applyFont="1" applyBorder="1"/>
    <xf numFmtId="181" fontId="246" fillId="0" borderId="51" xfId="4" applyNumberFormat="1" applyFont="1" applyBorder="1"/>
    <xf numFmtId="181" fontId="246" fillId="0" borderId="0" xfId="4" applyNumberFormat="1" applyFont="1" applyBorder="1"/>
    <xf numFmtId="0" fontId="8" fillId="0" borderId="5" xfId="4" applyFont="1" applyBorder="1"/>
    <xf numFmtId="178" fontId="8" fillId="0" borderId="0" xfId="867" applyNumberFormat="1" applyFont="1" applyBorder="1"/>
    <xf numFmtId="178" fontId="8" fillId="0" borderId="5" xfId="867" applyNumberFormat="1" applyFont="1" applyBorder="1"/>
    <xf numFmtId="181" fontId="8" fillId="0" borderId="5" xfId="4" applyNumberFormat="1" applyFont="1" applyBorder="1"/>
    <xf numFmtId="181" fontId="8" fillId="0" borderId="0" xfId="4" applyNumberFormat="1" applyFont="1"/>
    <xf numFmtId="0" fontId="8" fillId="0" borderId="40" xfId="4" applyFont="1" applyBorder="1"/>
    <xf numFmtId="181" fontId="8" fillId="0" borderId="51" xfId="4" applyNumberFormat="1" applyFont="1" applyBorder="1"/>
    <xf numFmtId="181" fontId="8" fillId="0" borderId="0" xfId="4" applyNumberFormat="1" applyFont="1" applyBorder="1"/>
    <xf numFmtId="43" fontId="2" fillId="0" borderId="0" xfId="4" applyNumberFormat="1" applyFont="1"/>
    <xf numFmtId="168" fontId="12" fillId="0" borderId="0" xfId="4" applyNumberFormat="1" applyFont="1"/>
    <xf numFmtId="181" fontId="7" fillId="0" borderId="4" xfId="4" applyNumberFormat="1" applyFont="1" applyFill="1" applyBorder="1"/>
    <xf numFmtId="181" fontId="12" fillId="0" borderId="0" xfId="4" applyNumberFormat="1" applyFont="1"/>
    <xf numFmtId="43" fontId="12" fillId="0" borderId="0" xfId="4" applyNumberFormat="1" applyFont="1"/>
    <xf numFmtId="164" fontId="12" fillId="0" borderId="0" xfId="4" applyNumberFormat="1" applyFont="1"/>
    <xf numFmtId="164" fontId="249" fillId="0" borderId="5" xfId="4" applyNumberFormat="1" applyFont="1" applyFill="1" applyBorder="1" applyAlignment="1"/>
    <xf numFmtId="0" fontId="5" fillId="0" borderId="0" xfId="2555" applyNumberFormat="1" applyFont="1" applyFill="1" applyBorder="1" applyAlignment="1"/>
    <xf numFmtId="9" fontId="2" fillId="0" borderId="0" xfId="2621" applyFont="1"/>
    <xf numFmtId="195" fontId="12" fillId="0" borderId="0" xfId="4" applyNumberFormat="1" applyFont="1" applyFill="1" applyBorder="1"/>
    <xf numFmtId="195" fontId="0" fillId="0" borderId="0" xfId="4" applyNumberFormat="1" applyFont="1"/>
    <xf numFmtId="167" fontId="255" fillId="0" borderId="0" xfId="4" applyNumberFormat="1" applyFont="1"/>
    <xf numFmtId="43" fontId="17" fillId="0" borderId="0" xfId="867" applyFont="1"/>
    <xf numFmtId="185" fontId="17" fillId="0" borderId="0" xfId="4" applyNumberFormat="1" applyFont="1"/>
    <xf numFmtId="167" fontId="2" fillId="0" borderId="0" xfId="4" applyNumberFormat="1" applyFont="1"/>
    <xf numFmtId="0" fontId="0" fillId="44" borderId="0" xfId="4" applyFont="1" applyFill="1"/>
    <xf numFmtId="0" fontId="0" fillId="0" borderId="0" xfId="4" applyNumberFormat="1" applyFont="1" applyAlignment="1"/>
    <xf numFmtId="268" fontId="12" fillId="0" borderId="0" xfId="4" applyNumberFormat="1" applyFont="1" applyFill="1" applyBorder="1"/>
    <xf numFmtId="180" fontId="255" fillId="0" borderId="0" xfId="4" applyNumberFormat="1" applyFont="1"/>
    <xf numFmtId="185" fontId="2" fillId="0" borderId="0" xfId="867" applyNumberFormat="1" applyFont="1"/>
    <xf numFmtId="0" fontId="30" fillId="57" borderId="11" xfId="2554" applyNumberFormat="1" applyFont="1" applyFill="1" applyBorder="1" applyAlignment="1"/>
    <xf numFmtId="195" fontId="2" fillId="0" borderId="0" xfId="4" applyNumberFormat="1" applyFont="1"/>
    <xf numFmtId="195" fontId="255" fillId="0" borderId="0" xfId="4" applyNumberFormat="1" applyFont="1"/>
    <xf numFmtId="185" fontId="260" fillId="0" borderId="0" xfId="867" applyNumberFormat="1" applyFont="1"/>
    <xf numFmtId="0" fontId="2" fillId="44" borderId="0" xfId="4" applyFont="1" applyFill="1"/>
    <xf numFmtId="0" fontId="8" fillId="0" borderId="10" xfId="4" applyNumberFormat="1" applyFont="1" applyBorder="1" applyAlignment="1"/>
    <xf numFmtId="180" fontId="2" fillId="0" borderId="0" xfId="4" applyNumberFormat="1" applyFont="1"/>
    <xf numFmtId="268" fontId="2" fillId="44" borderId="0" xfId="4" applyNumberFormat="1" applyFont="1" applyFill="1"/>
    <xf numFmtId="0" fontId="9" fillId="0" borderId="51" xfId="4" applyNumberFormat="1" applyFont="1" applyBorder="1" applyAlignment="1"/>
    <xf numFmtId="0" fontId="7" fillId="44" borderId="0" xfId="4" applyFont="1" applyFill="1" applyBorder="1"/>
    <xf numFmtId="0" fontId="8" fillId="0" borderId="36" xfId="4" applyNumberFormat="1" applyFont="1" applyBorder="1" applyAlignment="1"/>
    <xf numFmtId="1" fontId="10" fillId="32" borderId="38" xfId="2555" applyNumberFormat="1" applyFont="1" applyFill="1" applyBorder="1" applyAlignment="1">
      <alignment horizontal="right"/>
    </xf>
    <xf numFmtId="1" fontId="10" fillId="32" borderId="1" xfId="2555" applyNumberFormat="1" applyFont="1" applyFill="1" applyBorder="1" applyAlignment="1">
      <alignment horizontal="right"/>
    </xf>
    <xf numFmtId="1" fontId="10" fillId="32" borderId="39" xfId="2555" applyNumberFormat="1" applyFont="1" applyFill="1" applyBorder="1" applyAlignment="1">
      <alignment horizontal="right"/>
    </xf>
    <xf numFmtId="0" fontId="7" fillId="44" borderId="5" xfId="4" applyFont="1" applyFill="1" applyBorder="1"/>
    <xf numFmtId="0" fontId="0" fillId="0" borderId="51" xfId="4" applyFont="1" applyBorder="1"/>
    <xf numFmtId="0" fontId="30" fillId="56" borderId="38" xfId="4" applyNumberFormat="1" applyFont="1" applyFill="1" applyBorder="1" applyAlignment="1"/>
    <xf numFmtId="0" fontId="261" fillId="56" borderId="1" xfId="4" applyFont="1" applyFill="1" applyBorder="1"/>
    <xf numFmtId="1" fontId="261" fillId="56" borderId="1" xfId="2555" applyNumberFormat="1" applyFont="1" applyFill="1" applyBorder="1" applyAlignment="1">
      <alignment horizontal="right"/>
    </xf>
    <xf numFmtId="1" fontId="261" fillId="56" borderId="38" xfId="2555" applyNumberFormat="1" applyFont="1" applyFill="1" applyBorder="1" applyAlignment="1">
      <alignment horizontal="right"/>
    </xf>
    <xf numFmtId="1" fontId="261" fillId="56" borderId="39" xfId="2555" applyNumberFormat="1" applyFont="1" applyFill="1" applyBorder="1" applyAlignment="1">
      <alignment horizontal="right"/>
    </xf>
    <xf numFmtId="1" fontId="30" fillId="58" borderId="1" xfId="2555" applyNumberFormat="1" applyFont="1" applyFill="1" applyBorder="1" applyAlignment="1">
      <alignment horizontal="right"/>
    </xf>
    <xf numFmtId="1" fontId="30" fillId="58" borderId="4" xfId="2555" applyNumberFormat="1" applyFont="1" applyFill="1" applyBorder="1" applyAlignment="1">
      <alignment horizontal="right"/>
    </xf>
    <xf numFmtId="1" fontId="30" fillId="58" borderId="37" xfId="2555" applyNumberFormat="1" applyFont="1" applyFill="1" applyBorder="1" applyAlignment="1">
      <alignment horizontal="right"/>
    </xf>
    <xf numFmtId="0" fontId="262" fillId="59" borderId="38" xfId="4" applyNumberFormat="1" applyFont="1" applyFill="1" applyBorder="1" applyAlignment="1"/>
    <xf numFmtId="0" fontId="262" fillId="59" borderId="1" xfId="4" applyFont="1" applyFill="1" applyBorder="1"/>
    <xf numFmtId="1" fontId="262" fillId="59" borderId="1" xfId="2555" applyNumberFormat="1" applyFont="1" applyFill="1" applyBorder="1" applyAlignment="1">
      <alignment horizontal="right"/>
    </xf>
    <xf numFmtId="1" fontId="262" fillId="59" borderId="38" xfId="2555" applyNumberFormat="1" applyFont="1" applyFill="1" applyBorder="1" applyAlignment="1">
      <alignment horizontal="right"/>
    </xf>
    <xf numFmtId="1" fontId="262" fillId="59" borderId="39" xfId="2555" applyNumberFormat="1" applyFont="1" applyFill="1" applyBorder="1" applyAlignment="1">
      <alignment horizontal="right"/>
    </xf>
    <xf numFmtId="0" fontId="7" fillId="56" borderId="0" xfId="4" applyFont="1" applyFill="1"/>
    <xf numFmtId="0" fontId="8" fillId="54" borderId="51" xfId="4" applyNumberFormat="1" applyFont="1" applyFill="1" applyBorder="1" applyAlignment="1"/>
    <xf numFmtId="0" fontId="8" fillId="54" borderId="0" xfId="4" applyFont="1" applyFill="1" applyBorder="1"/>
    <xf numFmtId="183" fontId="7" fillId="54" borderId="0" xfId="4" applyNumberFormat="1" applyFont="1" applyFill="1" applyBorder="1"/>
    <xf numFmtId="183" fontId="7" fillId="54" borderId="5" xfId="4" applyNumberFormat="1" applyFont="1" applyFill="1" applyBorder="1"/>
    <xf numFmtId="0" fontId="0" fillId="54" borderId="0" xfId="4" applyFont="1" applyFill="1"/>
    <xf numFmtId="0" fontId="0" fillId="54" borderId="0" xfId="4" applyFont="1" applyFill="1" applyBorder="1"/>
    <xf numFmtId="0" fontId="0" fillId="54" borderId="51" xfId="4" applyFont="1" applyFill="1" applyBorder="1"/>
    <xf numFmtId="0" fontId="0" fillId="54" borderId="5" xfId="4" applyFont="1" applyFill="1" applyBorder="1"/>
    <xf numFmtId="0" fontId="0" fillId="54" borderId="6" xfId="4" applyFont="1" applyFill="1" applyBorder="1"/>
    <xf numFmtId="0" fontId="0" fillId="54" borderId="35" xfId="4" applyFont="1" applyFill="1" applyBorder="1"/>
    <xf numFmtId="164" fontId="7" fillId="54" borderId="0" xfId="4" applyNumberFormat="1" applyFont="1" applyFill="1" applyBorder="1"/>
    <xf numFmtId="0" fontId="7" fillId="0" borderId="51" xfId="4" applyNumberFormat="1" applyFont="1" applyBorder="1" applyAlignment="1"/>
    <xf numFmtId="183" fontId="7" fillId="0" borderId="0" xfId="4" applyNumberFormat="1" applyFont="1" applyFill="1" applyBorder="1"/>
    <xf numFmtId="183" fontId="7" fillId="0" borderId="5" xfId="4" applyNumberFormat="1" applyFont="1" applyFill="1" applyBorder="1"/>
    <xf numFmtId="195" fontId="7" fillId="0" borderId="0" xfId="4" applyNumberFormat="1" applyFont="1" applyFill="1" applyBorder="1"/>
    <xf numFmtId="195" fontId="7" fillId="0" borderId="51" xfId="4" applyNumberFormat="1" applyFont="1" applyFill="1" applyBorder="1"/>
    <xf numFmtId="195" fontId="7" fillId="0" borderId="5" xfId="4" applyNumberFormat="1" applyFont="1" applyFill="1" applyBorder="1"/>
    <xf numFmtId="164" fontId="12" fillId="0" borderId="0" xfId="4" applyNumberFormat="1" applyFont="1" applyBorder="1"/>
    <xf numFmtId="267" fontId="7" fillId="0" borderId="0" xfId="4" applyNumberFormat="1" applyFont="1" applyBorder="1"/>
    <xf numFmtId="267" fontId="7" fillId="0" borderId="5" xfId="4" applyNumberFormat="1" applyFont="1" applyBorder="1"/>
    <xf numFmtId="0" fontId="246" fillId="56" borderId="0" xfId="4" applyFont="1" applyFill="1"/>
    <xf numFmtId="0" fontId="246" fillId="0" borderId="51" xfId="4" applyNumberFormat="1" applyFont="1" applyBorder="1" applyAlignment="1"/>
    <xf numFmtId="0" fontId="246" fillId="0" borderId="0" xfId="4" applyFont="1" applyBorder="1"/>
    <xf numFmtId="183" fontId="246" fillId="0" borderId="0" xfId="4" applyNumberFormat="1" applyFont="1" applyFill="1" applyBorder="1"/>
    <xf numFmtId="183" fontId="246" fillId="0" borderId="5" xfId="4" applyNumberFormat="1" applyFont="1" applyFill="1" applyBorder="1"/>
    <xf numFmtId="195" fontId="246" fillId="0" borderId="0" xfId="4" applyNumberFormat="1" applyFont="1" applyFill="1" applyBorder="1"/>
    <xf numFmtId="195" fontId="246" fillId="0" borderId="51" xfId="4" applyNumberFormat="1" applyFont="1" applyFill="1" applyBorder="1"/>
    <xf numFmtId="195" fontId="246" fillId="0" borderId="5" xfId="4" applyNumberFormat="1" applyFont="1" applyFill="1" applyBorder="1"/>
    <xf numFmtId="0" fontId="246" fillId="44" borderId="5" xfId="4" applyFont="1" applyFill="1" applyBorder="1"/>
    <xf numFmtId="164" fontId="246" fillId="0" borderId="0" xfId="4" applyNumberFormat="1" applyFont="1" applyBorder="1"/>
    <xf numFmtId="164" fontId="247" fillId="0" borderId="0" xfId="4" applyNumberFormat="1" applyFont="1" applyBorder="1"/>
    <xf numFmtId="0" fontId="8" fillId="56" borderId="0" xfId="4" applyFont="1" applyFill="1"/>
    <xf numFmtId="0" fontId="8" fillId="0" borderId="51" xfId="4" applyNumberFormat="1" applyFont="1" applyBorder="1" applyAlignment="1"/>
    <xf numFmtId="183" fontId="8" fillId="0" borderId="0" xfId="4" applyNumberFormat="1" applyFont="1" applyFill="1" applyBorder="1"/>
    <xf numFmtId="183" fontId="8" fillId="0" borderId="5" xfId="4" applyNumberFormat="1" applyFont="1" applyFill="1" applyBorder="1"/>
    <xf numFmtId="195" fontId="8" fillId="0" borderId="0" xfId="4" applyNumberFormat="1" applyFont="1" applyFill="1" applyBorder="1"/>
    <xf numFmtId="195" fontId="8" fillId="0" borderId="51" xfId="4" applyNumberFormat="1" applyFont="1" applyFill="1" applyBorder="1"/>
    <xf numFmtId="195" fontId="8" fillId="0" borderId="5" xfId="4" applyNumberFormat="1" applyFont="1" applyFill="1" applyBorder="1"/>
    <xf numFmtId="0" fontId="8" fillId="44" borderId="5" xfId="4" applyFont="1" applyFill="1" applyBorder="1"/>
    <xf numFmtId="164" fontId="8" fillId="0" borderId="0" xfId="4" applyNumberFormat="1" applyFont="1" applyBorder="1"/>
    <xf numFmtId="164" fontId="15" fillId="0" borderId="0" xfId="4" applyNumberFormat="1" applyFont="1" applyBorder="1"/>
    <xf numFmtId="267" fontId="8" fillId="0" borderId="0" xfId="4" applyNumberFormat="1" applyFont="1" applyBorder="1"/>
    <xf numFmtId="267" fontId="8" fillId="0" borderId="5" xfId="4" applyNumberFormat="1" applyFont="1" applyBorder="1"/>
    <xf numFmtId="9" fontId="7" fillId="0" borderId="0" xfId="4" applyNumberFormat="1" applyFont="1" applyFill="1" applyBorder="1"/>
    <xf numFmtId="164" fontId="7" fillId="0" borderId="5" xfId="4" applyNumberFormat="1" applyFont="1" applyBorder="1"/>
    <xf numFmtId="0" fontId="9" fillId="56" borderId="0" xfId="4" applyFont="1" applyFill="1"/>
    <xf numFmtId="0" fontId="263" fillId="0" borderId="0" xfId="4" applyFont="1" applyBorder="1"/>
    <xf numFmtId="183" fontId="9" fillId="0" borderId="0" xfId="4" applyNumberFormat="1" applyFont="1" applyFill="1" applyBorder="1"/>
    <xf numFmtId="183" fontId="9" fillId="0" borderId="5" xfId="4" applyNumberFormat="1" applyFont="1" applyFill="1" applyBorder="1"/>
    <xf numFmtId="195" fontId="9" fillId="0" borderId="0" xfId="4" applyNumberFormat="1" applyFont="1" applyFill="1" applyBorder="1"/>
    <xf numFmtId="0" fontId="9" fillId="44" borderId="5" xfId="4" applyFont="1" applyFill="1" applyBorder="1"/>
    <xf numFmtId="164" fontId="9" fillId="0" borderId="0" xfId="4" applyNumberFormat="1" applyFont="1" applyBorder="1"/>
    <xf numFmtId="164" fontId="13" fillId="0" borderId="0" xfId="4" applyNumberFormat="1" applyFont="1" applyBorder="1"/>
    <xf numFmtId="9" fontId="9" fillId="0" borderId="51" xfId="2621" applyFont="1" applyBorder="1"/>
    <xf numFmtId="164" fontId="9" fillId="0" borderId="5" xfId="4" applyNumberFormat="1" applyFont="1" applyBorder="1"/>
    <xf numFmtId="0" fontId="264" fillId="0" borderId="51" xfId="4" applyNumberFormat="1" applyFont="1" applyBorder="1" applyAlignment="1"/>
    <xf numFmtId="0" fontId="263" fillId="0" borderId="51" xfId="4" applyNumberFormat="1" applyFont="1" applyBorder="1" applyAlignment="1"/>
    <xf numFmtId="167" fontId="9" fillId="56" borderId="0" xfId="2621" applyNumberFormat="1" applyFont="1" applyFill="1"/>
    <xf numFmtId="0" fontId="9" fillId="0" borderId="51" xfId="2621" applyNumberFormat="1" applyFont="1" applyBorder="1" applyAlignment="1"/>
    <xf numFmtId="167" fontId="263" fillId="0" borderId="0" xfId="2621" applyNumberFormat="1" applyFont="1" applyBorder="1"/>
    <xf numFmtId="167" fontId="9" fillId="44" borderId="5" xfId="2621" applyNumberFormat="1" applyFont="1" applyFill="1" applyBorder="1"/>
    <xf numFmtId="167" fontId="9" fillId="0" borderId="51" xfId="2621" applyNumberFormat="1" applyFont="1" applyBorder="1"/>
    <xf numFmtId="0" fontId="264" fillId="0" borderId="51" xfId="2621" applyNumberFormat="1" applyFont="1" applyBorder="1" applyAlignment="1"/>
    <xf numFmtId="0" fontId="263" fillId="0" borderId="51" xfId="2621" applyNumberFormat="1" applyFont="1" applyBorder="1" applyAlignment="1"/>
    <xf numFmtId="195" fontId="0" fillId="54" borderId="0" xfId="4" applyNumberFormat="1" applyFont="1" applyFill="1" applyBorder="1"/>
    <xf numFmtId="195" fontId="0" fillId="54" borderId="0" xfId="4" applyNumberFormat="1" applyFont="1" applyFill="1"/>
    <xf numFmtId="0" fontId="7" fillId="0" borderId="0" xfId="4" applyFont="1" applyBorder="1" applyAlignment="1">
      <alignment horizontal="left" indent="1"/>
    </xf>
    <xf numFmtId="167" fontId="12" fillId="0" borderId="0" xfId="2621" applyNumberFormat="1" applyFont="1" applyFill="1"/>
    <xf numFmtId="167" fontId="12" fillId="0" borderId="5" xfId="2621" applyNumberFormat="1" applyFont="1" applyFill="1" applyBorder="1"/>
    <xf numFmtId="195" fontId="12" fillId="0" borderId="51" xfId="4" applyNumberFormat="1" applyFont="1" applyFill="1" applyBorder="1"/>
    <xf numFmtId="195" fontId="12" fillId="0" borderId="5" xfId="4" applyNumberFormat="1" applyFont="1" applyFill="1" applyBorder="1"/>
    <xf numFmtId="195" fontId="12" fillId="0" borderId="51" xfId="2621" applyNumberFormat="1" applyFont="1" applyFill="1" applyBorder="1"/>
    <xf numFmtId="195" fontId="7" fillId="0" borderId="5" xfId="2621" applyNumberFormat="1" applyFont="1" applyFill="1" applyBorder="1"/>
    <xf numFmtId="195" fontId="7" fillId="0" borderId="0" xfId="2621" applyNumberFormat="1" applyFont="1" applyFill="1"/>
    <xf numFmtId="167" fontId="13" fillId="32" borderId="5" xfId="2621" applyNumberFormat="1" applyFont="1" applyFill="1" applyBorder="1" applyAlignment="1">
      <alignment horizontal="right"/>
    </xf>
    <xf numFmtId="167" fontId="13" fillId="32" borderId="0" xfId="2621" applyNumberFormat="1" applyFont="1" applyFill="1" applyBorder="1" applyAlignment="1">
      <alignment horizontal="right"/>
    </xf>
    <xf numFmtId="167" fontId="9" fillId="0" borderId="5" xfId="2621" applyNumberFormat="1" applyFont="1" applyFill="1" applyBorder="1" applyAlignment="1">
      <alignment horizontal="right"/>
    </xf>
    <xf numFmtId="0" fontId="9" fillId="0" borderId="51" xfId="4" applyNumberFormat="1" applyFont="1" applyFill="1" applyBorder="1" applyAlignment="1"/>
    <xf numFmtId="167" fontId="9" fillId="0" borderId="0" xfId="2621" applyNumberFormat="1" applyFont="1" applyAlignment="1">
      <alignment horizontal="right"/>
    </xf>
    <xf numFmtId="167" fontId="9" fillId="0" borderId="0" xfId="2621" applyNumberFormat="1" applyFont="1" applyBorder="1" applyAlignment="1">
      <alignment horizontal="right"/>
    </xf>
    <xf numFmtId="167" fontId="9" fillId="0" borderId="5" xfId="2621" applyNumberFormat="1" applyFont="1" applyBorder="1" applyAlignment="1">
      <alignment horizontal="right"/>
    </xf>
    <xf numFmtId="167" fontId="13" fillId="0" borderId="0" xfId="2621" applyNumberFormat="1" applyFont="1" applyFill="1"/>
    <xf numFmtId="0" fontId="8" fillId="0" borderId="51" xfId="4" applyNumberFormat="1" applyFont="1" applyBorder="1" applyAlignment="1">
      <alignment horizontal="left" indent="1"/>
    </xf>
    <xf numFmtId="195" fontId="12" fillId="0" borderId="0" xfId="2621" applyNumberFormat="1" applyFont="1" applyFill="1" applyBorder="1"/>
    <xf numFmtId="195" fontId="7" fillId="0" borderId="51" xfId="2621" applyNumberFormat="1" applyFont="1" applyFill="1" applyBorder="1"/>
    <xf numFmtId="195" fontId="7" fillId="0" borderId="0" xfId="2621" applyNumberFormat="1" applyFont="1" applyFill="1" applyBorder="1"/>
    <xf numFmtId="0" fontId="9" fillId="0" borderId="51" xfId="4" applyNumberFormat="1" applyFont="1" applyBorder="1" applyAlignment="1">
      <alignment horizontal="left" indent="1"/>
    </xf>
    <xf numFmtId="167" fontId="9" fillId="0" borderId="51" xfId="2621" applyNumberFormat="1" applyFont="1" applyFill="1" applyBorder="1" applyAlignment="1">
      <alignment horizontal="right"/>
    </xf>
    <xf numFmtId="167" fontId="13" fillId="0" borderId="0" xfId="2621" applyNumberFormat="1" applyFont="1" applyFill="1" applyBorder="1" applyAlignment="1">
      <alignment horizontal="right"/>
    </xf>
    <xf numFmtId="167" fontId="13" fillId="0" borderId="5" xfId="2621" applyNumberFormat="1" applyFont="1" applyFill="1" applyBorder="1" applyAlignment="1">
      <alignment horizontal="right"/>
    </xf>
    <xf numFmtId="167" fontId="13" fillId="32" borderId="51" xfId="2621" applyNumberFormat="1" applyFont="1" applyFill="1" applyBorder="1" applyAlignment="1">
      <alignment horizontal="right"/>
    </xf>
    <xf numFmtId="0" fontId="9" fillId="0" borderId="51" xfId="4" applyNumberFormat="1" applyFont="1" applyFill="1" applyBorder="1" applyAlignment="1">
      <alignment horizontal="left" indent="1"/>
    </xf>
    <xf numFmtId="167" fontId="9" fillId="0" borderId="0" xfId="2621" applyNumberFormat="1" applyFont="1" applyFill="1" applyAlignment="1">
      <alignment horizontal="right"/>
    </xf>
    <xf numFmtId="4" fontId="7" fillId="0" borderId="5" xfId="4" applyNumberFormat="1" applyFont="1" applyFill="1" applyBorder="1"/>
    <xf numFmtId="167" fontId="266" fillId="0" borderId="5" xfId="2621" applyNumberFormat="1" applyFont="1" applyFill="1" applyBorder="1" applyAlignment="1">
      <alignment horizontal="right"/>
    </xf>
    <xf numFmtId="269" fontId="7" fillId="0" borderId="0" xfId="4" applyNumberFormat="1" applyFont="1" applyFill="1" applyBorder="1"/>
    <xf numFmtId="0" fontId="8" fillId="0" borderId="51" xfId="4" applyNumberFormat="1" applyFont="1" applyBorder="1" applyAlignment="1">
      <alignment wrapText="1"/>
    </xf>
    <xf numFmtId="167" fontId="13" fillId="0" borderId="51" xfId="2621" applyNumberFormat="1" applyFont="1" applyFill="1" applyBorder="1"/>
    <xf numFmtId="0" fontId="9" fillId="54" borderId="0" xfId="4" applyFont="1" applyFill="1" applyBorder="1" applyAlignment="1">
      <alignment horizontal="left" indent="1"/>
    </xf>
    <xf numFmtId="167" fontId="13" fillId="54" borderId="0" xfId="2621" applyNumberFormat="1" applyFont="1" applyFill="1" applyBorder="1"/>
    <xf numFmtId="167" fontId="13" fillId="54" borderId="5" xfId="2621" applyNumberFormat="1" applyFont="1" applyFill="1" applyBorder="1"/>
    <xf numFmtId="167" fontId="13" fillId="54" borderId="51" xfId="2621" applyNumberFormat="1" applyFont="1" applyFill="1" applyBorder="1"/>
    <xf numFmtId="270" fontId="12" fillId="54" borderId="0" xfId="2621" applyNumberFormat="1" applyFont="1" applyFill="1" applyBorder="1"/>
    <xf numFmtId="185" fontId="7" fillId="54" borderId="51" xfId="867" applyNumberFormat="1" applyFont="1" applyFill="1" applyBorder="1"/>
    <xf numFmtId="185" fontId="7" fillId="54" borderId="0" xfId="867" applyNumberFormat="1" applyFont="1" applyFill="1" applyBorder="1"/>
    <xf numFmtId="185" fontId="12" fillId="54" borderId="5" xfId="867" applyNumberFormat="1" applyFont="1" applyFill="1" applyBorder="1"/>
    <xf numFmtId="0" fontId="7" fillId="54" borderId="0" xfId="4" applyFont="1" applyFill="1"/>
    <xf numFmtId="0" fontId="7" fillId="54" borderId="51" xfId="4" applyFont="1" applyFill="1" applyBorder="1"/>
    <xf numFmtId="0" fontId="7" fillId="54" borderId="0" xfId="4" applyFont="1" applyFill="1" applyBorder="1"/>
    <xf numFmtId="0" fontId="7" fillId="54" borderId="5" xfId="4" applyFont="1" applyFill="1" applyBorder="1"/>
    <xf numFmtId="0" fontId="8" fillId="0" borderId="51" xfId="4" applyNumberFormat="1" applyFont="1" applyFill="1" applyBorder="1" applyAlignment="1"/>
    <xf numFmtId="270" fontId="12" fillId="0" borderId="0" xfId="2621" applyNumberFormat="1" applyFont="1" applyFill="1" applyBorder="1"/>
    <xf numFmtId="0" fontId="245" fillId="0" borderId="51" xfId="4" applyFont="1" applyFill="1" applyBorder="1"/>
    <xf numFmtId="185" fontId="7" fillId="56" borderId="0" xfId="867" applyNumberFormat="1" applyFont="1" applyFill="1"/>
    <xf numFmtId="0" fontId="7" fillId="0" borderId="51" xfId="867" applyNumberFormat="1" applyFont="1" applyBorder="1" applyAlignment="1"/>
    <xf numFmtId="185" fontId="12" fillId="0" borderId="0" xfId="867" applyNumberFormat="1" applyFont="1" applyFill="1" applyBorder="1"/>
    <xf numFmtId="185" fontId="12" fillId="0" borderId="51" xfId="867" applyNumberFormat="1" applyFont="1" applyFill="1" applyBorder="1"/>
    <xf numFmtId="185" fontId="12" fillId="0" borderId="5" xfId="867" applyNumberFormat="1" applyFont="1" applyFill="1" applyBorder="1"/>
    <xf numFmtId="185" fontId="7" fillId="44" borderId="5" xfId="867" applyNumberFormat="1" applyFont="1" applyFill="1" applyBorder="1"/>
    <xf numFmtId="185" fontId="12" fillId="0" borderId="0" xfId="867" applyNumberFormat="1" applyFont="1" applyBorder="1"/>
    <xf numFmtId="185" fontId="0" fillId="0" borderId="51" xfId="867" applyNumberFormat="1" applyFont="1" applyBorder="1"/>
    <xf numFmtId="185" fontId="246" fillId="56" borderId="0" xfId="867" applyNumberFormat="1" applyFont="1" applyFill="1"/>
    <xf numFmtId="0" fontId="246" fillId="0" borderId="51" xfId="867" applyNumberFormat="1" applyFont="1" applyBorder="1" applyAlignment="1"/>
    <xf numFmtId="185" fontId="258" fillId="0" borderId="0" xfId="867" applyNumberFormat="1" applyFont="1" applyBorder="1"/>
    <xf numFmtId="185" fontId="247" fillId="0" borderId="0" xfId="867" applyNumberFormat="1" applyFont="1" applyFill="1" applyBorder="1"/>
    <xf numFmtId="185" fontId="247" fillId="0" borderId="51" xfId="867" applyNumberFormat="1" applyFont="1" applyFill="1" applyBorder="1"/>
    <xf numFmtId="185" fontId="247" fillId="0" borderId="5" xfId="867" applyNumberFormat="1" applyFont="1" applyFill="1" applyBorder="1"/>
    <xf numFmtId="185" fontId="246" fillId="44" borderId="5" xfId="867" applyNumberFormat="1" applyFont="1" applyFill="1" applyBorder="1"/>
    <xf numFmtId="185" fontId="247" fillId="0" borderId="0" xfId="867" applyNumberFormat="1" applyFont="1" applyBorder="1"/>
    <xf numFmtId="185" fontId="260" fillId="0" borderId="51" xfId="867" applyNumberFormat="1" applyFont="1" applyBorder="1"/>
    <xf numFmtId="185" fontId="8" fillId="56" borderId="0" xfId="867" applyNumberFormat="1" applyFont="1" applyFill="1"/>
    <xf numFmtId="0" fontId="15" fillId="0" borderId="51" xfId="867" applyNumberFormat="1" applyFont="1" applyBorder="1" applyAlignment="1"/>
    <xf numFmtId="185" fontId="15" fillId="0" borderId="0" xfId="867" applyNumberFormat="1" applyFont="1" applyFill="1" applyBorder="1"/>
    <xf numFmtId="185" fontId="15" fillId="0" borderId="51" xfId="867" applyNumberFormat="1" applyFont="1" applyFill="1" applyBorder="1"/>
    <xf numFmtId="185" fontId="15" fillId="0" borderId="5" xfId="867" applyNumberFormat="1" applyFont="1" applyFill="1" applyBorder="1"/>
    <xf numFmtId="185" fontId="8" fillId="44" borderId="5" xfId="867" applyNumberFormat="1" applyFont="1" applyFill="1" applyBorder="1"/>
    <xf numFmtId="167" fontId="34" fillId="0" borderId="0" xfId="2621" applyNumberFormat="1" applyFont="1" applyBorder="1"/>
    <xf numFmtId="0" fontId="34" fillId="0" borderId="51" xfId="4" applyNumberFormat="1" applyFont="1" applyBorder="1" applyAlignment="1">
      <alignment wrapText="1"/>
    </xf>
    <xf numFmtId="183" fontId="7" fillId="0" borderId="51" xfId="4" applyNumberFormat="1" applyFont="1" applyFill="1" applyBorder="1"/>
    <xf numFmtId="0" fontId="15" fillId="0" borderId="51" xfId="4" applyNumberFormat="1" applyFont="1" applyBorder="1" applyAlignment="1">
      <alignment wrapText="1"/>
    </xf>
    <xf numFmtId="183" fontId="12" fillId="0" borderId="0" xfId="4" applyNumberFormat="1" applyFont="1" applyFill="1" applyBorder="1"/>
    <xf numFmtId="183" fontId="12" fillId="0" borderId="51" xfId="4" applyNumberFormat="1" applyFont="1" applyFill="1" applyBorder="1"/>
    <xf numFmtId="183" fontId="12" fillId="0" borderId="5" xfId="4" applyNumberFormat="1" applyFont="1" applyFill="1" applyBorder="1"/>
    <xf numFmtId="183" fontId="12" fillId="0" borderId="57" xfId="4" applyNumberFormat="1" applyFont="1" applyFill="1" applyBorder="1"/>
    <xf numFmtId="0" fontId="9" fillId="0" borderId="51" xfId="4" applyNumberFormat="1" applyFont="1" applyBorder="1" applyAlignment="1">
      <alignment horizontal="left" wrapText="1" indent="1"/>
    </xf>
    <xf numFmtId="0" fontId="34" fillId="0" borderId="51" xfId="4" applyNumberFormat="1" applyFont="1" applyBorder="1" applyAlignment="1"/>
    <xf numFmtId="167" fontId="7" fillId="0" borderId="51" xfId="2621" applyNumberFormat="1" applyFont="1" applyFill="1" applyBorder="1" applyAlignment="1">
      <alignment horizontal="right"/>
    </xf>
    <xf numFmtId="167" fontId="7" fillId="0" borderId="0" xfId="2621" applyNumberFormat="1" applyFont="1" applyFill="1" applyBorder="1" applyAlignment="1">
      <alignment horizontal="right"/>
    </xf>
    <xf numFmtId="167" fontId="7" fillId="0" borderId="5" xfId="2621" applyNumberFormat="1" applyFont="1" applyFill="1" applyBorder="1" applyAlignment="1">
      <alignment horizontal="right"/>
    </xf>
    <xf numFmtId="167" fontId="7" fillId="0" borderId="0" xfId="2621" applyNumberFormat="1" applyFont="1" applyFill="1" applyAlignment="1">
      <alignment horizontal="right"/>
    </xf>
    <xf numFmtId="0" fontId="15" fillId="0" borderId="51" xfId="4" applyNumberFormat="1" applyFont="1" applyBorder="1" applyAlignment="1"/>
    <xf numFmtId="0" fontId="258" fillId="0" borderId="51" xfId="4" applyNumberFormat="1" applyFont="1" applyBorder="1" applyAlignment="1"/>
    <xf numFmtId="0" fontId="7" fillId="0" borderId="51" xfId="4" applyNumberFormat="1" applyFont="1" applyBorder="1" applyAlignment="1">
      <alignment horizontal="left" indent="1"/>
    </xf>
    <xf numFmtId="0" fontId="7" fillId="0" borderId="0" xfId="2116" applyFont="1" applyAlignment="1">
      <alignment horizontal="left" indent="1"/>
    </xf>
    <xf numFmtId="3" fontId="7" fillId="0" borderId="0" xfId="4" applyNumberFormat="1" applyFont="1"/>
    <xf numFmtId="3" fontId="7" fillId="0" borderId="5" xfId="4" applyNumberFormat="1" applyFont="1" applyBorder="1"/>
    <xf numFmtId="3" fontId="2" fillId="0" borderId="0" xfId="4" applyNumberFormat="1" applyFont="1"/>
    <xf numFmtId="3" fontId="7" fillId="0" borderId="0" xfId="2621" applyNumberFormat="1" applyFont="1" applyFill="1" applyBorder="1"/>
    <xf numFmtId="3" fontId="7" fillId="0" borderId="5" xfId="2621" applyNumberFormat="1" applyFont="1" applyFill="1" applyBorder="1"/>
    <xf numFmtId="0" fontId="9" fillId="0" borderId="0" xfId="4" applyFont="1"/>
    <xf numFmtId="0" fontId="34" fillId="54" borderId="51" xfId="4" applyNumberFormat="1" applyFont="1" applyFill="1" applyBorder="1" applyAlignment="1"/>
    <xf numFmtId="167" fontId="13" fillId="54" borderId="0" xfId="2621" applyNumberFormat="1" applyFont="1" applyFill="1"/>
    <xf numFmtId="185" fontId="13" fillId="54" borderId="5" xfId="867" applyNumberFormat="1" applyFont="1" applyFill="1" applyBorder="1"/>
    <xf numFmtId="195" fontId="7" fillId="54" borderId="51" xfId="4" applyNumberFormat="1" applyFont="1" applyFill="1" applyBorder="1"/>
    <xf numFmtId="185" fontId="12" fillId="0" borderId="0" xfId="867" applyNumberFormat="1" applyFont="1" applyFill="1"/>
    <xf numFmtId="185" fontId="12" fillId="0" borderId="5" xfId="867" applyNumberFormat="1" applyFont="1" applyBorder="1"/>
    <xf numFmtId="185" fontId="7" fillId="0" borderId="0" xfId="4" applyNumberFormat="1" applyFont="1" applyBorder="1"/>
    <xf numFmtId="195" fontId="12" fillId="0" borderId="0" xfId="2621" applyNumberFormat="1" applyFont="1" applyFill="1"/>
    <xf numFmtId="195" fontId="12" fillId="0" borderId="5" xfId="2621" applyNumberFormat="1" applyFont="1" applyFill="1" applyBorder="1"/>
    <xf numFmtId="167" fontId="13" fillId="32" borderId="0" xfId="2621" applyNumberFormat="1" applyFont="1" applyFill="1" applyAlignment="1">
      <alignment horizontal="right"/>
    </xf>
    <xf numFmtId="0" fontId="0" fillId="0" borderId="5" xfId="4" applyFont="1" applyBorder="1"/>
    <xf numFmtId="167" fontId="13" fillId="32" borderId="0" xfId="2621" applyNumberFormat="1" applyFont="1" applyFill="1"/>
    <xf numFmtId="167" fontId="13" fillId="0" borderId="0" xfId="4" applyNumberFormat="1" applyFont="1"/>
    <xf numFmtId="167" fontId="13" fillId="0" borderId="0" xfId="4" applyNumberFormat="1" applyFont="1" applyBorder="1"/>
    <xf numFmtId="167" fontId="13" fillId="0" borderId="51" xfId="4" applyNumberFormat="1" applyFont="1" applyBorder="1"/>
    <xf numFmtId="167" fontId="13" fillId="32" borderId="0" xfId="4" applyNumberFormat="1" applyFont="1" applyFill="1" applyBorder="1"/>
    <xf numFmtId="167" fontId="13" fillId="32" borderId="51" xfId="4" applyNumberFormat="1" applyFont="1" applyFill="1" applyBorder="1"/>
    <xf numFmtId="167" fontId="13" fillId="32" borderId="0" xfId="4" applyNumberFormat="1" applyFont="1" applyFill="1"/>
    <xf numFmtId="197" fontId="12" fillId="0" borderId="0" xfId="2621" applyNumberFormat="1" applyFont="1" applyFill="1"/>
    <xf numFmtId="197" fontId="12" fillId="0" borderId="0" xfId="2621" applyNumberFormat="1" applyFont="1" applyFill="1" applyBorder="1"/>
    <xf numFmtId="197" fontId="12" fillId="0" borderId="51" xfId="2621" applyNumberFormat="1" applyFont="1" applyFill="1" applyBorder="1"/>
    <xf numFmtId="197" fontId="12" fillId="0" borderId="5" xfId="2621" applyNumberFormat="1" applyFont="1" applyFill="1" applyBorder="1"/>
    <xf numFmtId="197" fontId="7" fillId="0" borderId="0" xfId="2621" applyNumberFormat="1" applyFont="1" applyFill="1" applyBorder="1"/>
    <xf numFmtId="197" fontId="7" fillId="0" borderId="5" xfId="2621" applyNumberFormat="1" applyFont="1" applyFill="1" applyBorder="1"/>
    <xf numFmtId="197" fontId="7" fillId="0" borderId="51" xfId="2621" applyNumberFormat="1" applyFont="1" applyFill="1" applyBorder="1"/>
    <xf numFmtId="197" fontId="7" fillId="0" borderId="0" xfId="2621" applyNumberFormat="1" applyFont="1" applyFill="1"/>
    <xf numFmtId="197" fontId="13" fillId="0" borderId="5" xfId="2621" applyNumberFormat="1" applyFont="1" applyFill="1" applyBorder="1"/>
    <xf numFmtId="195" fontId="7" fillId="52" borderId="0" xfId="4" applyNumberFormat="1" applyFont="1" applyFill="1" applyBorder="1"/>
    <xf numFmtId="195" fontId="7" fillId="52" borderId="5" xfId="4" applyNumberFormat="1" applyFont="1" applyFill="1" applyBorder="1"/>
    <xf numFmtId="195" fontId="7" fillId="52" borderId="51" xfId="4" applyNumberFormat="1" applyFont="1" applyFill="1" applyBorder="1"/>
    <xf numFmtId="167" fontId="9" fillId="52" borderId="0" xfId="2621" applyNumberFormat="1" applyFont="1" applyFill="1" applyBorder="1"/>
    <xf numFmtId="167" fontId="9" fillId="32" borderId="0" xfId="2621" applyNumberFormat="1" applyFont="1" applyFill="1" applyBorder="1"/>
    <xf numFmtId="167" fontId="9" fillId="32" borderId="5" xfId="2621" applyNumberFormat="1" applyFont="1" applyFill="1" applyBorder="1"/>
    <xf numFmtId="167" fontId="9" fillId="32" borderId="51" xfId="2621" applyNumberFormat="1" applyFont="1" applyFill="1" applyBorder="1"/>
    <xf numFmtId="167" fontId="9" fillId="32" borderId="0" xfId="2621" applyNumberFormat="1" applyFont="1" applyFill="1"/>
    <xf numFmtId="167" fontId="13" fillId="32" borderId="51" xfId="2621" applyNumberFormat="1" applyFont="1" applyFill="1" applyBorder="1"/>
    <xf numFmtId="167" fontId="13" fillId="32" borderId="5" xfId="4" applyNumberFormat="1" applyFont="1" applyFill="1" applyBorder="1"/>
    <xf numFmtId="195" fontId="256" fillId="0" borderId="0" xfId="4" applyNumberFormat="1" applyFont="1" applyFill="1" applyBorder="1"/>
    <xf numFmtId="195" fontId="256" fillId="0" borderId="51" xfId="4" applyNumberFormat="1" applyFont="1" applyFill="1" applyBorder="1"/>
    <xf numFmtId="195" fontId="256" fillId="0" borderId="5" xfId="4" applyNumberFormat="1" applyFont="1" applyFill="1" applyBorder="1"/>
    <xf numFmtId="167" fontId="9" fillId="32" borderId="0" xfId="2621" applyNumberFormat="1" applyFont="1" applyFill="1" applyBorder="1" applyAlignment="1">
      <alignment horizontal="right"/>
    </xf>
    <xf numFmtId="167" fontId="9" fillId="32" borderId="5" xfId="2621" applyNumberFormat="1" applyFont="1" applyFill="1" applyBorder="1" applyAlignment="1">
      <alignment horizontal="right"/>
    </xf>
    <xf numFmtId="167" fontId="9" fillId="32" borderId="51" xfId="2621" applyNumberFormat="1" applyFont="1" applyFill="1" applyBorder="1" applyAlignment="1">
      <alignment horizontal="right"/>
    </xf>
    <xf numFmtId="167" fontId="9" fillId="32" borderId="0" xfId="2621" applyNumberFormat="1" applyFont="1" applyFill="1" applyAlignment="1">
      <alignment horizontal="right"/>
    </xf>
    <xf numFmtId="185" fontId="9" fillId="0" borderId="0" xfId="867" applyNumberFormat="1" applyFont="1" applyBorder="1" applyAlignment="1">
      <alignment horizontal="left" indent="1"/>
    </xf>
    <xf numFmtId="185" fontId="13" fillId="0" borderId="0" xfId="867" applyNumberFormat="1" applyFont="1" applyFill="1"/>
    <xf numFmtId="185" fontId="13" fillId="0" borderId="5" xfId="867" applyNumberFormat="1" applyFont="1" applyFill="1" applyBorder="1"/>
    <xf numFmtId="185" fontId="13" fillId="0" borderId="0" xfId="867" applyNumberFormat="1" applyFont="1" applyFill="1" applyBorder="1"/>
    <xf numFmtId="185" fontId="0" fillId="0" borderId="0" xfId="867" applyNumberFormat="1" applyFont="1" applyBorder="1"/>
    <xf numFmtId="185" fontId="0" fillId="0" borderId="0" xfId="867" applyNumberFormat="1" applyFont="1"/>
    <xf numFmtId="185" fontId="264" fillId="0" borderId="0" xfId="867" applyNumberFormat="1" applyFont="1" applyBorder="1" applyAlignment="1">
      <alignment horizontal="left" indent="1"/>
    </xf>
    <xf numFmtId="185" fontId="267" fillId="0" borderId="0" xfId="867" applyNumberFormat="1" applyFont="1" applyFill="1"/>
    <xf numFmtId="185" fontId="267" fillId="0" borderId="5" xfId="867" applyNumberFormat="1" applyFont="1" applyFill="1" applyBorder="1"/>
    <xf numFmtId="185" fontId="267" fillId="0" borderId="0" xfId="867" applyNumberFormat="1" applyFont="1" applyFill="1" applyBorder="1"/>
    <xf numFmtId="185" fontId="260" fillId="0" borderId="0" xfId="867" applyNumberFormat="1" applyFont="1" applyBorder="1"/>
    <xf numFmtId="0" fontId="8" fillId="0" borderId="51" xfId="867" applyNumberFormat="1" applyFont="1" applyBorder="1" applyAlignment="1"/>
    <xf numFmtId="167" fontId="9" fillId="0" borderId="0" xfId="2621" applyNumberFormat="1" applyFont="1" applyBorder="1" applyAlignment="1">
      <alignment horizontal="left" indent="1"/>
    </xf>
    <xf numFmtId="0" fontId="9" fillId="0" borderId="51" xfId="2621" applyNumberFormat="1" applyFont="1" applyFill="1" applyBorder="1" applyAlignment="1"/>
    <xf numFmtId="167" fontId="13" fillId="0" borderId="51" xfId="2621" applyNumberFormat="1" applyFont="1" applyFill="1" applyBorder="1" applyAlignment="1">
      <alignment horizontal="right"/>
    </xf>
    <xf numFmtId="0" fontId="258" fillId="0" borderId="51" xfId="4" applyNumberFormat="1" applyFont="1" applyBorder="1" applyAlignment="1">
      <alignment horizontal="left" indent="1"/>
    </xf>
    <xf numFmtId="185" fontId="268" fillId="0" borderId="0" xfId="867" applyNumberFormat="1" applyFont="1" applyFill="1" applyBorder="1"/>
    <xf numFmtId="185" fontId="268" fillId="0" borderId="0" xfId="867" applyNumberFormat="1" applyFont="1" applyBorder="1"/>
    <xf numFmtId="185" fontId="13" fillId="0" borderId="5" xfId="867" applyNumberFormat="1" applyFont="1" applyBorder="1"/>
    <xf numFmtId="43" fontId="9" fillId="0" borderId="0" xfId="867" applyFont="1" applyFill="1" applyBorder="1"/>
    <xf numFmtId="185" fontId="9" fillId="0" borderId="0" xfId="867" applyNumberFormat="1" applyFont="1" applyFill="1" applyBorder="1"/>
    <xf numFmtId="0" fontId="8" fillId="54" borderId="51" xfId="4" applyNumberFormat="1" applyFont="1" applyFill="1" applyBorder="1" applyAlignment="1">
      <alignment wrapText="1"/>
    </xf>
    <xf numFmtId="185" fontId="8" fillId="54" borderId="0" xfId="867" applyNumberFormat="1" applyFont="1" applyFill="1" applyBorder="1"/>
    <xf numFmtId="167" fontId="9" fillId="54" borderId="51" xfId="2621" applyNumberFormat="1" applyFont="1" applyFill="1" applyBorder="1"/>
    <xf numFmtId="167" fontId="8" fillId="54" borderId="0" xfId="2621" applyNumberFormat="1" applyFont="1" applyFill="1"/>
    <xf numFmtId="167" fontId="8" fillId="54" borderId="51" xfId="2621" applyNumberFormat="1" applyFont="1" applyFill="1" applyBorder="1"/>
    <xf numFmtId="167" fontId="8" fillId="54" borderId="0" xfId="2621" applyNumberFormat="1" applyFont="1" applyFill="1" applyBorder="1"/>
    <xf numFmtId="185" fontId="8" fillId="54" borderId="5" xfId="867" applyNumberFormat="1" applyFont="1" applyFill="1" applyBorder="1"/>
    <xf numFmtId="0" fontId="263" fillId="0" borderId="51" xfId="4" applyNumberFormat="1" applyFont="1" applyBorder="1" applyAlignment="1">
      <alignment wrapText="1"/>
    </xf>
    <xf numFmtId="167" fontId="245" fillId="0" borderId="0" xfId="2621" applyNumberFormat="1" applyFont="1" applyBorder="1"/>
    <xf numFmtId="185" fontId="12" fillId="0" borderId="51" xfId="867" applyNumberFormat="1" applyFont="1" applyBorder="1"/>
    <xf numFmtId="0" fontId="245" fillId="0" borderId="0" xfId="4" applyFont="1" applyBorder="1" applyAlignment="1">
      <alignment horizontal="centerContinuous"/>
    </xf>
    <xf numFmtId="167" fontId="13" fillId="0" borderId="5" xfId="2621" applyNumberFormat="1" applyFont="1" applyBorder="1" applyAlignment="1">
      <alignment horizontal="centerContinuous"/>
    </xf>
    <xf numFmtId="0" fontId="7" fillId="0" borderId="51" xfId="867" applyNumberFormat="1" applyFont="1" applyBorder="1" applyAlignment="1">
      <alignment horizontal="left" indent="1"/>
    </xf>
    <xf numFmtId="185" fontId="7" fillId="0" borderId="0" xfId="867" applyNumberFormat="1" applyFont="1" applyBorder="1" applyAlignment="1">
      <alignment horizontal="left" indent="1"/>
    </xf>
    <xf numFmtId="185" fontId="12" fillId="38" borderId="0" xfId="867" applyNumberFormat="1" applyFont="1" applyFill="1" applyBorder="1"/>
    <xf numFmtId="0" fontId="246" fillId="0" borderId="51" xfId="4" applyNumberFormat="1" applyFont="1" applyBorder="1" applyAlignment="1">
      <alignment horizontal="left" indent="1"/>
    </xf>
    <xf numFmtId="0" fontId="264" fillId="0" borderId="0" xfId="4" applyFont="1" applyBorder="1" applyAlignment="1">
      <alignment horizontal="left" indent="1"/>
    </xf>
    <xf numFmtId="167" fontId="267" fillId="0" borderId="0" xfId="2621" applyNumberFormat="1" applyFont="1" applyFill="1"/>
    <xf numFmtId="167" fontId="267" fillId="0" borderId="5" xfId="2621" applyNumberFormat="1" applyFont="1" applyFill="1" applyBorder="1"/>
    <xf numFmtId="167" fontId="267" fillId="0" borderId="0" xfId="2621" applyNumberFormat="1" applyFont="1" applyFill="1" applyBorder="1"/>
    <xf numFmtId="167" fontId="264" fillId="0" borderId="51" xfId="2621" applyNumberFormat="1" applyFont="1" applyFill="1" applyBorder="1"/>
    <xf numFmtId="167" fontId="264" fillId="0" borderId="0" xfId="2621" applyNumberFormat="1" applyFont="1" applyFill="1" applyBorder="1"/>
    <xf numFmtId="167" fontId="264" fillId="0" borderId="5" xfId="2621" applyNumberFormat="1" applyFont="1" applyFill="1" applyBorder="1"/>
    <xf numFmtId="167" fontId="264" fillId="0" borderId="0" xfId="2621" applyNumberFormat="1" applyFont="1" applyFill="1"/>
    <xf numFmtId="185" fontId="246" fillId="38" borderId="0" xfId="867" applyNumberFormat="1" applyFont="1" applyFill="1" applyBorder="1"/>
    <xf numFmtId="185" fontId="247" fillId="0" borderId="51" xfId="867" applyNumberFormat="1" applyFont="1" applyBorder="1"/>
    <xf numFmtId="185" fontId="12" fillId="0" borderId="0" xfId="867" applyNumberFormat="1" applyFont="1"/>
    <xf numFmtId="9" fontId="9" fillId="56" borderId="0" xfId="2621" applyFont="1" applyFill="1"/>
    <xf numFmtId="9" fontId="9" fillId="0" borderId="51" xfId="2621" applyFont="1" applyBorder="1" applyAlignment="1">
      <alignment horizontal="left" indent="1"/>
    </xf>
    <xf numFmtId="9" fontId="9" fillId="0" borderId="0" xfId="2621" applyFont="1" applyBorder="1" applyAlignment="1">
      <alignment horizontal="left" indent="1"/>
    </xf>
    <xf numFmtId="9" fontId="9" fillId="0" borderId="0" xfId="2621" applyFont="1" applyFill="1"/>
    <xf numFmtId="9" fontId="9" fillId="0" borderId="5" xfId="2621" applyFont="1" applyFill="1" applyBorder="1"/>
    <xf numFmtId="9" fontId="9" fillId="0" borderId="0" xfId="2621" applyFont="1" applyFill="1" applyBorder="1"/>
    <xf numFmtId="9" fontId="9" fillId="0" borderId="51" xfId="2621" applyFont="1" applyFill="1" applyBorder="1"/>
    <xf numFmtId="9" fontId="9" fillId="0" borderId="0" xfId="2621" applyFont="1" applyBorder="1"/>
    <xf numFmtId="9" fontId="9" fillId="0" borderId="5" xfId="2621" applyFont="1" applyBorder="1"/>
    <xf numFmtId="9" fontId="9" fillId="0" borderId="0" xfId="2621" applyFont="1"/>
    <xf numFmtId="9" fontId="9" fillId="44" borderId="5" xfId="2621" applyFont="1" applyFill="1" applyBorder="1"/>
    <xf numFmtId="195" fontId="256" fillId="32" borderId="51" xfId="4" applyNumberFormat="1" applyFont="1" applyFill="1" applyBorder="1"/>
    <xf numFmtId="195" fontId="256" fillId="32" borderId="0" xfId="4" applyNumberFormat="1" applyFont="1" applyFill="1" applyBorder="1"/>
    <xf numFmtId="195" fontId="256" fillId="32" borderId="5" xfId="4" applyNumberFormat="1" applyFont="1" applyFill="1" applyBorder="1"/>
    <xf numFmtId="167" fontId="265" fillId="32" borderId="0" xfId="2621" applyNumberFormat="1" applyFont="1" applyFill="1"/>
    <xf numFmtId="167" fontId="265" fillId="32" borderId="5" xfId="2621" applyNumberFormat="1" applyFont="1" applyFill="1" applyBorder="1"/>
    <xf numFmtId="167" fontId="265" fillId="32" borderId="0" xfId="2621" applyNumberFormat="1" applyFont="1" applyFill="1" applyBorder="1"/>
    <xf numFmtId="167" fontId="265" fillId="32" borderId="51" xfId="2621" applyNumberFormat="1" applyFont="1" applyFill="1" applyBorder="1"/>
    <xf numFmtId="167" fontId="265" fillId="0" borderId="5" xfId="2621" applyNumberFormat="1" applyFont="1" applyFill="1" applyBorder="1"/>
    <xf numFmtId="167" fontId="265" fillId="0" borderId="51" xfId="2621" applyNumberFormat="1" applyFont="1" applyFill="1" applyBorder="1"/>
    <xf numFmtId="167" fontId="265" fillId="0" borderId="0" xfId="2621" applyNumberFormat="1" applyFont="1" applyFill="1" applyBorder="1"/>
    <xf numFmtId="167" fontId="265" fillId="0" borderId="0" xfId="2621" applyNumberFormat="1" applyFont="1" applyFill="1"/>
    <xf numFmtId="0" fontId="258" fillId="0" borderId="51" xfId="4" applyNumberFormat="1" applyFont="1" applyBorder="1" applyAlignment="1">
      <alignment wrapText="1"/>
    </xf>
    <xf numFmtId="0" fontId="34" fillId="0" borderId="51" xfId="867" applyNumberFormat="1" applyFont="1" applyBorder="1" applyAlignment="1">
      <alignment wrapText="1"/>
    </xf>
    <xf numFmtId="0" fontId="246" fillId="0" borderId="51" xfId="867" applyNumberFormat="1" applyFont="1" applyBorder="1" applyAlignment="1">
      <alignment wrapText="1"/>
    </xf>
    <xf numFmtId="0" fontId="15" fillId="0" borderId="51" xfId="867" applyNumberFormat="1" applyFont="1" applyBorder="1" applyAlignment="1">
      <alignment horizontal="left" wrapText="1" indent="1"/>
    </xf>
    <xf numFmtId="195" fontId="16" fillId="0" borderId="51" xfId="4" applyNumberFormat="1" applyFont="1" applyFill="1" applyBorder="1"/>
    <xf numFmtId="195" fontId="16" fillId="0" borderId="0" xfId="4" applyNumberFormat="1" applyFont="1" applyFill="1" applyBorder="1"/>
    <xf numFmtId="195" fontId="16" fillId="0" borderId="5" xfId="4" applyNumberFormat="1" applyFont="1" applyFill="1" applyBorder="1"/>
    <xf numFmtId="0" fontId="7" fillId="0" borderId="51" xfId="4" applyNumberFormat="1" applyFont="1" applyBorder="1" applyAlignment="1">
      <alignment wrapText="1"/>
    </xf>
    <xf numFmtId="0" fontId="9" fillId="0" borderId="36" xfId="4" applyNumberFormat="1" applyFont="1" applyBorder="1" applyAlignment="1"/>
    <xf numFmtId="0" fontId="9" fillId="0" borderId="4" xfId="4" applyFont="1" applyBorder="1" applyAlignment="1">
      <alignment horizontal="left" indent="1"/>
    </xf>
    <xf numFmtId="167" fontId="13" fillId="0" borderId="4" xfId="2621" applyNumberFormat="1" applyFont="1" applyBorder="1"/>
    <xf numFmtId="167" fontId="13" fillId="0" borderId="37" xfId="2621" applyNumberFormat="1" applyFont="1" applyBorder="1"/>
    <xf numFmtId="0" fontId="8" fillId="0" borderId="10" xfId="4" applyNumberFormat="1" applyFont="1" applyFill="1" applyBorder="1" applyAlignment="1"/>
    <xf numFmtId="0" fontId="9" fillId="0" borderId="6" xfId="4" applyFont="1" applyBorder="1" applyAlignment="1">
      <alignment horizontal="left" indent="1"/>
    </xf>
    <xf numFmtId="164" fontId="7" fillId="0" borderId="6" xfId="4" applyNumberFormat="1" applyFont="1" applyFill="1" applyBorder="1" applyAlignment="1"/>
    <xf numFmtId="195" fontId="7" fillId="0" borderId="6" xfId="4" applyNumberFormat="1" applyFont="1" applyFill="1" applyBorder="1"/>
    <xf numFmtId="180" fontId="7" fillId="0" borderId="6" xfId="4" applyNumberFormat="1" applyFont="1" applyFill="1" applyBorder="1" applyAlignment="1"/>
    <xf numFmtId="164" fontId="7" fillId="0" borderId="35" xfId="4" applyNumberFormat="1" applyFont="1" applyFill="1" applyBorder="1" applyAlignment="1"/>
    <xf numFmtId="167" fontId="13" fillId="0" borderId="0" xfId="4" applyNumberFormat="1" applyFont="1" applyFill="1" applyBorder="1" applyAlignment="1"/>
    <xf numFmtId="167" fontId="13" fillId="0" borderId="5" xfId="4" applyNumberFormat="1" applyFont="1" applyFill="1" applyBorder="1" applyAlignment="1"/>
    <xf numFmtId="0" fontId="258" fillId="0" borderId="51" xfId="4" applyNumberFormat="1" applyFont="1" applyFill="1" applyBorder="1" applyAlignment="1"/>
    <xf numFmtId="167" fontId="9" fillId="0" borderId="0" xfId="2621" quotePrefix="1" applyNumberFormat="1" applyFont="1" applyFill="1" applyBorder="1"/>
    <xf numFmtId="0" fontId="7" fillId="0" borderId="51" xfId="4" applyNumberFormat="1" applyFont="1" applyFill="1" applyBorder="1" applyAlignment="1"/>
    <xf numFmtId="9" fontId="12" fillId="0" borderId="0" xfId="2621" applyNumberFormat="1" applyFont="1" applyFill="1" applyBorder="1"/>
    <xf numFmtId="9" fontId="12" fillId="0" borderId="0" xfId="2621" applyNumberFormat="1" applyFont="1" applyFill="1" applyBorder="1" applyAlignment="1"/>
    <xf numFmtId="9" fontId="12" fillId="32" borderId="0" xfId="2621" applyNumberFormat="1" applyFont="1" applyFill="1" applyBorder="1"/>
    <xf numFmtId="9" fontId="12" fillId="32" borderId="0" xfId="2621" applyNumberFormat="1" applyFont="1" applyFill="1" applyBorder="1" applyAlignment="1"/>
    <xf numFmtId="9" fontId="7" fillId="0" borderId="0" xfId="2621" applyNumberFormat="1" applyFont="1" applyFill="1" applyBorder="1"/>
    <xf numFmtId="9" fontId="7" fillId="0" borderId="0" xfId="2621" applyNumberFormat="1" applyFont="1" applyFill="1" applyBorder="1" applyAlignment="1"/>
    <xf numFmtId="3" fontId="7" fillId="0" borderId="0" xfId="2621" applyNumberFormat="1" applyFont="1" applyFill="1" applyBorder="1" applyAlignment="1"/>
    <xf numFmtId="1" fontId="12" fillId="0" borderId="0" xfId="2621" applyNumberFormat="1" applyFont="1" applyFill="1" applyBorder="1" applyAlignment="1"/>
    <xf numFmtId="1" fontId="7" fillId="44" borderId="0" xfId="4" applyNumberFormat="1" applyFont="1" applyFill="1" applyBorder="1"/>
    <xf numFmtId="1" fontId="9" fillId="0" borderId="0" xfId="2621" applyNumberFormat="1" applyFont="1" applyFill="1" applyBorder="1" applyAlignment="1"/>
    <xf numFmtId="1" fontId="13" fillId="0" borderId="0" xfId="4" applyNumberFormat="1" applyFont="1" applyFill="1" applyBorder="1" applyAlignment="1"/>
    <xf numFmtId="185" fontId="16" fillId="0" borderId="0" xfId="867" applyNumberFormat="1" applyFont="1" applyFill="1" applyBorder="1" applyAlignment="1"/>
    <xf numFmtId="185" fontId="7" fillId="0" borderId="0" xfId="867" applyNumberFormat="1" applyFont="1" applyFill="1" applyBorder="1" applyAlignment="1"/>
    <xf numFmtId="0" fontId="8" fillId="0" borderId="36" xfId="4" applyNumberFormat="1" applyFont="1" applyFill="1" applyBorder="1" applyAlignment="1"/>
    <xf numFmtId="0" fontId="9" fillId="0" borderId="4" xfId="4" applyFont="1" applyFill="1" applyBorder="1" applyAlignment="1">
      <alignment horizontal="left" indent="1"/>
    </xf>
    <xf numFmtId="185" fontId="16" fillId="0" borderId="4" xfId="867" applyNumberFormat="1" applyFont="1" applyFill="1" applyBorder="1" applyAlignment="1"/>
    <xf numFmtId="185" fontId="269" fillId="0" borderId="4" xfId="867" applyNumberFormat="1" applyFont="1" applyFill="1" applyBorder="1" applyAlignment="1"/>
    <xf numFmtId="167" fontId="9" fillId="0" borderId="4" xfId="2621" applyNumberFormat="1" applyFont="1" applyFill="1" applyBorder="1" applyAlignment="1"/>
    <xf numFmtId="0" fontId="8" fillId="0" borderId="0" xfId="4" applyNumberFormat="1" applyFont="1" applyFill="1" applyBorder="1" applyAlignment="1"/>
    <xf numFmtId="0" fontId="7" fillId="0" borderId="0" xfId="4" applyNumberFormat="1" applyFont="1" applyFill="1" applyBorder="1" applyAlignment="1"/>
    <xf numFmtId="9" fontId="7" fillId="0" borderId="0" xfId="4" applyNumberFormat="1" applyFont="1" applyFill="1" applyBorder="1" applyAlignment="1"/>
    <xf numFmtId="9" fontId="9" fillId="0" borderId="0" xfId="4" applyNumberFormat="1" applyFont="1" applyFill="1" applyBorder="1" applyAlignment="1">
      <alignment horizontal="left" indent="1"/>
    </xf>
    <xf numFmtId="9" fontId="9" fillId="0" borderId="0" xfId="2621" applyNumberFormat="1" applyFont="1" applyFill="1" applyBorder="1"/>
    <xf numFmtId="9" fontId="16" fillId="0" borderId="0" xfId="867" applyNumberFormat="1" applyFont="1" applyFill="1" applyBorder="1" applyAlignment="1"/>
    <xf numFmtId="9" fontId="7" fillId="44" borderId="0" xfId="4" applyNumberFormat="1" applyFont="1" applyFill="1" applyBorder="1"/>
    <xf numFmtId="9" fontId="9" fillId="0" borderId="0" xfId="2621" applyNumberFormat="1" applyFont="1" applyFill="1" applyBorder="1" applyAlignment="1"/>
    <xf numFmtId="9" fontId="7" fillId="0" borderId="0" xfId="867" applyNumberFormat="1" applyFont="1" applyFill="1" applyBorder="1"/>
    <xf numFmtId="1" fontId="7" fillId="56" borderId="0" xfId="4" applyNumberFormat="1" applyFont="1" applyFill="1"/>
    <xf numFmtId="1" fontId="7" fillId="0" borderId="0" xfId="4" applyNumberFormat="1" applyFont="1" applyFill="1" applyBorder="1" applyAlignment="1"/>
    <xf numFmtId="1" fontId="9" fillId="0" borderId="0" xfId="4" applyNumberFormat="1" applyFont="1" applyFill="1" applyBorder="1" applyAlignment="1">
      <alignment horizontal="left" indent="1"/>
    </xf>
    <xf numFmtId="1" fontId="9" fillId="0" borderId="0" xfId="2621" applyNumberFormat="1" applyFont="1" applyFill="1" applyBorder="1"/>
    <xf numFmtId="1" fontId="16" fillId="0" borderId="0" xfId="867" applyNumberFormat="1" applyFont="1" applyFill="1" applyBorder="1" applyAlignment="1"/>
    <xf numFmtId="1" fontId="7" fillId="0" borderId="0" xfId="867" applyNumberFormat="1" applyFont="1" applyFill="1" applyBorder="1"/>
    <xf numFmtId="1" fontId="7" fillId="0" borderId="0" xfId="4" applyNumberFormat="1" applyFont="1" applyFill="1" applyBorder="1"/>
    <xf numFmtId="2" fontId="16" fillId="0" borderId="0" xfId="867" applyNumberFormat="1" applyFont="1" applyFill="1" applyBorder="1" applyAlignment="1"/>
    <xf numFmtId="185" fontId="12" fillId="0" borderId="0" xfId="867" applyNumberFormat="1" applyFont="1" applyFill="1" applyBorder="1" applyAlignment="1"/>
    <xf numFmtId="0" fontId="17" fillId="0" borderId="0" xfId="4" applyNumberFormat="1" applyFont="1" applyBorder="1" applyAlignment="1"/>
    <xf numFmtId="0" fontId="17" fillId="0" borderId="0" xfId="4" applyFont="1" applyBorder="1"/>
    <xf numFmtId="175" fontId="17" fillId="0" borderId="0" xfId="4" applyNumberFormat="1" applyFont="1" applyBorder="1" applyAlignment="1">
      <alignment horizontal="centerContinuous"/>
    </xf>
    <xf numFmtId="0" fontId="2" fillId="44" borderId="0" xfId="4" applyFont="1" applyFill="1" applyBorder="1"/>
    <xf numFmtId="0" fontId="8" fillId="32" borderId="0" xfId="4" applyNumberFormat="1" applyFont="1" applyFill="1" applyBorder="1" applyAlignment="1"/>
    <xf numFmtId="0" fontId="8" fillId="32" borderId="0" xfId="4" applyFont="1" applyFill="1" applyBorder="1" applyAlignment="1">
      <alignment horizontal="left"/>
    </xf>
    <xf numFmtId="1" fontId="10" fillId="32" borderId="0" xfId="2555" applyNumberFormat="1" applyFont="1" applyFill="1" applyBorder="1" applyAlignment="1">
      <alignment horizontal="right"/>
    </xf>
    <xf numFmtId="180" fontId="12" fillId="32" borderId="0" xfId="4" applyNumberFormat="1" applyFont="1" applyFill="1" applyBorder="1" applyAlignment="1">
      <alignment horizontal="right"/>
    </xf>
    <xf numFmtId="180" fontId="14" fillId="32" borderId="0" xfId="4" applyNumberFormat="1" applyFont="1" applyFill="1" applyBorder="1" applyAlignment="1">
      <alignment horizontal="right"/>
    </xf>
    <xf numFmtId="180" fontId="12" fillId="0" borderId="0" xfId="4" applyNumberFormat="1" applyFont="1" applyBorder="1" applyAlignment="1">
      <alignment horizontal="right"/>
    </xf>
    <xf numFmtId="180" fontId="12" fillId="0" borderId="0" xfId="4" applyNumberFormat="1" applyFont="1" applyFill="1" applyBorder="1" applyAlignment="1">
      <alignment horizontal="right"/>
    </xf>
    <xf numFmtId="6" fontId="0" fillId="0" borderId="0" xfId="4" applyNumberFormat="1" applyFont="1" applyBorder="1" applyAlignment="1">
      <alignment horizontal="center"/>
    </xf>
    <xf numFmtId="0" fontId="0" fillId="44" borderId="0" xfId="4" applyFont="1" applyFill="1" applyBorder="1"/>
    <xf numFmtId="180" fontId="7" fillId="32" borderId="0" xfId="4" applyNumberFormat="1" applyFont="1" applyFill="1" applyBorder="1"/>
    <xf numFmtId="180" fontId="7" fillId="0" borderId="0" xfId="4" applyNumberFormat="1" applyFont="1" applyBorder="1"/>
    <xf numFmtId="180" fontId="7" fillId="32" borderId="0" xfId="4" applyNumberFormat="1" applyFont="1" applyFill="1" applyBorder="1" applyAlignment="1">
      <alignment horizontal="right"/>
    </xf>
    <xf numFmtId="180" fontId="8" fillId="0" borderId="0" xfId="4" applyNumberFormat="1" applyFont="1" applyBorder="1" applyAlignment="1">
      <alignment horizontal="right"/>
    </xf>
    <xf numFmtId="180" fontId="8" fillId="0" borderId="0" xfId="4" applyNumberFormat="1" applyFont="1" applyBorder="1"/>
    <xf numFmtId="6" fontId="38" fillId="0" borderId="0" xfId="4" applyNumberFormat="1" applyFont="1" applyBorder="1" applyAlignment="1">
      <alignment horizontal="center"/>
    </xf>
    <xf numFmtId="6" fontId="2" fillId="0" borderId="0" xfId="4" applyNumberFormat="1" applyFont="1" applyBorder="1" applyAlignment="1">
      <alignment horizontal="center"/>
    </xf>
    <xf numFmtId="180" fontId="8" fillId="32" borderId="0" xfId="4" applyNumberFormat="1" applyFont="1" applyFill="1" applyBorder="1" applyAlignment="1">
      <alignment horizontal="right"/>
    </xf>
    <xf numFmtId="6" fontId="17" fillId="0" borderId="0" xfId="4" applyNumberFormat="1" applyFont="1" applyBorder="1" applyAlignment="1">
      <alignment horizontal="center"/>
    </xf>
    <xf numFmtId="0" fontId="17" fillId="44" borderId="0" xfId="4" applyFont="1" applyFill="1" applyBorder="1"/>
    <xf numFmtId="164" fontId="8" fillId="32" borderId="0" xfId="4" applyNumberFormat="1" applyFont="1" applyFill="1" applyBorder="1"/>
    <xf numFmtId="0" fontId="8" fillId="0" borderId="0" xfId="4" applyNumberFormat="1" applyFont="1" applyBorder="1" applyAlignment="1"/>
    <xf numFmtId="175" fontId="8" fillId="32" borderId="0" xfId="4" applyNumberFormat="1" applyFont="1" applyFill="1" applyBorder="1" applyAlignment="1">
      <alignment horizontal="center"/>
    </xf>
    <xf numFmtId="175" fontId="8" fillId="0" borderId="0" xfId="4" applyNumberFormat="1" applyFont="1" applyFill="1" applyBorder="1" applyAlignment="1">
      <alignment horizontal="center"/>
    </xf>
    <xf numFmtId="175" fontId="8" fillId="32" borderId="0" xfId="4" applyNumberFormat="1" applyFont="1" applyFill="1" applyBorder="1" applyAlignment="1">
      <alignment horizontal="centerContinuous"/>
    </xf>
    <xf numFmtId="175" fontId="8" fillId="0" borderId="0" xfId="4" applyNumberFormat="1" applyFont="1" applyBorder="1" applyAlignment="1">
      <alignment horizontal="center"/>
    </xf>
    <xf numFmtId="0" fontId="9" fillId="0" borderId="0" xfId="4" applyNumberFormat="1" applyFont="1" applyFill="1" applyBorder="1" applyAlignment="1"/>
    <xf numFmtId="9" fontId="0" fillId="0" borderId="0" xfId="4" applyNumberFormat="1" applyFont="1" applyBorder="1" applyAlignment="1">
      <alignment horizontal="center"/>
    </xf>
    <xf numFmtId="0" fontId="0" fillId="0" borderId="0" xfId="4" applyFont="1" applyFill="1" applyBorder="1"/>
    <xf numFmtId="0" fontId="263" fillId="0" borderId="0" xfId="4" applyNumberFormat="1" applyFont="1" applyFill="1" applyBorder="1" applyAlignment="1"/>
    <xf numFmtId="167" fontId="263" fillId="32" borderId="0" xfId="2621" applyNumberFormat="1" applyFont="1" applyFill="1" applyBorder="1" applyAlignment="1">
      <alignment horizontal="right"/>
    </xf>
    <xf numFmtId="167" fontId="263" fillId="0" borderId="0" xfId="2621" applyNumberFormat="1" applyFont="1" applyBorder="1" applyAlignment="1">
      <alignment horizontal="right"/>
    </xf>
    <xf numFmtId="9" fontId="17" fillId="0" borderId="0" xfId="4" applyNumberFormat="1" applyFont="1" applyBorder="1" applyAlignment="1">
      <alignment horizontal="center"/>
    </xf>
    <xf numFmtId="167" fontId="263" fillId="32" borderId="0" xfId="2621" applyNumberFormat="1" applyFont="1" applyFill="1" applyBorder="1"/>
    <xf numFmtId="0" fontId="17" fillId="0" borderId="0" xfId="4" applyFont="1" applyFill="1" applyBorder="1"/>
    <xf numFmtId="0" fontId="263" fillId="0" borderId="0" xfId="4" applyNumberFormat="1" applyFont="1" applyBorder="1" applyAlignment="1"/>
    <xf numFmtId="0" fontId="0" fillId="0" borderId="0" xfId="4" applyNumberFormat="1" applyFont="1" applyBorder="1" applyAlignment="1"/>
    <xf numFmtId="0" fontId="7" fillId="0" borderId="0" xfId="4" applyNumberFormat="1" applyFont="1" applyFill="1" applyBorder="1" applyAlignment="1">
      <alignment horizontal="left" indent="1"/>
    </xf>
    <xf numFmtId="0" fontId="7" fillId="0" borderId="0" xfId="4" applyNumberFormat="1" applyFont="1" applyBorder="1" applyAlignment="1">
      <alignment horizontal="left" indent="1"/>
    </xf>
    <xf numFmtId="175" fontId="8" fillId="0" borderId="0" xfId="4" applyNumberFormat="1" applyFont="1" applyBorder="1" applyAlignment="1"/>
    <xf numFmtId="0" fontId="7" fillId="0" borderId="0" xfId="4" applyNumberFormat="1" applyFont="1" applyBorder="1" applyAlignment="1"/>
    <xf numFmtId="167" fontId="263" fillId="0" borderId="0" xfId="2621" applyNumberFormat="1" applyFont="1" applyFill="1" applyBorder="1"/>
    <xf numFmtId="175" fontId="8" fillId="0" borderId="0" xfId="4" applyNumberFormat="1" applyFont="1" applyFill="1" applyBorder="1" applyAlignment="1">
      <alignment horizontal="centerContinuous"/>
    </xf>
    <xf numFmtId="180" fontId="12" fillId="0" borderId="0" xfId="4" applyNumberFormat="1" applyFont="1" applyBorder="1"/>
    <xf numFmtId="183" fontId="8" fillId="32" borderId="0" xfId="4" applyNumberFormat="1" applyFont="1" applyFill="1" applyBorder="1"/>
    <xf numFmtId="0" fontId="9" fillId="32" borderId="0" xfId="2621" applyNumberFormat="1" applyFont="1" applyFill="1" applyBorder="1" applyAlignment="1">
      <alignment horizontal="right"/>
    </xf>
    <xf numFmtId="167" fontId="12" fillId="0" borderId="0" xfId="4" applyNumberFormat="1" applyFont="1" applyBorder="1" applyAlignment="1">
      <alignment horizontal="right"/>
    </xf>
    <xf numFmtId="167" fontId="12" fillId="0" borderId="0" xfId="2621" applyNumberFormat="1" applyFont="1" applyFill="1" applyBorder="1" applyAlignment="1">
      <alignment horizontal="right"/>
    </xf>
    <xf numFmtId="2" fontId="12" fillId="32" borderId="0" xfId="4" applyNumberFormat="1" applyFont="1" applyFill="1" applyBorder="1" applyAlignment="1">
      <alignment horizontal="right"/>
    </xf>
    <xf numFmtId="2" fontId="14" fillId="32" borderId="0" xfId="4" applyNumberFormat="1" applyFont="1" applyFill="1" applyBorder="1" applyAlignment="1">
      <alignment horizontal="right"/>
    </xf>
    <xf numFmtId="2" fontId="12" fillId="0" borderId="0" xfId="4" applyNumberFormat="1" applyFont="1" applyBorder="1" applyAlignment="1">
      <alignment horizontal="right"/>
    </xf>
    <xf numFmtId="2" fontId="12" fillId="0" borderId="0" xfId="2621" applyNumberFormat="1" applyFont="1" applyFill="1" applyBorder="1" applyAlignment="1">
      <alignment horizontal="right"/>
    </xf>
    <xf numFmtId="2" fontId="12" fillId="0" borderId="0" xfId="4" applyNumberFormat="1" applyFont="1" applyFill="1" applyBorder="1" applyAlignment="1">
      <alignment horizontal="right"/>
    </xf>
    <xf numFmtId="167" fontId="12" fillId="32" borderId="0" xfId="4" applyNumberFormat="1" applyFont="1" applyFill="1" applyBorder="1" applyAlignment="1">
      <alignment horizontal="right"/>
    </xf>
    <xf numFmtId="180" fontId="12" fillId="0" borderId="0" xfId="4" applyNumberFormat="1" applyFont="1" applyFill="1" applyBorder="1"/>
    <xf numFmtId="9" fontId="2" fillId="0" borderId="0" xfId="2621" applyBorder="1"/>
    <xf numFmtId="6" fontId="0" fillId="0" borderId="0" xfId="4" applyNumberFormat="1" applyFont="1" applyFill="1" applyBorder="1" applyAlignment="1">
      <alignment horizontal="center"/>
    </xf>
    <xf numFmtId="180" fontId="8" fillId="0" borderId="0" xfId="4" applyNumberFormat="1" applyFont="1" applyFill="1" applyBorder="1"/>
    <xf numFmtId="6" fontId="17" fillId="0" borderId="0" xfId="4" applyNumberFormat="1" applyFont="1" applyFill="1" applyBorder="1" applyAlignment="1">
      <alignment horizontal="center"/>
    </xf>
    <xf numFmtId="195" fontId="8" fillId="0" borderId="0" xfId="4" applyNumberFormat="1" applyFont="1" applyBorder="1"/>
    <xf numFmtId="7" fontId="7" fillId="0" borderId="0" xfId="4" applyNumberFormat="1" applyFont="1" applyFill="1" applyBorder="1" applyAlignment="1">
      <alignment horizontal="right"/>
    </xf>
    <xf numFmtId="7" fontId="7" fillId="0" borderId="0" xfId="4" applyNumberFormat="1" applyFont="1" applyBorder="1" applyAlignment="1">
      <alignment horizontal="right"/>
    </xf>
    <xf numFmtId="6" fontId="2" fillId="0" borderId="0" xfId="4" applyNumberFormat="1" applyFont="1" applyFill="1" applyBorder="1" applyAlignment="1">
      <alignment horizontal="center"/>
    </xf>
    <xf numFmtId="7" fontId="7" fillId="0" borderId="0" xfId="4" applyNumberFormat="1" applyFont="1" applyBorder="1"/>
    <xf numFmtId="7" fontId="8" fillId="0" borderId="0" xfId="4" applyNumberFormat="1" applyFont="1" applyFill="1" applyBorder="1" applyAlignment="1">
      <alignment horizontal="right"/>
    </xf>
    <xf numFmtId="7" fontId="8" fillId="0" borderId="0" xfId="4" applyNumberFormat="1" applyFont="1" applyBorder="1" applyAlignment="1">
      <alignment horizontal="right"/>
    </xf>
    <xf numFmtId="7" fontId="8" fillId="0" borderId="0" xfId="4" applyNumberFormat="1" applyFont="1" applyFill="1" applyBorder="1"/>
    <xf numFmtId="7" fontId="8" fillId="0" borderId="0" xfId="4" applyNumberFormat="1" applyFont="1" applyBorder="1"/>
    <xf numFmtId="180" fontId="12" fillId="38" borderId="0" xfId="4" applyNumberFormat="1" applyFont="1" applyFill="1" applyBorder="1" applyAlignment="1">
      <alignment horizontal="right"/>
    </xf>
    <xf numFmtId="180" fontId="7" fillId="0" borderId="0" xfId="4" applyNumberFormat="1" applyFont="1" applyBorder="1" applyAlignment="1">
      <alignment horizontal="right"/>
    </xf>
    <xf numFmtId="180" fontId="7" fillId="38" borderId="0" xfId="4" applyNumberFormat="1" applyFont="1" applyFill="1" applyBorder="1" applyAlignment="1">
      <alignment horizontal="right"/>
    </xf>
    <xf numFmtId="180" fontId="8" fillId="38" borderId="0" xfId="4" applyNumberFormat="1" applyFont="1" applyFill="1" applyBorder="1" applyAlignment="1">
      <alignment horizontal="right"/>
    </xf>
    <xf numFmtId="195" fontId="8" fillId="32" borderId="0" xfId="4" applyNumberFormat="1" applyFont="1" applyFill="1" applyBorder="1"/>
    <xf numFmtId="180" fontId="9" fillId="0" borderId="0" xfId="4" applyNumberFormat="1" applyFont="1" applyBorder="1" applyAlignment="1">
      <alignment horizontal="right"/>
    </xf>
    <xf numFmtId="195" fontId="9" fillId="0" borderId="0" xfId="4" applyNumberFormat="1" applyFont="1" applyBorder="1"/>
    <xf numFmtId="0" fontId="17" fillId="0" borderId="0" xfId="2555" applyNumberFormat="1" applyFont="1" applyFill="1" applyBorder="1" applyAlignment="1"/>
    <xf numFmtId="0" fontId="31" fillId="0" borderId="0" xfId="2554" applyNumberFormat="1" applyFont="1" applyFill="1" applyBorder="1" applyAlignment="1"/>
    <xf numFmtId="10" fontId="17" fillId="0" borderId="0" xfId="4" applyNumberFormat="1" applyFont="1" applyBorder="1" applyAlignment="1">
      <alignment horizontal="left"/>
    </xf>
    <xf numFmtId="175" fontId="2" fillId="0" borderId="0" xfId="4" applyNumberFormat="1" applyFont="1"/>
    <xf numFmtId="0" fontId="2" fillId="0" borderId="0" xfId="4" applyNumberFormat="1" applyFont="1" applyAlignment="1"/>
    <xf numFmtId="0" fontId="2" fillId="32" borderId="0" xfId="4" applyNumberFormat="1" applyFont="1" applyFill="1" applyBorder="1" applyAlignment="1"/>
    <xf numFmtId="0" fontId="2" fillId="0" borderId="0" xfId="4" applyNumberFormat="1" applyFont="1" applyFill="1" applyBorder="1" applyAlignment="1">
      <alignment wrapText="1"/>
    </xf>
    <xf numFmtId="0" fontId="2" fillId="44" borderId="0" xfId="4" quotePrefix="1" applyFont="1" applyFill="1" applyBorder="1"/>
    <xf numFmtId="181" fontId="7" fillId="0" borderId="37" xfId="4" applyNumberFormat="1" applyFont="1" applyFill="1" applyBorder="1"/>
    <xf numFmtId="0" fontId="7" fillId="0" borderId="6" xfId="4" applyFont="1" applyBorder="1"/>
    <xf numFmtId="49" fontId="0" fillId="0" borderId="0" xfId="0" applyNumberFormat="1"/>
    <xf numFmtId="9" fontId="7" fillId="0" borderId="5" xfId="2621" applyNumberFormat="1" applyFont="1" applyFill="1" applyBorder="1" applyAlignment="1"/>
    <xf numFmtId="9" fontId="7" fillId="0" borderId="5" xfId="2621" applyNumberFormat="1" applyFont="1" applyFill="1" applyBorder="1"/>
    <xf numFmtId="3" fontId="7" fillId="0" borderId="5" xfId="2621" applyNumberFormat="1" applyFont="1" applyFill="1" applyBorder="1" applyAlignment="1"/>
    <xf numFmtId="9" fontId="12" fillId="0" borderId="5" xfId="2621" applyNumberFormat="1" applyFont="1" applyFill="1" applyBorder="1" applyAlignment="1"/>
    <xf numFmtId="1" fontId="12" fillId="0" borderId="5" xfId="2621" applyNumberFormat="1" applyFont="1" applyFill="1" applyBorder="1" applyAlignment="1"/>
    <xf numFmtId="185" fontId="7" fillId="0" borderId="5" xfId="867" applyNumberFormat="1" applyFont="1" applyFill="1" applyBorder="1" applyAlignment="1"/>
    <xf numFmtId="267" fontId="7" fillId="0" borderId="4" xfId="4" applyNumberFormat="1" applyFont="1" applyBorder="1"/>
    <xf numFmtId="267" fontId="7" fillId="0" borderId="37" xfId="4" applyNumberFormat="1" applyFont="1" applyBorder="1"/>
    <xf numFmtId="185" fontId="12" fillId="54" borderId="0" xfId="867" applyNumberFormat="1" applyFont="1" applyFill="1" applyBorder="1"/>
    <xf numFmtId="195" fontId="7" fillId="0" borderId="10" xfId="4" applyNumberFormat="1" applyFont="1" applyFill="1" applyBorder="1"/>
    <xf numFmtId="195" fontId="7" fillId="0" borderId="35" xfId="4" applyNumberFormat="1" applyFont="1" applyFill="1" applyBorder="1"/>
    <xf numFmtId="9" fontId="12" fillId="0" borderId="51" xfId="2621" applyNumberFormat="1" applyFont="1" applyFill="1" applyBorder="1" applyAlignment="1"/>
    <xf numFmtId="9" fontId="12" fillId="32" borderId="51" xfId="2621" applyNumberFormat="1" applyFont="1" applyFill="1" applyBorder="1" applyAlignment="1"/>
    <xf numFmtId="9" fontId="12" fillId="32" borderId="5" xfId="2621" applyNumberFormat="1" applyFont="1" applyFill="1" applyBorder="1" applyAlignment="1"/>
    <xf numFmtId="9" fontId="7" fillId="0" borderId="51" xfId="2621" applyNumberFormat="1" applyFont="1" applyFill="1" applyBorder="1" applyAlignment="1"/>
    <xf numFmtId="3" fontId="7" fillId="0" borderId="51" xfId="2621" applyNumberFormat="1" applyFont="1" applyFill="1" applyBorder="1"/>
    <xf numFmtId="3" fontId="7" fillId="0" borderId="51" xfId="2621" applyNumberFormat="1" applyFont="1" applyFill="1" applyBorder="1" applyAlignment="1"/>
    <xf numFmtId="1" fontId="12" fillId="0" borderId="51" xfId="2621" applyNumberFormat="1" applyFont="1" applyFill="1" applyBorder="1" applyAlignment="1"/>
    <xf numFmtId="185" fontId="16" fillId="0" borderId="51" xfId="867" applyNumberFormat="1" applyFont="1" applyFill="1" applyBorder="1" applyAlignment="1"/>
    <xf numFmtId="185" fontId="16" fillId="0" borderId="5" xfId="867" applyNumberFormat="1" applyFont="1" applyFill="1" applyBorder="1" applyAlignment="1"/>
    <xf numFmtId="185" fontId="7" fillId="0" borderId="51" xfId="867" applyNumberFormat="1" applyFont="1" applyFill="1" applyBorder="1" applyAlignment="1"/>
    <xf numFmtId="185" fontId="269" fillId="0" borderId="36" xfId="867" applyNumberFormat="1" applyFont="1" applyFill="1" applyBorder="1" applyAlignment="1"/>
    <xf numFmtId="185" fontId="269" fillId="0" borderId="37" xfId="867" applyNumberFormat="1" applyFont="1" applyFill="1" applyBorder="1" applyAlignment="1"/>
    <xf numFmtId="185" fontId="270" fillId="0" borderId="0" xfId="867" applyNumberFormat="1" applyFont="1" applyFill="1" applyBorder="1"/>
    <xf numFmtId="185" fontId="270" fillId="0" borderId="5" xfId="867" applyNumberFormat="1" applyFont="1" applyFill="1" applyBorder="1"/>
    <xf numFmtId="185" fontId="270" fillId="0" borderId="51" xfId="867" applyNumberFormat="1" applyFont="1" applyFill="1" applyBorder="1"/>
    <xf numFmtId="0" fontId="8" fillId="0" borderId="0" xfId="4" applyFont="1" applyBorder="1" applyAlignment="1">
      <alignment horizontal="left" indent="1"/>
    </xf>
    <xf numFmtId="167" fontId="15" fillId="0" borderId="0" xfId="2621" applyNumberFormat="1" applyFont="1" applyFill="1"/>
    <xf numFmtId="167" fontId="15" fillId="0" borderId="5" xfId="2621" applyNumberFormat="1" applyFont="1" applyFill="1" applyBorder="1"/>
    <xf numFmtId="195" fontId="15" fillId="0" borderId="0" xfId="4" applyNumberFormat="1" applyFont="1" applyFill="1" applyBorder="1"/>
    <xf numFmtId="195" fontId="15" fillId="0" borderId="51" xfId="4" applyNumberFormat="1" applyFont="1" applyFill="1" applyBorder="1"/>
    <xf numFmtId="195" fontId="15" fillId="0" borderId="5" xfId="4" applyNumberFormat="1" applyFont="1" applyFill="1" applyBorder="1"/>
    <xf numFmtId="195" fontId="15" fillId="0" borderId="51" xfId="2621" applyNumberFormat="1" applyFont="1" applyFill="1" applyBorder="1"/>
    <xf numFmtId="195" fontId="8" fillId="0" borderId="5" xfId="2621" applyNumberFormat="1" applyFont="1" applyFill="1" applyBorder="1"/>
    <xf numFmtId="195" fontId="270" fillId="0" borderId="0" xfId="4" applyNumberFormat="1" applyFont="1" applyFill="1" applyBorder="1"/>
    <xf numFmtId="195" fontId="8" fillId="0" borderId="0" xfId="2621" applyNumberFormat="1" applyFont="1" applyFill="1" applyBorder="1"/>
    <xf numFmtId="195" fontId="8" fillId="0" borderId="51" xfId="2621" applyNumberFormat="1" applyFont="1" applyFill="1" applyBorder="1"/>
    <xf numFmtId="185" fontId="15" fillId="0" borderId="0" xfId="867" applyNumberFormat="1" applyFont="1" applyBorder="1"/>
    <xf numFmtId="269" fontId="7" fillId="0" borderId="5" xfId="4" applyNumberFormat="1" applyFont="1" applyFill="1" applyBorder="1"/>
    <xf numFmtId="260" fontId="7" fillId="0" borderId="5" xfId="4" applyNumberFormat="1" applyFont="1" applyFill="1" applyBorder="1" applyAlignment="1"/>
    <xf numFmtId="185" fontId="245" fillId="0" borderId="5" xfId="867" applyNumberFormat="1" applyFont="1" applyFill="1" applyBorder="1" applyAlignment="1"/>
    <xf numFmtId="168" fontId="60" fillId="0" borderId="5" xfId="4" applyNumberFormat="1" applyFont="1" applyFill="1" applyBorder="1"/>
    <xf numFmtId="167" fontId="12" fillId="0" borderId="5" xfId="2621" applyNumberFormat="1" applyFont="1" applyFill="1" applyBorder="1" applyAlignment="1"/>
    <xf numFmtId="195" fontId="7" fillId="60" borderId="51" xfId="4" applyNumberFormat="1" applyFont="1" applyFill="1" applyBorder="1"/>
    <xf numFmtId="9" fontId="271" fillId="0" borderId="0" xfId="2621" applyNumberFormat="1" applyFont="1" applyFill="1" applyBorder="1"/>
    <xf numFmtId="9" fontId="271" fillId="0" borderId="51" xfId="2621" applyNumberFormat="1" applyFont="1" applyFill="1" applyBorder="1"/>
    <xf numFmtId="9" fontId="271" fillId="0" borderId="5" xfId="2621" applyNumberFormat="1" applyFont="1" applyFill="1" applyBorder="1"/>
    <xf numFmtId="164" fontId="7" fillId="0" borderId="10" xfId="4" applyNumberFormat="1" applyFont="1" applyFill="1" applyBorder="1" applyAlignment="1"/>
    <xf numFmtId="185" fontId="16" fillId="0" borderId="36" xfId="867" applyNumberFormat="1" applyFont="1" applyFill="1" applyBorder="1" applyAlignment="1"/>
    <xf numFmtId="260" fontId="2" fillId="0" borderId="4" xfId="4" applyNumberFormat="1" applyFont="1" applyBorder="1"/>
    <xf numFmtId="43" fontId="7" fillId="0" borderId="0" xfId="4" applyNumberFormat="1" applyFont="1"/>
    <xf numFmtId="185" fontId="8" fillId="61" borderId="0" xfId="867" applyNumberFormat="1" applyFont="1" applyFill="1" applyBorder="1"/>
    <xf numFmtId="195" fontId="246" fillId="61" borderId="0" xfId="4" applyNumberFormat="1" applyFont="1" applyFill="1" applyBorder="1"/>
    <xf numFmtId="0" fontId="7" fillId="61" borderId="0" xfId="4" applyFont="1" applyFill="1"/>
    <xf numFmtId="0" fontId="2" fillId="61" borderId="0" xfId="4" applyFont="1" applyFill="1"/>
    <xf numFmtId="0" fontId="2" fillId="0" borderId="0" xfId="3957"/>
    <xf numFmtId="185" fontId="7" fillId="0" borderId="40" xfId="867" applyNumberFormat="1" applyFont="1" applyFill="1" applyBorder="1"/>
    <xf numFmtId="185" fontId="246" fillId="0" borderId="40" xfId="867" applyNumberFormat="1" applyFont="1" applyFill="1" applyBorder="1"/>
    <xf numFmtId="185" fontId="8" fillId="0" borderId="40" xfId="867" applyNumberFormat="1" applyFont="1" applyFill="1" applyBorder="1"/>
    <xf numFmtId="167" fontId="7" fillId="0" borderId="40" xfId="2621" applyNumberFormat="1" applyFont="1" applyFill="1" applyBorder="1"/>
    <xf numFmtId="44" fontId="8" fillId="0" borderId="40" xfId="1368" applyFont="1" applyFill="1" applyBorder="1"/>
    <xf numFmtId="0" fontId="7" fillId="0" borderId="45" xfId="4" applyFont="1" applyFill="1" applyBorder="1"/>
    <xf numFmtId="0" fontId="7" fillId="44" borderId="40" xfId="4" applyFont="1" applyFill="1" applyBorder="1"/>
    <xf numFmtId="1" fontId="7" fillId="44" borderId="40" xfId="4" applyNumberFormat="1" applyFont="1" applyFill="1" applyBorder="1"/>
    <xf numFmtId="0" fontId="7" fillId="44" borderId="44" xfId="4" applyFont="1" applyFill="1" applyBorder="1"/>
    <xf numFmtId="167" fontId="13" fillId="62" borderId="0" xfId="2621" applyNumberFormat="1" applyFont="1" applyFill="1" applyBorder="1" applyAlignment="1">
      <alignment horizontal="right"/>
    </xf>
    <xf numFmtId="7" fontId="7" fillId="0" borderId="5" xfId="4" applyNumberFormat="1" applyFont="1" applyFill="1" applyBorder="1" applyAlignment="1"/>
    <xf numFmtId="44" fontId="8" fillId="0" borderId="37" xfId="1368" applyFont="1" applyFill="1" applyBorder="1"/>
    <xf numFmtId="175" fontId="12" fillId="0" borderId="35" xfId="4" applyNumberFormat="1" applyFont="1" applyFill="1" applyBorder="1"/>
    <xf numFmtId="43" fontId="8" fillId="0" borderId="39" xfId="4" applyNumberFormat="1" applyFont="1" applyFill="1" applyBorder="1"/>
    <xf numFmtId="0" fontId="2" fillId="0" borderId="51" xfId="4" applyFont="1" applyBorder="1"/>
    <xf numFmtId="0" fontId="21" fillId="0" borderId="0" xfId="4" applyFont="1" applyBorder="1"/>
    <xf numFmtId="0" fontId="260" fillId="0" borderId="51" xfId="4" applyFont="1" applyBorder="1"/>
    <xf numFmtId="0" fontId="17" fillId="0" borderId="51" xfId="4" applyFont="1" applyBorder="1"/>
    <xf numFmtId="0" fontId="31" fillId="0" borderId="51" xfId="4" applyFont="1" applyBorder="1"/>
    <xf numFmtId="167" fontId="31" fillId="0" borderId="51" xfId="2621" applyNumberFormat="1" applyFont="1" applyBorder="1"/>
    <xf numFmtId="0" fontId="17" fillId="0" borderId="0" xfId="0" applyFont="1" applyBorder="1"/>
    <xf numFmtId="0" fontId="0" fillId="0" borderId="51" xfId="4" applyFont="1" applyFill="1" applyBorder="1"/>
    <xf numFmtId="185" fontId="2" fillId="0" borderId="51" xfId="867" applyNumberFormat="1" applyFont="1" applyBorder="1"/>
    <xf numFmtId="185" fontId="17" fillId="0" borderId="51" xfId="867" applyNumberFormat="1" applyFont="1" applyBorder="1"/>
    <xf numFmtId="9" fontId="31" fillId="0" borderId="51" xfId="2621" applyFont="1" applyBorder="1"/>
    <xf numFmtId="9" fontId="7" fillId="0" borderId="51" xfId="2621" applyFont="1" applyBorder="1"/>
    <xf numFmtId="9" fontId="38" fillId="0" borderId="0" xfId="2621" applyFont="1" applyBorder="1"/>
    <xf numFmtId="9" fontId="2" fillId="0" borderId="0" xfId="2621" applyFont="1" applyBorder="1"/>
    <xf numFmtId="4" fontId="7" fillId="0" borderId="51" xfId="4" applyNumberFormat="1" applyFont="1" applyFill="1" applyBorder="1"/>
    <xf numFmtId="9" fontId="12" fillId="0" borderId="51" xfId="2621" applyFont="1" applyFill="1" applyBorder="1" applyAlignment="1"/>
    <xf numFmtId="0" fontId="2" fillId="63" borderId="0" xfId="3959" applyFont="1" applyFill="1" applyAlignment="1">
      <alignment vertical="top"/>
    </xf>
    <xf numFmtId="0" fontId="2" fillId="63" borderId="0" xfId="3957" applyFill="1" applyAlignment="1">
      <alignment vertical="top"/>
    </xf>
    <xf numFmtId="0" fontId="2" fillId="63" borderId="0" xfId="3957" applyFill="1"/>
    <xf numFmtId="0" fontId="7" fillId="63" borderId="0" xfId="3959" applyFont="1" applyFill="1" applyAlignment="1">
      <alignment horizontal="left" vertical="top"/>
    </xf>
    <xf numFmtId="0" fontId="2" fillId="63" borderId="0" xfId="3957" applyFont="1" applyFill="1" applyAlignment="1">
      <alignment vertical="top"/>
    </xf>
    <xf numFmtId="0" fontId="31" fillId="63" borderId="0" xfId="3959" applyFont="1" applyFill="1" applyAlignment="1">
      <alignment vertical="top"/>
    </xf>
    <xf numFmtId="0" fontId="0" fillId="63" borderId="0" xfId="0" applyFill="1" applyAlignment="1">
      <alignment vertical="top"/>
    </xf>
    <xf numFmtId="0" fontId="272" fillId="63" borderId="0" xfId="0" applyFont="1" applyFill="1" applyAlignment="1">
      <alignment vertical="top"/>
    </xf>
    <xf numFmtId="0" fontId="273" fillId="63" borderId="0" xfId="0" applyFont="1" applyFill="1" applyAlignment="1">
      <alignment vertical="top"/>
    </xf>
    <xf numFmtId="0" fontId="273" fillId="63" borderId="0" xfId="0" applyFont="1" applyFill="1" applyAlignment="1">
      <alignment vertical="top"/>
    </xf>
    <xf numFmtId="0" fontId="272" fillId="63" borderId="0" xfId="0" applyFont="1" applyFill="1" applyAlignment="1">
      <alignment vertical="top"/>
    </xf>
    <xf numFmtId="0" fontId="0" fillId="63" borderId="0" xfId="0" applyFill="1" applyAlignment="1">
      <alignment vertical="top"/>
    </xf>
    <xf numFmtId="0" fontId="0" fillId="63" borderId="62" xfId="0" applyFill="1" applyBorder="1" applyAlignment="1">
      <alignment vertical="top"/>
    </xf>
    <xf numFmtId="0" fontId="272" fillId="63" borderId="58" xfId="0" applyFont="1" applyFill="1" applyBorder="1" applyAlignment="1">
      <alignment vertical="top"/>
    </xf>
    <xf numFmtId="0" fontId="272" fillId="63" borderId="59" xfId="0" applyFont="1" applyFill="1" applyBorder="1" applyAlignment="1">
      <alignment vertical="top"/>
    </xf>
    <xf numFmtId="0" fontId="272" fillId="63" borderId="60" xfId="0" applyFont="1" applyFill="1" applyBorder="1" applyAlignment="1">
      <alignment vertical="top"/>
    </xf>
    <xf numFmtId="0" fontId="272" fillId="63" borderId="61" xfId="0" applyFont="1" applyFill="1" applyBorder="1" applyAlignment="1">
      <alignment vertical="top"/>
    </xf>
    <xf numFmtId="9" fontId="272" fillId="63" borderId="58" xfId="0" applyNumberFormat="1" applyFont="1" applyFill="1" applyBorder="1" applyAlignment="1">
      <alignment vertical="top"/>
    </xf>
    <xf numFmtId="3" fontId="272" fillId="63" borderId="58" xfId="0" applyNumberFormat="1" applyFont="1" applyFill="1" applyBorder="1" applyAlignment="1">
      <alignment vertical="top"/>
    </xf>
    <xf numFmtId="0" fontId="0" fillId="63" borderId="63" xfId="0" applyFill="1" applyBorder="1" applyAlignment="1">
      <alignment vertical="top"/>
    </xf>
    <xf numFmtId="2" fontId="2" fillId="0" borderId="0" xfId="3957" applyNumberFormat="1" applyAlignment="1">
      <alignment horizontal="left"/>
    </xf>
    <xf numFmtId="0" fontId="2" fillId="0" borderId="0" xfId="3957" applyNumberFormat="1" applyAlignment="1">
      <alignment horizontal="left"/>
    </xf>
    <xf numFmtId="1" fontId="2" fillId="0" borderId="0" xfId="3957" applyNumberFormat="1" applyAlignment="1">
      <alignment horizontal="left"/>
    </xf>
    <xf numFmtId="0" fontId="2" fillId="0" borderId="0" xfId="3957" applyFont="1"/>
    <xf numFmtId="284" fontId="2" fillId="0" borderId="0" xfId="3957" applyNumberFormat="1" applyAlignment="1">
      <alignment horizontal="left"/>
    </xf>
    <xf numFmtId="49" fontId="2" fillId="0" borderId="0" xfId="3957" applyNumberFormat="1"/>
  </cellXfs>
  <cellStyles count="3960">
    <cellStyle name="-" xfId="1"/>
    <cellStyle name=" 1" xfId="2"/>
    <cellStyle name=" 1 2" xfId="3"/>
    <cellStyle name=" 1 2 2" xfId="3881"/>
    <cellStyle name="_x000a_386grabber=M" xfId="4"/>
    <cellStyle name="_x000a_386grabber=M 2" xfId="5"/>
    <cellStyle name="_x000a_386grabber=M 2 2" xfId="6"/>
    <cellStyle name="_x000a_386grabber=M 2 2 2" xfId="7"/>
    <cellStyle name="_x000a_386grabber=M 2 3" xfId="8"/>
    <cellStyle name="_x000a_386grabber=M 2 3 2" xfId="9"/>
    <cellStyle name="_x000a_386grabber=M 3" xfId="10"/>
    <cellStyle name="_x000a_386grabber=M 3 2" xfId="11"/>
    <cellStyle name="_x000a_386grabber=M 3 2 2" xfId="12"/>
    <cellStyle name="_x000a_386grabber=M 3 2 3" xfId="13"/>
    <cellStyle name="_x000a_386grabber=M 4" xfId="14"/>
    <cellStyle name="_x000a_386grabber=M 4 2" xfId="15"/>
    <cellStyle name="_x000a_386grabber=M 5" xfId="16"/>
    <cellStyle name="$" xfId="17"/>
    <cellStyle name="$ &amp; ¢" xfId="18"/>
    <cellStyle name="$ 1 decimal" xfId="19"/>
    <cellStyle name="$_AA - BenefitsBonus " xfId="20"/>
    <cellStyle name="%" xfId="21"/>
    <cellStyle name="% 2" xfId="22"/>
    <cellStyle name="% 2 2" xfId="23"/>
    <cellStyle name="% 2 2 2" xfId="24"/>
    <cellStyle name="% 2 2 2 2" xfId="25"/>
    <cellStyle name="% 2 2 3" xfId="26"/>
    <cellStyle name="% 2 3" xfId="27"/>
    <cellStyle name="% 2 3 2" xfId="28"/>
    <cellStyle name="% 2 4" xfId="29"/>
    <cellStyle name="% 3" xfId="30"/>
    <cellStyle name="% 3 2" xfId="31"/>
    <cellStyle name="% 3 2 2" xfId="32"/>
    <cellStyle name="% 3 3" xfId="33"/>
    <cellStyle name="% 4" xfId="34"/>
    <cellStyle name="% 4 2" xfId="35"/>
    <cellStyle name="% 5" xfId="36"/>
    <cellStyle name="% 5 2" xfId="37"/>
    <cellStyle name="% 6" xfId="38"/>
    <cellStyle name="% 7" xfId="39"/>
    <cellStyle name="% 7 2" xfId="40"/>
    <cellStyle name="% 8" xfId="41"/>
    <cellStyle name="% 8 2" xfId="42"/>
    <cellStyle name="% Growth" xfId="43"/>
    <cellStyle name="% of Revenues" xfId="44"/>
    <cellStyle name="%.00" xfId="45"/>
    <cellStyle name="%.00 2" xfId="46"/>
    <cellStyle name="******************************************" xfId="47"/>
    <cellStyle name="****************************************** 2" xfId="48"/>
    <cellStyle name="****************************************** 3" xfId="49"/>
    <cellStyle name="****************************************** 4" xfId="50"/>
    <cellStyle name="****************************************** 4 2" xfId="3882"/>
    <cellStyle name="??" xfId="51"/>
    <cellStyle name="?? [0.00]_HELPDESK" xfId="52"/>
    <cellStyle name="?? [0]_??" xfId="53"/>
    <cellStyle name="?? 2" xfId="3593"/>
    <cellStyle name="??&amp;O?&amp;H?_x0008_??_x0007__x0001__x0001_" xfId="54"/>
    <cellStyle name="???? [0.00]_HELPDESK" xfId="55"/>
    <cellStyle name="?????_VERA" xfId="56"/>
    <cellStyle name="????_HELPDESK" xfId="57"/>
    <cellStyle name="???[0]_For vlookup" xfId="3594"/>
    <cellStyle name="???_For vlookup" xfId="3595"/>
    <cellStyle name="??_?.????" xfId="58"/>
    <cellStyle name="?@疾_2332JT3_2313COP2 " xfId="59"/>
    <cellStyle name="?Q\?1@" xfId="60"/>
    <cellStyle name="?Q\?1@ 2" xfId="61"/>
    <cellStyle name="?Q\?1@ 2 2" xfId="62"/>
    <cellStyle name="?Q\?1@ 3" xfId="63"/>
    <cellStyle name="_2003AIMInformation for Reports" xfId="64"/>
    <cellStyle name="_2345" xfId="3596"/>
    <cellStyle name="_2345_Exhibit NB QoQ" xfId="3597"/>
    <cellStyle name="_2345_Exhibt NB MOM" xfId="3598"/>
    <cellStyle name="_2345_MBNB shipments_20080909" xfId="3599"/>
    <cellStyle name="_2345_MBNB shipments_20090309.wip" xfId="3600"/>
    <cellStyle name="_2345_MBNB shipments_Dec06_wip" xfId="3601"/>
    <cellStyle name="_2345_MBNB shipments_July07.wip" xfId="3602"/>
    <cellStyle name="_2345_NB-Mthly(0)" xfId="3603"/>
    <cellStyle name="_2345_TWN Top 4 MB 5 NB" xfId="3604"/>
    <cellStyle name="_2379-13" xfId="3605"/>
    <cellStyle name="_2379-13_Exhibit NB QoQ" xfId="3606"/>
    <cellStyle name="_2379-13_Exhibt NB MOM" xfId="3607"/>
    <cellStyle name="_2379-13_MBNB shipments_20080909" xfId="3608"/>
    <cellStyle name="_2379-13_MBNB shipments_20090309.wip" xfId="3609"/>
    <cellStyle name="_2379-13_MBNB shipments_Dec06_wip" xfId="3610"/>
    <cellStyle name="_2379-13_MBNB shipments_July07.wip" xfId="3611"/>
    <cellStyle name="_2379-13_NB-Mthly(0)" xfId="3612"/>
    <cellStyle name="_2379-13_TWN Top 4 MB 5 NB" xfId="3613"/>
    <cellStyle name="_2391_050503" xfId="3614"/>
    <cellStyle name="_2391_050503_Exhibit NB QoQ" xfId="3615"/>
    <cellStyle name="_2391_050503_Exhibt NB MOM" xfId="3616"/>
    <cellStyle name="_2391_050503_MBNB shipments_20080909" xfId="3617"/>
    <cellStyle name="_2391_050503_MBNB shipments_20090309.wip" xfId="3618"/>
    <cellStyle name="_2391_050503_MBNB shipments_Dec06_wip" xfId="3619"/>
    <cellStyle name="_2391_050503_MBNB shipments_July07.wip" xfId="3620"/>
    <cellStyle name="_2391_050503_NB-Mthly(0)" xfId="3621"/>
    <cellStyle name="_2391_050503_TWN Top 4 MB 5 NB" xfId="3622"/>
    <cellStyle name="_AA - BenefitsBonus " xfId="65"/>
    <cellStyle name="_AC_InterContinental" xfId="66"/>
    <cellStyle name="_AIMP Europe Stats May 2004" xfId="67"/>
    <cellStyle name="_AIMP Europe Stats May 2004 2" xfId="68"/>
    <cellStyle name="_AIMP Europe Stats May 2004_Pivot Table Tips" xfId="69"/>
    <cellStyle name="_All Public cubes and views" xfId="70"/>
    <cellStyle name="_AMCCmodelware" xfId="71"/>
    <cellStyle name="_AMCCmodelware 2" xfId="72"/>
    <cellStyle name="_AMCCmodelware 2 2" xfId="73"/>
    <cellStyle name="_AMCCmodelware 2 2 2" xfId="74"/>
    <cellStyle name="_AMCCmodelware 2 2 2 2" xfId="75"/>
    <cellStyle name="_AMCCmodelware 2 2 3" xfId="76"/>
    <cellStyle name="_AMCCmodelware 2 3" xfId="77"/>
    <cellStyle name="_AMCCmodelware 2 3 2" xfId="78"/>
    <cellStyle name="_AMCCmodelware 2 4" xfId="79"/>
    <cellStyle name="_AMCCmodelware 3" xfId="80"/>
    <cellStyle name="_AMCCmodelware 3 2" xfId="81"/>
    <cellStyle name="_AMCCmodelware 3 2 2" xfId="82"/>
    <cellStyle name="_AMCCmodelware 3 3" xfId="83"/>
    <cellStyle name="_AMCCmodelware 4" xfId="84"/>
    <cellStyle name="_AMCCmodelware 4 2" xfId="85"/>
    <cellStyle name="_AMCCmodelware 5" xfId="86"/>
    <cellStyle name="_Analyst_Coverage_Map" xfId="87"/>
    <cellStyle name="_Annaul model" xfId="3623"/>
    <cellStyle name="_ARX Modelware (12)" xfId="88"/>
    <cellStyle name="_ARX QoQ Chart" xfId="89"/>
    <cellStyle name="_asustek0613" xfId="3624"/>
    <cellStyle name="_asustek0613_Exhibit NB QoQ" xfId="3625"/>
    <cellStyle name="_asustek0613_Exhibt NB MOM" xfId="3626"/>
    <cellStyle name="_asustek0613_MBNB shipments_20080909" xfId="3627"/>
    <cellStyle name="_asustek0613_MBNB shipments_20090309.wip" xfId="3628"/>
    <cellStyle name="_asustek0613_MBNB shipments_Dec06_wip" xfId="3629"/>
    <cellStyle name="_asustek0613_MBNB shipments_July07.wip" xfId="3630"/>
    <cellStyle name="_asustek0613_NB-Mthly(0)" xfId="3631"/>
    <cellStyle name="_asustek0613_TWN Top 4 MB 5 NB" xfId="3632"/>
    <cellStyle name="_Book1" xfId="90"/>
    <cellStyle name="_Book2" xfId="3633"/>
    <cellStyle name="_Book2_Exhibit NB QoQ" xfId="3634"/>
    <cellStyle name="_Book2_Exhibt NB MOM" xfId="3635"/>
    <cellStyle name="_Book2_MBNB shipments_20080909" xfId="3636"/>
    <cellStyle name="_Book2_MBNB shipments_20090309.wip" xfId="3637"/>
    <cellStyle name="_Book2_MBNB shipments_Dec06_wip" xfId="3638"/>
    <cellStyle name="_Book2_MBNB shipments_July07.wip" xfId="3639"/>
    <cellStyle name="_Book2_NB-Mthly(0)" xfId="3640"/>
    <cellStyle name="_Book2_TWN Top 4 MB 5 NB" xfId="3641"/>
    <cellStyle name="_Book7" xfId="3642"/>
    <cellStyle name="_Book7_Exhibit NB QoQ" xfId="3643"/>
    <cellStyle name="_Book7_Exhibt NB MOM" xfId="3644"/>
    <cellStyle name="_Book7_MBNB shipments_20080909" xfId="3645"/>
    <cellStyle name="_Book7_MBNB shipments_20090309.wip" xfId="3646"/>
    <cellStyle name="_Book7_MBNB shipments_Dec06_wip" xfId="3647"/>
    <cellStyle name="_Book7_MBNB shipments_July07.wip" xfId="3648"/>
    <cellStyle name="_Book7_NB-Mthly(0)" xfId="3649"/>
    <cellStyle name="_Book7_TWN Top 4 MB 5 NB" xfId="3650"/>
    <cellStyle name="_Broadcasting&amp;Cable" xfId="91"/>
    <cellStyle name="_By Technology, Market Share_Copy of Model2018_AAC_(WIP) " xfId="92"/>
    <cellStyle name="_CAVM Modelware" xfId="93"/>
    <cellStyle name="_CAVM WIP" xfId="94"/>
    <cellStyle name="_CAVM_122910 v.2" xfId="95"/>
    <cellStyle name="_CFA10" xfId="96"/>
    <cellStyle name="_CFA4" xfId="97"/>
    <cellStyle name="_Change since preliminary  - page for decision support workbook" xfId="98"/>
    <cellStyle name="_Chartered_Copy of Model2018_AAC_(WIP) " xfId="99"/>
    <cellStyle name="_Chartered_Ichia Model2402_Modelware_Copy of Model2018_AAC_(WIP) " xfId="100"/>
    <cellStyle name="_Chartered_Model_2402(New)_Modelware_Copy of Model2018_AAC_(WIP) " xfId="101"/>
    <cellStyle name="_Chartered_Model_3311(New)_Copy of Model2018_AAC_(WIP) " xfId="102"/>
    <cellStyle name="_Comma_AA - BenefitsBonus " xfId="103"/>
    <cellStyle name="_Copy of ITGIWWDBDA02_ITGI02" xfId="104"/>
    <cellStyle name="_Copy of Model2018_AAC_(WIP) " xfId="105"/>
    <cellStyle name="_Country" xfId="106"/>
    <cellStyle name="_Country distribution--Reference" xfId="107"/>
    <cellStyle name="_Currency_AA - BenefitsBonus " xfId="108"/>
    <cellStyle name="_CurrencySpace_AA - BenefitsBonus " xfId="109"/>
    <cellStyle name="_DA" xfId="110"/>
    <cellStyle name="_DPA" xfId="111"/>
    <cellStyle name="_DQDMS-check" xfId="112"/>
    <cellStyle name="_DQDMS-check 2" xfId="113"/>
    <cellStyle name="_EBS Template" xfId="3651"/>
    <cellStyle name="_EBS Template_Exhibit NB QoQ" xfId="3652"/>
    <cellStyle name="_EBS Template_Exhibt NB MOM" xfId="3653"/>
    <cellStyle name="_EBS Template_MBNB shipments_20080909" xfId="3654"/>
    <cellStyle name="_EBS Template_MBNB shipments_20090309.wip" xfId="3655"/>
    <cellStyle name="_EBS Template_MBNB shipments_Dec06_wip" xfId="3656"/>
    <cellStyle name="_EBS Template_MBNB shipments_July07.wip" xfId="3657"/>
    <cellStyle name="_EBS Template_NB-Mthly(0)" xfId="3658"/>
    <cellStyle name="_EBS Template_TWN Top 4 MB 5 NB" xfId="3659"/>
    <cellStyle name="_EBS Template1" xfId="3660"/>
    <cellStyle name="_EBS Template1_Exhibit NB QoQ" xfId="3661"/>
    <cellStyle name="_EBS Template1_Exhibt NB MOM" xfId="3662"/>
    <cellStyle name="_EBS Template1_MBNB shipments_20080909" xfId="3663"/>
    <cellStyle name="_EBS Template1_MBNB shipments_20090309.wip" xfId="3664"/>
    <cellStyle name="_EBS Template1_MBNB shipments_Dec06_wip" xfId="3665"/>
    <cellStyle name="_EBS Template1_MBNB shipments_July07.wip" xfId="3666"/>
    <cellStyle name="_EBS Template1_NB-Mthly(0)" xfId="3667"/>
    <cellStyle name="_EBS Template1_TWN Top 4 MB 5 NB" xfId="3668"/>
    <cellStyle name="_EPS" xfId="114"/>
    <cellStyle name="_EPS1" xfId="115"/>
    <cellStyle name="_exchange rates" xfId="116"/>
    <cellStyle name="_exchange rates 2" xfId="117"/>
    <cellStyle name="_Exhibit NB QoQ" xfId="3669"/>
    <cellStyle name="_Exhibt NB MOM" xfId="3670"/>
    <cellStyle name="_Fall 2002 IT Services Forecast Supplement" xfId="118"/>
    <cellStyle name="_Fall 2002 IT Services Forecast Supplement 2" xfId="119"/>
    <cellStyle name="_Fall 2002 IT Services Forecast Supplement_Japan Worstcase" xfId="120"/>
    <cellStyle name="_Fall 2002 IT Services Forecast Supplement_Japan Worstcase 2" xfId="121"/>
    <cellStyle name="_Forecast Enterprise Software Markets, Worldwide, 2008-2013, 3Q09 Update 10-sept-09" xfId="122"/>
    <cellStyle name="_Forecast Review -Fall 2002 IT Services Nov 13" xfId="123"/>
    <cellStyle name="_Forecast Review -Fall 2002 IT Services Nov 13 2" xfId="124"/>
    <cellStyle name="_Forecast Review -Fall 2002 IT Services Nov 13_Japan Worstcase" xfId="125"/>
    <cellStyle name="_Forecast Review -Fall 2002 IT Services Nov 13_Japan Worstcase 2" xfId="126"/>
    <cellStyle name="_forecast_enterprise_software_166478" xfId="127"/>
    <cellStyle name="_GMT_070822" xfId="128"/>
    <cellStyle name="_Google Inc_Draft_112907_OPT for MSFT" xfId="129"/>
    <cellStyle name="—_GS_Cash " xfId="130"/>
    <cellStyle name="—_GS_Cash  2" xfId="131"/>
    <cellStyle name="—_GS_Cash  2 2" xfId="3883"/>
    <cellStyle name="_IBMNorth America2005 YR" xfId="132"/>
    <cellStyle name="_Ichia Model2402_Modelware_Copy of Model2018_AAC_(WIP) " xfId="133"/>
    <cellStyle name="_Info" xfId="134"/>
    <cellStyle name="_Internal--Forecast Accuracy" xfId="135"/>
    <cellStyle name="_Internal--Market Share and Service Line Forecast" xfId="136"/>
    <cellStyle name="_Internal--Market Share and Vertical Forecast" xfId="137"/>
    <cellStyle name="_IT Databook - Pivot_Sep09" xfId="138"/>
    <cellStyle name="_IT Services Forecast Decision Support--Sept 2007" xfId="139"/>
    <cellStyle name="_IT Services Forecast Decision Support--Sept 2007_Japan Worstcase" xfId="140"/>
    <cellStyle name="_IT Services Forecast Decision Support--Sept 2007_Japan Worstcase 2" xfId="141"/>
    <cellStyle name="_ITBOWWDBDA01_ITBOWWFC" xfId="142"/>
    <cellStyle name="_ITDatabook_hardware_Jun09_v1" xfId="143"/>
    <cellStyle name="_ITGIWW 2008-07" xfId="144"/>
    <cellStyle name="_ITSTWWDBDA01_ITSTWWFC" xfId="145"/>
    <cellStyle name="_IV6" xfId="146"/>
    <cellStyle name="_Japan Worstcase" xfId="147"/>
    <cellStyle name="_Japan Worstcase 2" xfId="148"/>
    <cellStyle name="_JapaneseCatalog" xfId="149"/>
    <cellStyle name="_LSI Modelware_021111" xfId="150"/>
    <cellStyle name="_LSI Modelware_021111 2" xfId="151"/>
    <cellStyle name="_LSI Modelware_021111 2 2" xfId="152"/>
    <cellStyle name="_LSI Modelware_021111 2 2 2" xfId="153"/>
    <cellStyle name="_LSI Modelware_021111 2 2 2 2" xfId="154"/>
    <cellStyle name="_LSI Modelware_021111 2 2 3" xfId="155"/>
    <cellStyle name="_LSI Modelware_021111 2 3" xfId="156"/>
    <cellStyle name="_LSI Modelware_021111 2 3 2" xfId="157"/>
    <cellStyle name="_LSI Modelware_021111 2 4" xfId="158"/>
    <cellStyle name="_LSI Modelware_021111 3" xfId="159"/>
    <cellStyle name="_LSI Modelware_021111 3 2" xfId="160"/>
    <cellStyle name="_LSI Modelware_021111 3 2 2" xfId="161"/>
    <cellStyle name="_LSI Modelware_021111 3 3" xfId="162"/>
    <cellStyle name="_LSI Modelware_021111 4" xfId="163"/>
    <cellStyle name="_LSI Modelware_021111 4 2" xfId="164"/>
    <cellStyle name="_LSI Modelware_021111 5" xfId="165"/>
    <cellStyle name="_LSI Modelware_021611" xfId="166"/>
    <cellStyle name="_LSI Modelware_021611 2" xfId="167"/>
    <cellStyle name="_LSI Modelware_021611 2 2" xfId="168"/>
    <cellStyle name="_LSI Modelware_021611 2 2 2" xfId="169"/>
    <cellStyle name="_LSI Modelware_021611 2 2 2 2" xfId="170"/>
    <cellStyle name="_LSI Modelware_021611 2 2 3" xfId="171"/>
    <cellStyle name="_LSI Modelware_021611 2 3" xfId="172"/>
    <cellStyle name="_LSI Modelware_021611 2 3 2" xfId="173"/>
    <cellStyle name="_LSI Modelware_021611 2 4" xfId="174"/>
    <cellStyle name="_LSI Modelware_021611 3" xfId="175"/>
    <cellStyle name="_LSI Modelware_021611 3 2" xfId="176"/>
    <cellStyle name="_LSI Modelware_021611 3 2 2" xfId="177"/>
    <cellStyle name="_LSI Modelware_021611 3 3" xfId="178"/>
    <cellStyle name="_LSI Modelware_021611 4" xfId="179"/>
    <cellStyle name="_LSI Modelware_021611 4 2" xfId="180"/>
    <cellStyle name="_LSI Modelware_021611 5" xfId="181"/>
    <cellStyle name="_LSI_012511 (5)" xfId="182"/>
    <cellStyle name="_LSI_012511 (5) 2" xfId="183"/>
    <cellStyle name="_LSI_012511 (5) 2 2" xfId="184"/>
    <cellStyle name="_LSI_012511 (5) 2 2 2" xfId="185"/>
    <cellStyle name="_LSI_012511 (5) 2 2 2 2" xfId="186"/>
    <cellStyle name="_LSI_012511 (5) 2 2 3" xfId="187"/>
    <cellStyle name="_LSI_012511 (5) 2 3" xfId="188"/>
    <cellStyle name="_LSI_012511 (5) 2 3 2" xfId="189"/>
    <cellStyle name="_LSI_012511 (5) 2 4" xfId="190"/>
    <cellStyle name="_LSI_012511 (5) 3" xfId="191"/>
    <cellStyle name="_LSI_012511 (5) 3 2" xfId="192"/>
    <cellStyle name="_LSI_012511 (5) 3 2 2" xfId="193"/>
    <cellStyle name="_LSI_012511 (5) 3 3" xfId="194"/>
    <cellStyle name="_LSI_012511 (5) 4" xfId="195"/>
    <cellStyle name="_LSI_012511 (5) 4 2" xfId="196"/>
    <cellStyle name="_LSI_012511 (5) 5" xfId="197"/>
    <cellStyle name="_LXK_MS_Model_wip" xfId="198"/>
    <cellStyle name="_Market sizing Generic" xfId="199"/>
    <cellStyle name="_MBNB shipments_20080909" xfId="3671"/>
    <cellStyle name="_MBNB shipments_20090309.wip" xfId="3672"/>
    <cellStyle name="_MBNB shipments_Dec06_wip" xfId="3673"/>
    <cellStyle name="_MBNB shipments_July07.wip" xfId="3674"/>
    <cellStyle name="_Metrics1" xfId="200"/>
    <cellStyle name="_Metrics11" xfId="201"/>
    <cellStyle name="_Metrics13" xfId="202"/>
    <cellStyle name="_Metrics3" xfId="203"/>
    <cellStyle name="_Metrics5" xfId="204"/>
    <cellStyle name="_Metrics7" xfId="205"/>
    <cellStyle name="_Metrics9" xfId="206"/>
    <cellStyle name="_Mkt Seg SRS Shell" xfId="207"/>
    <cellStyle name="_Mkt Seg SRS Shell 2" xfId="208"/>
    <cellStyle name="_Model_2402(New)_Modelware_Copy of Model2018_AAC_(WIP) " xfId="209"/>
    <cellStyle name="_Model_3311(New)_Copy of Model2018_AAC_(WIP) " xfId="210"/>
    <cellStyle name="_Model2394" xfId="3675"/>
    <cellStyle name="_Model2394_Exhibit NB QoQ" xfId="3676"/>
    <cellStyle name="_Model2394_Exhibt NB MOM" xfId="3677"/>
    <cellStyle name="_Model2394_MBNB shipments_20080909" xfId="3678"/>
    <cellStyle name="_Model2394_MBNB shipments_20090309.wip" xfId="3679"/>
    <cellStyle name="_Model2394_MBNB shipments_Dec06_wip" xfId="3680"/>
    <cellStyle name="_Model2394_MBNB shipments_July07.wip" xfId="3681"/>
    <cellStyle name="_Model2394_NB-Mthly(0)" xfId="3682"/>
    <cellStyle name="_Model2394_TWN Top 4 MB 5 NB" xfId="3683"/>
    <cellStyle name="_Model2401_2Q03result" xfId="3684"/>
    <cellStyle name="_Model2401_2Q03result_Exhibit NB QoQ" xfId="3685"/>
    <cellStyle name="_Model2401_2Q03result_Exhibt NB MOM" xfId="3686"/>
    <cellStyle name="_Model2401_2Q03result_MBNB shipments_20080909" xfId="3687"/>
    <cellStyle name="_Model2401_2Q03result_MBNB shipments_20090309.wip" xfId="3688"/>
    <cellStyle name="_Model2401_2Q03result_MBNB shipments_Dec06_wip" xfId="3689"/>
    <cellStyle name="_Model2401_2Q03result_MBNB shipments_July07.wip" xfId="3690"/>
    <cellStyle name="_Model2401_2Q03result_NB-Mthly(0)" xfId="3691"/>
    <cellStyle name="_Model2401_2Q03result_TWN Top 4 MB 5 NB" xfId="3692"/>
    <cellStyle name="_Model3008_08'03" xfId="3693"/>
    <cellStyle name="_Model3008_08'03_Exhibit NB QoQ" xfId="3694"/>
    <cellStyle name="_Model3008_08'03_Exhibt NB MOM" xfId="3695"/>
    <cellStyle name="_Model3008_08'03_MBNB shipments_20080909" xfId="3696"/>
    <cellStyle name="_Model3008_08'03_MBNB shipments_20090309.wip" xfId="3697"/>
    <cellStyle name="_Model3008_08'03_MBNB shipments_Dec06_wip" xfId="3698"/>
    <cellStyle name="_Model3008_08'03_MBNB shipments_July07.wip" xfId="3699"/>
    <cellStyle name="_Model3008_08'03_NB-Mthly(0)" xfId="3700"/>
    <cellStyle name="_Model3008_08'03_TWN Top 4 MB 5 NB" xfId="3701"/>
    <cellStyle name="_Model3019_08'03" xfId="3702"/>
    <cellStyle name="_Model3019_08'03_Exhibit NB QoQ" xfId="3703"/>
    <cellStyle name="_Model3019_08'03_Exhibt NB MOM" xfId="3704"/>
    <cellStyle name="_Model3019_08'03_MBNB shipments_20080909" xfId="3705"/>
    <cellStyle name="_Model3019_08'03_MBNB shipments_20090309.wip" xfId="3706"/>
    <cellStyle name="_Model3019_08'03_MBNB shipments_Dec06_wip" xfId="3707"/>
    <cellStyle name="_Model3019_08'03_MBNB shipments_July07.wip" xfId="3708"/>
    <cellStyle name="_Model3019_08'03_NB-Mthly(0)" xfId="3709"/>
    <cellStyle name="_Model3019_08'03_TWN Top 4 MB 5 NB" xfId="3710"/>
    <cellStyle name="_Model3059" xfId="3711"/>
    <cellStyle name="_Model3059_Exhibit NB QoQ" xfId="3712"/>
    <cellStyle name="_Model3059_Exhibt NB MOM" xfId="3713"/>
    <cellStyle name="_Model3059_MBNB shipments_20080909" xfId="3714"/>
    <cellStyle name="_Model3059_MBNB shipments_20090309.wip" xfId="3715"/>
    <cellStyle name="_Model3059_MBNB shipments_Dec06_wip" xfId="3716"/>
    <cellStyle name="_Model3059_MBNB shipments_July07.wip" xfId="3717"/>
    <cellStyle name="_Model3059_NB-Mthly(0)" xfId="3718"/>
    <cellStyle name="_Model3059_TWN Top 4 MB 5 NB" xfId="3719"/>
    <cellStyle name="_Monthly sales" xfId="3720"/>
    <cellStyle name="_Multiple_AA - BenefitsBonus " xfId="211"/>
    <cellStyle name="_MultipleSpace_AA - BenefitsBonus " xfId="212"/>
    <cellStyle name="_MW_CFA" xfId="213"/>
    <cellStyle name="_MWAnalytics" xfId="214"/>
    <cellStyle name="_NB-Mthly(0)" xfId="3721"/>
    <cellStyle name="_Percent_AA - BenefitsBonus " xfId="215"/>
    <cellStyle name="_PercentSpace_AA - BenefitsBonus " xfId="216"/>
    <cellStyle name="_Pivot AIMP 2003 2 June 2004 for publication" xfId="217"/>
    <cellStyle name="_Pivot AIMP 2003 2 June 2004 for publication 2" xfId="218"/>
    <cellStyle name="_Pivot AIMP 2003 2 June 2004 for publication_Pivot Table Tips" xfId="219"/>
    <cellStyle name="_Pivot_Table_templateApril05" xfId="220"/>
    <cellStyle name="_prelim vs final" xfId="221"/>
    <cellStyle name="_Print Generic Charts Library" xfId="222"/>
    <cellStyle name="_Print Generic Charts Library 2" xfId="223"/>
    <cellStyle name="_Print Generic Charts Library_Pivot Table Tips" xfId="224"/>
    <cellStyle name="_Printers WW" xfId="225"/>
    <cellStyle name="_quaterly model" xfId="3722"/>
    <cellStyle name="_Rama Other Companies" xfId="226"/>
    <cellStyle name="_Rama Other Companies 2" xfId="227"/>
    <cellStyle name="_Rama Other Companies_Japan Worstcase" xfId="228"/>
    <cellStyle name="_Rama Other Companies_Japan Worstcase 2" xfId="229"/>
    <cellStyle name="_RI valuation" xfId="3723"/>
    <cellStyle name="_ROE2" xfId="230"/>
    <cellStyle name="_ROE4" xfId="231"/>
    <cellStyle name="_ROE8" xfId="232"/>
    <cellStyle name="_RRS1" xfId="233"/>
    <cellStyle name="_RRS1 2" xfId="234"/>
    <cellStyle name="_RRS1 2 2" xfId="235"/>
    <cellStyle name="_RRS1 2 2 2" xfId="236"/>
    <cellStyle name="_RRS1 2 2 2 2" xfId="237"/>
    <cellStyle name="_RRS1 2 2 3" xfId="238"/>
    <cellStyle name="_RRS1 2 3" xfId="239"/>
    <cellStyle name="_RRS1 2 3 2" xfId="240"/>
    <cellStyle name="_RRS1 2 4" xfId="241"/>
    <cellStyle name="_RRS1 3" xfId="242"/>
    <cellStyle name="_RRS1 3 2" xfId="243"/>
    <cellStyle name="_RRS1 3 2 2" xfId="244"/>
    <cellStyle name="_RRS1 3 3" xfId="245"/>
    <cellStyle name="_RRS1 4" xfId="246"/>
    <cellStyle name="_RRS1 4 2" xfId="247"/>
    <cellStyle name="_RRS1 5" xfId="248"/>
    <cellStyle name="_RRS1 5 2" xfId="249"/>
    <cellStyle name="_RRS1 6" xfId="250"/>
    <cellStyle name="_RRS1 7" xfId="251"/>
    <cellStyle name="_RRS1 7 2" xfId="252"/>
    <cellStyle name="_RRS1 8" xfId="253"/>
    <cellStyle name="_RRS1 8 2" xfId="254"/>
    <cellStyle name="_RRS10" xfId="255"/>
    <cellStyle name="_RRS10 2" xfId="256"/>
    <cellStyle name="_RRS10 2 2" xfId="257"/>
    <cellStyle name="_RRS10 2 2 2" xfId="258"/>
    <cellStyle name="_RRS10 2 2 2 2" xfId="259"/>
    <cellStyle name="_RRS10 2 2 3" xfId="260"/>
    <cellStyle name="_RRS10 2 3" xfId="261"/>
    <cellStyle name="_RRS10 2 3 2" xfId="262"/>
    <cellStyle name="_RRS10 2 4" xfId="263"/>
    <cellStyle name="_RRS10 3" xfId="264"/>
    <cellStyle name="_RRS10 3 2" xfId="265"/>
    <cellStyle name="_RRS10 3 2 2" xfId="266"/>
    <cellStyle name="_RRS10 3 3" xfId="267"/>
    <cellStyle name="_RRS10 4" xfId="268"/>
    <cellStyle name="_RRS10 4 2" xfId="269"/>
    <cellStyle name="_RRS10 5" xfId="270"/>
    <cellStyle name="_RRS13" xfId="271"/>
    <cellStyle name="_RRS15" xfId="272"/>
    <cellStyle name="_RRS16" xfId="273"/>
    <cellStyle name="_RRS2" xfId="274"/>
    <cellStyle name="_RRS20" xfId="275"/>
    <cellStyle name="_RRS3" xfId="276"/>
    <cellStyle name="_RRS3 2" xfId="277"/>
    <cellStyle name="_RRS3 2 2" xfId="278"/>
    <cellStyle name="_RRS3 2 2 2" xfId="279"/>
    <cellStyle name="_RRS3 2 2 2 2" xfId="280"/>
    <cellStyle name="_RRS3 2 2 3" xfId="281"/>
    <cellStyle name="_RRS3 2 3" xfId="282"/>
    <cellStyle name="_RRS3 2 3 2" xfId="283"/>
    <cellStyle name="_RRS3 2 4" xfId="284"/>
    <cellStyle name="_RRS3 3" xfId="285"/>
    <cellStyle name="_RRS3 3 2" xfId="286"/>
    <cellStyle name="_RRS3 3 2 2" xfId="287"/>
    <cellStyle name="_RRS3 3 3" xfId="288"/>
    <cellStyle name="_RRS3 4" xfId="289"/>
    <cellStyle name="_RRS3 4 2" xfId="290"/>
    <cellStyle name="_RRS3 5" xfId="291"/>
    <cellStyle name="_RRS3 5 2" xfId="292"/>
    <cellStyle name="_RRS3 6" xfId="293"/>
    <cellStyle name="_RRS3 7" xfId="294"/>
    <cellStyle name="_RRS3 7 2" xfId="295"/>
    <cellStyle name="_RRS3 8" xfId="296"/>
    <cellStyle name="_RRS3 8 2" xfId="297"/>
    <cellStyle name="_RRS4" xfId="298"/>
    <cellStyle name="_RRS4 2" xfId="299"/>
    <cellStyle name="_RRS4 2 2" xfId="300"/>
    <cellStyle name="_RRS4 2 2 2" xfId="301"/>
    <cellStyle name="_RRS4 2 2 2 2" xfId="302"/>
    <cellStyle name="_RRS4 2 2 3" xfId="303"/>
    <cellStyle name="_RRS4 2 3" xfId="304"/>
    <cellStyle name="_RRS4 2 3 2" xfId="305"/>
    <cellStyle name="_RRS4 2 4" xfId="306"/>
    <cellStyle name="_RRS4 3" xfId="307"/>
    <cellStyle name="_RRS4 3 2" xfId="308"/>
    <cellStyle name="_RRS4 3 2 2" xfId="309"/>
    <cellStyle name="_RRS4 3 3" xfId="310"/>
    <cellStyle name="_RRS4 4" xfId="311"/>
    <cellStyle name="_RRS4 4 2" xfId="312"/>
    <cellStyle name="_RRS4 5" xfId="313"/>
    <cellStyle name="_RRS4 5 2" xfId="314"/>
    <cellStyle name="_RRS4 6" xfId="315"/>
    <cellStyle name="_RRS4 7" xfId="316"/>
    <cellStyle name="_RRS4 7 2" xfId="317"/>
    <cellStyle name="_RRS4 8" xfId="318"/>
    <cellStyle name="_RRS4 8 2" xfId="319"/>
    <cellStyle name="_RRS6" xfId="320"/>
    <cellStyle name="_RRS8" xfId="321"/>
    <cellStyle name="_sftwre_Dec08" xfId="322"/>
    <cellStyle name="_Sheet1" xfId="323"/>
    <cellStyle name="_SUMMARY " xfId="324"/>
    <cellStyle name="_SUMMARY  10" xfId="325"/>
    <cellStyle name="_SUMMARY  10 2" xfId="326"/>
    <cellStyle name="_SUMMARY  11" xfId="327"/>
    <cellStyle name="_SUMMARY  11 2" xfId="328"/>
    <cellStyle name="_SUMMARY  12" xfId="329"/>
    <cellStyle name="_SUMMARY  12 2" xfId="330"/>
    <cellStyle name="_SUMMARY  12 3" xfId="331"/>
    <cellStyle name="_SUMMARY  13" xfId="332"/>
    <cellStyle name="_SUMMARY  13 2" xfId="333"/>
    <cellStyle name="_SUMMARY  13 3" xfId="334"/>
    <cellStyle name="_SUMMARY  14" xfId="335"/>
    <cellStyle name="_SUMMARY  14 2" xfId="336"/>
    <cellStyle name="_SUMMARY  2" xfId="337"/>
    <cellStyle name="_SUMMARY  2 2" xfId="338"/>
    <cellStyle name="_SUMMARY  2 2 2" xfId="339"/>
    <cellStyle name="_SUMMARY  2 2 2 2" xfId="340"/>
    <cellStyle name="_SUMMARY  2 2 3" xfId="341"/>
    <cellStyle name="_SUMMARY  2 3" xfId="342"/>
    <cellStyle name="_SUMMARY  2 3 2" xfId="343"/>
    <cellStyle name="_SUMMARY  2 4" xfId="344"/>
    <cellStyle name="_SUMMARY  3" xfId="345"/>
    <cellStyle name="_SUMMARY  3 2" xfId="346"/>
    <cellStyle name="_SUMMARY  3 2 2" xfId="347"/>
    <cellStyle name="_SUMMARY  3 2 2 2" xfId="348"/>
    <cellStyle name="_SUMMARY  3 2 3" xfId="349"/>
    <cellStyle name="_SUMMARY  3 3" xfId="350"/>
    <cellStyle name="_SUMMARY  3 3 2" xfId="351"/>
    <cellStyle name="_SUMMARY  3 4" xfId="352"/>
    <cellStyle name="_SUMMARY  4" xfId="353"/>
    <cellStyle name="_SUMMARY  4 2" xfId="354"/>
    <cellStyle name="_SUMMARY  4 2 2" xfId="355"/>
    <cellStyle name="_SUMMARY  4 2 2 2" xfId="356"/>
    <cellStyle name="_SUMMARY  4 2 3" xfId="357"/>
    <cellStyle name="_SUMMARY  4 3" xfId="358"/>
    <cellStyle name="_SUMMARY  4 3 2" xfId="359"/>
    <cellStyle name="_SUMMARY  4 3 2 2" xfId="360"/>
    <cellStyle name="_SUMMARY  4 3 3" xfId="361"/>
    <cellStyle name="_SUMMARY  4 4" xfId="362"/>
    <cellStyle name="_SUMMARY  4 4 2" xfId="363"/>
    <cellStyle name="_SUMMARY  4 5" xfId="364"/>
    <cellStyle name="_SUMMARY  4 5 2" xfId="365"/>
    <cellStyle name="_SUMMARY  4 6" xfId="366"/>
    <cellStyle name="_SUMMARY  5" xfId="367"/>
    <cellStyle name="_SUMMARY  5 2" xfId="368"/>
    <cellStyle name="_SUMMARY  5 2 2" xfId="369"/>
    <cellStyle name="_SUMMARY  5 2 2 2" xfId="370"/>
    <cellStyle name="_SUMMARY  5 2 3" xfId="371"/>
    <cellStyle name="_SUMMARY  5 3" xfId="372"/>
    <cellStyle name="_SUMMARY  5 3 2" xfId="373"/>
    <cellStyle name="_SUMMARY  5 4" xfId="374"/>
    <cellStyle name="_SUMMARY  6" xfId="375"/>
    <cellStyle name="_SUMMARY  6 2" xfId="376"/>
    <cellStyle name="_SUMMARY  6 2 2" xfId="377"/>
    <cellStyle name="_SUMMARY  6 3" xfId="378"/>
    <cellStyle name="_SUMMARY  6 4" xfId="379"/>
    <cellStyle name="_SUMMARY  7" xfId="380"/>
    <cellStyle name="_SUMMARY  7 2" xfId="381"/>
    <cellStyle name="_SUMMARY  7 3" xfId="382"/>
    <cellStyle name="_SUMMARY  8" xfId="383"/>
    <cellStyle name="_SUMMARY  8 2" xfId="384"/>
    <cellStyle name="_SUMMARY  8 3" xfId="385"/>
    <cellStyle name="_SUMMARY  8 3 2" xfId="386"/>
    <cellStyle name="_SUMMARY  9" xfId="387"/>
    <cellStyle name="_SUMMARY  9 2" xfId="388"/>
    <cellStyle name="_SUMMARY  9 2 2" xfId="389"/>
    <cellStyle name="_SUMMARY  9 3" xfId="390"/>
    <cellStyle name="_SUMMARY _RRST1" xfId="391"/>
    <cellStyle name="_SUMMARY _RRST6" xfId="392"/>
    <cellStyle name="_Survey form sample" xfId="393"/>
    <cellStyle name="_SWKS WIPsls" xfId="394"/>
    <cellStyle name="_SWKS_113010" xfId="395"/>
    <cellStyle name="_SWKS_113010 2" xfId="396"/>
    <cellStyle name="_SWKS_113010 2 2" xfId="397"/>
    <cellStyle name="_SWKS_113010 2 2 2" xfId="398"/>
    <cellStyle name="_SWKS_113010 2 2 2 2" xfId="399"/>
    <cellStyle name="_SWKS_113010 2 2 3" xfId="400"/>
    <cellStyle name="_SWKS_113010 2 3" xfId="401"/>
    <cellStyle name="_SWKS_113010 2 3 2" xfId="402"/>
    <cellStyle name="_SWKS_113010 2 4" xfId="403"/>
    <cellStyle name="_SWKS_113010 3" xfId="404"/>
    <cellStyle name="_SWKS_113010 3 2" xfId="405"/>
    <cellStyle name="_SWKS_113010 3 2 2" xfId="406"/>
    <cellStyle name="_SWKS_113010 3 3" xfId="407"/>
    <cellStyle name="_SWKS_113010 4" xfId="408"/>
    <cellStyle name="_SWKS_113010 4 2" xfId="409"/>
    <cellStyle name="_SWKS_113010 5" xfId="410"/>
    <cellStyle name="_SWKS_122210" xfId="411"/>
    <cellStyle name="_SWKS_122210 2" xfId="412"/>
    <cellStyle name="_SWKS_122210 2 2" xfId="413"/>
    <cellStyle name="_SWKS_122210 2 2 2" xfId="414"/>
    <cellStyle name="_SWKS_122210 2 2 2 2" xfId="415"/>
    <cellStyle name="_SWKS_122210 2 2 3" xfId="416"/>
    <cellStyle name="_SWKS_122210 2 3" xfId="417"/>
    <cellStyle name="_SWKS_122210 2 3 2" xfId="418"/>
    <cellStyle name="_SWKS_122210 2 4" xfId="419"/>
    <cellStyle name="_SWKS_122210 3" xfId="420"/>
    <cellStyle name="_SWKS_122210 3 2" xfId="421"/>
    <cellStyle name="_SWKS_122210 3 2 2" xfId="422"/>
    <cellStyle name="_SWKS_122210 3 3" xfId="423"/>
    <cellStyle name="_SWKS_122210 4" xfId="424"/>
    <cellStyle name="_SWKS_122210 4 2" xfId="425"/>
    <cellStyle name="_SWKS_122210 5" xfId="426"/>
    <cellStyle name="_SY Earnings(Labor cost)" xfId="427"/>
    <cellStyle name="_Taiwan" xfId="3724"/>
    <cellStyle name="_Telecom Constraint" xfId="428"/>
    <cellStyle name="_Template Stats" xfId="429"/>
    <cellStyle name="_TWN Top 4 MB 5 NB" xfId="3725"/>
    <cellStyle name="_TXN modelware NEW" xfId="430"/>
    <cellStyle name="_US GAAP" xfId="3726"/>
    <cellStyle name="_US GAAP_Copy of Model2018_AAC_(WIP) " xfId="431"/>
    <cellStyle name="_US GAAP_Exhibit NB QoQ" xfId="3727"/>
    <cellStyle name="_US GAAP_Exhibt NB MOM" xfId="3728"/>
    <cellStyle name="_US GAAP_MBNB shipments_20080909" xfId="3729"/>
    <cellStyle name="_US GAAP_MBNB shipments_20090309.wip" xfId="3730"/>
    <cellStyle name="_US GAAP_MBNB shipments_Dec06_wip" xfId="3731"/>
    <cellStyle name="_US GAAP_MBNB shipments_July07.wip" xfId="3732"/>
    <cellStyle name="_US GAAP_NB-Mthly(0)" xfId="3733"/>
    <cellStyle name="_US GAAP_TWN Top 4 MB 5 NB" xfId="3734"/>
    <cellStyle name="_Valuation_ROC RI" xfId="3735"/>
    <cellStyle name="_WIP_to_published" xfId="432"/>
    <cellStyle name="_Wireline Tel Forecast " xfId="433"/>
    <cellStyle name="_Wireline Tel Forecast  2" xfId="434"/>
    <cellStyle name="_Wireline Tel Forecast  2 2" xfId="435"/>
    <cellStyle name="_Wireline Tel Forecast  3" xfId="436"/>
    <cellStyle name="_Word Charts" xfId="437"/>
    <cellStyle name="_Word Charts 2" xfId="438"/>
    <cellStyle name="_Zip Stats_2004" xfId="439"/>
    <cellStyle name="’Ê‰Ý [0.00]_GE 3 MINIMUM" xfId="440"/>
    <cellStyle name="’Ê‰Ý_GE 3 MINIMUM" xfId="441"/>
    <cellStyle name="“ú–{Œê" xfId="442"/>
    <cellStyle name="£ BP" xfId="443"/>
    <cellStyle name="£ BP 2" xfId="444"/>
    <cellStyle name="¤@¯ë_2311" xfId="3736"/>
    <cellStyle name="¤d¤À¦ì[0]_2311" xfId="3737"/>
    <cellStyle name="¤d¤À¦ì_2311" xfId="3738"/>
    <cellStyle name="¥ JY" xfId="445"/>
    <cellStyle name="¥ JY 2" xfId="446"/>
    <cellStyle name="¥ JY 3" xfId="3739"/>
    <cellStyle name="=C:\WINNT35\SYSTEM32\COMMAND.COM" xfId="447"/>
    <cellStyle name="=C:\WINNT35\SYSTEM32\COMMAND.COM 2" xfId="448"/>
    <cellStyle name="=C:\WINNT35\SYSTEM32\COMMAND.COM 2 2" xfId="449"/>
    <cellStyle name="=C:\WINNT35\SYSTEM32\COMMAND.COM 2 2 2" xfId="450"/>
    <cellStyle name="=C:\WINNT35\SYSTEM32\COMMAND.COM 2 2 2 2" xfId="451"/>
    <cellStyle name="=C:\WINNT35\SYSTEM32\COMMAND.COM 2 2 3" xfId="452"/>
    <cellStyle name="=C:\WINNT35\SYSTEM32\COMMAND.COM 2 3" xfId="453"/>
    <cellStyle name="=C:\WINNT35\SYSTEM32\COMMAND.COM 2 3 2" xfId="454"/>
    <cellStyle name="=C:\WINNT35\SYSTEM32\COMMAND.COM 2 4" xfId="455"/>
    <cellStyle name="=C:\WINNT35\SYSTEM32\COMMAND.COM 3" xfId="456"/>
    <cellStyle name="=C:\WINNT35\SYSTEM32\COMMAND.COM 3 2" xfId="457"/>
    <cellStyle name="=C:\WINNT35\SYSTEM32\COMMAND.COM 3 2 2" xfId="458"/>
    <cellStyle name="=C:\WINNT35\SYSTEM32\COMMAND.COM 3 3" xfId="459"/>
    <cellStyle name="=C:\WINNT35\SYSTEM32\COMMAND.COM 4" xfId="460"/>
    <cellStyle name="=C:\WINNT35\SYSTEM32\COMMAND.COM 4 2" xfId="461"/>
    <cellStyle name="=C:\WINNT35\SYSTEM32\COMMAND.COM 5" xfId="462"/>
    <cellStyle name="=C:\WINNT35\SYSTEM32\COMMAND.COM 5 2" xfId="463"/>
    <cellStyle name="=C:\WINNT35\SYSTEM32\COMMAND.COM 6" xfId="464"/>
    <cellStyle name="=C:\WINNT35\SYSTEM32\COMMAND.COM 7" xfId="465"/>
    <cellStyle name="=C:\WINNT35\SYSTEM32\COMMAND.COM 7 2" xfId="466"/>
    <cellStyle name="=C:\WINNT35\SYSTEM32\COMMAND.COM 8" xfId="467"/>
    <cellStyle name="=C:\WINNT35\SYSTEM32\COMMAND.COM 8 2" xfId="468"/>
    <cellStyle name="§Q\?1@" xfId="469"/>
    <cellStyle name="•W€_Comparables" xfId="470"/>
    <cellStyle name="•W_EditLog" xfId="471"/>
    <cellStyle name="0" xfId="472"/>
    <cellStyle name="0 2" xfId="473"/>
    <cellStyle name="0%" xfId="474"/>
    <cellStyle name="0% 2" xfId="475"/>
    <cellStyle name="0% 2 2" xfId="476"/>
    <cellStyle name="0% 2 2 2" xfId="477"/>
    <cellStyle name="0% 2 2 2 2" xfId="478"/>
    <cellStyle name="0% 2 2 3" xfId="479"/>
    <cellStyle name="0% 2 3" xfId="480"/>
    <cellStyle name="0% 2 3 2" xfId="481"/>
    <cellStyle name="0% 2 4" xfId="482"/>
    <cellStyle name="0% 3" xfId="483"/>
    <cellStyle name="0% 3 2" xfId="484"/>
    <cellStyle name="0% 3 2 2" xfId="485"/>
    <cellStyle name="0% 3 3" xfId="486"/>
    <cellStyle name="0% 4" xfId="487"/>
    <cellStyle name="0% 4 2" xfId="488"/>
    <cellStyle name="0% 5" xfId="489"/>
    <cellStyle name="0% 5 2" xfId="490"/>
    <cellStyle name="0% 6" xfId="491"/>
    <cellStyle name="0% 7" xfId="492"/>
    <cellStyle name="0% 7 2" xfId="493"/>
    <cellStyle name="0% 8" xfId="494"/>
    <cellStyle name="0% 8 2" xfId="495"/>
    <cellStyle name="0,0_x000d__x000a_NA_x000d__x000a_" xfId="496"/>
    <cellStyle name="0,0_x000d__x000a_NA_x000d__x000a_ 2" xfId="497"/>
    <cellStyle name="0,0_x000d__x000a_NA_x000d__x000a__Pivot Table Tips" xfId="498"/>
    <cellStyle name="0.0" xfId="499"/>
    <cellStyle name="0.0 2" xfId="500"/>
    <cellStyle name="0.0%" xfId="501"/>
    <cellStyle name="0.0% 2" xfId="502"/>
    <cellStyle name="0.0_40050504 (pension)" xfId="503"/>
    <cellStyle name="0.00" xfId="504"/>
    <cellStyle name="0.00 2" xfId="505"/>
    <cellStyle name="0.00%" xfId="506"/>
    <cellStyle name="0.00% 2" xfId="507"/>
    <cellStyle name="0.00_40050504 (pension)" xfId="508"/>
    <cellStyle name="0_40050504 (pension)" xfId="509"/>
    <cellStyle name="0_Capex &amp; Depreciation " xfId="510"/>
    <cellStyle name="0_Capex &amp; Depreciation  2" xfId="511"/>
    <cellStyle name="0_Capex &amp; Depreciation  2 2" xfId="512"/>
    <cellStyle name="0_Capex &amp; Depreciation _RRST1" xfId="513"/>
    <cellStyle name="0_Capex &amp; Depreciation _RRST1 2" xfId="514"/>
    <cellStyle name="0_Capex &amp; Depreciation _RRST12" xfId="515"/>
    <cellStyle name="0_Capex &amp; Depreciation _RRST19" xfId="516"/>
    <cellStyle name="0_Capex &amp; Depreciation _RRST19 2" xfId="517"/>
    <cellStyle name="0_Capex &amp; Depreciation _RRST20" xfId="518"/>
    <cellStyle name="0_Capex &amp; Depreciation _RRST20 2" xfId="519"/>
    <cellStyle name="0_Capex &amp; Depreciation _RRST25" xfId="520"/>
    <cellStyle name="0_Capex &amp; Depreciation _RRST25 2" xfId="521"/>
    <cellStyle name="0_Capex &amp; Depreciation _RRST3" xfId="522"/>
    <cellStyle name="0_Capex &amp; Depreciation _RRST6" xfId="523"/>
    <cellStyle name="0_Capex &amp; Depreciation _RRST6 2" xfId="524"/>
    <cellStyle name="0_Capex &amp; Depreciation _RRST9" xfId="525"/>
    <cellStyle name="0_Capex &amp; Depreciation _RRST9 2" xfId="526"/>
    <cellStyle name="0_ConsensusPanel_v20080325 (2)" xfId="527"/>
    <cellStyle name="0_Copy of Model2018_AAC_(WIP) " xfId="528"/>
    <cellStyle name="0_geconsensusv1" xfId="529"/>
    <cellStyle name="0_Handset component data_Copy of Model2018_AAC_(WIP) " xfId="530"/>
    <cellStyle name="0_IV2" xfId="531"/>
    <cellStyle name="0_IV6" xfId="532"/>
    <cellStyle name="0_Japan Pension Module Sumitomo Chemical" xfId="533"/>
    <cellStyle name="0_JapaneseCatalog" xfId="534"/>
    <cellStyle name="0_MB-Mthly(1)" xfId="3740"/>
    <cellStyle name="0_MB-Mthly(1)_Exhibit NB QoQ" xfId="3741"/>
    <cellStyle name="0_MB-Mthly(1)_Exhibt NB MOM" xfId="3742"/>
    <cellStyle name="0_MB-Mthly(1)_MBNB shipments_20080909" xfId="3743"/>
    <cellStyle name="0_MB-Mthly(1)_MBNB shipments_20090309.wip" xfId="3744"/>
    <cellStyle name="0_MB-Mthly(1)_MBNB shipments_Dec06_wip" xfId="3745"/>
    <cellStyle name="0_MB-Mthly(1)_MBNB shipments_July07.wip" xfId="3746"/>
    <cellStyle name="0_MB-Mthly(1)_NB-Mthly(0)" xfId="3747"/>
    <cellStyle name="0_ROE2" xfId="535"/>
    <cellStyle name="0_ROE4" xfId="536"/>
    <cellStyle name="0_SmartChart_B1035" xfId="537"/>
    <cellStyle name="0_SmartChart_B1200" xfId="538"/>
    <cellStyle name="0_SmartChart_C1035" xfId="539"/>
    <cellStyle name="0_SmartChart_O1200" xfId="540"/>
    <cellStyle name="0_TWN Top 4 MB 5 NB" xfId="3748"/>
    <cellStyle name="0_TWN Top 4 MB 5 NB_Exhibit NB QoQ" xfId="3749"/>
    <cellStyle name="0_TWN Top 4 MB 5 NB_Exhibt NB MOM" xfId="3750"/>
    <cellStyle name="0_TWN Top 4 MB 5 NB_MBNB shipments_20080909" xfId="3751"/>
    <cellStyle name="0_TWN Top 4 MB 5 NB_MBNB shipments_20090309.wip" xfId="3752"/>
    <cellStyle name="0_TWN Top 4 MB 5 NB_MBNB shipments_Dec06_wip" xfId="3753"/>
    <cellStyle name="0_TWN Top 4 MB 5 NB_MBNB shipments_July07.wip" xfId="3754"/>
    <cellStyle name="0_Valuing BP " xfId="541"/>
    <cellStyle name="0_Valuing BP  2" xfId="542"/>
    <cellStyle name="0_Valuing BP  2 2" xfId="543"/>
    <cellStyle name="0_Valuing BP _RRST1" xfId="544"/>
    <cellStyle name="0_Valuing BP _RRST1 2" xfId="545"/>
    <cellStyle name="0_Valuing BP _RRST12" xfId="546"/>
    <cellStyle name="0_Valuing BP _RRST19" xfId="547"/>
    <cellStyle name="0_Valuing BP _RRST19 2" xfId="548"/>
    <cellStyle name="0_Valuing BP _RRST20" xfId="549"/>
    <cellStyle name="0_Valuing BP _RRST20 2" xfId="550"/>
    <cellStyle name="0_Valuing BP _RRST25" xfId="551"/>
    <cellStyle name="0_Valuing BP _RRST25 2" xfId="552"/>
    <cellStyle name="0_Valuing BP _RRST3" xfId="553"/>
    <cellStyle name="0_Valuing BP _RRST6" xfId="554"/>
    <cellStyle name="0_Valuing BP _RRST6 2" xfId="555"/>
    <cellStyle name="0_Valuing BP _RRST9" xfId="556"/>
    <cellStyle name="0_Valuing BP _RRST9 2" xfId="557"/>
    <cellStyle name="0_Vendor revenues_Copy of Model2018_AAC_(WIP) " xfId="558"/>
    <cellStyle name="0_Wireline Tel Forecast " xfId="559"/>
    <cellStyle name="0_Wireline Tel Forecast  2" xfId="560"/>
    <cellStyle name="0_Wireline Tel Forecast  2 2" xfId="561"/>
    <cellStyle name="0_WW NB DT PC &amp;TWN NB MB Qly" xfId="3755"/>
    <cellStyle name="0_WW NB DT PC &amp;TWN NB MB Qly_Exhibit NB QoQ" xfId="3756"/>
    <cellStyle name="0_WW NB DT PC &amp;TWN NB MB Qly_Exhibt NB MOM" xfId="3757"/>
    <cellStyle name="0_WW NB DT PC &amp;TWN NB MB Qly_MBNB shipments_20080909" xfId="3758"/>
    <cellStyle name="0_WW NB DT PC &amp;TWN NB MB Qly_MBNB shipments_20090309.wip" xfId="3759"/>
    <cellStyle name="0_WW NB DT PC &amp;TWN NB MB Qly_MBNB shipments_Dec06_wip" xfId="3760"/>
    <cellStyle name="0_WW NB DT PC &amp;TWN NB MB Qly_MBNB shipments_July07.wip" xfId="3761"/>
    <cellStyle name="0_Yardstick2012" xfId="562"/>
    <cellStyle name="1,comma" xfId="563"/>
    <cellStyle name="1,comma 2" xfId="564"/>
    <cellStyle name="1,comma 2 2" xfId="565"/>
    <cellStyle name="1,comma 2 2 2" xfId="566"/>
    <cellStyle name="1,comma 2 2 2 2" xfId="567"/>
    <cellStyle name="1,comma 2 2 3" xfId="568"/>
    <cellStyle name="1,comma 2 3" xfId="569"/>
    <cellStyle name="1,comma 2 3 2" xfId="570"/>
    <cellStyle name="1,comma 2 4" xfId="571"/>
    <cellStyle name="1,comma 3" xfId="572"/>
    <cellStyle name="1,comma 3 2" xfId="573"/>
    <cellStyle name="1,comma 3 2 2" xfId="574"/>
    <cellStyle name="1,comma 3 3" xfId="575"/>
    <cellStyle name="1,comma 4" xfId="576"/>
    <cellStyle name="1,comma 4 2" xfId="577"/>
    <cellStyle name="1,comma 5" xfId="578"/>
    <cellStyle name="1,comma 5 2" xfId="579"/>
    <cellStyle name="1,comma 6" xfId="580"/>
    <cellStyle name="1,comma 7" xfId="581"/>
    <cellStyle name="1,comma 7 2" xfId="582"/>
    <cellStyle name="1,comma 8" xfId="583"/>
    <cellStyle name="1,comma 8 2" xfId="584"/>
    <cellStyle name="¹eºÐA²_AIAIC°AuCoE² " xfId="585"/>
    <cellStyle name="20% - Accent1" xfId="586" builtinId="30" customBuiltin="1"/>
    <cellStyle name="20% - Accent1 2" xfId="587"/>
    <cellStyle name="20% - Accent1 2 2" xfId="588"/>
    <cellStyle name="20% - Accent1 2 3" xfId="3884"/>
    <cellStyle name="20% - Accent1 3" xfId="589"/>
    <cellStyle name="20% - Accent1 3 2" xfId="590"/>
    <cellStyle name="20% - Accent1 3 2 2" xfId="591"/>
    <cellStyle name="20% - Accent1 3 2 3" xfId="592"/>
    <cellStyle name="20% - Accent1 3 3" xfId="593"/>
    <cellStyle name="20% - Accent1 3 4" xfId="594"/>
    <cellStyle name="20% - Accent1 3 5" xfId="595"/>
    <cellStyle name="20% - Accent2" xfId="596" builtinId="34" customBuiltin="1"/>
    <cellStyle name="20% - Accent2 2" xfId="597"/>
    <cellStyle name="20% - Accent2 2 2" xfId="598"/>
    <cellStyle name="20% - Accent2 3" xfId="599"/>
    <cellStyle name="20% - Accent2 3 2" xfId="600"/>
    <cellStyle name="20% - Accent2 3 2 2" xfId="601"/>
    <cellStyle name="20% - Accent2 3 2 3" xfId="602"/>
    <cellStyle name="20% - Accent2 3 3" xfId="603"/>
    <cellStyle name="20% - Accent2 3 4" xfId="604"/>
    <cellStyle name="20% - Accent2 3 5" xfId="605"/>
    <cellStyle name="20% - Accent3" xfId="606" builtinId="38" customBuiltin="1"/>
    <cellStyle name="20% - Accent3 2" xfId="607"/>
    <cellStyle name="20% - Accent3 2 2" xfId="608"/>
    <cellStyle name="20% - Accent3 2 3" xfId="3885"/>
    <cellStyle name="20% - Accent3 3" xfId="609"/>
    <cellStyle name="20% - Accent3 3 2" xfId="610"/>
    <cellStyle name="20% - Accent3 3 3" xfId="611"/>
    <cellStyle name="20% - Accent3 3 4" xfId="612"/>
    <cellStyle name="20% - Accent3 4" xfId="613"/>
    <cellStyle name="20% - Accent3 5" xfId="614"/>
    <cellStyle name="20% - Accent3 6" xfId="615"/>
    <cellStyle name="20% - Accent4" xfId="616" builtinId="42" customBuiltin="1"/>
    <cellStyle name="20% - Accent4 2" xfId="617"/>
    <cellStyle name="20% - Accent4 2 2" xfId="618"/>
    <cellStyle name="20% - Accent4 3" xfId="619"/>
    <cellStyle name="20% - Accent4 3 2" xfId="620"/>
    <cellStyle name="20% - Accent4 3 2 2" xfId="621"/>
    <cellStyle name="20% - Accent4 3 2 3" xfId="622"/>
    <cellStyle name="20% - Accent4 3 3" xfId="623"/>
    <cellStyle name="20% - Accent4 3 4" xfId="624"/>
    <cellStyle name="20% - Accent4 3 5" xfId="625"/>
    <cellStyle name="20% - Accent5" xfId="626" builtinId="46" customBuiltin="1"/>
    <cellStyle name="20% - Accent5 2" xfId="627"/>
    <cellStyle name="20% - Accent5 2 2" xfId="628"/>
    <cellStyle name="20% - Accent5 3" xfId="629"/>
    <cellStyle name="20% - Accent5 3 2" xfId="630"/>
    <cellStyle name="20% - Accent5 3 2 2" xfId="631"/>
    <cellStyle name="20% - Accent5 3 2 3" xfId="632"/>
    <cellStyle name="20% - Accent5 3 3" xfId="633"/>
    <cellStyle name="20% - Accent5 3 4" xfId="634"/>
    <cellStyle name="20% - Accent5 3 5" xfId="635"/>
    <cellStyle name="20% - Accent6" xfId="636" builtinId="50" customBuiltin="1"/>
    <cellStyle name="20% - Accent6 2" xfId="637"/>
    <cellStyle name="20% - Accent6 2 2" xfId="638"/>
    <cellStyle name="20% - Accent6 2 3" xfId="3886"/>
    <cellStyle name="20% - Accent6 3" xfId="639"/>
    <cellStyle name="20% - Accent6 3 2" xfId="640"/>
    <cellStyle name="20% - Accent6 3 3" xfId="641"/>
    <cellStyle name="20% - Accent6 3 4" xfId="642"/>
    <cellStyle name="20% - Accent6 4" xfId="643"/>
    <cellStyle name="20% - Accent6 5" xfId="644"/>
    <cellStyle name="20% - Accent6 6" xfId="645"/>
    <cellStyle name="³f¹ô [0]_2311" xfId="3762"/>
    <cellStyle name="³f¹ô_2311" xfId="3763"/>
    <cellStyle name="40% - Accent1" xfId="646" builtinId="31" customBuiltin="1"/>
    <cellStyle name="40% - Accent1 2" xfId="647"/>
    <cellStyle name="40% - Accent1 2 2" xfId="648"/>
    <cellStyle name="40% - Accent1 2 3" xfId="3887"/>
    <cellStyle name="40% - Accent1 3" xfId="649"/>
    <cellStyle name="40% - Accent1 3 2" xfId="650"/>
    <cellStyle name="40% - Accent1 3 2 2" xfId="651"/>
    <cellStyle name="40% - Accent1 3 2 3" xfId="652"/>
    <cellStyle name="40% - Accent1 3 3" xfId="653"/>
    <cellStyle name="40% - Accent1 3 4" xfId="654"/>
    <cellStyle name="40% - Accent1 3 5" xfId="655"/>
    <cellStyle name="40% - Accent2" xfId="656" builtinId="35" customBuiltin="1"/>
    <cellStyle name="40% - Accent2 2" xfId="657"/>
    <cellStyle name="40% - Accent2 2 2" xfId="658"/>
    <cellStyle name="40% - Accent2 3" xfId="659"/>
    <cellStyle name="40% - Accent2 3 2" xfId="660"/>
    <cellStyle name="40% - Accent2 3 2 2" xfId="661"/>
    <cellStyle name="40% - Accent2 3 2 3" xfId="662"/>
    <cellStyle name="40% - Accent2 3 3" xfId="663"/>
    <cellStyle name="40% - Accent2 3 4" xfId="664"/>
    <cellStyle name="40% - Accent2 3 5" xfId="665"/>
    <cellStyle name="40% - Accent3" xfId="666" builtinId="39" customBuiltin="1"/>
    <cellStyle name="40% - Accent3 2" xfId="667"/>
    <cellStyle name="40% - Accent3 2 2" xfId="668"/>
    <cellStyle name="40% - Accent3 3" xfId="669"/>
    <cellStyle name="40% - Accent3 3 2" xfId="670"/>
    <cellStyle name="40% - Accent3 3 2 2" xfId="671"/>
    <cellStyle name="40% - Accent3 3 2 3" xfId="672"/>
    <cellStyle name="40% - Accent3 3 3" xfId="673"/>
    <cellStyle name="40% - Accent3 3 4" xfId="674"/>
    <cellStyle name="40% - Accent3 3 5" xfId="675"/>
    <cellStyle name="40% - Accent4" xfId="676" builtinId="43" customBuiltin="1"/>
    <cellStyle name="40% - Accent4 2" xfId="677"/>
    <cellStyle name="40% - Accent4 2 2" xfId="678"/>
    <cellStyle name="40% - Accent4 2 3" xfId="3888"/>
    <cellStyle name="40% - Accent4 3" xfId="679"/>
    <cellStyle name="40% - Accent4 3 2" xfId="680"/>
    <cellStyle name="40% - Accent4 3 2 2" xfId="681"/>
    <cellStyle name="40% - Accent4 3 2 3" xfId="682"/>
    <cellStyle name="40% - Accent4 3 3" xfId="683"/>
    <cellStyle name="40% - Accent4 3 4" xfId="684"/>
    <cellStyle name="40% - Accent4 3 5" xfId="685"/>
    <cellStyle name="40% - Accent5" xfId="686" builtinId="47" customBuiltin="1"/>
    <cellStyle name="40% - Accent5 2" xfId="687"/>
    <cellStyle name="40% - Accent5 2 2" xfId="688"/>
    <cellStyle name="40% - Accent5 2 3" xfId="3889"/>
    <cellStyle name="40% - Accent5 3" xfId="689"/>
    <cellStyle name="40% - Accent5 3 2" xfId="690"/>
    <cellStyle name="40% - Accent5 3 2 2" xfId="691"/>
    <cellStyle name="40% - Accent5 3 2 3" xfId="692"/>
    <cellStyle name="40% - Accent5 3 3" xfId="693"/>
    <cellStyle name="40% - Accent5 3 4" xfId="694"/>
    <cellStyle name="40% - Accent5 3 5" xfId="695"/>
    <cellStyle name="40% - Accent6" xfId="696" builtinId="51" customBuiltin="1"/>
    <cellStyle name="40% - Accent6 2" xfId="697"/>
    <cellStyle name="40% - Accent6 2 2" xfId="698"/>
    <cellStyle name="40% - Accent6 2 3" xfId="3890"/>
    <cellStyle name="40% - Accent6 3" xfId="699"/>
    <cellStyle name="40% - Accent6 3 2" xfId="700"/>
    <cellStyle name="40% - Accent6 3 2 2" xfId="701"/>
    <cellStyle name="40% - Accent6 3 2 3" xfId="702"/>
    <cellStyle name="40% - Accent6 3 3" xfId="703"/>
    <cellStyle name="40% - Accent6 3 4" xfId="704"/>
    <cellStyle name="40% - Accent6 3 5" xfId="705"/>
    <cellStyle name="60% - Accent1" xfId="706" builtinId="32" customBuiltin="1"/>
    <cellStyle name="60% - Accent1 2" xfId="707"/>
    <cellStyle name="60% - Accent1 2 2" xfId="708"/>
    <cellStyle name="60% - Accent1 2 3" xfId="3891"/>
    <cellStyle name="60% - Accent1 3" xfId="709"/>
    <cellStyle name="60% - Accent1 3 2" xfId="710"/>
    <cellStyle name="60% - Accent2" xfId="711" builtinId="36" customBuiltin="1"/>
    <cellStyle name="60% - Accent2 2" xfId="712"/>
    <cellStyle name="60% - Accent2 2 2" xfId="713"/>
    <cellStyle name="60% - Accent2 2 3" xfId="3892"/>
    <cellStyle name="60% - Accent2 3" xfId="714"/>
    <cellStyle name="60% - Accent2 3 2" xfId="715"/>
    <cellStyle name="60% - Accent3" xfId="716" builtinId="40" customBuiltin="1"/>
    <cellStyle name="60% - Accent3 2" xfId="717"/>
    <cellStyle name="60% - Accent3 2 2" xfId="718"/>
    <cellStyle name="60% - Accent3 2 3" xfId="3893"/>
    <cellStyle name="60% - Accent3 3" xfId="719"/>
    <cellStyle name="60% - Accent3 3 2" xfId="720"/>
    <cellStyle name="60% - Accent4" xfId="721" builtinId="44" customBuiltin="1"/>
    <cellStyle name="60% - Accent4 2" xfId="722"/>
    <cellStyle name="60% - Accent4 2 2" xfId="723"/>
    <cellStyle name="60% - Accent4 2 3" xfId="3894"/>
    <cellStyle name="60% - Accent4 3" xfId="724"/>
    <cellStyle name="60% - Accent4 3 2" xfId="725"/>
    <cellStyle name="60% - Accent5" xfId="726" builtinId="48" customBuiltin="1"/>
    <cellStyle name="60% - Accent5 2" xfId="727"/>
    <cellStyle name="60% - Accent5 2 2" xfId="728"/>
    <cellStyle name="60% - Accent5 2 3" xfId="3895"/>
    <cellStyle name="60% - Accent5 3" xfId="729"/>
    <cellStyle name="60% - Accent5 3 2" xfId="730"/>
    <cellStyle name="60% - Accent6" xfId="731" builtinId="52" customBuiltin="1"/>
    <cellStyle name="60% - Accent6 2" xfId="732"/>
    <cellStyle name="60% - Accent6 2 2" xfId="733"/>
    <cellStyle name="60% - Accent6 2 3" xfId="3896"/>
    <cellStyle name="60% - Accent6 3" xfId="734"/>
    <cellStyle name="60% - Accent6 3 2" xfId="735"/>
    <cellStyle name="752131" xfId="736"/>
    <cellStyle name="752131 2" xfId="737"/>
    <cellStyle name="A¨­￠￢￠O [0]_¨oCAuCoEⓒ÷ " xfId="738"/>
    <cellStyle name="A¨­￠￢￠O_¨oCAuCoEⓒ÷ " xfId="739"/>
    <cellStyle name="Accent1" xfId="740" builtinId="29" customBuiltin="1"/>
    <cellStyle name="Accent1 2" xfId="741"/>
    <cellStyle name="Accent1 2 2" xfId="742"/>
    <cellStyle name="Accent1 2 3" xfId="3897"/>
    <cellStyle name="Accent1 3" xfId="743"/>
    <cellStyle name="Accent1 3 2" xfId="744"/>
    <cellStyle name="Accent2" xfId="745" builtinId="33" customBuiltin="1"/>
    <cellStyle name="Accent2 2" xfId="746"/>
    <cellStyle name="Accent2 2 2" xfId="747"/>
    <cellStyle name="Accent2 2 3" xfId="3898"/>
    <cellStyle name="Accent2 3" xfId="748"/>
    <cellStyle name="Accent2 3 2" xfId="749"/>
    <cellStyle name="Accent3" xfId="750" builtinId="37" customBuiltin="1"/>
    <cellStyle name="Accent3 2" xfId="751"/>
    <cellStyle name="Accent3 2 2" xfId="752"/>
    <cellStyle name="Accent3 2 3" xfId="3899"/>
    <cellStyle name="Accent3 3" xfId="753"/>
    <cellStyle name="Accent3 3 2" xfId="754"/>
    <cellStyle name="Accent4" xfId="755" builtinId="41" customBuiltin="1"/>
    <cellStyle name="Accent4 2" xfId="756"/>
    <cellStyle name="Accent4 3" xfId="757"/>
    <cellStyle name="Accent4 3 2" xfId="758"/>
    <cellStyle name="Accent5" xfId="759" builtinId="45" customBuiltin="1"/>
    <cellStyle name="Accent5 2" xfId="760"/>
    <cellStyle name="Accent5 3" xfId="761"/>
    <cellStyle name="Accent5 3 2" xfId="762"/>
    <cellStyle name="Accent6" xfId="763" builtinId="49" customBuiltin="1"/>
    <cellStyle name="Accent6 2" xfId="764"/>
    <cellStyle name="Accent6 2 2" xfId="765"/>
    <cellStyle name="Accent6 2 3" xfId="3900"/>
    <cellStyle name="Accent6 3" xfId="766"/>
    <cellStyle name="Accent6 3 2" xfId="767"/>
    <cellStyle name="Acctg" xfId="768"/>
    <cellStyle name="ActgNumber" xfId="769"/>
    <cellStyle name="ActgNumber 2" xfId="770"/>
    <cellStyle name="AeE­ [0]_¼oAa½CAu " xfId="771"/>
    <cellStyle name="ÅëÈ­ [0]_cover " xfId="772"/>
    <cellStyle name="AeE­ [0]_INQUIRY ¿μ¾÷AßAø " xfId="773"/>
    <cellStyle name="AeE­_¼oAa½CAu " xfId="774"/>
    <cellStyle name="ÅëÈ­_cover " xfId="775"/>
    <cellStyle name="AeE­_INQUIRY ¿μ¾÷AßAø " xfId="776"/>
    <cellStyle name="AeE¡ⓒ [0]_¨oCAuCoEⓒ÷ " xfId="777"/>
    <cellStyle name="AeE¡ⓒ_¨oCAuCoEⓒ÷ " xfId="778"/>
    <cellStyle name="AFE" xfId="779"/>
    <cellStyle name="ales" xfId="780"/>
    <cellStyle name="Analyst Name" xfId="3764"/>
    <cellStyle name="AÞ¸¶ [0]_¼oAa½CAu " xfId="781"/>
    <cellStyle name="ÄÞ¸¶ [0]_cover " xfId="782"/>
    <cellStyle name="AÞ¸¶ [0]_INQUIRY ¿μ¾÷AßAø " xfId="783"/>
    <cellStyle name="AÞ¸¶_¼oAa½CAu " xfId="784"/>
    <cellStyle name="ÄÞ¸¶_cover " xfId="785"/>
    <cellStyle name="AÞ¸¶_INQUIRY ¿μ¾÷AßAø " xfId="786"/>
    <cellStyle name="Availability" xfId="3765"/>
    <cellStyle name="_x0001_b" xfId="787"/>
    <cellStyle name="Background" xfId="3766"/>
    <cellStyle name="Bad" xfId="788" builtinId="27" customBuiltin="1"/>
    <cellStyle name="Bad 2" xfId="789"/>
    <cellStyle name="Bad 2 2" xfId="790"/>
    <cellStyle name="Bad 2 3" xfId="3901"/>
    <cellStyle name="Bad 3" xfId="791"/>
    <cellStyle name="Bad 3 2" xfId="792"/>
    <cellStyle name="Bad 3 3" xfId="793"/>
    <cellStyle name="Balance Sheet" xfId="794"/>
    <cellStyle name="BalanceSheet" xfId="795"/>
    <cellStyle name="Band 2" xfId="796"/>
    <cellStyle name="Band 2 2" xfId="797"/>
    <cellStyle name="Band 2 3" xfId="3585"/>
    <cellStyle name="big-font" xfId="798"/>
    <cellStyle name="Blue" xfId="799"/>
    <cellStyle name="Blue 2" xfId="800"/>
    <cellStyle name="BLuedashZero" xfId="3767"/>
    <cellStyle name="Body" xfId="801"/>
    <cellStyle name="Bold/Border" xfId="802"/>
    <cellStyle name="Border, Bottom" xfId="803"/>
    <cellStyle name="Border, Left" xfId="804"/>
    <cellStyle name="Border, Left 2" xfId="805"/>
    <cellStyle name="Border, Left 3" xfId="3945"/>
    <cellStyle name="Border, Right" xfId="806"/>
    <cellStyle name="Border, Top" xfId="807"/>
    <cellStyle name="bottom-title" xfId="808"/>
    <cellStyle name="Bullet" xfId="809"/>
    <cellStyle name="Bullet 2" xfId="810"/>
    <cellStyle name="C?AØ_laroux_1ON" xfId="3768"/>
    <cellStyle name="c_HardInc" xfId="811"/>
    <cellStyle name="c_HardInc " xfId="812"/>
    <cellStyle name="c_HardInc  2" xfId="813"/>
    <cellStyle name="c_HardInc  2 2" xfId="814"/>
    <cellStyle name="c_HardInc _Catalog" xfId="815"/>
    <cellStyle name="c_HardInc _JapaneseCatalog" xfId="816"/>
    <cellStyle name="c_HardInc _RRST1" xfId="817"/>
    <cellStyle name="c_HardInc _RRST1 2" xfId="818"/>
    <cellStyle name="c_HardInc _RRST12" xfId="819"/>
    <cellStyle name="c_HardInc _RRST19" xfId="820"/>
    <cellStyle name="c_HardInc _RRST19 2" xfId="821"/>
    <cellStyle name="c_HardInc _RRST20" xfId="822"/>
    <cellStyle name="c_HardInc _RRST20 2" xfId="823"/>
    <cellStyle name="c_HardInc _RRST25" xfId="824"/>
    <cellStyle name="c_HardInc _RRST25 2" xfId="825"/>
    <cellStyle name="c_HardInc _RRST3" xfId="826"/>
    <cellStyle name="c_HardInc _RRST6" xfId="827"/>
    <cellStyle name="c_HardInc _RRST6 2" xfId="828"/>
    <cellStyle name="c_HardInc _RRST9" xfId="829"/>
    <cellStyle name="c_HardInc _RRST9 2" xfId="830"/>
    <cellStyle name="C¡IA¨ª_¡ic¨u¡A¨￢I¨￢¡Æ AN¡Æe " xfId="831"/>
    <cellStyle name="C￥AØ_  FAB AIA¤  " xfId="832"/>
    <cellStyle name="Ç¥ÁØ_»ç¾÷ºÎº° ÃÑ°è " xfId="833"/>
    <cellStyle name="C￥AØ_≫c¾÷ºIº° AN°e " xfId="834"/>
    <cellStyle name="Ç¥ÁØ_0N-HANDLING " xfId="835"/>
    <cellStyle name="C￥AØ_¼±AoAc°i_1_³≫ºI°eE¹´e AßA¤A÷AI " xfId="836"/>
    <cellStyle name="Ç¥ÁØ_5-1±¤°í " xfId="837"/>
    <cellStyle name="C￥AØ_5-1±¤°i _6RCB1 " xfId="838"/>
    <cellStyle name="Ç¥ÁØ_Áý°èÇ¥(2¿ù) " xfId="839"/>
    <cellStyle name="C￥AØ_CoAo¹yAI °A¾×¿ⓒ½A " xfId="840"/>
    <cellStyle name="Ç¥ÁØ_cover " xfId="841"/>
    <cellStyle name="C05_Style E Text" xfId="842"/>
    <cellStyle name="Calc Currency (0)" xfId="843"/>
    <cellStyle name="Calculation" xfId="844" builtinId="22" customBuiltin="1"/>
    <cellStyle name="Calculation 2" xfId="845"/>
    <cellStyle name="Calculation 2 2" xfId="846"/>
    <cellStyle name="Calculation 2 3" xfId="3902"/>
    <cellStyle name="Calculation 3" xfId="847"/>
    <cellStyle name="Calculation 3 2" xfId="848"/>
    <cellStyle name="CashFlow" xfId="849"/>
    <cellStyle name="Cents" xfId="850"/>
    <cellStyle name="Cents 2" xfId="851"/>
    <cellStyle name="Cents 3" xfId="3769"/>
    <cellStyle name="Change" xfId="852"/>
    <cellStyle name="Changeable" xfId="853"/>
    <cellStyle name="ChartingText" xfId="854"/>
    <cellStyle name="Check Cell" xfId="855" builtinId="23" customBuiltin="1"/>
    <cellStyle name="Check Cell 2" xfId="856"/>
    <cellStyle name="Check Cell 3" xfId="857"/>
    <cellStyle name="Check Cell 3 2" xfId="858"/>
    <cellStyle name="CHPAboveAverage" xfId="859"/>
    <cellStyle name="CHPBelowAverage" xfId="860"/>
    <cellStyle name="CHPBottom" xfId="861"/>
    <cellStyle name="CHPTop" xfId="862"/>
    <cellStyle name="Colhead_left" xfId="863"/>
    <cellStyle name="ColHeading" xfId="3770"/>
    <cellStyle name="ColumnHeaderNormal" xfId="864"/>
    <cellStyle name="ColumnHeadings" xfId="865"/>
    <cellStyle name="ColumnHeadings2" xfId="866"/>
    <cellStyle name="Comma" xfId="867" builtinId="3"/>
    <cellStyle name="Comma  - Style1" xfId="868"/>
    <cellStyle name="Comma  - Style1 2" xfId="3771"/>
    <cellStyle name="Comma  - Style2" xfId="869"/>
    <cellStyle name="Comma  - Style2 2" xfId="870"/>
    <cellStyle name="Comma  - Style2 3" xfId="3772"/>
    <cellStyle name="Comma  - Style3" xfId="871"/>
    <cellStyle name="Comma  - Style3 2" xfId="872"/>
    <cellStyle name="Comma  - Style3 3" xfId="3773"/>
    <cellStyle name="Comma  - Style4" xfId="873"/>
    <cellStyle name="Comma  - Style4 2" xfId="874"/>
    <cellStyle name="Comma  - Style4 3" xfId="3774"/>
    <cellStyle name="Comma  - Style5" xfId="875"/>
    <cellStyle name="Comma  - Style5 2" xfId="876"/>
    <cellStyle name="Comma  - Style5 3" xfId="3775"/>
    <cellStyle name="Comma  - Style6" xfId="877"/>
    <cellStyle name="Comma  - Style6 2" xfId="878"/>
    <cellStyle name="Comma  - Style6 3" xfId="3776"/>
    <cellStyle name="Comma  - Style7" xfId="879"/>
    <cellStyle name="Comma  - Style7 2" xfId="880"/>
    <cellStyle name="Comma  - Style7 3" xfId="3777"/>
    <cellStyle name="Comma  - Style8" xfId="881"/>
    <cellStyle name="Comma  - Style8 2" xfId="882"/>
    <cellStyle name="Comma  - Style8 3" xfId="3778"/>
    <cellStyle name="Comma (1)" xfId="883"/>
    <cellStyle name="Comma [1]" xfId="884"/>
    <cellStyle name="Comma [2]" xfId="885"/>
    <cellStyle name="Comma 10" xfId="886"/>
    <cellStyle name="Comma 10 2" xfId="887"/>
    <cellStyle name="Comma 10 2 2" xfId="888"/>
    <cellStyle name="Comma 10 2 2 2" xfId="889"/>
    <cellStyle name="Comma 10 2 3" xfId="890"/>
    <cellStyle name="Comma 10 2 3 2" xfId="891"/>
    <cellStyle name="Comma 10 3" xfId="892"/>
    <cellStyle name="Comma 10 3 2" xfId="893"/>
    <cellStyle name="Comma 10 3 2 2" xfId="894"/>
    <cellStyle name="Comma 10 3 3" xfId="895"/>
    <cellStyle name="Comma 10 4" xfId="896"/>
    <cellStyle name="Comma 10 4 2" xfId="897"/>
    <cellStyle name="Comma 10 4 3" xfId="898"/>
    <cellStyle name="Comma 10 5" xfId="899"/>
    <cellStyle name="Comma 10 5 2" xfId="900"/>
    <cellStyle name="Comma 10 5 3" xfId="901"/>
    <cellStyle name="Comma 10 5 4" xfId="902"/>
    <cellStyle name="Comma 10 5 5" xfId="3903"/>
    <cellStyle name="Comma 100" xfId="903"/>
    <cellStyle name="Comma 101" xfId="904"/>
    <cellStyle name="Comma 102" xfId="905"/>
    <cellStyle name="Comma 103" xfId="906"/>
    <cellStyle name="Comma 104" xfId="907"/>
    <cellStyle name="Comma 105" xfId="908"/>
    <cellStyle name="Comma 106" xfId="909"/>
    <cellStyle name="Comma 107" xfId="910"/>
    <cellStyle name="Comma 108" xfId="911"/>
    <cellStyle name="Comma 109" xfId="912"/>
    <cellStyle name="Comma 11" xfId="913"/>
    <cellStyle name="Comma 11 2" xfId="914"/>
    <cellStyle name="Comma 11 2 2" xfId="915"/>
    <cellStyle name="Comma 11 2 2 2" xfId="916"/>
    <cellStyle name="Comma 11 2 3" xfId="917"/>
    <cellStyle name="Comma 11 3" xfId="918"/>
    <cellStyle name="Comma 11 3 2" xfId="919"/>
    <cellStyle name="Comma 11 3 2 2" xfId="920"/>
    <cellStyle name="Comma 11 3 3" xfId="921"/>
    <cellStyle name="Comma 11 4" xfId="922"/>
    <cellStyle name="Comma 11 4 2" xfId="923"/>
    <cellStyle name="Comma 11 5" xfId="924"/>
    <cellStyle name="Comma 110" xfId="925"/>
    <cellStyle name="Comma 111" xfId="926"/>
    <cellStyle name="Comma 112" xfId="927"/>
    <cellStyle name="Comma 113" xfId="928"/>
    <cellStyle name="Comma 114" xfId="929"/>
    <cellStyle name="Comma 115" xfId="930"/>
    <cellStyle name="Comma 116" xfId="931"/>
    <cellStyle name="Comma 117" xfId="932"/>
    <cellStyle name="Comma 118" xfId="933"/>
    <cellStyle name="Comma 119" xfId="934"/>
    <cellStyle name="Comma 12" xfId="935"/>
    <cellStyle name="Comma 12 2" xfId="936"/>
    <cellStyle name="Comma 12 2 2" xfId="937"/>
    <cellStyle name="Comma 12 3" xfId="938"/>
    <cellStyle name="Comma 120" xfId="939"/>
    <cellStyle name="Comma 121" xfId="940"/>
    <cellStyle name="Comma 122" xfId="941"/>
    <cellStyle name="Comma 123" xfId="3574"/>
    <cellStyle name="Comma 124" xfId="3954"/>
    <cellStyle name="Comma 13" xfId="942"/>
    <cellStyle name="Comma 13 2" xfId="943"/>
    <cellStyle name="Comma 13 2 2" xfId="944"/>
    <cellStyle name="Comma 13 3" xfId="945"/>
    <cellStyle name="Comma 14" xfId="946"/>
    <cellStyle name="Comma 14 2" xfId="947"/>
    <cellStyle name="Comma 14 2 2" xfId="948"/>
    <cellStyle name="Comma 14 3" xfId="949"/>
    <cellStyle name="Comma 15" xfId="950"/>
    <cellStyle name="Comma 15 2" xfId="951"/>
    <cellStyle name="Comma 15 2 2" xfId="952"/>
    <cellStyle name="Comma 15 3" xfId="953"/>
    <cellStyle name="Comma 16" xfId="954"/>
    <cellStyle name="Comma 16 2" xfId="955"/>
    <cellStyle name="Comma 16 2 2" xfId="956"/>
    <cellStyle name="Comma 16 3" xfId="957"/>
    <cellStyle name="Comma 17" xfId="958"/>
    <cellStyle name="Comma 17 2" xfId="959"/>
    <cellStyle name="Comma 17 2 2" xfId="960"/>
    <cellStyle name="Comma 17 2 2 2" xfId="961"/>
    <cellStyle name="Comma 17 2 3" xfId="962"/>
    <cellStyle name="Comma 17 3" xfId="963"/>
    <cellStyle name="Comma 17 3 2" xfId="964"/>
    <cellStyle name="Comma 17 4" xfId="965"/>
    <cellStyle name="Comma 18" xfId="966"/>
    <cellStyle name="Comma 18 2" xfId="967"/>
    <cellStyle name="Comma 18 2 2" xfId="968"/>
    <cellStyle name="Comma 18 2 2 2" xfId="969"/>
    <cellStyle name="Comma 18 2 3" xfId="970"/>
    <cellStyle name="Comma 18 3" xfId="971"/>
    <cellStyle name="Comma 18 3 2" xfId="972"/>
    <cellStyle name="Comma 18 4" xfId="973"/>
    <cellStyle name="Comma 19" xfId="974"/>
    <cellStyle name="Comma 19 2" xfId="975"/>
    <cellStyle name="Comma 19 2 2" xfId="976"/>
    <cellStyle name="Comma 19 2 2 2" xfId="977"/>
    <cellStyle name="Comma 19 2 3" xfId="978"/>
    <cellStyle name="Comma 19 3" xfId="979"/>
    <cellStyle name="Comma 19 3 2" xfId="980"/>
    <cellStyle name="Comma 19 4" xfId="981"/>
    <cellStyle name="Comma 19 4 2" xfId="982"/>
    <cellStyle name="Comma 19 4 2 2" xfId="983"/>
    <cellStyle name="Comma 19 4 2 2 2" xfId="984"/>
    <cellStyle name="Comma 19 4 2 2 3" xfId="985"/>
    <cellStyle name="Comma 19 4 2 3" xfId="986"/>
    <cellStyle name="Comma 19 4 2 4" xfId="987"/>
    <cellStyle name="Comma 19 4 3" xfId="988"/>
    <cellStyle name="Comma 19 4 3 2" xfId="989"/>
    <cellStyle name="Comma 19 4 3 3" xfId="990"/>
    <cellStyle name="Comma 19 4 4" xfId="991"/>
    <cellStyle name="Comma 19 4 5" xfId="992"/>
    <cellStyle name="Comma 19 4 6" xfId="993"/>
    <cellStyle name="Comma 19 5" xfId="994"/>
    <cellStyle name="Comma 19 5 2" xfId="995"/>
    <cellStyle name="Comma 19 5 2 2" xfId="996"/>
    <cellStyle name="Comma 19 5 2 3" xfId="997"/>
    <cellStyle name="Comma 19 5 3" xfId="998"/>
    <cellStyle name="Comma 19 5 4" xfId="999"/>
    <cellStyle name="Comma 19 6" xfId="1000"/>
    <cellStyle name="Comma 19 6 2" xfId="1001"/>
    <cellStyle name="Comma 19 6 3" xfId="1002"/>
    <cellStyle name="Comma 19 7" xfId="1003"/>
    <cellStyle name="Comma 19 7 2" xfId="1004"/>
    <cellStyle name="Comma 2" xfId="1005"/>
    <cellStyle name="Comma 2 2" xfId="1006"/>
    <cellStyle name="Comma 2 2 2" xfId="1007"/>
    <cellStyle name="Comma 2 2 3" xfId="1008"/>
    <cellStyle name="Comma 2 2 3 2" xfId="3904"/>
    <cellStyle name="Comma 2 2 4" xfId="3577"/>
    <cellStyle name="Comma 2 3" xfId="1009"/>
    <cellStyle name="Comma 2 3 2" xfId="1010"/>
    <cellStyle name="Comma 2 3 2 2" xfId="1011"/>
    <cellStyle name="Comma 2 3 3" xfId="1012"/>
    <cellStyle name="Comma 2 3 4" xfId="3862"/>
    <cellStyle name="Comma 2 4" xfId="1013"/>
    <cellStyle name="Comma 2 4 2" xfId="1014"/>
    <cellStyle name="Comma 2_Exhibits" xfId="1015"/>
    <cellStyle name="Comma 20" xfId="1016"/>
    <cellStyle name="Comma 20 2" xfId="1017"/>
    <cellStyle name="Comma 20 2 2" xfId="1018"/>
    <cellStyle name="Comma 20 3" xfId="1019"/>
    <cellStyle name="Comma 21" xfId="1020"/>
    <cellStyle name="Comma 21 2" xfId="1021"/>
    <cellStyle name="Comma 21 2 2" xfId="1022"/>
    <cellStyle name="Comma 21 3" xfId="1023"/>
    <cellStyle name="Comma 22" xfId="1024"/>
    <cellStyle name="Comma 22 2" xfId="1025"/>
    <cellStyle name="Comma 22 2 2" xfId="1026"/>
    <cellStyle name="Comma 22 3" xfId="1027"/>
    <cellStyle name="Comma 23" xfId="1028"/>
    <cellStyle name="Comma 23 2" xfId="1029"/>
    <cellStyle name="Comma 23 2 2" xfId="1030"/>
    <cellStyle name="Comma 23 3" xfId="1031"/>
    <cellStyle name="Comma 24" xfId="1032"/>
    <cellStyle name="Comma 24 2" xfId="1033"/>
    <cellStyle name="Comma 24 2 2" xfId="1034"/>
    <cellStyle name="Comma 24 3" xfId="1035"/>
    <cellStyle name="Comma 24 4" xfId="3860"/>
    <cellStyle name="Comma 25" xfId="1036"/>
    <cellStyle name="Comma 25 2" xfId="1037"/>
    <cellStyle name="Comma 25 2 2" xfId="1038"/>
    <cellStyle name="Comma 25 3" xfId="1039"/>
    <cellStyle name="Comma 25 4" xfId="3868"/>
    <cellStyle name="Comma 26" xfId="1040"/>
    <cellStyle name="Comma 26 2" xfId="1041"/>
    <cellStyle name="Comma 26 2 2" xfId="1042"/>
    <cellStyle name="Comma 26 3" xfId="1043"/>
    <cellStyle name="Comma 26 4" xfId="3859"/>
    <cellStyle name="Comma 27" xfId="1044"/>
    <cellStyle name="Comma 27 2" xfId="1045"/>
    <cellStyle name="Comma 27 2 2" xfId="1046"/>
    <cellStyle name="Comma 27 3" xfId="1047"/>
    <cellStyle name="Comma 27 4" xfId="3869"/>
    <cellStyle name="Comma 28" xfId="1048"/>
    <cellStyle name="Comma 28 2" xfId="1049"/>
    <cellStyle name="Comma 28 2 2" xfId="1050"/>
    <cellStyle name="Comma 28 3" xfId="1051"/>
    <cellStyle name="Comma 28 4" xfId="3866"/>
    <cellStyle name="Comma 29" xfId="1052"/>
    <cellStyle name="Comma 29 2" xfId="1053"/>
    <cellStyle name="Comma 29 2 2" xfId="1054"/>
    <cellStyle name="Comma 29 3" xfId="1055"/>
    <cellStyle name="Comma 29 4" xfId="3864"/>
    <cellStyle name="Comma 3" xfId="1056"/>
    <cellStyle name="Comma 3 2" xfId="1057"/>
    <cellStyle name="Comma 3 2 2" xfId="1058"/>
    <cellStyle name="Comma 3 2 2 2" xfId="1059"/>
    <cellStyle name="Comma 3 2 3" xfId="1060"/>
    <cellStyle name="Comma 3 2 4" xfId="1061"/>
    <cellStyle name="Comma 3 2 4 2" xfId="3905"/>
    <cellStyle name="Comma 3 3" xfId="1062"/>
    <cellStyle name="Comma 3 3 2" xfId="1063"/>
    <cellStyle name="Comma 3 4" xfId="1064"/>
    <cellStyle name="Comma 3 4 2" xfId="1065"/>
    <cellStyle name="Comma 3 4 3" xfId="1066"/>
    <cellStyle name="Comma 3 5" xfId="1067"/>
    <cellStyle name="Comma 3 5 2" xfId="1068"/>
    <cellStyle name="Comma 3 5 3" xfId="1069"/>
    <cellStyle name="Comma 3 6" xfId="3578"/>
    <cellStyle name="Comma 30" xfId="1070"/>
    <cellStyle name="Comma 30 2" xfId="1071"/>
    <cellStyle name="Comma 31" xfId="1072"/>
    <cellStyle name="Comma 31 2" xfId="1073"/>
    <cellStyle name="Comma 32" xfId="1074"/>
    <cellStyle name="Comma 32 2" xfId="1075"/>
    <cellStyle name="Comma 33" xfId="1076"/>
    <cellStyle name="Comma 33 2" xfId="1077"/>
    <cellStyle name="Comma 34" xfId="1078"/>
    <cellStyle name="Comma 34 2" xfId="1079"/>
    <cellStyle name="Comma 35" xfId="1080"/>
    <cellStyle name="Comma 35 2" xfId="1081"/>
    <cellStyle name="Comma 36" xfId="1082"/>
    <cellStyle name="Comma 36 2" xfId="1083"/>
    <cellStyle name="Comma 37" xfId="1084"/>
    <cellStyle name="Comma 37 2" xfId="1085"/>
    <cellStyle name="Comma 38" xfId="1086"/>
    <cellStyle name="Comma 38 2" xfId="1087"/>
    <cellStyle name="Comma 38 2 2" xfId="1088"/>
    <cellStyle name="Comma 38 3" xfId="1089"/>
    <cellStyle name="Comma 39" xfId="1090"/>
    <cellStyle name="Comma 39 2" xfId="1091"/>
    <cellStyle name="Comma 39 2 2" xfId="1092"/>
    <cellStyle name="Comma 39 3" xfId="1093"/>
    <cellStyle name="Comma 4" xfId="1094"/>
    <cellStyle name="Comma 4 2" xfId="1095"/>
    <cellStyle name="Comma 4 2 2" xfId="1096"/>
    <cellStyle name="Comma 4 2 2 2" xfId="1097"/>
    <cellStyle name="Comma 4 2 3" xfId="1098"/>
    <cellStyle name="Comma 4 2 4" xfId="1099"/>
    <cellStyle name="Comma 4 3" xfId="1100"/>
    <cellStyle name="Comma 4 3 2" xfId="1101"/>
    <cellStyle name="Comma 4 4" xfId="1102"/>
    <cellStyle name="Comma 4 4 2" xfId="1103"/>
    <cellStyle name="Comma 4 5" xfId="3579"/>
    <cellStyle name="Comma 40" xfId="1104"/>
    <cellStyle name="Comma 40 2" xfId="1105"/>
    <cellStyle name="Comma 40 2 2" xfId="1106"/>
    <cellStyle name="Comma 40 3" xfId="1107"/>
    <cellStyle name="Comma 41" xfId="1108"/>
    <cellStyle name="Comma 41 2" xfId="1109"/>
    <cellStyle name="Comma 42" xfId="1110"/>
    <cellStyle name="Comma 42 2" xfId="1111"/>
    <cellStyle name="Comma 42 3" xfId="1112"/>
    <cellStyle name="Comma 42 4" xfId="1113"/>
    <cellStyle name="Comma 42 4 2" xfId="1114"/>
    <cellStyle name="Comma 42 4 3" xfId="1115"/>
    <cellStyle name="Comma 42 5" xfId="1116"/>
    <cellStyle name="Comma 42 6" xfId="1117"/>
    <cellStyle name="Comma 42 7" xfId="1118"/>
    <cellStyle name="Comma 43" xfId="1119"/>
    <cellStyle name="Comma 43 2" xfId="1120"/>
    <cellStyle name="Comma 43 3" xfId="1121"/>
    <cellStyle name="Comma 43 4" xfId="1122"/>
    <cellStyle name="Comma 43 4 2" xfId="1123"/>
    <cellStyle name="Comma 43 4 3" xfId="1124"/>
    <cellStyle name="Comma 43 5" xfId="1125"/>
    <cellStyle name="Comma 43 6" xfId="1126"/>
    <cellStyle name="Comma 43 7" xfId="1127"/>
    <cellStyle name="Comma 44" xfId="1128"/>
    <cellStyle name="Comma 44 2" xfId="1129"/>
    <cellStyle name="Comma 45" xfId="1130"/>
    <cellStyle name="Comma 45 2" xfId="1131"/>
    <cellStyle name="Comma 46" xfId="1132"/>
    <cellStyle name="Comma 46 2" xfId="1133"/>
    <cellStyle name="Comma 47" xfId="1134"/>
    <cellStyle name="Comma 47 2" xfId="1135"/>
    <cellStyle name="Comma 48" xfId="1136"/>
    <cellStyle name="Comma 48 2" xfId="1137"/>
    <cellStyle name="Comma 49" xfId="1138"/>
    <cellStyle name="Comma 49 2" xfId="1139"/>
    <cellStyle name="Comma 5" xfId="1140"/>
    <cellStyle name="Comma 5 2" xfId="1141"/>
    <cellStyle name="Comma 5 2 2" xfId="1142"/>
    <cellStyle name="Comma 5 2 2 2" xfId="1143"/>
    <cellStyle name="Comma 5 2 3" xfId="1144"/>
    <cellStyle name="Comma 5 3" xfId="1145"/>
    <cellStyle name="Comma 5 3 2" xfId="1146"/>
    <cellStyle name="Comma 5 4" xfId="1147"/>
    <cellStyle name="Comma 5 4 2" xfId="1148"/>
    <cellStyle name="Comma 50" xfId="1149"/>
    <cellStyle name="Comma 50 2" xfId="1150"/>
    <cellStyle name="Comma 51" xfId="1151"/>
    <cellStyle name="Comma 51 2" xfId="1152"/>
    <cellStyle name="Comma 52" xfId="1153"/>
    <cellStyle name="Comma 52 2" xfId="1154"/>
    <cellStyle name="Comma 52 3" xfId="1155"/>
    <cellStyle name="Comma 52 3 2" xfId="1156"/>
    <cellStyle name="Comma 53" xfId="1157"/>
    <cellStyle name="Comma 53 2" xfId="1158"/>
    <cellStyle name="Comma 53 3" xfId="1159"/>
    <cellStyle name="Comma 53 3 2" xfId="1160"/>
    <cellStyle name="Comma 54" xfId="1161"/>
    <cellStyle name="Comma 54 2" xfId="1162"/>
    <cellStyle name="Comma 54 3" xfId="1163"/>
    <cellStyle name="Comma 54 3 2" xfId="1164"/>
    <cellStyle name="Comma 55" xfId="1165"/>
    <cellStyle name="Comma 55 2" xfId="1166"/>
    <cellStyle name="Comma 55 3" xfId="1167"/>
    <cellStyle name="Comma 55 3 2" xfId="1168"/>
    <cellStyle name="Comma 56" xfId="1169"/>
    <cellStyle name="Comma 56 2" xfId="1170"/>
    <cellStyle name="Comma 56 3" xfId="1171"/>
    <cellStyle name="Comma 56 3 2" xfId="1172"/>
    <cellStyle name="Comma 57" xfId="1173"/>
    <cellStyle name="Comma 57 2" xfId="1174"/>
    <cellStyle name="Comma 57 3" xfId="1175"/>
    <cellStyle name="Comma 57 3 2" xfId="1176"/>
    <cellStyle name="Comma 58" xfId="1177"/>
    <cellStyle name="Comma 58 2" xfId="1178"/>
    <cellStyle name="Comma 58 3" xfId="1179"/>
    <cellStyle name="Comma 58 3 2" xfId="1180"/>
    <cellStyle name="Comma 59" xfId="1181"/>
    <cellStyle name="Comma 59 2" xfId="1182"/>
    <cellStyle name="Comma 6" xfId="1183"/>
    <cellStyle name="Comma 6 2" xfId="1184"/>
    <cellStyle name="Comma 6 2 2" xfId="1185"/>
    <cellStyle name="Comma 6 2 2 2" xfId="1186"/>
    <cellStyle name="Comma 6 2 3" xfId="1187"/>
    <cellStyle name="Comma 6 3" xfId="1188"/>
    <cellStyle name="Comma 6 3 2" xfId="1189"/>
    <cellStyle name="Comma 6 4" xfId="1190"/>
    <cellStyle name="Comma 6 4 2" xfId="1191"/>
    <cellStyle name="Comma 6 4 3" xfId="1192"/>
    <cellStyle name="Comma 6 5" xfId="1193"/>
    <cellStyle name="Comma 60" xfId="1194"/>
    <cellStyle name="Comma 60 2" xfId="1195"/>
    <cellStyle name="Comma 61" xfId="1196"/>
    <cellStyle name="Comma 61 2" xfId="1197"/>
    <cellStyle name="Comma 61 2 2" xfId="1198"/>
    <cellStyle name="Comma 61 3" xfId="1199"/>
    <cellStyle name="Comma 62" xfId="1200"/>
    <cellStyle name="Comma 62 2" xfId="1201"/>
    <cellStyle name="Comma 63" xfId="1202"/>
    <cellStyle name="Comma 63 2" xfId="1203"/>
    <cellStyle name="Comma 64" xfId="1204"/>
    <cellStyle name="Comma 64 2" xfId="1205"/>
    <cellStyle name="Comma 65" xfId="1206"/>
    <cellStyle name="Comma 65 2" xfId="1207"/>
    <cellStyle name="Comma 65 2 2" xfId="1208"/>
    <cellStyle name="Comma 65 2 3" xfId="1209"/>
    <cellStyle name="Comma 65 2 4" xfId="1210"/>
    <cellStyle name="Comma 65 3" xfId="1211"/>
    <cellStyle name="Comma 65 4" xfId="1212"/>
    <cellStyle name="Comma 65 5" xfId="1213"/>
    <cellStyle name="Comma 66" xfId="1214"/>
    <cellStyle name="Comma 66 2" xfId="1215"/>
    <cellStyle name="Comma 66 3" xfId="1216"/>
    <cellStyle name="Comma 67" xfId="1217"/>
    <cellStyle name="Comma 67 2" xfId="1218"/>
    <cellStyle name="Comma 67 2 2" xfId="1219"/>
    <cellStyle name="Comma 67 3" xfId="1220"/>
    <cellStyle name="Comma 68" xfId="1221"/>
    <cellStyle name="Comma 68 2" xfId="1222"/>
    <cellStyle name="Comma 68 2 2" xfId="1223"/>
    <cellStyle name="Comma 68 3" xfId="1224"/>
    <cellStyle name="Comma 69" xfId="1225"/>
    <cellStyle name="Comma 69 2" xfId="1226"/>
    <cellStyle name="Comma 7" xfId="1227"/>
    <cellStyle name="Comma 7 2" xfId="1228"/>
    <cellStyle name="Comma 7 2 2" xfId="1229"/>
    <cellStyle name="Comma 7 3" xfId="1230"/>
    <cellStyle name="Comma 7 3 2" xfId="1231"/>
    <cellStyle name="Comma 70" xfId="1232"/>
    <cellStyle name="Comma 70 2" xfId="1233"/>
    <cellStyle name="Comma 71" xfId="1234"/>
    <cellStyle name="Comma 71 2" xfId="1235"/>
    <cellStyle name="Comma 71 2 2" xfId="1236"/>
    <cellStyle name="Comma 71 2 3" xfId="1237"/>
    <cellStyle name="Comma 71 3" xfId="1238"/>
    <cellStyle name="Comma 72" xfId="1239"/>
    <cellStyle name="Comma 72 2" xfId="1240"/>
    <cellStyle name="Comma 72 2 2" xfId="1241"/>
    <cellStyle name="Comma 72 2 3" xfId="1242"/>
    <cellStyle name="Comma 72 3" xfId="1243"/>
    <cellStyle name="Comma 73" xfId="1244"/>
    <cellStyle name="Comma 73 2" xfId="1245"/>
    <cellStyle name="Comma 73 2 2" xfId="1246"/>
    <cellStyle name="Comma 73 2 3" xfId="1247"/>
    <cellStyle name="Comma 73 3" xfId="1248"/>
    <cellStyle name="Comma 74" xfId="1249"/>
    <cellStyle name="Comma 74 2" xfId="1250"/>
    <cellStyle name="Comma 74 2 2" xfId="1251"/>
    <cellStyle name="Comma 74 2 3" xfId="1252"/>
    <cellStyle name="Comma 74 3" xfId="1253"/>
    <cellStyle name="Comma 75" xfId="1254"/>
    <cellStyle name="Comma 75 2" xfId="1255"/>
    <cellStyle name="Comma 75 2 2" xfId="1256"/>
    <cellStyle name="Comma 75 2 3" xfId="1257"/>
    <cellStyle name="Comma 75 2 4" xfId="1258"/>
    <cellStyle name="Comma 75 3" xfId="1259"/>
    <cellStyle name="Comma 75 4" xfId="1260"/>
    <cellStyle name="Comma 76" xfId="1261"/>
    <cellStyle name="Comma 76 2" xfId="1262"/>
    <cellStyle name="Comma 76 2 2" xfId="1263"/>
    <cellStyle name="Comma 76 2 3" xfId="1264"/>
    <cellStyle name="Comma 76 2 4" xfId="1265"/>
    <cellStyle name="Comma 76 3" xfId="1266"/>
    <cellStyle name="Comma 76 4" xfId="1267"/>
    <cellStyle name="Comma 77" xfId="1268"/>
    <cellStyle name="Comma 77 2" xfId="1269"/>
    <cellStyle name="Comma 77 2 2" xfId="1270"/>
    <cellStyle name="Comma 77 2 3" xfId="1271"/>
    <cellStyle name="Comma 77 3" xfId="1272"/>
    <cellStyle name="Comma 78" xfId="1273"/>
    <cellStyle name="Comma 78 2" xfId="1274"/>
    <cellStyle name="Comma 78 2 2" xfId="1275"/>
    <cellStyle name="Comma 78 2 3" xfId="1276"/>
    <cellStyle name="Comma 78 3" xfId="1277"/>
    <cellStyle name="Comma 79" xfId="1278"/>
    <cellStyle name="Comma 79 2" xfId="1279"/>
    <cellStyle name="Comma 79 2 2" xfId="1280"/>
    <cellStyle name="Comma 79 2 3" xfId="1281"/>
    <cellStyle name="Comma 79 3" xfId="1282"/>
    <cellStyle name="Comma 8" xfId="1283"/>
    <cellStyle name="Comma 8 2" xfId="1284"/>
    <cellStyle name="Comma 8 2 2" xfId="1285"/>
    <cellStyle name="Comma 8 3" xfId="1286"/>
    <cellStyle name="Comma 8 3 2" xfId="1287"/>
    <cellStyle name="Comma 8 3 3" xfId="1288"/>
    <cellStyle name="Comma 8 3 4" xfId="3907"/>
    <cellStyle name="Comma 8 4" xfId="1289"/>
    <cellStyle name="Comma 8 4 2" xfId="3906"/>
    <cellStyle name="Comma 80" xfId="1290"/>
    <cellStyle name="Comma 80 2" xfId="1291"/>
    <cellStyle name="Comma 80 2 2" xfId="1292"/>
    <cellStyle name="Comma 80 2 3" xfId="1293"/>
    <cellStyle name="Comma 80 3" xfId="1294"/>
    <cellStyle name="Comma 80 4" xfId="1295"/>
    <cellStyle name="Comma 81" xfId="1296"/>
    <cellStyle name="Comma 81 2" xfId="1297"/>
    <cellStyle name="Comma 81 2 2" xfId="1298"/>
    <cellStyle name="Comma 81 2 3" xfId="1299"/>
    <cellStyle name="Comma 81 3" xfId="1300"/>
    <cellStyle name="Comma 81 4" xfId="1301"/>
    <cellStyle name="Comma 82" xfId="1302"/>
    <cellStyle name="Comma 82 2" xfId="1303"/>
    <cellStyle name="Comma 82 3" xfId="1304"/>
    <cellStyle name="Comma 82 4" xfId="1305"/>
    <cellStyle name="Comma 83" xfId="1306"/>
    <cellStyle name="Comma 83 2" xfId="1307"/>
    <cellStyle name="Comma 83 3" xfId="1308"/>
    <cellStyle name="Comma 83 4" xfId="1309"/>
    <cellStyle name="Comma 84" xfId="1310"/>
    <cellStyle name="Comma 84 2" xfId="1311"/>
    <cellStyle name="Comma 84 3" xfId="1312"/>
    <cellStyle name="Comma 85" xfId="1313"/>
    <cellStyle name="Comma 85 2" xfId="1314"/>
    <cellStyle name="Comma 85 3" xfId="1315"/>
    <cellStyle name="Comma 86" xfId="1316"/>
    <cellStyle name="Comma 86 2" xfId="1317"/>
    <cellStyle name="Comma 86 3" xfId="1318"/>
    <cellStyle name="Comma 87" xfId="1319"/>
    <cellStyle name="Comma 87 2" xfId="1320"/>
    <cellStyle name="Comma 87 3" xfId="1321"/>
    <cellStyle name="Comma 88" xfId="1322"/>
    <cellStyle name="Comma 88 2" xfId="1323"/>
    <cellStyle name="Comma 88 3" xfId="1324"/>
    <cellStyle name="Comma 89" xfId="1325"/>
    <cellStyle name="Comma 89 2" xfId="1326"/>
    <cellStyle name="Comma 89 3" xfId="1327"/>
    <cellStyle name="Comma 9" xfId="1328"/>
    <cellStyle name="Comma 9 2" xfId="1329"/>
    <cellStyle name="Comma 9 2 2" xfId="1330"/>
    <cellStyle name="Comma 9 2 2 2" xfId="1331"/>
    <cellStyle name="Comma 9 2 3" xfId="1332"/>
    <cellStyle name="Comma 9 2 3 2" xfId="1333"/>
    <cellStyle name="Comma 9 3" xfId="1334"/>
    <cellStyle name="Comma 9 3 2" xfId="1335"/>
    <cellStyle name="Comma 9 3 2 2" xfId="1336"/>
    <cellStyle name="Comma 9 3 3" xfId="1337"/>
    <cellStyle name="Comma 9 4" xfId="1338"/>
    <cellStyle name="Comma 9 4 2" xfId="1339"/>
    <cellStyle name="Comma 9 4 2 2" xfId="1340"/>
    <cellStyle name="Comma 9 4 3" xfId="1341"/>
    <cellStyle name="Comma 9 5" xfId="1342"/>
    <cellStyle name="Comma 9 5 2" xfId="1343"/>
    <cellStyle name="Comma 9 5 3" xfId="1344"/>
    <cellStyle name="Comma 9 5 4" xfId="3908"/>
    <cellStyle name="Comma 90" xfId="1345"/>
    <cellStyle name="Comma 90 2" xfId="1346"/>
    <cellStyle name="Comma 90 3" xfId="1347"/>
    <cellStyle name="Comma 91" xfId="1348"/>
    <cellStyle name="Comma 91 2" xfId="1349"/>
    <cellStyle name="Comma 91 3" xfId="1350"/>
    <cellStyle name="Comma 92" xfId="1351"/>
    <cellStyle name="Comma 92 2" xfId="1352"/>
    <cellStyle name="Comma 92 3" xfId="1353"/>
    <cellStyle name="Comma 93" xfId="1354"/>
    <cellStyle name="Comma 94" xfId="1355"/>
    <cellStyle name="Comma 95" xfId="1356"/>
    <cellStyle name="Comma 96" xfId="1357"/>
    <cellStyle name="Comma 97" xfId="1358"/>
    <cellStyle name="Comma 98" xfId="1359"/>
    <cellStyle name="Comma 99" xfId="1360"/>
    <cellStyle name="Comma0" xfId="3779"/>
    <cellStyle name="CommaU [0]" xfId="1361"/>
    <cellStyle name="CommaU [1]" xfId="1362"/>
    <cellStyle name="CommaU [2]" xfId="1363"/>
    <cellStyle name="Comment" xfId="1364"/>
    <cellStyle name="Comment 2" xfId="3780"/>
    <cellStyle name="Company" xfId="3781"/>
    <cellStyle name="CompanyName" xfId="1365"/>
    <cellStyle name="CompanyName 2" xfId="1366"/>
    <cellStyle name="Copied" xfId="1367"/>
    <cellStyle name="CurRatio" xfId="3782"/>
    <cellStyle name="Curren - Style7" xfId="3783"/>
    <cellStyle name="Curren - Style8" xfId="3784"/>
    <cellStyle name="Currency" xfId="1368" builtinId="4"/>
    <cellStyle name="Currency (1)" xfId="1369"/>
    <cellStyle name="Currency [1]" xfId="1370"/>
    <cellStyle name="Currency [2]" xfId="1371"/>
    <cellStyle name="Currency 10" xfId="1372"/>
    <cellStyle name="Currency 10 2" xfId="1373"/>
    <cellStyle name="Currency 11" xfId="1374"/>
    <cellStyle name="Currency 11 2" xfId="1375"/>
    <cellStyle name="Currency 11 3" xfId="1376"/>
    <cellStyle name="Currency 11 3 2" xfId="1377"/>
    <cellStyle name="Currency 12" xfId="1378"/>
    <cellStyle name="Currency 12 2" xfId="1379"/>
    <cellStyle name="Currency 12 3" xfId="1380"/>
    <cellStyle name="Currency 13" xfId="1381"/>
    <cellStyle name="Currency 13 2" xfId="1382"/>
    <cellStyle name="Currency 13 3" xfId="1383"/>
    <cellStyle name="Currency 14" xfId="1384"/>
    <cellStyle name="Currency 14 2" xfId="1385"/>
    <cellStyle name="Currency 15" xfId="1386"/>
    <cellStyle name="Currency 15 2" xfId="1387"/>
    <cellStyle name="Currency 16" xfId="1388"/>
    <cellStyle name="Currency 16 2" xfId="1389"/>
    <cellStyle name="Currency 17" xfId="1390"/>
    <cellStyle name="Currency 17 2" xfId="1391"/>
    <cellStyle name="Currency 18" xfId="1392"/>
    <cellStyle name="Currency 19" xfId="1393"/>
    <cellStyle name="Currency 2" xfId="1394"/>
    <cellStyle name="Currency 2 2" xfId="1395"/>
    <cellStyle name="Currency 2 2 2" xfId="1396"/>
    <cellStyle name="Currency 2 2 2 2" xfId="1397"/>
    <cellStyle name="Currency 2 2 3" xfId="1398"/>
    <cellStyle name="Currency 2 2 4" xfId="3785"/>
    <cellStyle name="Currency 2 3" xfId="1399"/>
    <cellStyle name="Currency 2 3 2" xfId="1400"/>
    <cellStyle name="Currency 2 4" xfId="1401"/>
    <cellStyle name="Currency 20" xfId="1402"/>
    <cellStyle name="Currency 21" xfId="1403"/>
    <cellStyle name="Currency 22" xfId="1404"/>
    <cellStyle name="Currency 23" xfId="1405"/>
    <cellStyle name="Currency 24" xfId="1406"/>
    <cellStyle name="Currency 25" xfId="1407"/>
    <cellStyle name="Currency 26" xfId="1408"/>
    <cellStyle name="Currency 27" xfId="1409"/>
    <cellStyle name="Currency 28" xfId="1410"/>
    <cellStyle name="Currency 29" xfId="1411"/>
    <cellStyle name="Currency 3" xfId="1412"/>
    <cellStyle name="Currency 3 2" xfId="1413"/>
    <cellStyle name="Currency 3 2 2" xfId="1414"/>
    <cellStyle name="Currency 3 2 2 2" xfId="1415"/>
    <cellStyle name="Currency 3 2 3" xfId="1416"/>
    <cellStyle name="Currency 3 3" xfId="1417"/>
    <cellStyle name="Currency 3 3 2" xfId="1418"/>
    <cellStyle name="Currency 3 4" xfId="1419"/>
    <cellStyle name="Currency 3 5" xfId="1420"/>
    <cellStyle name="Currency 30" xfId="1421"/>
    <cellStyle name="Currency 31" xfId="1422"/>
    <cellStyle name="Currency 32" xfId="1423"/>
    <cellStyle name="Currency 33" xfId="1424"/>
    <cellStyle name="Currency 34" xfId="1425"/>
    <cellStyle name="Currency 35" xfId="1426"/>
    <cellStyle name="Currency 36" xfId="1427"/>
    <cellStyle name="Currency 37" xfId="1428"/>
    <cellStyle name="Currency 38" xfId="1429"/>
    <cellStyle name="Currency 39" xfId="1430"/>
    <cellStyle name="Currency 4" xfId="1431"/>
    <cellStyle name="Currency 4 2" xfId="1432"/>
    <cellStyle name="Currency 4 2 2" xfId="1433"/>
    <cellStyle name="Currency 4 2 2 2" xfId="1434"/>
    <cellStyle name="Currency 4 2 3" xfId="1435"/>
    <cellStyle name="Currency 4 3" xfId="1436"/>
    <cellStyle name="Currency 4 3 2" xfId="1437"/>
    <cellStyle name="Currency 4 3 2 2" xfId="1438"/>
    <cellStyle name="Currency 4 3 3" xfId="1439"/>
    <cellStyle name="Currency 4 4" xfId="1440"/>
    <cellStyle name="Currency 4 4 2" xfId="1441"/>
    <cellStyle name="Currency 4 4 3" xfId="1442"/>
    <cellStyle name="Currency 4 5" xfId="1443"/>
    <cellStyle name="Currency 4 5 2" xfId="1444"/>
    <cellStyle name="Currency 4 6" xfId="1445"/>
    <cellStyle name="Currency 40" xfId="1446"/>
    <cellStyle name="Currency 41" xfId="1447"/>
    <cellStyle name="Currency 42" xfId="1448"/>
    <cellStyle name="Currency 43" xfId="1449"/>
    <cellStyle name="Currency 44" xfId="1450"/>
    <cellStyle name="Currency 45" xfId="1451"/>
    <cellStyle name="Currency 46" xfId="3575"/>
    <cellStyle name="Currency 47" xfId="3953"/>
    <cellStyle name="Currency 5" xfId="1452"/>
    <cellStyle name="Currency 5 2" xfId="1453"/>
    <cellStyle name="Currency 5 2 2" xfId="1454"/>
    <cellStyle name="Currency 5 2 2 2" xfId="1455"/>
    <cellStyle name="Currency 5 2 3" xfId="1456"/>
    <cellStyle name="Currency 5 3" xfId="1457"/>
    <cellStyle name="Currency 5 3 2" xfId="1458"/>
    <cellStyle name="Currency 5 4" xfId="1459"/>
    <cellStyle name="Currency 5 4 2" xfId="1460"/>
    <cellStyle name="Currency 6" xfId="1461"/>
    <cellStyle name="Currency 6 2" xfId="1462"/>
    <cellStyle name="Currency 6 2 2" xfId="1463"/>
    <cellStyle name="Currency 6 3" xfId="1464"/>
    <cellStyle name="Currency 7" xfId="1465"/>
    <cellStyle name="Currency 7 2" xfId="1466"/>
    <cellStyle name="Currency 7 2 2" xfId="1467"/>
    <cellStyle name="Currency 7 3" xfId="1468"/>
    <cellStyle name="Currency 7 3 2" xfId="1469"/>
    <cellStyle name="Currency 7 4" xfId="1470"/>
    <cellStyle name="Currency 8" xfId="1471"/>
    <cellStyle name="Currency 8 2" xfId="1472"/>
    <cellStyle name="Currency 8 2 2" xfId="1473"/>
    <cellStyle name="Currency 8 3" xfId="1474"/>
    <cellStyle name="Currency 8 4" xfId="1475"/>
    <cellStyle name="Currency 9" xfId="1476"/>
    <cellStyle name="Currency 9 2" xfId="1477"/>
    <cellStyle name="Currency 9 3" xfId="1478"/>
    <cellStyle name="Currency(1)" xfId="1479"/>
    <cellStyle name="Currency(1) 2" xfId="3786"/>
    <cellStyle name="Currency0" xfId="3787"/>
    <cellStyle name="CUS.Work.Area" xfId="3788"/>
    <cellStyle name="C㯵rrency_㳔PC Data" xfId="3789"/>
    <cellStyle name="d_yield_AA - BenefitsBonus " xfId="1480"/>
    <cellStyle name="d_yield_AA - BenefitsBonus  2" xfId="3861"/>
    <cellStyle name="Dash" xfId="1481"/>
    <cellStyle name="Dash 2" xfId="1482"/>
    <cellStyle name="Data_0dp" xfId="3790"/>
    <cellStyle name="DataEntry" xfId="3791"/>
    <cellStyle name="DataEntry%" xfId="3792"/>
    <cellStyle name="DataEntry_Model2401" xfId="3793"/>
    <cellStyle name="Date" xfId="1483"/>
    <cellStyle name="Date m-yy" xfId="1484"/>
    <cellStyle name="Date m-yy 2" xfId="1485"/>
    <cellStyle name="Date2" xfId="1486"/>
    <cellStyle name="Dates" xfId="1487"/>
    <cellStyle name="DateYear" xfId="1488"/>
    <cellStyle name="Decimal" xfId="1489"/>
    <cellStyle name="decimal 1" xfId="1490"/>
    <cellStyle name="Decimal 2" xfId="3794"/>
    <cellStyle name="Decimal_ConsensusPanel_v20080325 (2)" xfId="1491"/>
    <cellStyle name="Derive" xfId="3795"/>
    <cellStyle name="Dollar" xfId="1492"/>
    <cellStyle name="Dollar 2" xfId="1493"/>
    <cellStyle name="Dollars" xfId="1494"/>
    <cellStyle name="Dollars 2" xfId="1495"/>
    <cellStyle name="DollarWhole" xfId="1496"/>
    <cellStyle name="Entered" xfId="1497"/>
    <cellStyle name="Euro" xfId="1498"/>
    <cellStyle name="Explanatory Text" xfId="1499" builtinId="53" customBuiltin="1"/>
    <cellStyle name="Explanatory Text 2" xfId="1500"/>
    <cellStyle name="Explanatory Text 3" xfId="1501"/>
    <cellStyle name="Explanatory Text 3 2" xfId="1502"/>
    <cellStyle name="f‰H_x0010_‹Ëf‰h,ÿt$_x0018_è¸Wÿÿé&gt;Ëÿÿ÷Ç_x0001_" xfId="1503"/>
    <cellStyle name="Fail" xfId="1504"/>
    <cellStyle name="Fail 2" xfId="1505"/>
    <cellStyle name="Fail 2 2" xfId="1506"/>
    <cellStyle name="Fail 2 3" xfId="1507"/>
    <cellStyle name="FieldName" xfId="1508"/>
    <cellStyle name="FiscalPeriod" xfId="1509"/>
    <cellStyle name="FiscalPeriod 2" xfId="1510"/>
    <cellStyle name="FiscalPeriod 2 2" xfId="1511"/>
    <cellStyle name="FiscalPeriod 2 3" xfId="1512"/>
    <cellStyle name="Fixed" xfId="1513"/>
    <cellStyle name="Fixed (1)" xfId="3796"/>
    <cellStyle name="Fixed [2]" xfId="3797"/>
    <cellStyle name="Fixed 2" xfId="1514"/>
    <cellStyle name="Fixed 3" xfId="3798"/>
    <cellStyle name="Fixed_1" xfId="3799"/>
    <cellStyle name="Footnote" xfId="1515"/>
    <cellStyle name="g_rate_AA - BenefitsBonus " xfId="1516"/>
    <cellStyle name="g_rate_AA - BenefitsBonus  2" xfId="3863"/>
    <cellStyle name="G02 Table Text" xfId="1517"/>
    <cellStyle name="G02 Table Text 2" xfId="1518"/>
    <cellStyle name="G04_Main head" xfId="1519"/>
    <cellStyle name="G05 Tab Head Bold" xfId="1520"/>
    <cellStyle name="G05 Tab Head Bold 2" xfId="1521"/>
    <cellStyle name="G05 Tab Head Bold 2 2" xfId="1522"/>
    <cellStyle name="G05 Tab Head Bold 2 2 2" xfId="1523"/>
    <cellStyle name="G05 Tab Head Bold 2 2 2 2" xfId="1524"/>
    <cellStyle name="G05 Tab Head Bold 2 2 3" xfId="1525"/>
    <cellStyle name="G05 Tab Head Bold 2 3" xfId="1526"/>
    <cellStyle name="G05 Tab Head Bold 2 3 2" xfId="1527"/>
    <cellStyle name="G05 Tab Head Bold 2 4" xfId="1528"/>
    <cellStyle name="G05 Tab Head Bold 3" xfId="1529"/>
    <cellStyle name="G05 Tab Head Bold 3 2" xfId="1530"/>
    <cellStyle name="G05 Tab Head Bold 3 2 2" xfId="1531"/>
    <cellStyle name="G05 Tab Head Bold 3 3" xfId="1532"/>
    <cellStyle name="G05 Tab Head Bold 4" xfId="1533"/>
    <cellStyle name="G05 Tab Head Bold 4 2" xfId="1534"/>
    <cellStyle name="G05 Tab Head Bold 5" xfId="1535"/>
    <cellStyle name="G05 Tab Head Bold 5 2" xfId="1536"/>
    <cellStyle name="G05 Tab Head Bold 6" xfId="1537"/>
    <cellStyle name="G05 Tab Head Bold 7" xfId="1538"/>
    <cellStyle name="G05 Tab Head Bold 7 2" xfId="1539"/>
    <cellStyle name="G05 Tab Head Bold 8" xfId="1540"/>
    <cellStyle name="G05 Tab Head Bold 8 2" xfId="1541"/>
    <cellStyle name="G05 Tab Head Light" xfId="1542"/>
    <cellStyle name="G05 Tab Head Light 2" xfId="1543"/>
    <cellStyle name="G05 Tab Head Light 2 2" xfId="1544"/>
    <cellStyle name="G05 Tab Head Light 2 2 2" xfId="1545"/>
    <cellStyle name="G05 Tab Head Light 2 2 2 2" xfId="1546"/>
    <cellStyle name="G05 Tab Head Light 2 2 3" xfId="1547"/>
    <cellStyle name="G05 Tab Head Light 2 3" xfId="1548"/>
    <cellStyle name="G05 Tab Head Light 2 3 2" xfId="1549"/>
    <cellStyle name="G05 Tab Head Light 2 4" xfId="1550"/>
    <cellStyle name="G05 Tab Head Light 3" xfId="1551"/>
    <cellStyle name="G05 Tab Head Light 3 2" xfId="1552"/>
    <cellStyle name="G05 Tab Head Light 3 2 2" xfId="1553"/>
    <cellStyle name="G05 Tab Head Light 3 3" xfId="1554"/>
    <cellStyle name="G05 Tab Head Light 4" xfId="1555"/>
    <cellStyle name="G05 Tab Head Light 4 2" xfId="1556"/>
    <cellStyle name="G05 Tab Head Light 5" xfId="1557"/>
    <cellStyle name="G05 Tab Head Light 5 2" xfId="1558"/>
    <cellStyle name="G05 Tab Head Light 6" xfId="1559"/>
    <cellStyle name="G05 Tab Head Light 7" xfId="1560"/>
    <cellStyle name="G05 Tab Head Light 7 2" xfId="1561"/>
    <cellStyle name="G05 Tab Head Light 8" xfId="1562"/>
    <cellStyle name="G05 Tab Head Light 8 2" xfId="1563"/>
    <cellStyle name="Good" xfId="1564" builtinId="26" customBuiltin="1"/>
    <cellStyle name="Good 2" xfId="1565"/>
    <cellStyle name="Good 2 2" xfId="1566"/>
    <cellStyle name="Good 2 3" xfId="3910"/>
    <cellStyle name="Good 3" xfId="1567"/>
    <cellStyle name="Good 3 2" xfId="1568"/>
    <cellStyle name="Good 3 3" xfId="1569"/>
    <cellStyle name="Green" xfId="1570"/>
    <cellStyle name="Green 2" xfId="1571"/>
    <cellStyle name="Green 2 2" xfId="1572"/>
    <cellStyle name="Green 3" xfId="1573"/>
    <cellStyle name="Green 3 2" xfId="1574"/>
    <cellStyle name="Green 3 3" xfId="3865"/>
    <cellStyle name="Green 4" xfId="1575"/>
    <cellStyle name="Green 4 2" xfId="1576"/>
    <cellStyle name="Green 4 2 2" xfId="1577"/>
    <cellStyle name="Green 4 2 3" xfId="1578"/>
    <cellStyle name="Green 4 3" xfId="1579"/>
    <cellStyle name="Grey" xfId="1580"/>
    <cellStyle name="Grey 2" xfId="1581"/>
    <cellStyle name="Grey 3" xfId="1582"/>
    <cellStyle name="Growth%" xfId="1583"/>
    <cellStyle name="GrowthRate" xfId="1584"/>
    <cellStyle name="hard no" xfId="1585"/>
    <cellStyle name="hard no 2" xfId="1586"/>
    <cellStyle name="hard no 2 2" xfId="1587"/>
    <cellStyle name="hard no 3" xfId="1588"/>
    <cellStyle name="hardno" xfId="1589"/>
    <cellStyle name="HEADER" xfId="1590"/>
    <cellStyle name="Header1" xfId="1591"/>
    <cellStyle name="Header1 2" xfId="1592"/>
    <cellStyle name="Header2" xfId="1593"/>
    <cellStyle name="Header2 2" xfId="1594"/>
    <cellStyle name="Heading 1" xfId="1595" builtinId="16" customBuiltin="1"/>
    <cellStyle name="Heading 1 2" xfId="1596"/>
    <cellStyle name="Heading 1 2 2" xfId="1597"/>
    <cellStyle name="Heading 1 2 3" xfId="3911"/>
    <cellStyle name="Heading 1 3" xfId="1598"/>
    <cellStyle name="Heading 1 3 2" xfId="1599"/>
    <cellStyle name="Heading 1 3 3" xfId="1600"/>
    <cellStyle name="Heading 2" xfId="1601" builtinId="17" customBuiltin="1"/>
    <cellStyle name="Heading 2 2" xfId="1602"/>
    <cellStyle name="Heading 2 2 2" xfId="1603"/>
    <cellStyle name="Heading 2 2 3" xfId="3912"/>
    <cellStyle name="Heading 2 3" xfId="1604"/>
    <cellStyle name="Heading 2 3 2" xfId="1605"/>
    <cellStyle name="Heading 2 3 3" xfId="1606"/>
    <cellStyle name="Heading 3" xfId="1607" builtinId="18" customBuiltin="1"/>
    <cellStyle name="Heading 3 2" xfId="1608"/>
    <cellStyle name="Heading 3 2 2" xfId="1609"/>
    <cellStyle name="Heading 3 2 3" xfId="3913"/>
    <cellStyle name="Heading 3 3" xfId="1610"/>
    <cellStyle name="Heading 3 3 2" xfId="1611"/>
    <cellStyle name="Heading 3 3 3" xfId="1612"/>
    <cellStyle name="Heading 4" xfId="1613" builtinId="19" customBuiltin="1"/>
    <cellStyle name="Heading 4 2" xfId="1614"/>
    <cellStyle name="Heading 4 3" xfId="1615"/>
    <cellStyle name="Heading 4 3 2" xfId="1616"/>
    <cellStyle name="Heading 4 3 3" xfId="1617"/>
    <cellStyle name="Heading1" xfId="1618"/>
    <cellStyle name="Heading2" xfId="1619"/>
    <cellStyle name="Hidden" xfId="1620"/>
    <cellStyle name="Hidden 2" xfId="1621"/>
    <cellStyle name="Hidden 2 2" xfId="1622"/>
    <cellStyle name="Hidden 2 3" xfId="1623"/>
    <cellStyle name="HIGHLIGHT" xfId="1624"/>
    <cellStyle name="Hyperlink 2" xfId="1625"/>
    <cellStyle name="Hyperlink 2 2" xfId="1626"/>
    <cellStyle name="Hyperlink 2 2 2" xfId="1627"/>
    <cellStyle name="Hyperlink 2 2 3" xfId="1628"/>
    <cellStyle name="Hyperlink 2 2 4" xfId="1629"/>
    <cellStyle name="Hyperlink 2 3" xfId="1630"/>
    <cellStyle name="Hyperlink 2 3 2" xfId="1631"/>
    <cellStyle name="Hyperlink 2 3 3" xfId="3914"/>
    <cellStyle name="Hyperlink 3" xfId="1632"/>
    <cellStyle name="Hyperlink 3 2" xfId="1633"/>
    <cellStyle name="Hyperlink 3 3" xfId="1634"/>
    <cellStyle name="Hyperlink 3 4" xfId="1635"/>
    <cellStyle name="Hyperlink 4" xfId="1636"/>
    <cellStyle name="Hyperlink 4 2" xfId="1637"/>
    <cellStyle name="Hyperlink 4 2 2" xfId="1638"/>
    <cellStyle name="Hyperlink 4 2 3" xfId="1639"/>
    <cellStyle name="Hyperlink 4 3" xfId="1640"/>
    <cellStyle name="Hyperlink 4 3 2" xfId="1641"/>
    <cellStyle name="Hyperlink 4 3 3" xfId="1642"/>
    <cellStyle name="Hyperlink 4 3 4" xfId="3915"/>
    <cellStyle name="Hyperlink 5" xfId="1643"/>
    <cellStyle name="Income Statement" xfId="1644"/>
    <cellStyle name="IncomeStatement" xfId="1645"/>
    <cellStyle name="Info_Main" xfId="3800"/>
    <cellStyle name="Input" xfId="1646" builtinId="20" customBuiltin="1"/>
    <cellStyle name="Input [yellow]" xfId="1647"/>
    <cellStyle name="Input [yellow] 2" xfId="1648"/>
    <cellStyle name="Input [yellow] 3" xfId="1649"/>
    <cellStyle name="Input 10" xfId="1650"/>
    <cellStyle name="Input 11" xfId="1651"/>
    <cellStyle name="Input 12" xfId="1652"/>
    <cellStyle name="Input 13" xfId="1653"/>
    <cellStyle name="Input 14" xfId="1654"/>
    <cellStyle name="Input 15" xfId="1655"/>
    <cellStyle name="Input 16" xfId="1656"/>
    <cellStyle name="Input 17" xfId="1657"/>
    <cellStyle name="Input 18" xfId="1658"/>
    <cellStyle name="Input 19" xfId="1659"/>
    <cellStyle name="Input 2" xfId="1660"/>
    <cellStyle name="Input 20" xfId="1661"/>
    <cellStyle name="Input 21" xfId="1662"/>
    <cellStyle name="Input 22" xfId="1663"/>
    <cellStyle name="Input 23" xfId="1664"/>
    <cellStyle name="Input 23 2" xfId="1665"/>
    <cellStyle name="Input 24" xfId="1666"/>
    <cellStyle name="Input 24 2" xfId="1667"/>
    <cellStyle name="Input 25" xfId="1668"/>
    <cellStyle name="Input 26" xfId="1669"/>
    <cellStyle name="Input 27" xfId="1670"/>
    <cellStyle name="Input 28" xfId="1671"/>
    <cellStyle name="Input 29" xfId="1672"/>
    <cellStyle name="Input 3" xfId="1673"/>
    <cellStyle name="Input 30" xfId="1674"/>
    <cellStyle name="Input 31" xfId="1675"/>
    <cellStyle name="Input 32" xfId="1676"/>
    <cellStyle name="Input 33" xfId="1677"/>
    <cellStyle name="Input 34" xfId="1678"/>
    <cellStyle name="Input 35" xfId="1679"/>
    <cellStyle name="Input 36" xfId="1680"/>
    <cellStyle name="Input 37" xfId="1681"/>
    <cellStyle name="Input 38" xfId="1682"/>
    <cellStyle name="Input 39" xfId="1683"/>
    <cellStyle name="Input 4" xfId="1684"/>
    <cellStyle name="Input 40" xfId="1685"/>
    <cellStyle name="Input 41" xfId="1686"/>
    <cellStyle name="Input 42" xfId="1687"/>
    <cellStyle name="Input 43" xfId="1688"/>
    <cellStyle name="Input 44" xfId="1689"/>
    <cellStyle name="Input 45" xfId="1690"/>
    <cellStyle name="Input 46" xfId="1691"/>
    <cellStyle name="Input 47" xfId="1692"/>
    <cellStyle name="Input 48" xfId="1693"/>
    <cellStyle name="Input 49" xfId="1694"/>
    <cellStyle name="Input 5" xfId="1695"/>
    <cellStyle name="Input 50" xfId="1696"/>
    <cellStyle name="Input 51" xfId="1697"/>
    <cellStyle name="Input 52" xfId="1698"/>
    <cellStyle name="Input 53" xfId="1699"/>
    <cellStyle name="Input 54" xfId="1700"/>
    <cellStyle name="Input 55" xfId="1701"/>
    <cellStyle name="Input 56" xfId="1702"/>
    <cellStyle name="Input 57" xfId="1703"/>
    <cellStyle name="Input 58" xfId="1704"/>
    <cellStyle name="Input 59" xfId="1705"/>
    <cellStyle name="Input 6" xfId="1706"/>
    <cellStyle name="Input 60" xfId="1707"/>
    <cellStyle name="Input 61" xfId="1708"/>
    <cellStyle name="Input 62" xfId="1709"/>
    <cellStyle name="Input 63" xfId="1710"/>
    <cellStyle name="Input 64" xfId="1711"/>
    <cellStyle name="Input 7" xfId="1712"/>
    <cellStyle name="Input 8" xfId="1713"/>
    <cellStyle name="Input 9" xfId="1714"/>
    <cellStyle name="Input Titles" xfId="3801"/>
    <cellStyle name="Input%" xfId="3802"/>
    <cellStyle name="InputBlueFont" xfId="1715"/>
    <cellStyle name="InputDate" xfId="3803"/>
    <cellStyle name="InputDecimal" xfId="3804"/>
    <cellStyle name="InputDescriptions" xfId="3805"/>
    <cellStyle name="InputHeading1" xfId="3806"/>
    <cellStyle name="InputValue" xfId="3807"/>
    <cellStyle name="Integer" xfId="1716"/>
    <cellStyle name="Integer 2" xfId="1717"/>
    <cellStyle name="Invisible" xfId="1718"/>
    <cellStyle name="Italic" xfId="1719"/>
    <cellStyle name="Item" xfId="3808"/>
    <cellStyle name="ItemTypeClass" xfId="3809"/>
    <cellStyle name="KP_Normal" xfId="1720"/>
    <cellStyle name="KPMG Heading 1" xfId="1721"/>
    <cellStyle name="KPMG Heading 2" xfId="1722"/>
    <cellStyle name="KPMG Heading 3" xfId="1723"/>
    <cellStyle name="KPMG Heading 4" xfId="1724"/>
    <cellStyle name="KPMG Normal" xfId="1725"/>
    <cellStyle name="KPMG Normal Text" xfId="1726"/>
    <cellStyle name="l]_x000d__x000a_Path=M:\RIOCEN01_x000d__x000a_Name=Carlos Emilio Brousse_x000d__x000a_DDEApps=nsf,nsg,nsh,ntf,ns2,ors,org_x000d__x000a_SmartIcons=Todos_x000d__x000a_" xfId="1727"/>
    <cellStyle name="Linked Cell" xfId="1728" builtinId="24" customBuiltin="1"/>
    <cellStyle name="Linked Cell 2" xfId="1729"/>
    <cellStyle name="Linked Cell 2 2" xfId="1730"/>
    <cellStyle name="Linked Cell 2 3" xfId="3916"/>
    <cellStyle name="Linked Cell 3" xfId="1731"/>
    <cellStyle name="Linked Cell 3 2" xfId="1732"/>
    <cellStyle name="Linked Cell 3 3" xfId="1733"/>
    <cellStyle name="m_AA - BenefitsBonus " xfId="1734"/>
    <cellStyle name="Margins" xfId="1735"/>
    <cellStyle name="MetricLabel" xfId="1736"/>
    <cellStyle name="MetricLabel 2" xfId="1737"/>
    <cellStyle name="MetricLabel 2 2" xfId="1738"/>
    <cellStyle name="MetricLabel 2 3" xfId="1739"/>
    <cellStyle name="MetricLabelBlue" xfId="1740"/>
    <cellStyle name="MetricLabelBlue 2" xfId="1741"/>
    <cellStyle name="MetricLabelBlue 2 2" xfId="1742"/>
    <cellStyle name="MetricLabelBlue 2 3" xfId="1743"/>
    <cellStyle name="MetricValue" xfId="1744"/>
    <cellStyle name="MetricValue 2" xfId="1745"/>
    <cellStyle name="MetricValue 2 2" xfId="1746"/>
    <cellStyle name="MetricValue 2 3" xfId="1747"/>
    <cellStyle name="middle" xfId="1748"/>
    <cellStyle name="middle-title" xfId="1749"/>
    <cellStyle name="mm/dd/yy" xfId="1750"/>
    <cellStyle name="MonthYears" xfId="1751"/>
    <cellStyle name="MonthYears 2" xfId="1752"/>
    <cellStyle name="MonthYears 3" xfId="1753"/>
    <cellStyle name="Multiple" xfId="1754"/>
    <cellStyle name="Multiple 2" xfId="3810"/>
    <cellStyle name="MW" xfId="1755"/>
    <cellStyle name="Neutral" xfId="1756" builtinId="28" customBuiltin="1"/>
    <cellStyle name="Neutral 2" xfId="1757"/>
    <cellStyle name="Neutral 2 2" xfId="1758"/>
    <cellStyle name="Neutral 2 3" xfId="3917"/>
    <cellStyle name="Neutral 3" xfId="1759"/>
    <cellStyle name="Neutral 3 2" xfId="1760"/>
    <cellStyle name="NewColumnHeaderNormal" xfId="1761"/>
    <cellStyle name="NewSectionHeaderNormal" xfId="1762"/>
    <cellStyle name="NewTitleNormal" xfId="1763"/>
    <cellStyle name="No Commas" xfId="1764"/>
    <cellStyle name="no dec" xfId="1765"/>
    <cellStyle name="Normal" xfId="0" builtinId="0"/>
    <cellStyle name="Normal - Style1" xfId="1766"/>
    <cellStyle name="Normal - Style1 2" xfId="1767"/>
    <cellStyle name="Normal - Style1 3" xfId="3811"/>
    <cellStyle name="Normal 1" xfId="1768"/>
    <cellStyle name="Normal 1 2" xfId="1769"/>
    <cellStyle name="Normal 10" xfId="1770"/>
    <cellStyle name="Normal 10 2" xfId="1771"/>
    <cellStyle name="Normal 10 2 2" xfId="1772"/>
    <cellStyle name="Normal 10 2 2 2" xfId="1773"/>
    <cellStyle name="Normal 10 2 2 3" xfId="1774"/>
    <cellStyle name="Normal 10 2 2 4" xfId="3919"/>
    <cellStyle name="Normal 10 2 3" xfId="1775"/>
    <cellStyle name="Normal 10 2 3 2" xfId="1776"/>
    <cellStyle name="Normal 10 2 3 2 2" xfId="1777"/>
    <cellStyle name="Normal 10 2 3 2 2 2" xfId="1778"/>
    <cellStyle name="Normal 10 2 3 2 2 2 2" xfId="1779"/>
    <cellStyle name="Normal 10 2 3 2 2 3" xfId="1780"/>
    <cellStyle name="Normal 10 2 3 2 3" xfId="1781"/>
    <cellStyle name="Normal 10 2 3 2 3 2" xfId="1782"/>
    <cellStyle name="Normal 10 2 3 2 4" xfId="1783"/>
    <cellStyle name="Normal 10 2 3 3" xfId="1784"/>
    <cellStyle name="Normal 10 2 3 3 2" xfId="1785"/>
    <cellStyle name="Normal 10 2 3 3 2 2" xfId="1786"/>
    <cellStyle name="Normal 10 2 3 3 3" xfId="1787"/>
    <cellStyle name="Normal 10 2 3 4" xfId="1788"/>
    <cellStyle name="Normal 10 2 3 4 2" xfId="1789"/>
    <cellStyle name="Normal 10 2 3 5" xfId="1790"/>
    <cellStyle name="Normal 10 2 3 6" xfId="3918"/>
    <cellStyle name="Normal 10 2 4" xfId="1791"/>
    <cellStyle name="Normal 10 2 4 2" xfId="1792"/>
    <cellStyle name="Normal 10 2 4 2 2" xfId="1793"/>
    <cellStyle name="Normal 10 2 4 2 2 2" xfId="1794"/>
    <cellStyle name="Normal 10 2 4 2 3" xfId="1795"/>
    <cellStyle name="Normal 10 2 4 3" xfId="1796"/>
    <cellStyle name="Normal 10 2 4 3 2" xfId="1797"/>
    <cellStyle name="Normal 10 2 4 4" xfId="1798"/>
    <cellStyle name="Normal 10 2 5" xfId="1799"/>
    <cellStyle name="Normal 10 2 5 2" xfId="1800"/>
    <cellStyle name="Normal 10 2 6" xfId="3872"/>
    <cellStyle name="Normal 10 3" xfId="1801"/>
    <cellStyle name="Normal 10 3 2" xfId="1802"/>
    <cellStyle name="Normal 10 3 2 2" xfId="1803"/>
    <cellStyle name="Normal 10 3 2 2 2" xfId="1804"/>
    <cellStyle name="Normal 10 3 2 3" xfId="1805"/>
    <cellStyle name="Normal 10 3 2 4" xfId="1806"/>
    <cellStyle name="Normal 10 3 3" xfId="1807"/>
    <cellStyle name="Normal 10 3 3 2" xfId="1808"/>
    <cellStyle name="Normal 10 3 4" xfId="1809"/>
    <cellStyle name="Normal 10 3 5" xfId="3920"/>
    <cellStyle name="Normal 10 4" xfId="1810"/>
    <cellStyle name="Normal 10 4 2" xfId="1811"/>
    <cellStyle name="Normal 10 5" xfId="1812"/>
    <cellStyle name="Normal 10 5 2" xfId="1813"/>
    <cellStyle name="Normal 10_Exhibits" xfId="1814"/>
    <cellStyle name="Normal 100" xfId="1815"/>
    <cellStyle name="Normal 100 2" xfId="1816"/>
    <cellStyle name="Normal 101" xfId="1817"/>
    <cellStyle name="Normal 101 2" xfId="1818"/>
    <cellStyle name="Normal 102" xfId="1819"/>
    <cellStyle name="Normal 102 2" xfId="1820"/>
    <cellStyle name="Normal 103" xfId="1821"/>
    <cellStyle name="Normal 103 2" xfId="1822"/>
    <cellStyle name="Normal 104" xfId="1823"/>
    <cellStyle name="Normal 104 2" xfId="1824"/>
    <cellStyle name="Normal 105" xfId="1825"/>
    <cellStyle name="Normal 105 2" xfId="1826"/>
    <cellStyle name="Normal 106" xfId="1827"/>
    <cellStyle name="Normal 106 2" xfId="1828"/>
    <cellStyle name="Normal 107" xfId="1829"/>
    <cellStyle name="Normal 107 2" xfId="1830"/>
    <cellStyle name="Normal 108" xfId="1831"/>
    <cellStyle name="Normal 109" xfId="1832"/>
    <cellStyle name="Normal 11" xfId="1833"/>
    <cellStyle name="Normal 11 2" xfId="1834"/>
    <cellStyle name="Normal 11 2 2" xfId="1835"/>
    <cellStyle name="Normal 11 3" xfId="1836"/>
    <cellStyle name="Normal 11 3 2" xfId="1837"/>
    <cellStyle name="Normal 11 3 3" xfId="3922"/>
    <cellStyle name="Normal 11 4" xfId="1838"/>
    <cellStyle name="Normal 11 4 2" xfId="1839"/>
    <cellStyle name="Normal 11 4 2 2" xfId="1840"/>
    <cellStyle name="Normal 11 4 2 2 2" xfId="1841"/>
    <cellStyle name="Normal 11 4 2 2 2 2" xfId="1842"/>
    <cellStyle name="Normal 11 4 2 2 3" xfId="1843"/>
    <cellStyle name="Normal 11 4 2 3" xfId="1844"/>
    <cellStyle name="Normal 11 4 2 3 2" xfId="1845"/>
    <cellStyle name="Normal 11 4 2 4" xfId="1846"/>
    <cellStyle name="Normal 11 4 2 5" xfId="1847"/>
    <cellStyle name="Normal 11 4 3" xfId="1848"/>
    <cellStyle name="Normal 11 4 3 2" xfId="1849"/>
    <cellStyle name="Normal 11 4 3 2 2" xfId="1850"/>
    <cellStyle name="Normal 11 4 3 3" xfId="1851"/>
    <cellStyle name="Normal 11 4 4" xfId="1852"/>
    <cellStyle name="Normal 11 4 4 2" xfId="1853"/>
    <cellStyle name="Normal 11 4 5" xfId="1854"/>
    <cellStyle name="Normal 11 4 6" xfId="1855"/>
    <cellStyle name="Normal 11 5" xfId="1856"/>
    <cellStyle name="Normal 11 5 2" xfId="1857"/>
    <cellStyle name="Normal 11 5 2 2" xfId="1858"/>
    <cellStyle name="Normal 11 5 2 2 2" xfId="1859"/>
    <cellStyle name="Normal 11 5 2 3" xfId="1860"/>
    <cellStyle name="Normal 11 5 3" xfId="1861"/>
    <cellStyle name="Normal 11 5 3 2" xfId="1862"/>
    <cellStyle name="Normal 11 5 4" xfId="1863"/>
    <cellStyle name="Normal 11 5 5" xfId="1864"/>
    <cellStyle name="Normal 11 5 6" xfId="3921"/>
    <cellStyle name="Normal 11 6" xfId="1865"/>
    <cellStyle name="Normal 11 6 2" xfId="1866"/>
    <cellStyle name="Normal 11 6 2 2" xfId="1867"/>
    <cellStyle name="Normal 11 6 2 2 2" xfId="1868"/>
    <cellStyle name="Normal 11 6 2 3" xfId="1869"/>
    <cellStyle name="Normal 11 6 3" xfId="1870"/>
    <cellStyle name="Normal 11 6 3 2" xfId="1871"/>
    <cellStyle name="Normal 11 6 4" xfId="1872"/>
    <cellStyle name="Normal 11 7" xfId="1873"/>
    <cellStyle name="Normal 11 7 2" xfId="1874"/>
    <cellStyle name="Normal 11 7 3" xfId="1875"/>
    <cellStyle name="Normal 11 8" xfId="1876"/>
    <cellStyle name="Normal 110" xfId="1877"/>
    <cellStyle name="Normal 111" xfId="1878"/>
    <cellStyle name="Normal 112" xfId="1879"/>
    <cellStyle name="Normal 113" xfId="1880"/>
    <cellStyle name="Normal 114" xfId="1881"/>
    <cellStyle name="Normal 115" xfId="1882"/>
    <cellStyle name="Normal 116" xfId="1883"/>
    <cellStyle name="Normal 117" xfId="1884"/>
    <cellStyle name="Normal 118" xfId="1885"/>
    <cellStyle name="Normal 119" xfId="1886"/>
    <cellStyle name="Normal 12" xfId="1887"/>
    <cellStyle name="Normal 12 2" xfId="1888"/>
    <cellStyle name="Normal 12 2 2" xfId="1889"/>
    <cellStyle name="Normal 12 2 2 2" xfId="1890"/>
    <cellStyle name="Normal 12 2 3" xfId="1891"/>
    <cellStyle name="Normal 12 3" xfId="1892"/>
    <cellStyle name="Normal 12 3 2" xfId="1893"/>
    <cellStyle name="Normal 12 3 3" xfId="1894"/>
    <cellStyle name="Normal 12 4" xfId="1895"/>
    <cellStyle name="Normal 12 4 2" xfId="1896"/>
    <cellStyle name="Normal 12 5" xfId="1897"/>
    <cellStyle name="Normal 12 5 2" xfId="1898"/>
    <cellStyle name="Normal 12 5 3" xfId="3924"/>
    <cellStyle name="Normal 12 6" xfId="1899"/>
    <cellStyle name="Normal 12 6 2" xfId="3923"/>
    <cellStyle name="Normal 120" xfId="1900"/>
    <cellStyle name="Normal 121" xfId="1901"/>
    <cellStyle name="Normal 122" xfId="1902"/>
    <cellStyle name="Normal 123" xfId="1903"/>
    <cellStyle name="Normal 124" xfId="1904"/>
    <cellStyle name="Normal 125" xfId="1905"/>
    <cellStyle name="Normal 126" xfId="1906"/>
    <cellStyle name="Normal 127" xfId="1907"/>
    <cellStyle name="Normal 128" xfId="1908"/>
    <cellStyle name="Normal 129" xfId="1909"/>
    <cellStyle name="Normal 129 2" xfId="1910"/>
    <cellStyle name="Normal 129 2 2" xfId="1911"/>
    <cellStyle name="Normal 129 2 2 2" xfId="1912"/>
    <cellStyle name="Normal 129 2 3" xfId="1913"/>
    <cellStyle name="Normal 129 3" xfId="1914"/>
    <cellStyle name="Normal 129 3 2" xfId="1915"/>
    <cellStyle name="Normal 129 4" xfId="1916"/>
    <cellStyle name="Normal 13" xfId="1917"/>
    <cellStyle name="Normal 13 2" xfId="1918"/>
    <cellStyle name="Normal 13 2 2" xfId="1919"/>
    <cellStyle name="Normal 13 2 2 2" xfId="1920"/>
    <cellStyle name="Normal 13 2 3" xfId="1921"/>
    <cellStyle name="Normal 13 2 3 2" xfId="1922"/>
    <cellStyle name="Normal 13 2 4" xfId="1923"/>
    <cellStyle name="Normal 13 3" xfId="1924"/>
    <cellStyle name="Normal 13 3 2" xfId="1925"/>
    <cellStyle name="Normal 13 3 3" xfId="1926"/>
    <cellStyle name="Normal 13 4" xfId="1927"/>
    <cellStyle name="Normal 13 4 2" xfId="1928"/>
    <cellStyle name="Normal 13 4 3" xfId="1929"/>
    <cellStyle name="Normal 13 4 4" xfId="3926"/>
    <cellStyle name="Normal 13 5" xfId="1930"/>
    <cellStyle name="Normal 13 5 2" xfId="3925"/>
    <cellStyle name="Normal 130" xfId="1931"/>
    <cellStyle name="Normal 130 2" xfId="1932"/>
    <cellStyle name="Normal 130 2 2" xfId="1933"/>
    <cellStyle name="Normal 130 2 2 2" xfId="1934"/>
    <cellStyle name="Normal 130 2 3" xfId="1935"/>
    <cellStyle name="Normal 130 3" xfId="1936"/>
    <cellStyle name="Normal 130 3 2" xfId="1937"/>
    <cellStyle name="Normal 130 4" xfId="1938"/>
    <cellStyle name="Normal 131" xfId="1939"/>
    <cellStyle name="Normal 132" xfId="1940"/>
    <cellStyle name="Normal 133" xfId="1941"/>
    <cellStyle name="Normal 133 2" xfId="1942"/>
    <cellStyle name="Normal 133 2 2" xfId="1943"/>
    <cellStyle name="Normal 133 2 2 2" xfId="1944"/>
    <cellStyle name="Normal 133 2 3" xfId="1945"/>
    <cellStyle name="Normal 133 3" xfId="1946"/>
    <cellStyle name="Normal 133 3 2" xfId="1947"/>
    <cellStyle name="Normal 133 4" xfId="1948"/>
    <cellStyle name="Normal 134" xfId="1949"/>
    <cellStyle name="Normal 135" xfId="1950"/>
    <cellStyle name="Normal 136" xfId="1951"/>
    <cellStyle name="Normal 137" xfId="1952"/>
    <cellStyle name="Normal 138" xfId="1953"/>
    <cellStyle name="Normal 139" xfId="1954"/>
    <cellStyle name="Normal 14" xfId="1955"/>
    <cellStyle name="Normal 14 2" xfId="1956"/>
    <cellStyle name="Normal 14 2 2" xfId="1957"/>
    <cellStyle name="Normal 14 3" xfId="1958"/>
    <cellStyle name="Normal 14 3 2" xfId="1959"/>
    <cellStyle name="Normal 14 4" xfId="1960"/>
    <cellStyle name="Normal 14 4 2" xfId="1961"/>
    <cellStyle name="Normal 140" xfId="1962"/>
    <cellStyle name="Normal 141" xfId="1963"/>
    <cellStyle name="Normal 142" xfId="1964"/>
    <cellStyle name="Normal 142 2" xfId="1965"/>
    <cellStyle name="Normal 142 3" xfId="1966"/>
    <cellStyle name="Normal 143" xfId="1967"/>
    <cellStyle name="Normal 144" xfId="1968"/>
    <cellStyle name="Normal 145" xfId="1969"/>
    <cellStyle name="Normal 146" xfId="1970"/>
    <cellStyle name="Normal 147" xfId="1971"/>
    <cellStyle name="Normal 148" xfId="1972"/>
    <cellStyle name="Normal 149" xfId="1973"/>
    <cellStyle name="Normal 15" xfId="1974"/>
    <cellStyle name="Normal 15 2" xfId="1975"/>
    <cellStyle name="Normal 15 2 2" xfId="1976"/>
    <cellStyle name="Normal 15 3" xfId="1977"/>
    <cellStyle name="Normal 15 3 2" xfId="1978"/>
    <cellStyle name="Normal 15 4" xfId="1979"/>
    <cellStyle name="Normal 150" xfId="1980"/>
    <cellStyle name="Normal 151" xfId="1981"/>
    <cellStyle name="Normal 152" xfId="1982"/>
    <cellStyle name="Normal 153" xfId="1983"/>
    <cellStyle name="Normal 154" xfId="1984"/>
    <cellStyle name="Normal 155" xfId="1985"/>
    <cellStyle name="Normal 156" xfId="1986"/>
    <cellStyle name="Normal 157" xfId="1987"/>
    <cellStyle name="Normal 158" xfId="1988"/>
    <cellStyle name="Normal 159" xfId="1989"/>
    <cellStyle name="Normal 16" xfId="1990"/>
    <cellStyle name="Normal 16 2" xfId="1991"/>
    <cellStyle name="Normal 16 2 2" xfId="1992"/>
    <cellStyle name="Normal 16 2 2 2" xfId="1993"/>
    <cellStyle name="Normal 16 2 3" xfId="1994"/>
    <cellStyle name="Normal 16 2 4" xfId="1995"/>
    <cellStyle name="Normal 16 3" xfId="1996"/>
    <cellStyle name="Normal 16 4" xfId="1997"/>
    <cellStyle name="Normal 16 5" xfId="3927"/>
    <cellStyle name="Normal 160" xfId="1998"/>
    <cellStyle name="Normal 161" xfId="1999"/>
    <cellStyle name="Normal 162" xfId="2000"/>
    <cellStyle name="Normal 163" xfId="2001"/>
    <cellStyle name="Normal 164" xfId="2002"/>
    <cellStyle name="Normal 165" xfId="2003"/>
    <cellStyle name="Normal 166" xfId="2004"/>
    <cellStyle name="Normal 167" xfId="2005"/>
    <cellStyle name="Normal 168" xfId="2006"/>
    <cellStyle name="Normal 169" xfId="2007"/>
    <cellStyle name="Normal 17" xfId="2008"/>
    <cellStyle name="Normal 17 2" xfId="2009"/>
    <cellStyle name="Normal 17 2 2" xfId="2010"/>
    <cellStyle name="Normal 17 3" xfId="2011"/>
    <cellStyle name="Normal 17 3 2" xfId="2012"/>
    <cellStyle name="Normal 170" xfId="2013"/>
    <cellStyle name="Normal 171" xfId="2014"/>
    <cellStyle name="Normal 172" xfId="2015"/>
    <cellStyle name="Normal 173" xfId="2016"/>
    <cellStyle name="Normal 174" xfId="2017"/>
    <cellStyle name="Normal 175" xfId="2018"/>
    <cellStyle name="Normal 176" xfId="2019"/>
    <cellStyle name="Normal 177" xfId="3573"/>
    <cellStyle name="Normal 178" xfId="3586"/>
    <cellStyle name="Normal 179" xfId="3957"/>
    <cellStyle name="Normal 18" xfId="2020"/>
    <cellStyle name="Normal 18 2" xfId="2021"/>
    <cellStyle name="Normal 18 2 2" xfId="2022"/>
    <cellStyle name="Normal 18 3" xfId="2023"/>
    <cellStyle name="Normal 19" xfId="2024"/>
    <cellStyle name="Normal 19 2" xfId="2025"/>
    <cellStyle name="Normal 19 2 2" xfId="2026"/>
    <cellStyle name="Normal 19 2 3" xfId="2027"/>
    <cellStyle name="Normal 19 3" xfId="2028"/>
    <cellStyle name="Normal 19 4" xfId="2029"/>
    <cellStyle name="Normal 2" xfId="2030"/>
    <cellStyle name="Normal 2 2" xfId="2031"/>
    <cellStyle name="Normal 2 2 2" xfId="2032"/>
    <cellStyle name="Normal 2 2 2 2" xfId="2033"/>
    <cellStyle name="Normal 2 2 3" xfId="2034"/>
    <cellStyle name="Normal 2 2 3 2" xfId="2035"/>
    <cellStyle name="Normal 2 2 3 3" xfId="2036"/>
    <cellStyle name="Normal 2 2 4" xfId="2037"/>
    <cellStyle name="Normal 2 2 4 2" xfId="2038"/>
    <cellStyle name="Normal 2 2 4 3" xfId="2039"/>
    <cellStyle name="Normal 2 2 5" xfId="3813"/>
    <cellStyle name="Normal 2 2_Pivot Table Tips" xfId="2040"/>
    <cellStyle name="Normal 2 3" xfId="2041"/>
    <cellStyle name="Normal 2 3 2" xfId="2042"/>
    <cellStyle name="Normal 2 3 2 2" xfId="2043"/>
    <cellStyle name="Normal 2 3 2 3" xfId="2044"/>
    <cellStyle name="Normal 2 3 3" xfId="2045"/>
    <cellStyle name="Normal 2 3 3 2" xfId="2046"/>
    <cellStyle name="Normal 2 3 3 3" xfId="3928"/>
    <cellStyle name="Normal 2 3 4" xfId="2047"/>
    <cellStyle name="Normal 2 3 4 2" xfId="2048"/>
    <cellStyle name="Normal 2 3 5" xfId="2049"/>
    <cellStyle name="Normal 2 4" xfId="2050"/>
    <cellStyle name="Normal 2 4 2" xfId="2051"/>
    <cellStyle name="Normal 2 4 2 2" xfId="2052"/>
    <cellStyle name="Normal 2 4 2 3" xfId="2053"/>
    <cellStyle name="Normal 2 4 3" xfId="2054"/>
    <cellStyle name="Normal 2 4 3 2" xfId="2055"/>
    <cellStyle name="Normal 2 4 4" xfId="2056"/>
    <cellStyle name="Normal 2 4 5" xfId="2057"/>
    <cellStyle name="Normal 2 4 6" xfId="3812"/>
    <cellStyle name="Normal 2 5" xfId="2058"/>
    <cellStyle name="Normal 2 5 2" xfId="2059"/>
    <cellStyle name="Normal 2 5 3" xfId="2060"/>
    <cellStyle name="Normal 2 6" xfId="2061"/>
    <cellStyle name="Normal 2 6 2" xfId="2062"/>
    <cellStyle name="Normal 2 6 2 2" xfId="2063"/>
    <cellStyle name="Normal 2 6 3" xfId="2064"/>
    <cellStyle name="Normal 2 6 3 2" xfId="2065"/>
    <cellStyle name="Normal 2 6 4" xfId="2066"/>
    <cellStyle name="Normal 2 7" xfId="2067"/>
    <cellStyle name="Normal 2 7 2" xfId="2068"/>
    <cellStyle name="Normal 2 7 2 2" xfId="2069"/>
    <cellStyle name="Normal 2 7 2 2 2" xfId="2070"/>
    <cellStyle name="Normal 2 7 2 3" xfId="2071"/>
    <cellStyle name="Normal 2 7 3" xfId="2072"/>
    <cellStyle name="Normal 2 7 3 2" xfId="2073"/>
    <cellStyle name="Normal 2 7 4" xfId="2074"/>
    <cellStyle name="Normal 2 7 5" xfId="2075"/>
    <cellStyle name="Normal 2 7 6" xfId="2076"/>
    <cellStyle name="Normal 2 8" xfId="2077"/>
    <cellStyle name="Normal 2 9" xfId="2078"/>
    <cellStyle name="Normal 2_Exhibits" xfId="2079"/>
    <cellStyle name="Normal 20" xfId="2080"/>
    <cellStyle name="Normal 20 2" xfId="2081"/>
    <cellStyle name="Normal 20 2 2" xfId="2082"/>
    <cellStyle name="Normal 20 3" xfId="2083"/>
    <cellStyle name="Normal 20 3 2" xfId="2084"/>
    <cellStyle name="Normal 20 3 3" xfId="2085"/>
    <cellStyle name="Normal 20 4" xfId="2086"/>
    <cellStyle name="Normal 20 4 2" xfId="2087"/>
    <cellStyle name="Normal 21" xfId="2088"/>
    <cellStyle name="Normal 21 2" xfId="2089"/>
    <cellStyle name="Normal 21 2 2" xfId="2090"/>
    <cellStyle name="Normal 21 3" xfId="2091"/>
    <cellStyle name="Normal 21 4" xfId="2092"/>
    <cellStyle name="Normal 22" xfId="2093"/>
    <cellStyle name="Normal 22 2" xfId="2094"/>
    <cellStyle name="Normal 22 2 2" xfId="2095"/>
    <cellStyle name="Normal 22 2 2 2" xfId="2096"/>
    <cellStyle name="Normal 22 2 3" xfId="2097"/>
    <cellStyle name="Normal 22 3" xfId="2098"/>
    <cellStyle name="Normal 23" xfId="2099"/>
    <cellStyle name="Normal 23 2" xfId="2100"/>
    <cellStyle name="Normal 24" xfId="2101"/>
    <cellStyle name="Normal 24 2" xfId="2102"/>
    <cellStyle name="Normal 25" xfId="2103"/>
    <cellStyle name="Normal 25 2" xfId="2104"/>
    <cellStyle name="Normal 25 3" xfId="2105"/>
    <cellStyle name="Normal 26" xfId="2106"/>
    <cellStyle name="Normal 26 2" xfId="2107"/>
    <cellStyle name="Normal 27" xfId="2108"/>
    <cellStyle name="Normal 27 2" xfId="2109"/>
    <cellStyle name="Normal 27 2 2" xfId="2110"/>
    <cellStyle name="Normal 27 3" xfId="3591"/>
    <cellStyle name="Normal 28" xfId="2111"/>
    <cellStyle name="Normal 28 2" xfId="2112"/>
    <cellStyle name="Normal 28 2 2" xfId="2113"/>
    <cellStyle name="Normal 28 3" xfId="3590"/>
    <cellStyle name="Normal 29" xfId="2114"/>
    <cellStyle name="Normal 29 2" xfId="2115"/>
    <cellStyle name="Normal 3" xfId="2116"/>
    <cellStyle name="Normal 3 2" xfId="2117"/>
    <cellStyle name="Normal 3 2 2" xfId="2118"/>
    <cellStyle name="Normal 3 2 2 2" xfId="2119"/>
    <cellStyle name="Normal 3 2 2 2 2" xfId="2120"/>
    <cellStyle name="Normal 3 2 2 3" xfId="2121"/>
    <cellStyle name="Normal 3 2 2 3 2" xfId="2122"/>
    <cellStyle name="Normal 3 2 2 4" xfId="2123"/>
    <cellStyle name="Normal 3 2 3" xfId="2124"/>
    <cellStyle name="Normal 3 2 3 2" xfId="2125"/>
    <cellStyle name="Normal 3 2 3 2 2" xfId="2126"/>
    <cellStyle name="Normal 3 2 4" xfId="2127"/>
    <cellStyle name="Normal 3 2 4 2" xfId="2128"/>
    <cellStyle name="Normal 3 2 5" xfId="2129"/>
    <cellStyle name="Normal 3 2 5 2" xfId="2130"/>
    <cellStyle name="Normal 3 2 5 2 2" xfId="2131"/>
    <cellStyle name="Normal 3 2 5 2 2 2" xfId="2132"/>
    <cellStyle name="Normal 3 2 5 2 2 2 2" xfId="2133"/>
    <cellStyle name="Normal 3 2 5 2 2 3" xfId="2134"/>
    <cellStyle name="Normal 3 2 5 2 3" xfId="2135"/>
    <cellStyle name="Normal 3 2 5 2 3 2" xfId="2136"/>
    <cellStyle name="Normal 3 2 5 2 4" xfId="2137"/>
    <cellStyle name="Normal 3 2 5 3" xfId="2138"/>
    <cellStyle name="Normal 3 2 5 3 2" xfId="2139"/>
    <cellStyle name="Normal 3 2 5 3 2 2" xfId="2140"/>
    <cellStyle name="Normal 3 2 5 3 3" xfId="2141"/>
    <cellStyle name="Normal 3 2 5 4" xfId="2142"/>
    <cellStyle name="Normal 3 2 5 4 2" xfId="2143"/>
    <cellStyle name="Normal 3 2 5 5" xfId="2144"/>
    <cellStyle name="Normal 3 2 6" xfId="2145"/>
    <cellStyle name="Normal 3 2 6 2" xfId="2146"/>
    <cellStyle name="Normal 3 2 6 2 2" xfId="2147"/>
    <cellStyle name="Normal 3 2 6 2 2 2" xfId="2148"/>
    <cellStyle name="Normal 3 2 6 2 3" xfId="2149"/>
    <cellStyle name="Normal 3 2 6 3" xfId="2150"/>
    <cellStyle name="Normal 3 2 6 3 2" xfId="2151"/>
    <cellStyle name="Normal 3 2 6 4" xfId="2152"/>
    <cellStyle name="Normal 3 2 7" xfId="2153"/>
    <cellStyle name="Normal 3 2 7 2" xfId="2154"/>
    <cellStyle name="Normal 3 2 7 3" xfId="2155"/>
    <cellStyle name="Normal 3 2 8" xfId="2156"/>
    <cellStyle name="Normal 3 3" xfId="2157"/>
    <cellStyle name="Normal 3 3 2" xfId="2158"/>
    <cellStyle name="Normal 3 3 2 2" xfId="2159"/>
    <cellStyle name="Normal 3 3 3" xfId="2160"/>
    <cellStyle name="Normal 3 3 4" xfId="2161"/>
    <cellStyle name="Normal 3 4" xfId="2162"/>
    <cellStyle name="Normal 3 4 2" xfId="2163"/>
    <cellStyle name="Normal 3 4 2 2" xfId="2164"/>
    <cellStyle name="Normal 3 5" xfId="2165"/>
    <cellStyle name="Normal 3 5 2" xfId="2166"/>
    <cellStyle name="Normal 3 5 2 2" xfId="2167"/>
    <cellStyle name="Normal 3 5 2 3" xfId="2168"/>
    <cellStyle name="Normal 3 5 3" xfId="2169"/>
    <cellStyle name="Normal 3 5 4" xfId="2170"/>
    <cellStyle name="Normal 3 5 5" xfId="3814"/>
    <cellStyle name="Normal 3 6" xfId="2171"/>
    <cellStyle name="Normal 30" xfId="2172"/>
    <cellStyle name="Normal 30 2" xfId="2173"/>
    <cellStyle name="Normal 30 3" xfId="3592"/>
    <cellStyle name="Normal 31" xfId="2174"/>
    <cellStyle name="Normal 31 2" xfId="2175"/>
    <cellStyle name="Normal 31 3" xfId="3857"/>
    <cellStyle name="Normal 32" xfId="2176"/>
    <cellStyle name="Normal 32 2" xfId="2177"/>
    <cellStyle name="Normal 32 3" xfId="3879"/>
    <cellStyle name="Normal 33" xfId="2178"/>
    <cellStyle name="Normal 33 2" xfId="2179"/>
    <cellStyle name="Normal 33 3" xfId="3880"/>
    <cellStyle name="Normal 34" xfId="2180"/>
    <cellStyle name="Normal 34 2" xfId="2181"/>
    <cellStyle name="Normal 34 2 2" xfId="2182"/>
    <cellStyle name="Normal 34 2 3" xfId="3929"/>
    <cellStyle name="Normal 34 3" xfId="2183"/>
    <cellStyle name="Normal 34 4" xfId="3871"/>
    <cellStyle name="Normal 35" xfId="2184"/>
    <cellStyle name="Normal 35 2" xfId="2185"/>
    <cellStyle name="Normal 35 2 2" xfId="2186"/>
    <cellStyle name="Normal 35 2 3" xfId="3930"/>
    <cellStyle name="Normal 35 3" xfId="2187"/>
    <cellStyle name="Normal 35 4" xfId="3870"/>
    <cellStyle name="Normal 36" xfId="2188"/>
    <cellStyle name="Normal 36 2" xfId="2189"/>
    <cellStyle name="Normal 36 2 2" xfId="2190"/>
    <cellStyle name="Normal 36 2 3" xfId="2191"/>
    <cellStyle name="Normal 36 3" xfId="2192"/>
    <cellStyle name="Normal 36 3 2" xfId="2193"/>
    <cellStyle name="Normal 36 3 3" xfId="3931"/>
    <cellStyle name="Normal 36 4" xfId="2194"/>
    <cellStyle name="Normal 36 5" xfId="3867"/>
    <cellStyle name="Normal 37" xfId="2195"/>
    <cellStyle name="Normal 37 2" xfId="2196"/>
    <cellStyle name="Normal 37 2 2" xfId="2197"/>
    <cellStyle name="Normal 37 2 3" xfId="2198"/>
    <cellStyle name="Normal 38" xfId="2199"/>
    <cellStyle name="Normal 38 2" xfId="2200"/>
    <cellStyle name="Normal 38 2 2" xfId="2201"/>
    <cellStyle name="Normal 39" xfId="2202"/>
    <cellStyle name="Normal 39 2" xfId="2203"/>
    <cellStyle name="Normal 39 2 2" xfId="2204"/>
    <cellStyle name="Normal 39 3" xfId="2205"/>
    <cellStyle name="Normal 4" xfId="2206"/>
    <cellStyle name="Normal 4 10" xfId="2207"/>
    <cellStyle name="Normal 4 10 2" xfId="2208"/>
    <cellStyle name="Normal 4 2" xfId="2209"/>
    <cellStyle name="Normal 4 2 2" xfId="2210"/>
    <cellStyle name="Normal 4 2 2 2" xfId="2211"/>
    <cellStyle name="Normal 4 2 3" xfId="2212"/>
    <cellStyle name="Normal 4 2 4" xfId="3580"/>
    <cellStyle name="Normal 4 3" xfId="2213"/>
    <cellStyle name="Normal 4 3 2" xfId="2214"/>
    <cellStyle name="Normal 4 3 2 2" xfId="2215"/>
    <cellStyle name="Normal 4 3 3" xfId="3932"/>
    <cellStyle name="Normal 4 3 4" xfId="3815"/>
    <cellStyle name="Normal 4 4" xfId="2216"/>
    <cellStyle name="Normal 4 4 2" xfId="2217"/>
    <cellStyle name="Normal 4 4 2 2" xfId="3933"/>
    <cellStyle name="Normal 4 4 3" xfId="2218"/>
    <cellStyle name="Normal 4 4 4" xfId="3873"/>
    <cellStyle name="Normal 4 5" xfId="2219"/>
    <cellStyle name="Normal 4 5 2" xfId="2220"/>
    <cellStyle name="Normal 4 5 2 2" xfId="2221"/>
    <cellStyle name="Normal 4 5 2 3" xfId="2222"/>
    <cellStyle name="Normal 4 5 3" xfId="2223"/>
    <cellStyle name="Normal 4 5 4" xfId="2224"/>
    <cellStyle name="Normal 4 5 5" xfId="2225"/>
    <cellStyle name="Normal 4 6" xfId="2226"/>
    <cellStyle name="Normal 4 6 2" xfId="2227"/>
    <cellStyle name="Normal 4 6 2 2" xfId="2228"/>
    <cellStyle name="Normal 4 6 2 2 2" xfId="2229"/>
    <cellStyle name="Normal 4 6 2 2 2 2" xfId="2230"/>
    <cellStyle name="Normal 4 6 2 2 3" xfId="2231"/>
    <cellStyle name="Normal 4 6 2 3" xfId="2232"/>
    <cellStyle name="Normal 4 6 2 3 2" xfId="2233"/>
    <cellStyle name="Normal 4 6 2 4" xfId="2234"/>
    <cellStyle name="Normal 4 6 3" xfId="2235"/>
    <cellStyle name="Normal 4 6 3 2" xfId="2236"/>
    <cellStyle name="Normal 4 6 3 2 2" xfId="2237"/>
    <cellStyle name="Normal 4 6 3 3" xfId="2238"/>
    <cellStyle name="Normal 4 6 4" xfId="2239"/>
    <cellStyle name="Normal 4 6 4 2" xfId="2240"/>
    <cellStyle name="Normal 4 6 5" xfId="2241"/>
    <cellStyle name="Normal 4 6 6" xfId="2242"/>
    <cellStyle name="Normal 4 7" xfId="2243"/>
    <cellStyle name="Normal 4 8" xfId="2244"/>
    <cellStyle name="Normal 4 8 2" xfId="2245"/>
    <cellStyle name="Normal 4 8 2 2" xfId="2246"/>
    <cellStyle name="Normal 4 8 2 2 2" xfId="2247"/>
    <cellStyle name="Normal 4 8 2 3" xfId="2248"/>
    <cellStyle name="Normal 4 8 3" xfId="2249"/>
    <cellStyle name="Normal 4 8 3 2" xfId="2250"/>
    <cellStyle name="Normal 4 8 4" xfId="2251"/>
    <cellStyle name="Normal 4 9" xfId="2252"/>
    <cellStyle name="Normal 4 9 2" xfId="2253"/>
    <cellStyle name="Normal 40" xfId="2254"/>
    <cellStyle name="Normal 40 2" xfId="2255"/>
    <cellStyle name="Normal 40 2 2" xfId="2256"/>
    <cellStyle name="Normal 40 3" xfId="2257"/>
    <cellStyle name="Normal 41" xfId="2258"/>
    <cellStyle name="Normal 41 2" xfId="2259"/>
    <cellStyle name="Normal 42" xfId="2260"/>
    <cellStyle name="Normal 42 2" xfId="2261"/>
    <cellStyle name="Normal 43" xfId="2262"/>
    <cellStyle name="Normal 43 2" xfId="2263"/>
    <cellStyle name="Normal 44" xfId="2264"/>
    <cellStyle name="Normal 44 2" xfId="2265"/>
    <cellStyle name="Normal 45" xfId="2266"/>
    <cellStyle name="Normal 45 2" xfId="2267"/>
    <cellStyle name="Normal 45 3" xfId="2268"/>
    <cellStyle name="Normal 46" xfId="2269"/>
    <cellStyle name="Normal 46 2" xfId="2270"/>
    <cellStyle name="Normal 46 2 2" xfId="2271"/>
    <cellStyle name="Normal 46 3" xfId="2272"/>
    <cellStyle name="Normal 46 4" xfId="2273"/>
    <cellStyle name="Normal 47" xfId="2274"/>
    <cellStyle name="Normal 47 2" xfId="2275"/>
    <cellStyle name="Normal 47 2 2" xfId="2276"/>
    <cellStyle name="Normal 47 3" xfId="2277"/>
    <cellStyle name="Normal 47 4" xfId="2278"/>
    <cellStyle name="Normal 48" xfId="2279"/>
    <cellStyle name="Normal 48 2" xfId="2280"/>
    <cellStyle name="Normal 48 2 2" xfId="2281"/>
    <cellStyle name="Normal 48 3" xfId="2282"/>
    <cellStyle name="Normal 48 4" xfId="2283"/>
    <cellStyle name="Normal 49" xfId="2284"/>
    <cellStyle name="Normal 49 2" xfId="2285"/>
    <cellStyle name="Normal 49 2 2" xfId="2286"/>
    <cellStyle name="Normal 49 3" xfId="2287"/>
    <cellStyle name="Normal 49 4" xfId="2288"/>
    <cellStyle name="Normal 5" xfId="2289"/>
    <cellStyle name="Normal 5 2" xfId="2290"/>
    <cellStyle name="Normal 5 2 2" xfId="2291"/>
    <cellStyle name="Normal 5 2 2 2" xfId="2292"/>
    <cellStyle name="Normal 5 2 3" xfId="2293"/>
    <cellStyle name="Normal 5 2 4" xfId="2294"/>
    <cellStyle name="Normal 5 2 5" xfId="2295"/>
    <cellStyle name="Normal 5 2 5 2" xfId="2296"/>
    <cellStyle name="Normal 5 3" xfId="2297"/>
    <cellStyle name="Normal 5 3 2" xfId="2298"/>
    <cellStyle name="Normal 5 3 2 2" xfId="2299"/>
    <cellStyle name="Normal 5 3 3" xfId="2300"/>
    <cellStyle name="Normal 5 3 4" xfId="3816"/>
    <cellStyle name="Normal 5 4" xfId="2301"/>
    <cellStyle name="Normal 5 4 2" xfId="2302"/>
    <cellStyle name="Normal 5 4 3" xfId="2303"/>
    <cellStyle name="Normal 5 5" xfId="2304"/>
    <cellStyle name="Normal 5 5 2" xfId="2305"/>
    <cellStyle name="Normal 5 5 2 2" xfId="2306"/>
    <cellStyle name="Normal 5 5 2 3" xfId="2307"/>
    <cellStyle name="Normal 5 5 3" xfId="2308"/>
    <cellStyle name="Normal 5 5 4" xfId="2309"/>
    <cellStyle name="Normal 5 5 5" xfId="2310"/>
    <cellStyle name="Normal 5 5 6" xfId="2311"/>
    <cellStyle name="Normal 5 5 7" xfId="3934"/>
    <cellStyle name="Normal 5 6" xfId="2312"/>
    <cellStyle name="Normal 5 6 2" xfId="2313"/>
    <cellStyle name="Normal 5 6 2 2" xfId="2314"/>
    <cellStyle name="Normal 5 6 2 2 2" xfId="2315"/>
    <cellStyle name="Normal 5 6 2 2 2 2" xfId="2316"/>
    <cellStyle name="Normal 5 6 2 2 3" xfId="2317"/>
    <cellStyle name="Normal 5 6 2 3" xfId="2318"/>
    <cellStyle name="Normal 5 6 2 3 2" xfId="2319"/>
    <cellStyle name="Normal 5 6 2 4" xfId="2320"/>
    <cellStyle name="Normal 5 6 3" xfId="2321"/>
    <cellStyle name="Normal 5 6 3 2" xfId="2322"/>
    <cellStyle name="Normal 5 6 3 2 2" xfId="2323"/>
    <cellStyle name="Normal 5 6 3 3" xfId="2324"/>
    <cellStyle name="Normal 5 6 4" xfId="2325"/>
    <cellStyle name="Normal 5 6 4 2" xfId="2326"/>
    <cellStyle name="Normal 5 6 5" xfId="2327"/>
    <cellStyle name="Normal 5 6 6" xfId="2328"/>
    <cellStyle name="Normal 5 7" xfId="2329"/>
    <cellStyle name="Normal 5 7 2" xfId="2330"/>
    <cellStyle name="Normal 5 7 2 2" xfId="2331"/>
    <cellStyle name="Normal 5 7 2 2 2" xfId="2332"/>
    <cellStyle name="Normal 5 7 2 3" xfId="2333"/>
    <cellStyle name="Normal 5 7 3" xfId="2334"/>
    <cellStyle name="Normal 5 7 3 2" xfId="2335"/>
    <cellStyle name="Normal 5 7 4" xfId="2336"/>
    <cellStyle name="Normal 5 8" xfId="2337"/>
    <cellStyle name="Normal 5 8 2" xfId="2338"/>
    <cellStyle name="Normal 50" xfId="2339"/>
    <cellStyle name="Normal 50 2" xfId="2340"/>
    <cellStyle name="Normal 50 2 2" xfId="2341"/>
    <cellStyle name="Normal 50 3" xfId="2342"/>
    <cellStyle name="Normal 50 4" xfId="2343"/>
    <cellStyle name="Normal 51" xfId="2344"/>
    <cellStyle name="Normal 51 2" xfId="2345"/>
    <cellStyle name="Normal 51 2 2" xfId="2346"/>
    <cellStyle name="Normal 51 3" xfId="2347"/>
    <cellStyle name="Normal 51 4" xfId="2348"/>
    <cellStyle name="Normal 52" xfId="2349"/>
    <cellStyle name="Normal 52 2" xfId="2350"/>
    <cellStyle name="Normal 52 2 2" xfId="2351"/>
    <cellStyle name="Normal 52 3" xfId="2352"/>
    <cellStyle name="Normal 52 4" xfId="2353"/>
    <cellStyle name="Normal 53" xfId="2354"/>
    <cellStyle name="Normal 53 2" xfId="2355"/>
    <cellStyle name="Normal 53 2 2" xfId="2356"/>
    <cellStyle name="Normal 53 3" xfId="2357"/>
    <cellStyle name="Normal 53 4" xfId="2358"/>
    <cellStyle name="Normal 54" xfId="2359"/>
    <cellStyle name="Normal 54 2" xfId="2360"/>
    <cellStyle name="Normal 54 2 2" xfId="2361"/>
    <cellStyle name="Normal 54 3" xfId="2362"/>
    <cellStyle name="Normal 54 4" xfId="2363"/>
    <cellStyle name="Normal 55" xfId="2364"/>
    <cellStyle name="Normal 55 2" xfId="2365"/>
    <cellStyle name="Normal 55 2 2" xfId="2366"/>
    <cellStyle name="Normal 55 3" xfId="2367"/>
    <cellStyle name="Normal 55 4" xfId="2368"/>
    <cellStyle name="Normal 56" xfId="2369"/>
    <cellStyle name="Normal 56 2" xfId="2370"/>
    <cellStyle name="Normal 56 2 2" xfId="2371"/>
    <cellStyle name="Normal 56 3" xfId="2372"/>
    <cellStyle name="Normal 56 4" xfId="2373"/>
    <cellStyle name="Normal 57" xfId="2374"/>
    <cellStyle name="Normal 57 2" xfId="2375"/>
    <cellStyle name="Normal 57 2 2" xfId="2376"/>
    <cellStyle name="Normal 57 3" xfId="2377"/>
    <cellStyle name="Normal 57 4" xfId="2378"/>
    <cellStyle name="Normal 58" xfId="2379"/>
    <cellStyle name="Normal 58 2" xfId="2380"/>
    <cellStyle name="Normal 58 2 2" xfId="2381"/>
    <cellStyle name="Normal 58 3" xfId="2382"/>
    <cellStyle name="Normal 58 4" xfId="2383"/>
    <cellStyle name="Normal 59" xfId="2384"/>
    <cellStyle name="Normal 59 2" xfId="2385"/>
    <cellStyle name="Normal 6" xfId="2386"/>
    <cellStyle name="Normal 6 2" xfId="2387"/>
    <cellStyle name="Normal 6 2 2" xfId="2388"/>
    <cellStyle name="Normal 6 2 2 2" xfId="2389"/>
    <cellStyle name="Normal 6 2 3" xfId="2390"/>
    <cellStyle name="Normal 6 3" xfId="2391"/>
    <cellStyle name="Normal 6 3 2" xfId="2392"/>
    <cellStyle name="Normal 6 3 2 2" xfId="2393"/>
    <cellStyle name="Normal 6 3 3" xfId="2394"/>
    <cellStyle name="Normal 6 4" xfId="2395"/>
    <cellStyle name="Normal 6 4 2" xfId="2396"/>
    <cellStyle name="Normal 6 5" xfId="2397"/>
    <cellStyle name="Normal 6 6" xfId="2398"/>
    <cellStyle name="Normal 6 7" xfId="2399"/>
    <cellStyle name="Normal 6 7 2" xfId="3935"/>
    <cellStyle name="Normal 6 8" xfId="2400"/>
    <cellStyle name="Normal 60" xfId="2401"/>
    <cellStyle name="Normal 60 2" xfId="2402"/>
    <cellStyle name="Normal 61" xfId="2403"/>
    <cellStyle name="Normal 61 2" xfId="2404"/>
    <cellStyle name="Normal 62" xfId="2405"/>
    <cellStyle name="Normal 62 2" xfId="2406"/>
    <cellStyle name="Normal 63" xfId="2407"/>
    <cellStyle name="Normal 63 2" xfId="2408"/>
    <cellStyle name="Normal 64" xfId="2409"/>
    <cellStyle name="Normal 64 2" xfId="2410"/>
    <cellStyle name="Normal 64 2 2" xfId="2411"/>
    <cellStyle name="Normal 64 2 3" xfId="2412"/>
    <cellStyle name="Normal 64 3" xfId="2413"/>
    <cellStyle name="Normal 64 4" xfId="2414"/>
    <cellStyle name="Normal 64 5" xfId="2415"/>
    <cellStyle name="Normal 65" xfId="2416"/>
    <cellStyle name="Normal 65 2" xfId="2417"/>
    <cellStyle name="Normal 65 2 2" xfId="2418"/>
    <cellStyle name="Normal 65 2 3" xfId="2419"/>
    <cellStyle name="Normal 65 3" xfId="2420"/>
    <cellStyle name="Normal 65 4" xfId="2421"/>
    <cellStyle name="Normal 65 5" xfId="2422"/>
    <cellStyle name="Normal 66" xfId="2423"/>
    <cellStyle name="Normal 66 2" xfId="2424"/>
    <cellStyle name="Normal 66 2 2" xfId="2425"/>
    <cellStyle name="Normal 66 2 3" xfId="2426"/>
    <cellStyle name="Normal 66 3" xfId="2427"/>
    <cellStyle name="Normal 66 4" xfId="2428"/>
    <cellStyle name="Normal 66 5" xfId="2429"/>
    <cellStyle name="Normal 67" xfId="2430"/>
    <cellStyle name="Normal 67 2" xfId="2431"/>
    <cellStyle name="Normal 67 2 2" xfId="2432"/>
    <cellStyle name="Normal 67 2 3" xfId="2433"/>
    <cellStyle name="Normal 67 3" xfId="2434"/>
    <cellStyle name="Normal 67 4" xfId="2435"/>
    <cellStyle name="Normal 67 5" xfId="2436"/>
    <cellStyle name="Normal 68" xfId="2437"/>
    <cellStyle name="Normal 68 2" xfId="2438"/>
    <cellStyle name="Normal 68 2 2" xfId="2439"/>
    <cellStyle name="Normal 68 2 3" xfId="2440"/>
    <cellStyle name="Normal 68 3" xfId="2441"/>
    <cellStyle name="Normal 68 4" xfId="2442"/>
    <cellStyle name="Normal 68 5" xfId="2443"/>
    <cellStyle name="Normal 69" xfId="2444"/>
    <cellStyle name="Normal 69 2" xfId="2445"/>
    <cellStyle name="Normal 69 3" xfId="2446"/>
    <cellStyle name="Normal 69 4" xfId="2447"/>
    <cellStyle name="Normal 7" xfId="2448"/>
    <cellStyle name="Normal 7 2" xfId="2449"/>
    <cellStyle name="Normal 7 2 2" xfId="2450"/>
    <cellStyle name="Normal 7 2 2 2" xfId="2451"/>
    <cellStyle name="Normal 7 2 2 3" xfId="2452"/>
    <cellStyle name="Normal 7 2 3" xfId="2453"/>
    <cellStyle name="Normal 7 3" xfId="2454"/>
    <cellStyle name="Normal 7 3 2" xfId="2455"/>
    <cellStyle name="Normal 7 3 3" xfId="2456"/>
    <cellStyle name="Normal 7 4" xfId="2457"/>
    <cellStyle name="Normal 7 4 2" xfId="2458"/>
    <cellStyle name="Normal 7 5" xfId="2459"/>
    <cellStyle name="Normal 70" xfId="2460"/>
    <cellStyle name="Normal 70 2" xfId="2461"/>
    <cellStyle name="Normal 70 3" xfId="2462"/>
    <cellStyle name="Normal 71" xfId="2463"/>
    <cellStyle name="Normal 71 2" xfId="2464"/>
    <cellStyle name="Normal 71 3" xfId="2465"/>
    <cellStyle name="Normal 72" xfId="2466"/>
    <cellStyle name="Normal 72 2" xfId="2467"/>
    <cellStyle name="Normal 72 2 2" xfId="2468"/>
    <cellStyle name="Normal 72 3" xfId="2469"/>
    <cellStyle name="Normal 72 4" xfId="2470"/>
    <cellStyle name="Normal 73" xfId="2471"/>
    <cellStyle name="Normal 73 2" xfId="2472"/>
    <cellStyle name="Normal 73 2 2" xfId="2473"/>
    <cellStyle name="Normal 73 3" xfId="2474"/>
    <cellStyle name="Normal 73 4" xfId="2475"/>
    <cellStyle name="Normal 74" xfId="2476"/>
    <cellStyle name="Normal 74 2" xfId="2477"/>
    <cellStyle name="Normal 74 2 2" xfId="2478"/>
    <cellStyle name="Normal 74 2 3" xfId="2479"/>
    <cellStyle name="Normal 74 3" xfId="2480"/>
    <cellStyle name="Normal 74 3 2" xfId="2481"/>
    <cellStyle name="Normal 74 3 3" xfId="3936"/>
    <cellStyle name="Normal 74 4" xfId="2482"/>
    <cellStyle name="Normal 75" xfId="2483"/>
    <cellStyle name="Normal 75 2" xfId="2484"/>
    <cellStyle name="Normal 75 2 2" xfId="2485"/>
    <cellStyle name="Normal 76" xfId="2486"/>
    <cellStyle name="Normal 76 2" xfId="2487"/>
    <cellStyle name="Normal 76 2 2" xfId="2488"/>
    <cellStyle name="Normal 77" xfId="2489"/>
    <cellStyle name="Normal 78" xfId="2490"/>
    <cellStyle name="Normal 79" xfId="2491"/>
    <cellStyle name="Normal 8" xfId="2492"/>
    <cellStyle name="Normal 8 2" xfId="2493"/>
    <cellStyle name="Normal 8 2 2" xfId="2494"/>
    <cellStyle name="Normal 8 2 2 2" xfId="2495"/>
    <cellStyle name="Normal 8 3" xfId="2496"/>
    <cellStyle name="Normal 8 3 2" xfId="2497"/>
    <cellStyle name="Normal 8 3 3" xfId="2498"/>
    <cellStyle name="Normal 8 3 4" xfId="3937"/>
    <cellStyle name="Normal 8 4" xfId="2499"/>
    <cellStyle name="Normal 8 4 2" xfId="2500"/>
    <cellStyle name="Normal 8 5" xfId="2501"/>
    <cellStyle name="Normal 80" xfId="2502"/>
    <cellStyle name="Normal 81" xfId="2503"/>
    <cellStyle name="Normal 82" xfId="2504"/>
    <cellStyle name="Normal 83" xfId="2505"/>
    <cellStyle name="Normal 84" xfId="2506"/>
    <cellStyle name="Normal 85" xfId="2507"/>
    <cellStyle name="Normal 86" xfId="2508"/>
    <cellStyle name="Normal 86 2" xfId="2509"/>
    <cellStyle name="Normal 86 3" xfId="2510"/>
    <cellStyle name="Normal 86 3 2" xfId="2511"/>
    <cellStyle name="Normal 86 3 2 2" xfId="2512"/>
    <cellStyle name="Normal 86 3 2 2 2" xfId="2513"/>
    <cellStyle name="Normal 86 3 2 3" xfId="2514"/>
    <cellStyle name="Normal 86 3 3" xfId="2515"/>
    <cellStyle name="Normal 86 3 3 2" xfId="2516"/>
    <cellStyle name="Normal 86 3 4" xfId="2517"/>
    <cellStyle name="Normal 86 4" xfId="2518"/>
    <cellStyle name="Normal 86 4 2" xfId="2519"/>
    <cellStyle name="Normal 86 4 2 2" xfId="2520"/>
    <cellStyle name="Normal 86 4 3" xfId="2521"/>
    <cellStyle name="Normal 86 5" xfId="2522"/>
    <cellStyle name="Normal 86 5 2" xfId="2523"/>
    <cellStyle name="Normal 86 6" xfId="2524"/>
    <cellStyle name="Normal 86 7" xfId="2525"/>
    <cellStyle name="Normal 87" xfId="2526"/>
    <cellStyle name="Normal 88" xfId="2527"/>
    <cellStyle name="Normal 88 2" xfId="2528"/>
    <cellStyle name="Normal 89" xfId="2529"/>
    <cellStyle name="Normal 89 2" xfId="2530"/>
    <cellStyle name="Normal 9" xfId="2531"/>
    <cellStyle name="Normal 9 2" xfId="2532"/>
    <cellStyle name="Normal 9 2 2" xfId="2533"/>
    <cellStyle name="Normal 9 3" xfId="2534"/>
    <cellStyle name="Normal 9 3 2" xfId="2535"/>
    <cellStyle name="Normal 9 3 3" xfId="2536"/>
    <cellStyle name="Normal 9 3 4" xfId="2537"/>
    <cellStyle name="Normal 9 4" xfId="2538"/>
    <cellStyle name="Normal 9 4 2" xfId="2539"/>
    <cellStyle name="Normal 90" xfId="2540"/>
    <cellStyle name="Normal 90 2" xfId="2541"/>
    <cellStyle name="Normal 91" xfId="2542"/>
    <cellStyle name="Normal 92" xfId="2543"/>
    <cellStyle name="Normal 93" xfId="2544"/>
    <cellStyle name="Normal 94" xfId="2545"/>
    <cellStyle name="Normal 95" xfId="2546"/>
    <cellStyle name="Normal 96" xfId="2547"/>
    <cellStyle name="Normal 97" xfId="2548"/>
    <cellStyle name="Normal 98" xfId="2549"/>
    <cellStyle name="Normal 99" xfId="2550"/>
    <cellStyle name="Normal Bold" xfId="2551"/>
    <cellStyle name="Normal Bold 2" xfId="2552"/>
    <cellStyle name="Normal Bold 3" xfId="3817"/>
    <cellStyle name="Normal_AMCCBLSH" xfId="2553"/>
    <cellStyle name="Normal_Book3" xfId="2554"/>
    <cellStyle name="Normal_DisclaimerSheet Samples" xfId="3959"/>
    <cellStyle name="Normal_intc(1).o" xfId="2555"/>
    <cellStyle name="Normal_LSCCWKSH" xfId="3956"/>
    <cellStyle name="NormalItalic" xfId="2556"/>
    <cellStyle name="Note" xfId="2557" builtinId="10" customBuiltin="1"/>
    <cellStyle name="Note 10" xfId="2558"/>
    <cellStyle name="Note 10 2" xfId="2559"/>
    <cellStyle name="Note 11" xfId="2560"/>
    <cellStyle name="Note 11 2" xfId="2561"/>
    <cellStyle name="Note 12" xfId="2562"/>
    <cellStyle name="Note 12 2" xfId="2563"/>
    <cellStyle name="Note 13" xfId="2564"/>
    <cellStyle name="Note 13 2" xfId="2565"/>
    <cellStyle name="Note 2" xfId="2566"/>
    <cellStyle name="Note 2 2" xfId="2567"/>
    <cellStyle name="Note 2 2 2" xfId="2568"/>
    <cellStyle name="Note 2 2 2 2" xfId="2569"/>
    <cellStyle name="Note 2 2 3" xfId="2570"/>
    <cellStyle name="Note 2 2 4" xfId="2571"/>
    <cellStyle name="Note 2 3" xfId="2572"/>
    <cellStyle name="Note 2 3 2" xfId="2573"/>
    <cellStyle name="Note 2 3 3" xfId="2574"/>
    <cellStyle name="Note 2 4" xfId="2575"/>
    <cellStyle name="Note 3" xfId="2576"/>
    <cellStyle name="Note 3 2" xfId="2577"/>
    <cellStyle name="Note 4" xfId="2578"/>
    <cellStyle name="Note 4 2" xfId="2579"/>
    <cellStyle name="Note 4 2 2" xfId="2580"/>
    <cellStyle name="Note 4 3" xfId="2581"/>
    <cellStyle name="Note 5" xfId="2582"/>
    <cellStyle name="Note 5 2" xfId="2583"/>
    <cellStyle name="Note 6" xfId="2584"/>
    <cellStyle name="Note 6 2" xfId="2585"/>
    <cellStyle name="Note 7" xfId="2586"/>
    <cellStyle name="Note 7 2" xfId="2587"/>
    <cellStyle name="Note 7 3" xfId="2588"/>
    <cellStyle name="Note 8" xfId="2589"/>
    <cellStyle name="Note 8 2" xfId="2590"/>
    <cellStyle name="Note 9" xfId="2591"/>
    <cellStyle name="Note 9 2" xfId="2592"/>
    <cellStyle name="Notes" xfId="3818"/>
    <cellStyle name="num,nodecpts" xfId="3819"/>
    <cellStyle name="number" xfId="2593"/>
    <cellStyle name="Number 2" xfId="2594"/>
    <cellStyle name="number 2 2" xfId="2595"/>
    <cellStyle name="Number 2 2 2" xfId="3938"/>
    <cellStyle name="Number 2 3" xfId="2596"/>
    <cellStyle name="Number 2 4" xfId="2597"/>
    <cellStyle name="Number 2 5" xfId="2598"/>
    <cellStyle name="number 2 6" xfId="2599"/>
    <cellStyle name="Number 2 7" xfId="3820"/>
    <cellStyle name="Number 2 8" xfId="3584"/>
    <cellStyle name="Number 3" xfId="2600"/>
    <cellStyle name="Number 4" xfId="2601"/>
    <cellStyle name="Number 5" xfId="2602"/>
    <cellStyle name="Number 6" xfId="2603"/>
    <cellStyle name="Number 7" xfId="2604"/>
    <cellStyle name="Number 8" xfId="2605"/>
    <cellStyle name="Numbers" xfId="3821"/>
    <cellStyle name="Numbers [0]" xfId="3822"/>
    <cellStyle name="Œ…‹æØ‚è [0.00]_GE 3 MINIMUM" xfId="2606"/>
    <cellStyle name="Œ…‹æØ‚è_GE 3 MINIMUM" xfId="2607"/>
    <cellStyle name="Onedec_FT Valuation " xfId="2608"/>
    <cellStyle name="OneDecimal" xfId="2609"/>
    <cellStyle name="Other%" xfId="2610"/>
    <cellStyle name="outh America" xfId="2611"/>
    <cellStyle name="Output" xfId="2612" builtinId="21" customBuiltin="1"/>
    <cellStyle name="Output 2" xfId="2613"/>
    <cellStyle name="Output 3" xfId="2614"/>
    <cellStyle name="Output 3 2" xfId="2615"/>
    <cellStyle name="Override" xfId="3823"/>
    <cellStyle name="p " xfId="2616"/>
    <cellStyle name="Pass" xfId="2617"/>
    <cellStyle name="Pass 2" xfId="2618"/>
    <cellStyle name="Pass 2 2" xfId="2619"/>
    <cellStyle name="Pass 2 3" xfId="2620"/>
    <cellStyle name="Pec (2dec,fs)" xfId="3824"/>
    <cellStyle name="Percent" xfId="2621" builtinId="5"/>
    <cellStyle name="Percent (1)" xfId="2622"/>
    <cellStyle name="Percent [2]" xfId="2623"/>
    <cellStyle name="Percent [2] 2" xfId="2624"/>
    <cellStyle name="Percent [2] 2 2" xfId="2625"/>
    <cellStyle name="Percent [2] 2 2 2" xfId="2626"/>
    <cellStyle name="Percent [2] 2 2 2 2" xfId="2627"/>
    <cellStyle name="Percent [2] 2 2 3" xfId="2628"/>
    <cellStyle name="Percent [2] 2 3" xfId="2629"/>
    <cellStyle name="Percent [2] 2 3 2" xfId="2630"/>
    <cellStyle name="Percent [2] 2 4" xfId="2631"/>
    <cellStyle name="Percent [2] 3" xfId="2632"/>
    <cellStyle name="Percent [2] 3 2" xfId="2633"/>
    <cellStyle name="Percent [2] 3 2 2" xfId="2634"/>
    <cellStyle name="Percent [2] 3 3" xfId="2635"/>
    <cellStyle name="Percent [2] 4" xfId="2636"/>
    <cellStyle name="Percent [2] 4 2" xfId="2637"/>
    <cellStyle name="Percent [2] 5" xfId="2638"/>
    <cellStyle name="Percent [2] 5 2" xfId="2639"/>
    <cellStyle name="Percent [2] 6" xfId="2640"/>
    <cellStyle name="Percent [2] 7" xfId="2641"/>
    <cellStyle name="Percent [2] 7 2" xfId="2642"/>
    <cellStyle name="Percent [2] 8" xfId="2643"/>
    <cellStyle name="Percent [2] 8 2" xfId="2644"/>
    <cellStyle name="Percent 10" xfId="2645"/>
    <cellStyle name="Percent 10 2" xfId="2646"/>
    <cellStyle name="Percent 10 2 2" xfId="2647"/>
    <cellStyle name="Percent 10 2 2 2" xfId="2648"/>
    <cellStyle name="Percent 10 2 3" xfId="2649"/>
    <cellStyle name="Percent 10 2 4" xfId="2650"/>
    <cellStyle name="Percent 10 3" xfId="2651"/>
    <cellStyle name="Percent 10 3 2" xfId="2652"/>
    <cellStyle name="Percent 10 3 2 2" xfId="2653"/>
    <cellStyle name="Percent 10 3 3" xfId="2654"/>
    <cellStyle name="Percent 10 4" xfId="2655"/>
    <cellStyle name="Percent 10 4 2" xfId="2656"/>
    <cellStyle name="Percent 10 4 3" xfId="2657"/>
    <cellStyle name="Percent 10 5" xfId="2658"/>
    <cellStyle name="Percent 10 5 2" xfId="2659"/>
    <cellStyle name="Percent 10 5 3" xfId="2660"/>
    <cellStyle name="Percent 10 5 4" xfId="2661"/>
    <cellStyle name="Percent 10 5 5" xfId="3940"/>
    <cellStyle name="Percent 100" xfId="2662"/>
    <cellStyle name="Percent 101" xfId="2663"/>
    <cellStyle name="Percent 102" xfId="2664"/>
    <cellStyle name="Percent 103" xfId="2665"/>
    <cellStyle name="Percent 104" xfId="2666"/>
    <cellStyle name="Percent 105" xfId="2667"/>
    <cellStyle name="Percent 106" xfId="2668"/>
    <cellStyle name="Percent 107" xfId="2669"/>
    <cellStyle name="Percent 108" xfId="2670"/>
    <cellStyle name="Percent 109" xfId="2671"/>
    <cellStyle name="Percent 11" xfId="2672"/>
    <cellStyle name="Percent 11 2" xfId="2673"/>
    <cellStyle name="Percent 11 2 2" xfId="2674"/>
    <cellStyle name="Percent 11 2 2 2" xfId="2675"/>
    <cellStyle name="Percent 11 2 3" xfId="2676"/>
    <cellStyle name="Percent 11 3" xfId="2677"/>
    <cellStyle name="Percent 11 3 2" xfId="2678"/>
    <cellStyle name="Percent 11 3 2 2" xfId="2679"/>
    <cellStyle name="Percent 11 3 3" xfId="2680"/>
    <cellStyle name="Percent 11 4" xfId="2681"/>
    <cellStyle name="Percent 11 4 2" xfId="2682"/>
    <cellStyle name="Percent 11 5" xfId="2683"/>
    <cellStyle name="Percent 11 5 2" xfId="2684"/>
    <cellStyle name="Percent 11 6" xfId="2685"/>
    <cellStyle name="Percent 110" xfId="2686"/>
    <cellStyle name="Percent 111" xfId="2687"/>
    <cellStyle name="Percent 112" xfId="2688"/>
    <cellStyle name="Percent 113" xfId="2689"/>
    <cellStyle name="Percent 114" xfId="2690"/>
    <cellStyle name="Percent 115" xfId="2691"/>
    <cellStyle name="Percent 116" xfId="2692"/>
    <cellStyle name="Percent 117" xfId="2693"/>
    <cellStyle name="Percent 118" xfId="2694"/>
    <cellStyle name="Percent 119" xfId="2695"/>
    <cellStyle name="Percent 12" xfId="2696"/>
    <cellStyle name="Percent 12 2" xfId="2697"/>
    <cellStyle name="Percent 12 2 2" xfId="2698"/>
    <cellStyle name="Percent 12 2 2 2" xfId="2699"/>
    <cellStyle name="Percent 12 2 3" xfId="2700"/>
    <cellStyle name="Percent 12 3" xfId="2701"/>
    <cellStyle name="Percent 12 3 2" xfId="2702"/>
    <cellStyle name="Percent 12 3 2 2" xfId="2703"/>
    <cellStyle name="Percent 12 3 3" xfId="2704"/>
    <cellStyle name="Percent 12 4" xfId="2705"/>
    <cellStyle name="Percent 12 4 2" xfId="2706"/>
    <cellStyle name="Percent 12 5" xfId="2707"/>
    <cellStyle name="Percent 120" xfId="2708"/>
    <cellStyle name="Percent 121" xfId="2709"/>
    <cellStyle name="Percent 122" xfId="2710"/>
    <cellStyle name="Percent 123" xfId="2711"/>
    <cellStyle name="Percent 124" xfId="2712"/>
    <cellStyle name="Percent 125" xfId="2713"/>
    <cellStyle name="Percent 126" xfId="2714"/>
    <cellStyle name="Percent 127" xfId="2715"/>
    <cellStyle name="Percent 128" xfId="2716"/>
    <cellStyle name="Percent 129" xfId="2717"/>
    <cellStyle name="Percent 13" xfId="2718"/>
    <cellStyle name="Percent 13 2" xfId="2719"/>
    <cellStyle name="Percent 13 2 2" xfId="2720"/>
    <cellStyle name="Percent 13 3" xfId="2721"/>
    <cellStyle name="Percent 130" xfId="2722"/>
    <cellStyle name="Percent 131" xfId="2723"/>
    <cellStyle name="Percent 132" xfId="2724"/>
    <cellStyle name="Percent 133" xfId="2725"/>
    <cellStyle name="Percent 134" xfId="2726"/>
    <cellStyle name="Percent 135" xfId="3576"/>
    <cellStyle name="Percent 136" xfId="3950"/>
    <cellStyle name="Percent 14" xfId="2727"/>
    <cellStyle name="Percent 14 2" xfId="2728"/>
    <cellStyle name="Percent 14 2 2" xfId="2729"/>
    <cellStyle name="Percent 14 3" xfId="2730"/>
    <cellStyle name="Percent 15" xfId="2731"/>
    <cellStyle name="Percent 15 2" xfId="2732"/>
    <cellStyle name="Percent 15 2 2" xfId="2733"/>
    <cellStyle name="Percent 15 3" xfId="2734"/>
    <cellStyle name="Percent 16" xfId="2735"/>
    <cellStyle name="Percent 16 2" xfId="2736"/>
    <cellStyle name="Percent 16 2 2" xfId="2737"/>
    <cellStyle name="Percent 16 3" xfId="2738"/>
    <cellStyle name="Percent 17" xfId="2739"/>
    <cellStyle name="Percent 17 2" xfId="2740"/>
    <cellStyle name="Percent 17 2 2" xfId="2741"/>
    <cellStyle name="Percent 17 3" xfId="2742"/>
    <cellStyle name="Percent 18" xfId="2743"/>
    <cellStyle name="Percent 18 2" xfId="2744"/>
    <cellStyle name="Percent 18 2 2" xfId="2745"/>
    <cellStyle name="Percent 18 2 2 2" xfId="2746"/>
    <cellStyle name="Percent 18 2 3" xfId="2747"/>
    <cellStyle name="Percent 18 3" xfId="2748"/>
    <cellStyle name="Percent 18 3 2" xfId="2749"/>
    <cellStyle name="Percent 18 4" xfId="2750"/>
    <cellStyle name="Percent 19" xfId="2751"/>
    <cellStyle name="Percent 19 2" xfId="2752"/>
    <cellStyle name="Percent 19 2 2" xfId="2753"/>
    <cellStyle name="Percent 19 2 2 2" xfId="2754"/>
    <cellStyle name="Percent 19 2 3" xfId="2755"/>
    <cellStyle name="Percent 19 3" xfId="2756"/>
    <cellStyle name="Percent 19 3 2" xfId="2757"/>
    <cellStyle name="Percent 19 4" xfId="2758"/>
    <cellStyle name="Percent 2" xfId="2759"/>
    <cellStyle name="Percent 2 2" xfId="2760"/>
    <cellStyle name="Percent 2 2 2" xfId="2761"/>
    <cellStyle name="Percent 2 2 2 2" xfId="3942"/>
    <cellStyle name="Percent 2 2 2 3" xfId="3876"/>
    <cellStyle name="Percent 2 2 3" xfId="2762"/>
    <cellStyle name="Percent 2 2 3 2" xfId="2763"/>
    <cellStyle name="Percent 2 2 3 3" xfId="3941"/>
    <cellStyle name="Percent 2 2 4" xfId="3581"/>
    <cellStyle name="Percent 2 3" xfId="2764"/>
    <cellStyle name="Percent 2 3 2" xfId="2765"/>
    <cellStyle name="Percent 2 3 2 2" xfId="3943"/>
    <cellStyle name="Percent 2 3 2 3" xfId="3877"/>
    <cellStyle name="Percent 2 3 3" xfId="2766"/>
    <cellStyle name="Percent 2 3 3 2" xfId="2767"/>
    <cellStyle name="Percent 2 3 4" xfId="3582"/>
    <cellStyle name="Percent 2 4" xfId="2768"/>
    <cellStyle name="Percent 2 5" xfId="2769"/>
    <cellStyle name="Percent 2 5 2" xfId="3825"/>
    <cellStyle name="Percent 2_Pivot Table Tips" xfId="2770"/>
    <cellStyle name="Percent 20" xfId="2771"/>
    <cellStyle name="Percent 20 2" xfId="2772"/>
    <cellStyle name="Percent 20 2 2" xfId="2773"/>
    <cellStyle name="Percent 20 2 2 2" xfId="2774"/>
    <cellStyle name="Percent 20 2 3" xfId="2775"/>
    <cellStyle name="Percent 20 3" xfId="2776"/>
    <cellStyle name="Percent 20 3 2" xfId="2777"/>
    <cellStyle name="Percent 20 4" xfId="2778"/>
    <cellStyle name="Percent 21" xfId="2779"/>
    <cellStyle name="Percent 21 2" xfId="2780"/>
    <cellStyle name="Percent 21 2 2" xfId="2781"/>
    <cellStyle name="Percent 21 3" xfId="2782"/>
    <cellStyle name="Percent 21 4" xfId="2783"/>
    <cellStyle name="Percent 21 4 2" xfId="2784"/>
    <cellStyle name="Percent 21 4 2 2" xfId="2785"/>
    <cellStyle name="Percent 21 4 2 2 2" xfId="2786"/>
    <cellStyle name="Percent 21 4 2 2 3" xfId="2787"/>
    <cellStyle name="Percent 21 4 2 3" xfId="2788"/>
    <cellStyle name="Percent 21 4 2 4" xfId="2789"/>
    <cellStyle name="Percent 21 4 3" xfId="2790"/>
    <cellStyle name="Percent 21 4 3 2" xfId="2791"/>
    <cellStyle name="Percent 21 4 3 3" xfId="2792"/>
    <cellStyle name="Percent 21 4 4" xfId="2793"/>
    <cellStyle name="Percent 21 4 5" xfId="2794"/>
    <cellStyle name="Percent 21 4 6" xfId="2795"/>
    <cellStyle name="Percent 21 5" xfId="2796"/>
    <cellStyle name="Percent 21 5 2" xfId="2797"/>
    <cellStyle name="Percent 21 5 2 2" xfId="2798"/>
    <cellStyle name="Percent 21 5 2 3" xfId="2799"/>
    <cellStyle name="Percent 21 5 3" xfId="2800"/>
    <cellStyle name="Percent 21 5 4" xfId="2801"/>
    <cellStyle name="Percent 21 6" xfId="2802"/>
    <cellStyle name="Percent 21 6 2" xfId="2803"/>
    <cellStyle name="Percent 21 7" xfId="2804"/>
    <cellStyle name="Percent 21 7 2" xfId="2805"/>
    <cellStyle name="Percent 22" xfId="2806"/>
    <cellStyle name="Percent 22 2" xfId="2807"/>
    <cellStyle name="Percent 22 2 2" xfId="2808"/>
    <cellStyle name="Percent 22 3" xfId="2809"/>
    <cellStyle name="Percent 22 3 2" xfId="2810"/>
    <cellStyle name="Percent 22 4" xfId="3589"/>
    <cellStyle name="Percent 23" xfId="2811"/>
    <cellStyle name="Percent 23 2" xfId="2812"/>
    <cellStyle name="Percent 23 2 2" xfId="2813"/>
    <cellStyle name="Percent 23 3" xfId="2814"/>
    <cellStyle name="Percent 23 4" xfId="2815"/>
    <cellStyle name="Percent 23 4 2" xfId="3944"/>
    <cellStyle name="Percent 23 5" xfId="3588"/>
    <cellStyle name="Percent 24" xfId="2816"/>
    <cellStyle name="Percent 24 2" xfId="2817"/>
    <cellStyle name="Percent 24 2 2" xfId="2818"/>
    <cellStyle name="Percent 24 3" xfId="2819"/>
    <cellStyle name="Percent 25" xfId="2820"/>
    <cellStyle name="Percent 25 2" xfId="2821"/>
    <cellStyle name="Percent 25 2 2" xfId="2822"/>
    <cellStyle name="Percent 25 3" xfId="2823"/>
    <cellStyle name="Percent 26" xfId="2824"/>
    <cellStyle name="Percent 26 2" xfId="2825"/>
    <cellStyle name="Percent 26 2 2" xfId="2826"/>
    <cellStyle name="Percent 26 3" xfId="2827"/>
    <cellStyle name="Percent 26 4" xfId="3875"/>
    <cellStyle name="Percent 27" xfId="2828"/>
    <cellStyle name="Percent 27 2" xfId="2829"/>
    <cellStyle name="Percent 27 2 2" xfId="2830"/>
    <cellStyle name="Percent 27 3" xfId="2831"/>
    <cellStyle name="Percent 27 4" xfId="3858"/>
    <cellStyle name="Percent 28" xfId="2832"/>
    <cellStyle name="Percent 28 2" xfId="2833"/>
    <cellStyle name="Percent 28 2 2" xfId="2834"/>
    <cellStyle name="Percent 28 3" xfId="2835"/>
    <cellStyle name="Percent 28 4" xfId="3874"/>
    <cellStyle name="Percent 29" xfId="2836"/>
    <cellStyle name="Percent 29 2" xfId="2837"/>
    <cellStyle name="Percent 29 2 2" xfId="2838"/>
    <cellStyle name="Percent 29 3" xfId="2839"/>
    <cellStyle name="Percent 3" xfId="2840"/>
    <cellStyle name="Percent 3 2" xfId="2841"/>
    <cellStyle name="Percent 3 2 2" xfId="2842"/>
    <cellStyle name="Percent 3 2 2 2" xfId="2843"/>
    <cellStyle name="Percent 3 2 3" xfId="2844"/>
    <cellStyle name="Percent 3 2 4" xfId="2845"/>
    <cellStyle name="Percent 3 2 5" xfId="2846"/>
    <cellStyle name="Percent 3 3" xfId="2847"/>
    <cellStyle name="Percent 3 3 2" xfId="2848"/>
    <cellStyle name="Percent 3 4" xfId="2849"/>
    <cellStyle name="Percent 3 5" xfId="2850"/>
    <cellStyle name="Percent 3 5 2" xfId="2851"/>
    <cellStyle name="Percent 3 5 2 2" xfId="2852"/>
    <cellStyle name="Percent 3 5 2 3" xfId="2853"/>
    <cellStyle name="Percent 3 5 3" xfId="2854"/>
    <cellStyle name="Percent 3 5 4" xfId="2855"/>
    <cellStyle name="Percent 3 5 5" xfId="2856"/>
    <cellStyle name="Percent 3 6" xfId="2857"/>
    <cellStyle name="Percent 3 7" xfId="3583"/>
    <cellStyle name="Percent 30" xfId="2858"/>
    <cellStyle name="Percent 30 2" xfId="2859"/>
    <cellStyle name="Percent 31" xfId="2860"/>
    <cellStyle name="Percent 31 2" xfId="2861"/>
    <cellStyle name="Percent 32" xfId="2862"/>
    <cellStyle name="Percent 32 2" xfId="2863"/>
    <cellStyle name="Percent 33" xfId="2864"/>
    <cellStyle name="Percent 33 2" xfId="2865"/>
    <cellStyle name="Percent 33 3" xfId="2866"/>
    <cellStyle name="Percent 34" xfId="2867"/>
    <cellStyle name="Percent 34 2" xfId="2868"/>
    <cellStyle name="Percent 35" xfId="2869"/>
    <cellStyle name="Percent 35 2" xfId="2870"/>
    <cellStyle name="Percent 36" xfId="2871"/>
    <cellStyle name="Percent 36 2" xfId="2872"/>
    <cellStyle name="Percent 36 3" xfId="2873"/>
    <cellStyle name="Percent 37" xfId="2874"/>
    <cellStyle name="Percent 37 2" xfId="2875"/>
    <cellStyle name="Percent 37 3" xfId="2876"/>
    <cellStyle name="Percent 38" xfId="2877"/>
    <cellStyle name="Percent 38 2" xfId="2878"/>
    <cellStyle name="Percent 38 2 2" xfId="2879"/>
    <cellStyle name="Percent 38 3" xfId="2880"/>
    <cellStyle name="Percent 39" xfId="2881"/>
    <cellStyle name="Percent 39 2" xfId="2882"/>
    <cellStyle name="Percent 39 2 2" xfId="2883"/>
    <cellStyle name="Percent 39 3" xfId="2884"/>
    <cellStyle name="Percent 4" xfId="2885"/>
    <cellStyle name="Percent 4 2" xfId="2886"/>
    <cellStyle name="Percent 4 2 2" xfId="2887"/>
    <cellStyle name="Percent 4 2 2 2" xfId="2888"/>
    <cellStyle name="Percent 4 2 3" xfId="2889"/>
    <cellStyle name="Percent 4 2 3 2" xfId="2890"/>
    <cellStyle name="Percent 4 3" xfId="2891"/>
    <cellStyle name="Percent 4 3 2" xfId="2892"/>
    <cellStyle name="Percent 4 3 2 2" xfId="2893"/>
    <cellStyle name="Percent 4 3 3" xfId="3587"/>
    <cellStyle name="Percent 4 4" xfId="2894"/>
    <cellStyle name="Percent 4 4 2" xfId="2895"/>
    <cellStyle name="Percent 4 4 3" xfId="2896"/>
    <cellStyle name="Percent 4 5" xfId="2897"/>
    <cellStyle name="Percent 40" xfId="2898"/>
    <cellStyle name="Percent 40 2" xfId="2899"/>
    <cellStyle name="Percent 40 2 2" xfId="2900"/>
    <cellStyle name="Percent 40 3" xfId="2901"/>
    <cellStyle name="Percent 41" xfId="2902"/>
    <cellStyle name="Percent 41 2" xfId="2903"/>
    <cellStyle name="Percent 42" xfId="2904"/>
    <cellStyle name="Percent 42 2" xfId="2905"/>
    <cellStyle name="Percent 43" xfId="2906"/>
    <cellStyle name="Percent 43 2" xfId="2907"/>
    <cellStyle name="Percent 44" xfId="2908"/>
    <cellStyle name="Percent 44 2" xfId="2909"/>
    <cellStyle name="Percent 44 2 2" xfId="2910"/>
    <cellStyle name="Percent 44 3" xfId="2911"/>
    <cellStyle name="Percent 45" xfId="2912"/>
    <cellStyle name="Percent 45 2" xfId="2913"/>
    <cellStyle name="Percent 45 2 2" xfId="2914"/>
    <cellStyle name="Percent 45 3" xfId="2915"/>
    <cellStyle name="Percent 46" xfId="2916"/>
    <cellStyle name="Percent 46 2" xfId="2917"/>
    <cellStyle name="Percent 46 2 2" xfId="2918"/>
    <cellStyle name="Percent 46 3" xfId="2919"/>
    <cellStyle name="Percent 47" xfId="2920"/>
    <cellStyle name="Percent 47 2" xfId="2921"/>
    <cellStyle name="Percent 47 2 2" xfId="2922"/>
    <cellStyle name="Percent 47 3" xfId="2923"/>
    <cellStyle name="Percent 48" xfId="2924"/>
    <cellStyle name="Percent 48 2" xfId="2925"/>
    <cellStyle name="Percent 48 2 2" xfId="2926"/>
    <cellStyle name="Percent 48 3" xfId="2927"/>
    <cellStyle name="Percent 49" xfId="2928"/>
    <cellStyle name="Percent 49 2" xfId="2929"/>
    <cellStyle name="Percent 5" xfId="2930"/>
    <cellStyle name="Percent 5 2" xfId="2931"/>
    <cellStyle name="Percent 5 2 2" xfId="2932"/>
    <cellStyle name="Percent 5 2 2 2" xfId="2933"/>
    <cellStyle name="Percent 5 2 3" xfId="2934"/>
    <cellStyle name="Percent 5 3" xfId="2935"/>
    <cellStyle name="Percent 5 3 2" xfId="2936"/>
    <cellStyle name="Percent 5 4" xfId="2937"/>
    <cellStyle name="Percent 5 4 2" xfId="2938"/>
    <cellStyle name="Percent 50" xfId="2939"/>
    <cellStyle name="Percent 50 2" xfId="2940"/>
    <cellStyle name="Percent 51" xfId="2941"/>
    <cellStyle name="Percent 51 2" xfId="2942"/>
    <cellStyle name="Percent 52" xfId="2943"/>
    <cellStyle name="Percent 52 2" xfId="2944"/>
    <cellStyle name="Percent 52 3" xfId="2945"/>
    <cellStyle name="Percent 52 4" xfId="2946"/>
    <cellStyle name="Percent 52 4 2" xfId="2947"/>
    <cellStyle name="Percent 52 4 3" xfId="2948"/>
    <cellStyle name="Percent 52 5" xfId="2949"/>
    <cellStyle name="Percent 52 6" xfId="2950"/>
    <cellStyle name="Percent 52 7" xfId="2951"/>
    <cellStyle name="Percent 53" xfId="2952"/>
    <cellStyle name="Percent 53 2" xfId="2953"/>
    <cellStyle name="Percent 53 3" xfId="2954"/>
    <cellStyle name="Percent 53 4" xfId="2955"/>
    <cellStyle name="Percent 53 4 2" xfId="2956"/>
    <cellStyle name="Percent 53 4 3" xfId="2957"/>
    <cellStyle name="Percent 53 5" xfId="2958"/>
    <cellStyle name="Percent 53 6" xfId="2959"/>
    <cellStyle name="Percent 53 7" xfId="2960"/>
    <cellStyle name="Percent 54" xfId="2961"/>
    <cellStyle name="Percent 54 2" xfId="2962"/>
    <cellStyle name="Percent 55" xfId="2963"/>
    <cellStyle name="Percent 55 2" xfId="2964"/>
    <cellStyle name="Percent 56" xfId="2965"/>
    <cellStyle name="Percent 56 2" xfId="2966"/>
    <cellStyle name="Percent 57" xfId="2967"/>
    <cellStyle name="Percent 57 2" xfId="2968"/>
    <cellStyle name="Percent 58" xfId="2969"/>
    <cellStyle name="Percent 58 2" xfId="2970"/>
    <cellStyle name="Percent 59" xfId="2971"/>
    <cellStyle name="Percent 59 2" xfId="2972"/>
    <cellStyle name="Percent 6" xfId="2973"/>
    <cellStyle name="Percent 6 2" xfId="2974"/>
    <cellStyle name="Percent 6 2 2" xfId="2975"/>
    <cellStyle name="Percent 6 2 2 2" xfId="2976"/>
    <cellStyle name="Percent 6 2 3" xfId="2977"/>
    <cellStyle name="Percent 6 3" xfId="2978"/>
    <cellStyle name="Percent 6 3 2" xfId="2979"/>
    <cellStyle name="Percent 6 4" xfId="2980"/>
    <cellStyle name="Percent 6 4 2" xfId="2981"/>
    <cellStyle name="Percent 6 4 3" xfId="2982"/>
    <cellStyle name="Percent 6 5" xfId="2983"/>
    <cellStyle name="Percent 60" xfId="2984"/>
    <cellStyle name="Percent 60 2" xfId="2985"/>
    <cellStyle name="Percent 61" xfId="2986"/>
    <cellStyle name="Percent 61 2" xfId="2987"/>
    <cellStyle name="Percent 61 2 2" xfId="2988"/>
    <cellStyle name="Percent 61 3" xfId="2989"/>
    <cellStyle name="Percent 62" xfId="2990"/>
    <cellStyle name="Percent 62 2" xfId="2991"/>
    <cellStyle name="Percent 63" xfId="2992"/>
    <cellStyle name="Percent 63 2" xfId="2993"/>
    <cellStyle name="Percent 64" xfId="2994"/>
    <cellStyle name="Percent 64 2" xfId="2995"/>
    <cellStyle name="Percent 64 3" xfId="2996"/>
    <cellStyle name="Percent 64 3 2" xfId="2997"/>
    <cellStyle name="Percent 65" xfId="2998"/>
    <cellStyle name="Percent 65 2" xfId="2999"/>
    <cellStyle name="Percent 65 3" xfId="3000"/>
    <cellStyle name="Percent 65 3 2" xfId="3001"/>
    <cellStyle name="Percent 66" xfId="3002"/>
    <cellStyle name="Percent 66 2" xfId="3003"/>
    <cellStyle name="Percent 66 3" xfId="3004"/>
    <cellStyle name="Percent 66 3 2" xfId="3005"/>
    <cellStyle name="Percent 67" xfId="3006"/>
    <cellStyle name="Percent 67 2" xfId="3007"/>
    <cellStyle name="Percent 67 2 2" xfId="3008"/>
    <cellStyle name="Percent 67 3" xfId="3009"/>
    <cellStyle name="Percent 67 3 2" xfId="3010"/>
    <cellStyle name="Percent 68" xfId="3011"/>
    <cellStyle name="Percent 68 2" xfId="3012"/>
    <cellStyle name="Percent 68 2 2" xfId="3013"/>
    <cellStyle name="Percent 68 3" xfId="3014"/>
    <cellStyle name="Percent 68 3 2" xfId="3015"/>
    <cellStyle name="Percent 69" xfId="3016"/>
    <cellStyle name="Percent 69 2" xfId="3017"/>
    <cellStyle name="Percent 69 3" xfId="3018"/>
    <cellStyle name="Percent 69 3 2" xfId="3019"/>
    <cellStyle name="Percent 7" xfId="3020"/>
    <cellStyle name="Percent 7 2" xfId="3021"/>
    <cellStyle name="Percent 7 2 2" xfId="3022"/>
    <cellStyle name="Percent 7 2 2 2" xfId="3023"/>
    <cellStyle name="Percent 7 2 3" xfId="3024"/>
    <cellStyle name="Percent 7 3" xfId="3025"/>
    <cellStyle name="Percent 7 3 2" xfId="3026"/>
    <cellStyle name="Percent 7 3 3" xfId="3027"/>
    <cellStyle name="Percent 7 4" xfId="3028"/>
    <cellStyle name="Percent 70" xfId="3029"/>
    <cellStyle name="Percent 70 2" xfId="3030"/>
    <cellStyle name="Percent 70 3" xfId="3031"/>
    <cellStyle name="Percent 70 3 2" xfId="3032"/>
    <cellStyle name="Percent 71" xfId="3033"/>
    <cellStyle name="Percent 71 2" xfId="3034"/>
    <cellStyle name="Percent 71 2 2" xfId="3035"/>
    <cellStyle name="Percent 71 2 3" xfId="3036"/>
    <cellStyle name="Percent 71 3" xfId="3037"/>
    <cellStyle name="Percent 72" xfId="3038"/>
    <cellStyle name="Percent 72 2" xfId="3039"/>
    <cellStyle name="Percent 72 2 2" xfId="3040"/>
    <cellStyle name="Percent 72 2 3" xfId="3041"/>
    <cellStyle name="Percent 72 3" xfId="3042"/>
    <cellStyle name="Percent 73" xfId="3043"/>
    <cellStyle name="Percent 73 2" xfId="3044"/>
    <cellStyle name="Percent 73 2 2" xfId="3045"/>
    <cellStyle name="Percent 73 2 3" xfId="3046"/>
    <cellStyle name="Percent 73 3" xfId="3047"/>
    <cellStyle name="Percent 74" xfId="3048"/>
    <cellStyle name="Percent 74 2" xfId="3049"/>
    <cellStyle name="Percent 74 2 2" xfId="3050"/>
    <cellStyle name="Percent 74 2 3" xfId="3051"/>
    <cellStyle name="Percent 74 3" xfId="3052"/>
    <cellStyle name="Percent 75" xfId="3053"/>
    <cellStyle name="Percent 75 2" xfId="3054"/>
    <cellStyle name="Percent 75 2 2" xfId="3055"/>
    <cellStyle name="Percent 75 2 3" xfId="3056"/>
    <cellStyle name="Percent 75 3" xfId="3057"/>
    <cellStyle name="Percent 76" xfId="3058"/>
    <cellStyle name="Percent 76 2" xfId="3059"/>
    <cellStyle name="Percent 76 2 2" xfId="3060"/>
    <cellStyle name="Percent 76 2 3" xfId="3061"/>
    <cellStyle name="Percent 76 3" xfId="3062"/>
    <cellStyle name="Percent 77" xfId="3063"/>
    <cellStyle name="Percent 77 2" xfId="3064"/>
    <cellStyle name="Percent 77 2 2" xfId="3065"/>
    <cellStyle name="Percent 77 2 2 2" xfId="3066"/>
    <cellStyle name="Percent 77 2 3" xfId="3067"/>
    <cellStyle name="Percent 77 2 3 2" xfId="3068"/>
    <cellStyle name="Percent 77 2 4" xfId="3069"/>
    <cellStyle name="Percent 77 3" xfId="3070"/>
    <cellStyle name="Percent 77 3 2" xfId="3071"/>
    <cellStyle name="Percent 77 4" xfId="3072"/>
    <cellStyle name="Percent 77 5" xfId="3073"/>
    <cellStyle name="Percent 78" xfId="3074"/>
    <cellStyle name="Percent 78 2" xfId="3075"/>
    <cellStyle name="Percent 78 2 2" xfId="3076"/>
    <cellStyle name="Percent 78 2 3" xfId="3077"/>
    <cellStyle name="Percent 78 3" xfId="3078"/>
    <cellStyle name="Percent 78 4" xfId="3079"/>
    <cellStyle name="Percent 79" xfId="3080"/>
    <cellStyle name="Percent 79 2" xfId="3081"/>
    <cellStyle name="Percent 79 2 2" xfId="3082"/>
    <cellStyle name="Percent 79 2 3" xfId="3083"/>
    <cellStyle name="Percent 79 3" xfId="3084"/>
    <cellStyle name="Percent 8" xfId="3085"/>
    <cellStyle name="Percent 8 2" xfId="3086"/>
    <cellStyle name="Percent 8 2 2" xfId="3087"/>
    <cellStyle name="Percent 8 3" xfId="3088"/>
    <cellStyle name="Percent 8 4" xfId="3089"/>
    <cellStyle name="Percent 8 4 2" xfId="3090"/>
    <cellStyle name="Percent 8 4 3" xfId="3947"/>
    <cellStyle name="Percent 8 5" xfId="3091"/>
    <cellStyle name="Percent 8 5 2" xfId="3946"/>
    <cellStyle name="Percent 80" xfId="3092"/>
    <cellStyle name="Percent 80 2" xfId="3093"/>
    <cellStyle name="Percent 80 2 2" xfId="3094"/>
    <cellStyle name="Percent 80 2 3" xfId="3095"/>
    <cellStyle name="Percent 80 3" xfId="3096"/>
    <cellStyle name="Percent 81" xfId="3097"/>
    <cellStyle name="Percent 81 2" xfId="3098"/>
    <cellStyle name="Percent 81 2 2" xfId="3099"/>
    <cellStyle name="Percent 81 2 3" xfId="3100"/>
    <cellStyle name="Percent 81 3" xfId="3101"/>
    <cellStyle name="Percent 82" xfId="3102"/>
    <cellStyle name="Percent 82 2" xfId="3103"/>
    <cellStyle name="Percent 82 2 2" xfId="3104"/>
    <cellStyle name="Percent 82 3" xfId="3105"/>
    <cellStyle name="Percent 83" xfId="3106"/>
    <cellStyle name="Percent 83 2" xfId="3107"/>
    <cellStyle name="Percent 83 2 2" xfId="3108"/>
    <cellStyle name="Percent 83 3" xfId="3109"/>
    <cellStyle name="Percent 84" xfId="3110"/>
    <cellStyle name="Percent 84 2" xfId="3111"/>
    <cellStyle name="Percent 84 2 2" xfId="3112"/>
    <cellStyle name="Percent 84 3" xfId="3113"/>
    <cellStyle name="Percent 85" xfId="3114"/>
    <cellStyle name="Percent 85 2" xfId="3115"/>
    <cellStyle name="Percent 85 3" xfId="3116"/>
    <cellStyle name="Percent 86" xfId="3117"/>
    <cellStyle name="Percent 86 2" xfId="3118"/>
    <cellStyle name="Percent 86 3" xfId="3119"/>
    <cellStyle name="Percent 87" xfId="3120"/>
    <cellStyle name="Percent 87 2" xfId="3121"/>
    <cellStyle name="Percent 87 3" xfId="3122"/>
    <cellStyle name="Percent 88" xfId="3123"/>
    <cellStyle name="Percent 88 2" xfId="3124"/>
    <cellStyle name="Percent 88 3" xfId="3125"/>
    <cellStyle name="Percent 89" xfId="3126"/>
    <cellStyle name="Percent 89 2" xfId="3127"/>
    <cellStyle name="Percent 89 3" xfId="3128"/>
    <cellStyle name="Percent 9" xfId="3129"/>
    <cellStyle name="Percent 9 2" xfId="3130"/>
    <cellStyle name="Percent 9 2 2" xfId="3131"/>
    <cellStyle name="Percent 9 2 2 2" xfId="3132"/>
    <cellStyle name="Percent 9 2 3" xfId="3133"/>
    <cellStyle name="Percent 9 3" xfId="3134"/>
    <cellStyle name="Percent 9 4" xfId="3135"/>
    <cellStyle name="Percent 9 4 2" xfId="3136"/>
    <cellStyle name="Percent 9 5" xfId="3137"/>
    <cellStyle name="Percent 9 5 2" xfId="3138"/>
    <cellStyle name="Percent 9 5 3" xfId="3139"/>
    <cellStyle name="Percent 9 5 4" xfId="3948"/>
    <cellStyle name="Percent 9 6" xfId="3140"/>
    <cellStyle name="Percent 90" xfId="3141"/>
    <cellStyle name="Percent 90 2" xfId="3142"/>
    <cellStyle name="Percent 90 3" xfId="3143"/>
    <cellStyle name="Percent 91" xfId="3144"/>
    <cellStyle name="Percent 91 2" xfId="3145"/>
    <cellStyle name="Percent 91 3" xfId="3146"/>
    <cellStyle name="Percent 92" xfId="3147"/>
    <cellStyle name="Percent 92 2" xfId="3148"/>
    <cellStyle name="Percent 92 3" xfId="3149"/>
    <cellStyle name="Percent 92 4" xfId="3150"/>
    <cellStyle name="Percent 93" xfId="3151"/>
    <cellStyle name="Percent 93 2" xfId="3152"/>
    <cellStyle name="Percent 93 3" xfId="3153"/>
    <cellStyle name="Percent 93 4" xfId="3154"/>
    <cellStyle name="Percent 94" xfId="3155"/>
    <cellStyle name="Percent 94 2" xfId="3156"/>
    <cellStyle name="Percent 94 3" xfId="3157"/>
    <cellStyle name="Percent 94 4" xfId="3158"/>
    <cellStyle name="Percent 95" xfId="3159"/>
    <cellStyle name="Percent 95 2" xfId="3160"/>
    <cellStyle name="Percent 95 3" xfId="3161"/>
    <cellStyle name="Percent 95 4" xfId="3162"/>
    <cellStyle name="Percent 96" xfId="3163"/>
    <cellStyle name="Percent 96 2" xfId="3164"/>
    <cellStyle name="Percent 96 3" xfId="3165"/>
    <cellStyle name="Percent 97" xfId="3166"/>
    <cellStyle name="Percent 97 2" xfId="3167"/>
    <cellStyle name="Percent 97 3" xfId="3168"/>
    <cellStyle name="Percent 98" xfId="3169"/>
    <cellStyle name="Percent 99" xfId="3170"/>
    <cellStyle name="Percent.0" xfId="3171"/>
    <cellStyle name="Percent.0 2" xfId="3172"/>
    <cellStyle name="Percent[1]" xfId="3173"/>
    <cellStyle name="Percent0" xfId="3174"/>
    <cellStyle name="Percent1" xfId="3175"/>
    <cellStyle name="Percent1 2" xfId="3826"/>
    <cellStyle name="Percent2" xfId="3176"/>
    <cellStyle name="Percent2 2" xfId="3827"/>
    <cellStyle name="percentage" xfId="3177"/>
    <cellStyle name="Percentage[1]" xfId="3828"/>
    <cellStyle name="PercentChange" xfId="3829"/>
    <cellStyle name="Percent-Input" xfId="3178"/>
    <cellStyle name="PercentPresentation" xfId="3179"/>
    <cellStyle name="POPS" xfId="3180"/>
    <cellStyle name="PresentationZero" xfId="3181"/>
    <cellStyle name="price" xfId="3182"/>
    <cellStyle name="ProgramVariable" xfId="3830"/>
    <cellStyle name="ProtectedDates" xfId="3183"/>
    <cellStyle name="q_AA - BenefitsBonus " xfId="3184"/>
    <cellStyle name="Ratio" xfId="3831"/>
    <cellStyle name="Ratios" xfId="3832"/>
    <cellStyle name="RatioX" xfId="3833"/>
    <cellStyle name="RED" xfId="3185"/>
    <cellStyle name="RED 2" xfId="3186"/>
    <cellStyle name="Ref Numbers" xfId="3187"/>
    <cellStyle name="Ref Numbers 2" xfId="3188"/>
    <cellStyle name="Report" xfId="3834"/>
    <cellStyle name="Restruct" xfId="3189"/>
    <cellStyle name="Restruct 2" xfId="3190"/>
    <cellStyle name="Restruct 2 2" xfId="3191"/>
    <cellStyle name="Restruct 3" xfId="3192"/>
    <cellStyle name="Restruct 3 2" xfId="3193"/>
    <cellStyle name="Restruct 3 3" xfId="3878"/>
    <cellStyle name="Restruct 4" xfId="3194"/>
    <cellStyle name="Restruct 4 2" xfId="3195"/>
    <cellStyle name="Restruct 4 2 2" xfId="3196"/>
    <cellStyle name="Restruct 4 2 3" xfId="3197"/>
    <cellStyle name="Restruct 4 3" xfId="3198"/>
    <cellStyle name="RevList" xfId="3199"/>
    <cellStyle name="Right" xfId="3200"/>
    <cellStyle name="Role" xfId="3835"/>
    <cellStyle name="RRSInstruction" xfId="3201"/>
    <cellStyle name="RRSInstruction 2" xfId="3202"/>
    <cellStyle name="RRSInstruction 2 2" xfId="3203"/>
    <cellStyle name="RRSInstruction 3" xfId="3204"/>
    <cellStyle name="RRSInstruction 4" xfId="3958"/>
    <cellStyle name="s_DCFLBO Code_Wireline Tel Forecast " xfId="3205"/>
    <cellStyle name="s_DCFLBO Code_Wireline Tel Forecast  2" xfId="3206"/>
    <cellStyle name="s_DCFLBO Code_Wireline Tel Forecast  2 2" xfId="3207"/>
    <cellStyle name="s_HardInc " xfId="3208"/>
    <cellStyle name="s_HardInc  2" xfId="3209"/>
    <cellStyle name="s_HardInc  2 2" xfId="3210"/>
    <cellStyle name="s_HardInc _Catalog" xfId="3211"/>
    <cellStyle name="s_HardInc _JapaneseCatalog" xfId="3212"/>
    <cellStyle name="s_HardInc _RRST1" xfId="3213"/>
    <cellStyle name="s_HardInc _RRST1 2" xfId="3214"/>
    <cellStyle name="s_HardInc _RRST12" xfId="3215"/>
    <cellStyle name="s_HardInc _RRST19" xfId="3216"/>
    <cellStyle name="s_HardInc _RRST19 2" xfId="3217"/>
    <cellStyle name="s_HardInc _RRST20" xfId="3218"/>
    <cellStyle name="s_HardInc _RRST20 2" xfId="3219"/>
    <cellStyle name="s_HardInc _RRST25" xfId="3220"/>
    <cellStyle name="s_HardInc _RRST25 2" xfId="3221"/>
    <cellStyle name="s_HardInc _RRST3" xfId="3222"/>
    <cellStyle name="s_HardInc _RRST6" xfId="3223"/>
    <cellStyle name="s_HardInc _RRST6 2" xfId="3224"/>
    <cellStyle name="s_HardInc _RRST9" xfId="3225"/>
    <cellStyle name="s_HardInc _RRST9 2" xfId="3226"/>
    <cellStyle name="s_Valuation " xfId="3227"/>
    <cellStyle name="s_Valuation  2" xfId="3228"/>
    <cellStyle name="s_Valuation  2 2" xfId="3229"/>
    <cellStyle name="s_Valuation _Catalog" xfId="3230"/>
    <cellStyle name="s_Valuation _JapaneseCatalog" xfId="3231"/>
    <cellStyle name="s_Valuation _RRST1" xfId="3232"/>
    <cellStyle name="s_Valuation _RRST1 2" xfId="3233"/>
    <cellStyle name="s_Valuation _RRST12" xfId="3234"/>
    <cellStyle name="s_Valuation _RRST19" xfId="3235"/>
    <cellStyle name="s_Valuation _RRST19 2" xfId="3236"/>
    <cellStyle name="s_Valuation _RRST20" xfId="3237"/>
    <cellStyle name="s_Valuation _RRST20 2" xfId="3238"/>
    <cellStyle name="s_Valuation _RRST25" xfId="3239"/>
    <cellStyle name="s_Valuation _RRST25 2" xfId="3240"/>
    <cellStyle name="s_Valuation _RRST3" xfId="3241"/>
    <cellStyle name="s_Valuation _RRST6" xfId="3242"/>
    <cellStyle name="s_Valuation _RRST6 2" xfId="3243"/>
    <cellStyle name="s_Valuation _RRST9" xfId="3244"/>
    <cellStyle name="s_Valuation _RRST9 2" xfId="3245"/>
    <cellStyle name="ScripFactor" xfId="3836"/>
    <cellStyle name="SectionHeaderNormal" xfId="3246"/>
    <cellStyle name="SectionHeading" xfId="3837"/>
    <cellStyle name="Shade" xfId="3838"/>
    <cellStyle name="Shaded" xfId="3247"/>
    <cellStyle name="Shares" xfId="3248"/>
    <cellStyle name="Source Line" xfId="3249"/>
    <cellStyle name="Source Line 2" xfId="3250"/>
    <cellStyle name="SPEC" xfId="3839"/>
    <cellStyle name="ssp " xfId="3251"/>
    <cellStyle name="Standard" xfId="3840"/>
    <cellStyle name="Style 1" xfId="3252"/>
    <cellStyle name="Style 1 10" xfId="3253"/>
    <cellStyle name="Style 1 10 2" xfId="3254"/>
    <cellStyle name="Style 1 11" xfId="3255"/>
    <cellStyle name="Style 1 11 2" xfId="3256"/>
    <cellStyle name="Style 1 11 2 2" xfId="3257"/>
    <cellStyle name="Style 1 11 3" xfId="3258"/>
    <cellStyle name="Style 1 11 4" xfId="3259"/>
    <cellStyle name="Style 1 12" xfId="3260"/>
    <cellStyle name="Style 1 12 2" xfId="3261"/>
    <cellStyle name="Style 1 13" xfId="3262"/>
    <cellStyle name="Style 1 13 2" xfId="3263"/>
    <cellStyle name="Style 1 13 2 2" xfId="3264"/>
    <cellStyle name="Style 1 13 3" xfId="3265"/>
    <cellStyle name="Style 1 13 4" xfId="3266"/>
    <cellStyle name="Style 1 14" xfId="3267"/>
    <cellStyle name="Style 1 14 2" xfId="3268"/>
    <cellStyle name="Style 1 14 3" xfId="3269"/>
    <cellStyle name="Style 1 15" xfId="3270"/>
    <cellStyle name="Style 1 15 2" xfId="3271"/>
    <cellStyle name="Style 1 16" xfId="3272"/>
    <cellStyle name="Style 1 16 2" xfId="3273"/>
    <cellStyle name="Style 1 2" xfId="3274"/>
    <cellStyle name="Style 1 2 2" xfId="3275"/>
    <cellStyle name="Style 1 2 2 2" xfId="3276"/>
    <cellStyle name="Style 1 2 2 2 2" xfId="3277"/>
    <cellStyle name="Style 1 2 2 2 2 2" xfId="3278"/>
    <cellStyle name="Style 1 2 2 2 3" xfId="3279"/>
    <cellStyle name="Style 1 2 2 3" xfId="3280"/>
    <cellStyle name="Style 1 2 2 3 2" xfId="3281"/>
    <cellStyle name="Style 1 2 2 3 3" xfId="3282"/>
    <cellStyle name="Style 1 2 2 4" xfId="3283"/>
    <cellStyle name="Style 1 2 2 4 2" xfId="3284"/>
    <cellStyle name="Style 1 2 2 5" xfId="3285"/>
    <cellStyle name="Style 1 2 3" xfId="3286"/>
    <cellStyle name="Style 1 2 3 2" xfId="3287"/>
    <cellStyle name="Style 1 2 3 2 2" xfId="3288"/>
    <cellStyle name="Style 1 2 3 3" xfId="3289"/>
    <cellStyle name="Style 1 2 4" xfId="3290"/>
    <cellStyle name="Style 1 2 4 2" xfId="3291"/>
    <cellStyle name="Style 1 2 5" xfId="3292"/>
    <cellStyle name="Style 1 2 5 2" xfId="3293"/>
    <cellStyle name="Style 1 2 5 3" xfId="3294"/>
    <cellStyle name="Style 1 2 6" xfId="3295"/>
    <cellStyle name="Style 1 2 7" xfId="3296"/>
    <cellStyle name="Style 1 3" xfId="3297"/>
    <cellStyle name="Style 1 3 2" xfId="3298"/>
    <cellStyle name="Style 1 3 2 2" xfId="3299"/>
    <cellStyle name="Style 1 3 2 2 2" xfId="3300"/>
    <cellStyle name="Style 1 3 2 2 3" xfId="3301"/>
    <cellStyle name="Style 1 3 2 3" xfId="3302"/>
    <cellStyle name="Style 1 3 2 4" xfId="3303"/>
    <cellStyle name="Style 1 3 2 5" xfId="3304"/>
    <cellStyle name="Style 1 3 2 6" xfId="3305"/>
    <cellStyle name="Style 1 3 3" xfId="3306"/>
    <cellStyle name="Style 1 3 3 2" xfId="3307"/>
    <cellStyle name="Style 1 3 3 2 2" xfId="3308"/>
    <cellStyle name="Style 1 3 3 3" xfId="3309"/>
    <cellStyle name="Style 1 3 4" xfId="3310"/>
    <cellStyle name="Style 1 3 4 2" xfId="3311"/>
    <cellStyle name="Style 1 3 5" xfId="3312"/>
    <cellStyle name="Style 1 3 6" xfId="3313"/>
    <cellStyle name="Style 1 3 7" xfId="3314"/>
    <cellStyle name="Style 1 3 8" xfId="3315"/>
    <cellStyle name="Style 1 4" xfId="3316"/>
    <cellStyle name="Style 1 4 2" xfId="3317"/>
    <cellStyle name="Style 1 4 2 2" xfId="3318"/>
    <cellStyle name="Style 1 4 2 2 2" xfId="3319"/>
    <cellStyle name="Style 1 4 2 2 2 2" xfId="3320"/>
    <cellStyle name="Style 1 4 2 3" xfId="3321"/>
    <cellStyle name="Style 1 4 2 3 2" xfId="3322"/>
    <cellStyle name="Style 1 4 2 3 3" xfId="3323"/>
    <cellStyle name="Style 1 4 2 4" xfId="3324"/>
    <cellStyle name="Style 1 4 2 5" xfId="3325"/>
    <cellStyle name="Style 1 4 3" xfId="3326"/>
    <cellStyle name="Style 1 4 3 2" xfId="3327"/>
    <cellStyle name="Style 1 4 3 2 2" xfId="3328"/>
    <cellStyle name="Style 1 4 3 2 3" xfId="3329"/>
    <cellStyle name="Style 1 4 3 3" xfId="3330"/>
    <cellStyle name="Style 1 4 3 3 2" xfId="3331"/>
    <cellStyle name="Style 1 4 4" xfId="3332"/>
    <cellStyle name="Style 1 4 4 2" xfId="3333"/>
    <cellStyle name="Style 1 4 4 2 2" xfId="3334"/>
    <cellStyle name="Style 1 4 4 3" xfId="3335"/>
    <cellStyle name="Style 1 4 5" xfId="3336"/>
    <cellStyle name="Style 1 4 5 2" xfId="3337"/>
    <cellStyle name="Style 1 4 6" xfId="3338"/>
    <cellStyle name="Style 1 4 6 2" xfId="3339"/>
    <cellStyle name="Style 1 4 6 3" xfId="3340"/>
    <cellStyle name="Style 1 4 7" xfId="3341"/>
    <cellStyle name="Style 1 5" xfId="3342"/>
    <cellStyle name="Style 1 5 2" xfId="3343"/>
    <cellStyle name="Style 1 5 2 2" xfId="3344"/>
    <cellStyle name="Style 1 5 2 2 2" xfId="3345"/>
    <cellStyle name="Style 1 5 2 2 2 2" xfId="3346"/>
    <cellStyle name="Style 1 5 2 3" xfId="3347"/>
    <cellStyle name="Style 1 5 2 3 2" xfId="3348"/>
    <cellStyle name="Style 1 5 2 3 3" xfId="3349"/>
    <cellStyle name="Style 1 5 2 4" xfId="3350"/>
    <cellStyle name="Style 1 5 3" xfId="3351"/>
    <cellStyle name="Style 1 5 3 2" xfId="3352"/>
    <cellStyle name="Style 1 5 4" xfId="3353"/>
    <cellStyle name="Style 1 5 4 2" xfId="3354"/>
    <cellStyle name="Style 1 5 4 3" xfId="3355"/>
    <cellStyle name="Style 1 5 5" xfId="3356"/>
    <cellStyle name="Style 1 5 5 2" xfId="3357"/>
    <cellStyle name="Style 1 5 6" xfId="3358"/>
    <cellStyle name="Style 1 5 6 2" xfId="3359"/>
    <cellStyle name="Style 1 6" xfId="3360"/>
    <cellStyle name="Style 1 6 2" xfId="3361"/>
    <cellStyle name="Style 1 6 2 2" xfId="3362"/>
    <cellStyle name="Style 1 6 2 2 2" xfId="3363"/>
    <cellStyle name="Style 1 6 2 2 3" xfId="3364"/>
    <cellStyle name="Style 1 6 2 3" xfId="3365"/>
    <cellStyle name="Style 1 6 2 3 2" xfId="3366"/>
    <cellStyle name="Style 1 6 2 3 3" xfId="3367"/>
    <cellStyle name="Style 1 6 3" xfId="3368"/>
    <cellStyle name="Style 1 6 3 2" xfId="3369"/>
    <cellStyle name="Style 1 6 3 3" xfId="3370"/>
    <cellStyle name="Style 1 6 4" xfId="3371"/>
    <cellStyle name="Style 1 6 4 2" xfId="3372"/>
    <cellStyle name="Style 1 6 4 3" xfId="3373"/>
    <cellStyle name="Style 1 7" xfId="3374"/>
    <cellStyle name="Style 1 7 2" xfId="3375"/>
    <cellStyle name="Style 1 7 3" xfId="3376"/>
    <cellStyle name="Style 1 7 3 2" xfId="3377"/>
    <cellStyle name="Style 1 7 3 3" xfId="3378"/>
    <cellStyle name="Style 1 7 4" xfId="3379"/>
    <cellStyle name="Style 1 7 4 2" xfId="3380"/>
    <cellStyle name="Style 1 7 4 3" xfId="3381"/>
    <cellStyle name="Style 1 8" xfId="3382"/>
    <cellStyle name="Style 1 8 2" xfId="3383"/>
    <cellStyle name="Style 1 8 2 2" xfId="3384"/>
    <cellStyle name="Style 1 8 3" xfId="3385"/>
    <cellStyle name="Style 1 8 3 2" xfId="3386"/>
    <cellStyle name="Style 1 8 3 3" xfId="3387"/>
    <cellStyle name="Style 1 8 4" xfId="3388"/>
    <cellStyle name="Style 1 9" xfId="3389"/>
    <cellStyle name="Style 1 9 2" xfId="3390"/>
    <cellStyle name="Style 1 9 2 2" xfId="3391"/>
    <cellStyle name="Style 1 9 2 3" xfId="3392"/>
    <cellStyle name="Style 1 9 3" xfId="3393"/>
    <cellStyle name="Style 1 9 4" xfId="3394"/>
    <cellStyle name="Style 1_Exhibits" xfId="3395"/>
    <cellStyle name="Style 2" xfId="3396"/>
    <cellStyle name="Style 2 2" xfId="3397"/>
    <cellStyle name="Style 2 2 2" xfId="3398"/>
    <cellStyle name="Style 2 2 2 2" xfId="3399"/>
    <cellStyle name="Style 2 2 3" xfId="3400"/>
    <cellStyle name="Style 2 3" xfId="3401"/>
    <cellStyle name="Style 2 3 2" xfId="3402"/>
    <cellStyle name="Style 2 3 2 2" xfId="3403"/>
    <cellStyle name="Style 2 4" xfId="3404"/>
    <cellStyle name="Style 2 4 2" xfId="3405"/>
    <cellStyle name="Style 2 4 2 2" xfId="3406"/>
    <cellStyle name="Style 2 4 3" xfId="3407"/>
    <cellStyle name="Style 2 5" xfId="3408"/>
    <cellStyle name="Style 2 5 2" xfId="3409"/>
    <cellStyle name="Style 2 5 3" xfId="3410"/>
    <cellStyle name="Style 2 6" xfId="3411"/>
    <cellStyle name="Style 21" xfId="3412"/>
    <cellStyle name="Style 22" xfId="3413"/>
    <cellStyle name="Style 23" xfId="3414"/>
    <cellStyle name="Style 24" xfId="3415"/>
    <cellStyle name="Style 24 2" xfId="3416"/>
    <cellStyle name="Style 25" xfId="3417"/>
    <cellStyle name="Style 26" xfId="3418"/>
    <cellStyle name="Style 26 2" xfId="3419"/>
    <cellStyle name="Style 27" xfId="3420"/>
    <cellStyle name="Style 3" xfId="3421"/>
    <cellStyle name="Style 3 2" xfId="3422"/>
    <cellStyle name="Style 3 2 2" xfId="3423"/>
    <cellStyle name="Style 3 2 2 2" xfId="3951"/>
    <cellStyle name="Style 32" xfId="3424"/>
    <cellStyle name="Style 4" xfId="3425"/>
    <cellStyle name="Style 4 2" xfId="3426"/>
    <cellStyle name="Style 4 2 2" xfId="3427"/>
    <cellStyle name="Style 4 2 2 2" xfId="3952"/>
    <cellStyle name="Style 5" xfId="3428"/>
    <cellStyle name="Style 5 2" xfId="3429"/>
    <cellStyle name="Style 5 2 2" xfId="3430"/>
    <cellStyle name="Style 5 2 2 2" xfId="3431"/>
    <cellStyle name="Style 5 2 2 2 2" xfId="3432"/>
    <cellStyle name="Style 5 2 2 3" xfId="3433"/>
    <cellStyle name="Style 5 2 3" xfId="3434"/>
    <cellStyle name="Style 5 2 3 2" xfId="3435"/>
    <cellStyle name="Style 5 2 3 3" xfId="3436"/>
    <cellStyle name="Style 5 2 4" xfId="3437"/>
    <cellStyle name="Style 5 3" xfId="3438"/>
    <cellStyle name="Style 5 3 2" xfId="3439"/>
    <cellStyle name="Style 5 3 2 2" xfId="3440"/>
    <cellStyle name="Style 5 3 3" xfId="3441"/>
    <cellStyle name="Style 5 4" xfId="3442"/>
    <cellStyle name="Style 5 4 2" xfId="3443"/>
    <cellStyle name="Style 5 5" xfId="3444"/>
    <cellStyle name="Style 5 5 2" xfId="3445"/>
    <cellStyle name="Style 5 6" xfId="3446"/>
    <cellStyle name="Style 5 7" xfId="3447"/>
    <cellStyle name="Style 5 7 2" xfId="3448"/>
    <cellStyle name="Style 5 8" xfId="3449"/>
    <cellStyle name="Style 5 8 2" xfId="3450"/>
    <cellStyle name="Style 6" xfId="3451"/>
    <cellStyle name="Style 7" xfId="3452"/>
    <cellStyle name="Style 8" xfId="3453"/>
    <cellStyle name="STYLE1" xfId="3454"/>
    <cellStyle name="STYLE2" xfId="3455"/>
    <cellStyle name="styleColumnTitles" xfId="3456"/>
    <cellStyle name="styleSeriesAttributes" xfId="3457"/>
    <cellStyle name="styleSeriesData" xfId="3458"/>
    <cellStyle name="styleSeriesDataForecast" xfId="3459"/>
    <cellStyle name="SubDollar" xfId="3460"/>
    <cellStyle name="SubGrowthRate" xfId="3461"/>
    <cellStyle name="Subhead" xfId="3462"/>
    <cellStyle name="Subscribers" xfId="3463"/>
    <cellStyle name="SubScript" xfId="3464"/>
    <cellStyle name="Subtotal" xfId="3465"/>
    <cellStyle name="SubVariable" xfId="3466"/>
    <cellStyle name="SuperScript" xfId="3467"/>
    <cellStyle name="Synopsis" xfId="3841"/>
    <cellStyle name="Synopsis 2" xfId="3909"/>
    <cellStyle name="Table Heading" xfId="3468"/>
    <cellStyle name="Table Title" xfId="3469"/>
    <cellStyle name="Table Units" xfId="3470"/>
    <cellStyle name="Table Units 2" xfId="3471"/>
    <cellStyle name="Table Units 3" xfId="3939"/>
    <cellStyle name="TableName" xfId="3472"/>
    <cellStyle name="TableName 2" xfId="3842"/>
    <cellStyle name="Text Wrap" xfId="3473"/>
    <cellStyle name="textbold" xfId="3474"/>
    <cellStyle name="textbold 2" xfId="3475"/>
    <cellStyle name="textbold 3" xfId="3476"/>
    <cellStyle name="TextBold 4" xfId="3477"/>
    <cellStyle name="TextBold 5" xfId="3478"/>
    <cellStyle name="Text-fin statements" xfId="3843"/>
    <cellStyle name="TextItalic" xfId="3479"/>
    <cellStyle name="TextNormal" xfId="3480"/>
    <cellStyle name="Title" xfId="3481" builtinId="15" customBuiltin="1"/>
    <cellStyle name="Title 2" xfId="3482"/>
    <cellStyle name="Title 3" xfId="3483"/>
    <cellStyle name="Title 3 2" xfId="3484"/>
    <cellStyle name="Title 3 3" xfId="3485"/>
    <cellStyle name="Title Line" xfId="3486"/>
    <cellStyle name="title1" xfId="3487"/>
    <cellStyle name="title2" xfId="3488"/>
    <cellStyle name="TitleBar" xfId="3844"/>
    <cellStyle name="TitleII" xfId="3489"/>
    <cellStyle name="TitleNormal" xfId="3490"/>
    <cellStyle name="Titles" xfId="3491"/>
    <cellStyle name="Titles 2" xfId="3845"/>
    <cellStyle name="top" xfId="3492"/>
    <cellStyle name="Top Line" xfId="3493"/>
    <cellStyle name="Top Row" xfId="3494"/>
    <cellStyle name="Top Row 10" xfId="3495"/>
    <cellStyle name="Top Row 11" xfId="3496"/>
    <cellStyle name="Top Row 2" xfId="3497"/>
    <cellStyle name="Top Row 3" xfId="3498"/>
    <cellStyle name="Top Row 4" xfId="3499"/>
    <cellStyle name="Top Row 5" xfId="3500"/>
    <cellStyle name="Top Row 6" xfId="3501"/>
    <cellStyle name="Top Row 7" xfId="3502"/>
    <cellStyle name="Top Row 8" xfId="3503"/>
    <cellStyle name="Top Row 9" xfId="3504"/>
    <cellStyle name="Top Row_10794" xfId="3505"/>
    <cellStyle name="top-title" xfId="3506"/>
    <cellStyle name="Total" xfId="3507" builtinId="25" customBuiltin="1"/>
    <cellStyle name="Total 10" xfId="3508"/>
    <cellStyle name="Total 2" xfId="3509"/>
    <cellStyle name="Total 2 2" xfId="3510"/>
    <cellStyle name="Total 2 2 2" xfId="3511"/>
    <cellStyle name="Total 2 3" xfId="3955"/>
    <cellStyle name="Total 3" xfId="3512"/>
    <cellStyle name="Total 3 2" xfId="3513"/>
    <cellStyle name="Total 4" xfId="3514"/>
    <cellStyle name="Total 5" xfId="3515"/>
    <cellStyle name="Total 6" xfId="3516"/>
    <cellStyle name="Total 7" xfId="3517"/>
    <cellStyle name="Total 8" xfId="3518"/>
    <cellStyle name="Total 9" xfId="3519"/>
    <cellStyle name="Total Row" xfId="3520"/>
    <cellStyle name="Totals" xfId="3521"/>
    <cellStyle name="underline 1 decimal" xfId="3522"/>
    <cellStyle name="UnderlineNormal" xfId="3523"/>
    <cellStyle name="UnderlineNormal 2" xfId="3846"/>
    <cellStyle name="Unprot" xfId="3524"/>
    <cellStyle name="Unprot$" xfId="3525"/>
    <cellStyle name="Unprotect" xfId="3526"/>
    <cellStyle name="Unprotected" xfId="3527"/>
    <cellStyle name="UnProtectedCalc" xfId="3528"/>
    <cellStyle name="UnProtectedCalc 2" xfId="3529"/>
    <cellStyle name="UnProtectedCalc 3" xfId="3949"/>
    <cellStyle name="Upload Only" xfId="3530"/>
    <cellStyle name="Upload Only 2" xfId="3531"/>
    <cellStyle name="Use_1dp" xfId="3847"/>
    <cellStyle name="UseB_1dp" xfId="3848"/>
    <cellStyle name="Warning Text" xfId="3532" builtinId="11" customBuiltin="1"/>
    <cellStyle name="Warning Text 2" xfId="3533"/>
    <cellStyle name="Warning Text 3" xfId="3534"/>
    <cellStyle name="Warning Text 3 2" xfId="3535"/>
    <cellStyle name="WholeNumber" xfId="3536"/>
    <cellStyle name="Year" xfId="3537"/>
    <cellStyle name="Year 2" xfId="3538"/>
    <cellStyle name="Year 2 2" xfId="3539"/>
    <cellStyle name="Year 2 2 2" xfId="3540"/>
    <cellStyle name="Year 2 2 2 2" xfId="3541"/>
    <cellStyle name="Year 2 2 3" xfId="3542"/>
    <cellStyle name="Year 2 3" xfId="3543"/>
    <cellStyle name="Year 2 3 2" xfId="3544"/>
    <cellStyle name="Year 2 4" xfId="3545"/>
    <cellStyle name="Year 3" xfId="3546"/>
    <cellStyle name="Year 3 2" xfId="3547"/>
    <cellStyle name="Year 3 2 2" xfId="3548"/>
    <cellStyle name="Year 3 3" xfId="3549"/>
    <cellStyle name="Year 4" xfId="3550"/>
    <cellStyle name="Year 4 2" xfId="3551"/>
    <cellStyle name="Year 5" xfId="3552"/>
    <cellStyle name="Year 5 2" xfId="3553"/>
    <cellStyle name="Year 6" xfId="3554"/>
    <cellStyle name="Year 7" xfId="3555"/>
    <cellStyle name="Year 7 2" xfId="3556"/>
    <cellStyle name="Year 8" xfId="3557"/>
    <cellStyle name="Year 8 2" xfId="3558"/>
    <cellStyle name="Year_FT Valuation " xfId="3849"/>
    <cellStyle name="Years" xfId="3559"/>
    <cellStyle name="パーセント_QTBLNEW" xfId="3560"/>
    <cellStyle name="뷭?_BOOKSHIP_실적현황 " xfId="3561"/>
    <cellStyle name="쉼표_매출총괄(02)" xfId="3562"/>
    <cellStyle name="쬞\?1@" xfId="3563"/>
    <cellStyle name="콤마 [0]_   " xfId="3564"/>
    <cellStyle name="콤마_   " xfId="3565"/>
    <cellStyle name="통화 [0]_AP02MSEst" xfId="3566"/>
    <cellStyle name="통화_AP02MSEst" xfId="3567"/>
    <cellStyle name="표준_0N-HANDLING " xfId="3568"/>
    <cellStyle name="하이퍼링크_000727 IMT-2000 시설투자물량(4210) 4FA고려 필요 " xfId="3569"/>
    <cellStyle name="一般_Book2" xfId="3850"/>
    <cellStyle name="千分位[0]_Book2" xfId="3851"/>
    <cellStyle name="千分位_Book2" xfId="3852"/>
    <cellStyle name="未定義" xfId="3570"/>
    <cellStyle name="桁区切り [0.00]_new dif survey sheet" xfId="3571"/>
    <cellStyle name="標準_5401a" xfId="3572"/>
    <cellStyle name="百分比_Comp1-QSI,Liteon" xfId="3853"/>
    <cellStyle name="貨幣 [0]_Book2" xfId="3854"/>
    <cellStyle name="貨幣_Book2" xfId="3855"/>
    <cellStyle name="超連結_Comp-Global" xfId="3856"/>
  </cellStyles>
  <dxfs count="23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0066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externalLinks/externalLink3.xml" Type="http://schemas.openxmlformats.org/officeDocument/2006/relationships/externalLink"/>
<Relationship Id="rId13" Target="theme/theme1.xml" Type="http://schemas.openxmlformats.org/officeDocument/2006/relationships/theme"/>
<Relationship Id="rId14" Target="styles.xml" Type="http://schemas.openxmlformats.org/officeDocument/2006/relationships/styles"/>
<Relationship Id="rId15" Target="sharedStrings.xml" Type="http://schemas.openxmlformats.org/officeDocument/2006/relationships/sharedStrings"/>
<Relationship Id="rId16" Target="calcChain.xml" Type="http://schemas.openxmlformats.org/officeDocument/2006/relationships/calcChain"/>
<Relationship Id="rId17" Target="../customXml/item1.xml" Type="http://schemas.openxmlformats.org/officeDocument/2006/relationships/customXml"/>
<Relationship Id="rId18" Target="../customXml/item2.xml" Type="http://schemas.openxmlformats.org/officeDocument/2006/relationships/customXml"/>
<Relationship Id="rId19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5443585" name="Picture 1" descr="C:\Users\sarlinde\AppData\Local\Temp\MercuryPriceRatingHistoryChart\TXN.O_2018_04_25_18_41_4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2857500</xdr:colOff>
      <xdr:row>0</xdr:row>
      <xdr:rowOff>571500</xdr:rowOff>
    </xdr:to>
    <xdr:pic>
      <xdr:nvPicPr>
        <xdr:cNvPr id="3678124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"/>
          <a:ext cx="28194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2857500</xdr:colOff>
      <xdr:row>0</xdr:row>
      <xdr:rowOff>571500</xdr:rowOff>
    </xdr:to>
    <xdr:pic>
      <xdr:nvPicPr>
        <xdr:cNvPr id="5417264" name="Picture 2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"/>
          <a:ext cx="28194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2857500</xdr:colOff>
      <xdr:row>0</xdr:row>
      <xdr:rowOff>571500</xdr:rowOff>
    </xdr:to>
    <xdr:pic>
      <xdr:nvPicPr>
        <xdr:cNvPr id="5867676" name="Picture 8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"/>
          <a:ext cx="28194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3.xml.rels><?xml version="1.0" encoding="UTF-8" standalone="yes"?>
<Relationships xmlns="http://schemas.openxmlformats.org/package/2006/relationships">
<Relationship Id="rId1" Target="NA/NY/lib/ER/SEMI%20CAP/Joe%20Files/Companies/MXIM/MXIM%20WIP.xls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IS"/>
      <sheetName val="BS"/>
      <sheetName val="MW-Cache"/>
      <sheetName val="CFS"/>
      <sheetName val="AFOSHEET"/>
      <sheetName val="BU-Segment"/>
      <sheetName val="Estimate Changes"/>
      <sheetName val="Snapshot"/>
      <sheetName val="MS vs. Cons."/>
      <sheetName val="QoQ Comp"/>
      <sheetName val="Exhibits"/>
      <sheetName val="Bull_Base_Bear_2017"/>
      <sheetName val="Bull_Base_Bear"/>
      <sheetName val="By Segm"/>
      <sheetName val="Business Revs"/>
      <sheetName val="IS New vs. Old"/>
      <sheetName val="Table New vs. old"/>
      <sheetName val="IS YoY Growth Analysis"/>
      <sheetName val="COGs Details"/>
      <sheetName val="BU-Seasonality"/>
      <sheetName val="Bull_Base_Bear2"/>
      <sheetName val="DCF"/>
      <sheetName val="mwareDates"/>
      <sheetName val="MacroForPub"/>
      <sheetName val="Earnings Exhibits"/>
      <sheetName val="MWA RR"/>
      <sheetName val="mwareSettings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D3" t="e">
            <v>#REF!</v>
          </cell>
          <cell r="E3">
            <v>0</v>
          </cell>
          <cell r="F3" t="str">
            <v>Maxim Integrated Products Income Statement</v>
          </cell>
          <cell r="G3">
            <v>0</v>
          </cell>
          <cell r="H3" t="str">
            <v>C3Q05A</v>
          </cell>
          <cell r="I3" t="str">
            <v>C4Q05A</v>
          </cell>
          <cell r="J3" t="str">
            <v>C1Q06A</v>
          </cell>
          <cell r="K3" t="str">
            <v>C2Q06A</v>
          </cell>
          <cell r="L3" t="str">
            <v>C3Q06A</v>
          </cell>
          <cell r="M3" t="str">
            <v>C4Q06A</v>
          </cell>
          <cell r="N3" t="str">
            <v>C1Q07A</v>
          </cell>
          <cell r="O3" t="str">
            <v>C2Q07A</v>
          </cell>
          <cell r="P3" t="str">
            <v>C3Q07A</v>
          </cell>
          <cell r="Q3" t="str">
            <v>C4Q07A</v>
          </cell>
          <cell r="R3" t="str">
            <v>C1Q08A</v>
          </cell>
          <cell r="S3" t="str">
            <v>C2Q08A</v>
          </cell>
          <cell r="T3" t="str">
            <v>C3Q08A</v>
          </cell>
          <cell r="U3" t="str">
            <v>C4Q08A</v>
          </cell>
          <cell r="V3" t="str">
            <v>C1Q09A</v>
          </cell>
          <cell r="W3" t="str">
            <v>C2Q09A</v>
          </cell>
          <cell r="X3" t="str">
            <v>C3Q09A</v>
          </cell>
          <cell r="Y3" t="str">
            <v>C4Q09A</v>
          </cell>
          <cell r="Z3" t="str">
            <v>C1Q10A</v>
          </cell>
          <cell r="AA3" t="str">
            <v>C2Q10A</v>
          </cell>
          <cell r="AB3" t="str">
            <v>C3Q10A</v>
          </cell>
          <cell r="AC3" t="str">
            <v>C4Q10A</v>
          </cell>
          <cell r="AD3" t="str">
            <v>C1Q11A</v>
          </cell>
          <cell r="AE3" t="str">
            <v>C2Q11A</v>
          </cell>
          <cell r="AF3" t="str">
            <v>C3Q11A</v>
          </cell>
          <cell r="AG3" t="str">
            <v>C4Q11A</v>
          </cell>
          <cell r="AH3" t="str">
            <v>C1Q12A</v>
          </cell>
          <cell r="AI3" t="str">
            <v>C2Q12A</v>
          </cell>
          <cell r="AJ3" t="str">
            <v>C3Q12A</v>
          </cell>
          <cell r="AK3" t="str">
            <v>C4Q12A</v>
          </cell>
          <cell r="AL3" t="str">
            <v>C1Q13A</v>
          </cell>
          <cell r="AM3" t="str">
            <v>C2Q13A</v>
          </cell>
          <cell r="AN3" t="str">
            <v>C3Q13A</v>
          </cell>
          <cell r="AO3" t="str">
            <v>C4Q13</v>
          </cell>
          <cell r="AP3" t="str">
            <v>C1Q14E</v>
          </cell>
          <cell r="AQ3" t="str">
            <v>C2Q14A</v>
          </cell>
          <cell r="AR3" t="str">
            <v>C3Q14A</v>
          </cell>
          <cell r="AS3" t="str">
            <v>C4Q14A</v>
          </cell>
        </row>
        <row r="5">
          <cell r="B5" t="str">
            <v>YoY</v>
          </cell>
          <cell r="C5" t="str">
            <v>-</v>
          </cell>
          <cell r="D5" t="str">
            <v>-</v>
          </cell>
          <cell r="E5" t="str">
            <v>-</v>
          </cell>
          <cell r="F5" t="str">
            <v>-</v>
          </cell>
          <cell r="G5" t="str">
            <v>-</v>
          </cell>
          <cell r="H5" t="str">
            <v>-</v>
          </cell>
          <cell r="I5" t="str">
            <v>-</v>
          </cell>
          <cell r="J5" t="str">
            <v>-</v>
          </cell>
          <cell r="K5" t="str">
            <v>-</v>
          </cell>
          <cell r="L5">
            <v>0.18545373088576844</v>
          </cell>
          <cell r="M5">
            <v>0.11656715747890112</v>
          </cell>
          <cell r="N5">
            <v>-3.3753685927599975E-3</v>
          </cell>
          <cell r="O5">
            <v>4.5584884908477008E-2</v>
          </cell>
          <cell r="P5">
            <v>4.2439009836000352E-2</v>
          </cell>
          <cell r="Q5">
            <v>8.5579944235937955E-2</v>
          </cell>
          <cell r="R5">
            <v>2.2775917205952734E-2</v>
          </cell>
          <cell r="S5">
            <v>-5.8423652722730535E-2</v>
          </cell>
          <cell r="T5">
            <v>-4.3651649267956727E-2</v>
          </cell>
          <cell r="U5">
            <v>-0.23952594787278358</v>
          </cell>
          <cell r="V5">
            <v>-0.30312262776717758</v>
          </cell>
          <cell r="W5">
            <v>-0.21305212591293621</v>
          </cell>
          <cell r="X5">
            <v>-0.1036663713777225</v>
          </cell>
          <cell r="Y5">
            <v>0.15301637547939362</v>
          </cell>
          <cell r="Z5">
            <v>0.49818203229652736</v>
          </cell>
          <cell r="AA5">
            <v>0.43473664730740591</v>
          </cell>
          <cell r="AB5">
            <v>0.39375531446022904</v>
          </cell>
          <cell r="AC5">
            <v>0.29443840216255035</v>
          </cell>
          <cell r="AD5">
            <v>0.1923734475711365</v>
          </cell>
          <cell r="AE5">
            <v>0.106948876426332</v>
          </cell>
          <cell r="AF5">
            <v>1.5752093385015042E-2</v>
          </cell>
          <cell r="AG5">
            <v>-3.5202696529490818E-2</v>
          </cell>
          <cell r="AH5">
            <v>-5.8609863623254044E-2</v>
          </cell>
          <cell r="AI5">
            <v>-3.4373997391821454E-2</v>
          </cell>
          <cell r="AJ5">
            <v>-2.0325407781736415E-2</v>
          </cell>
          <cell r="AK5">
            <v>2.3584658388559276E-2</v>
          </cell>
          <cell r="AL5">
            <v>5.8948341421398709E-2</v>
          </cell>
          <cell r="AM5">
            <v>5.3524553851849177E-3</v>
          </cell>
          <cell r="AN5">
            <v>-6.0721421979697543E-2</v>
          </cell>
          <cell r="AO5">
            <v>2.4727988818878277E-2</v>
          </cell>
          <cell r="AP5">
            <v>1.3176080041794602E-3</v>
          </cell>
          <cell r="AQ5">
            <v>5.6352085025501708E-2</v>
          </cell>
          <cell r="AR5">
            <v>-8.4853931969907093E-3</v>
          </cell>
          <cell r="AS5">
            <v>-8.6195777994886202E-2</v>
          </cell>
        </row>
        <row r="6">
          <cell r="B6" t="str">
            <v>QoQ</v>
          </cell>
          <cell r="C6" t="str">
            <v>-</v>
          </cell>
          <cell r="D6" t="str">
            <v>-</v>
          </cell>
          <cell r="E6" t="str">
            <v>-</v>
          </cell>
          <cell r="F6" t="str">
            <v>-</v>
          </cell>
          <cell r="G6" t="str">
            <v>-</v>
          </cell>
          <cell r="H6" t="str">
            <v>-</v>
          </cell>
          <cell r="I6">
            <v>5.0519341185347511E-2</v>
          </cell>
          <cell r="J6">
            <v>7.3285149937152072E-2</v>
          </cell>
          <cell r="K6">
            <v>6.4809586548716602E-2</v>
          </cell>
          <cell r="L6">
            <v>-1.2599182968025424E-2</v>
          </cell>
          <cell r="M6">
            <v>-1.0526211101055227E-2</v>
          </cell>
          <cell r="N6">
            <v>-4.2007988694409359E-2</v>
          </cell>
          <cell r="O6">
            <v>0.11711949907251196</v>
          </cell>
          <cell r="P6">
            <v>-1.5569998309446387E-2</v>
          </cell>
          <cell r="Q6">
            <v>3.0422778158337938E-2</v>
          </cell>
          <cell r="R6">
            <v>-9.7430674505809778E-2</v>
          </cell>
          <cell r="S6">
            <v>2.8429863974887448E-2</v>
          </cell>
          <cell r="T6">
            <v>-1.2568152302050439E-4</v>
          </cell>
          <cell r="U6">
            <v>-0.18062305967230907</v>
          </cell>
          <cell r="V6">
            <v>-0.17291045230413338</v>
          </cell>
          <cell r="W6">
            <v>0.16135309790528951</v>
          </cell>
          <cell r="X6">
            <v>0.13885684879243287</v>
          </cell>
          <cell r="Y6">
            <v>5.4021627348935786E-2</v>
          </cell>
          <cell r="Z6">
            <v>7.468612398762442E-2</v>
          </cell>
          <cell r="AA6">
            <v>0.11217182832887906</v>
          </cell>
          <cell r="AB6">
            <v>0.10632692654277154</v>
          </cell>
          <cell r="AC6">
            <v>-2.1086372195311176E-2</v>
          </cell>
          <cell r="AD6">
            <v>-1.0051620397562022E-2</v>
          </cell>
          <cell r="AE6">
            <v>3.2493098759836192E-2</v>
          </cell>
          <cell r="AF6">
            <v>1.5181383292019124E-2</v>
          </cell>
          <cell r="AG6">
            <v>-7.0193175493158733E-2</v>
          </cell>
          <cell r="AH6">
            <v>-3.4068983477041903E-2</v>
          </cell>
          <cell r="AI6">
            <v>5.9074389193504384E-2</v>
          </cell>
          <cell r="AJ6">
            <v>2.9950938580657116E-2</v>
          </cell>
          <cell r="AK6">
            <v>-2.8518236167395572E-2</v>
          </cell>
          <cell r="AL6">
            <v>-6.9716804393149534E-4</v>
          </cell>
          <cell r="AM6">
            <v>5.4721235807195789E-3</v>
          </cell>
          <cell r="AN6">
            <v>-3.7739602824098828E-2</v>
          </cell>
          <cell r="AO6">
            <v>5.9860809478488486E-2</v>
          </cell>
          <cell r="AP6">
            <v>-2.3526699490870051E-2</v>
          </cell>
          <cell r="AQ6">
            <v>6.0734941330502279E-2</v>
          </cell>
          <cell r="AR6">
            <v>-9.6801859083812891E-2</v>
          </cell>
          <cell r="AS6">
            <v>-2.3206238421438097E-2</v>
          </cell>
        </row>
        <row r="10">
          <cell r="B10" t="str">
            <v>GM</v>
          </cell>
          <cell r="D10" t="e">
            <v>#REF!</v>
          </cell>
          <cell r="E10" t="e">
            <v>#N/A</v>
          </cell>
          <cell r="F10" t="str">
            <v>Gross Margin - MW</v>
          </cell>
          <cell r="G10" t="e">
            <v>#N/A</v>
          </cell>
          <cell r="H10">
            <v>0.66509626380881648</v>
          </cell>
          <cell r="I10">
            <v>0.6581186029807865</v>
          </cell>
          <cell r="J10">
            <v>0.65741681828638354</v>
          </cell>
          <cell r="K10">
            <v>0.64571451017361914</v>
          </cell>
          <cell r="L10">
            <v>0.59485027200668328</v>
          </cell>
          <cell r="M10">
            <v>0.61952184427473556</v>
          </cell>
          <cell r="N10">
            <v>0.60070589815257802</v>
          </cell>
          <cell r="O10">
            <v>0.62572834682645517</v>
          </cell>
          <cell r="P10">
            <v>0.61163446108521402</v>
          </cell>
          <cell r="Q10">
            <v>0.62164714596546455</v>
          </cell>
          <cell r="R10">
            <v>0.61686670359656148</v>
          </cell>
          <cell r="S10">
            <v>0.62719468865893824</v>
          </cell>
          <cell r="T10">
            <v>0.58435088307355887</v>
          </cell>
          <cell r="U10">
            <v>0.61709137395750902</v>
          </cell>
          <cell r="V10">
            <v>0.53016059941412863</v>
          </cell>
          <cell r="W10">
            <v>0.53901300729331203</v>
          </cell>
          <cell r="X10">
            <v>0.5653450448084123</v>
          </cell>
          <cell r="Y10">
            <v>0.62117778739849838</v>
          </cell>
          <cell r="Z10">
            <v>0.61125019650998269</v>
          </cell>
          <cell r="AA10">
            <v>0.61757856534537647</v>
          </cell>
          <cell r="AB10">
            <v>0.63391675011459114</v>
          </cell>
          <cell r="AC10">
            <v>0.63548886017463491</v>
          </cell>
          <cell r="AD10">
            <v>0.62719953854394128</v>
          </cell>
          <cell r="AE10">
            <v>0.636564611462894</v>
          </cell>
          <cell r="AF10">
            <v>0.63664422438923141</v>
          </cell>
          <cell r="AG10">
            <v>0.60511635064317948</v>
          </cell>
          <cell r="AH10">
            <v>0.60435880198595271</v>
          </cell>
          <cell r="AI10">
            <v>0.63042766746672474</v>
          </cell>
          <cell r="AJ10">
            <v>0.6341852906953418</v>
          </cell>
          <cell r="AK10">
            <v>0.61516158769283624</v>
          </cell>
          <cell r="AL10">
            <v>0.63463242539065345</v>
          </cell>
          <cell r="AM10">
            <v>0.62344580840981656</v>
          </cell>
          <cell r="AN10">
            <v>0.60707981839959957</v>
          </cell>
          <cell r="AO10">
            <v>0.58173645840386667</v>
          </cell>
          <cell r="AP10">
            <v>0.60097146847928196</v>
          </cell>
          <cell r="AQ10">
            <v>0.60404814566351273</v>
          </cell>
          <cell r="AR10">
            <v>0.61605273361768131</v>
          </cell>
          <cell r="AS10">
            <v>0.60288739240202605</v>
          </cell>
        </row>
        <row r="13">
          <cell r="B13" t="str">
            <v>OM</v>
          </cell>
          <cell r="D13" t="e">
            <v>#REF!</v>
          </cell>
          <cell r="E13" t="e">
            <v>#N/A</v>
          </cell>
          <cell r="F13" t="str">
            <v>Operating Margin MW%</v>
          </cell>
          <cell r="G13" t="e">
            <v>#N/A</v>
          </cell>
          <cell r="H13">
            <v>0.27151935297515895</v>
          </cell>
          <cell r="I13">
            <v>0.29839962291255162</v>
          </cell>
          <cell r="J13">
            <v>0.30748269443921622</v>
          </cell>
          <cell r="K13">
            <v>0.25606292717416884</v>
          </cell>
          <cell r="L13">
            <v>3.2083859610737044E-2</v>
          </cell>
          <cell r="M13">
            <v>0.25499092376566229</v>
          </cell>
          <cell r="N13">
            <v>0.18102594448501327</v>
          </cell>
          <cell r="O13">
            <v>0.34762289385201994</v>
          </cell>
          <cell r="P13">
            <v>0.22343683514571228</v>
          </cell>
          <cell r="Q13">
            <v>0.28836072404055363</v>
          </cell>
          <cell r="R13">
            <v>0.25204037668492651</v>
          </cell>
          <cell r="S13">
            <v>0.26390526406086962</v>
          </cell>
          <cell r="T13">
            <v>0.22689563531017318</v>
          </cell>
          <cell r="U13">
            <v>0.10961709380897308</v>
          </cell>
          <cell r="V13">
            <v>3.0450591023508423E-2</v>
          </cell>
          <cell r="W13">
            <v>0.11909367228516213</v>
          </cell>
          <cell r="X13">
            <v>0.18729159525070893</v>
          </cell>
          <cell r="Y13">
            <v>0.24562685448190646</v>
          </cell>
          <cell r="Z13">
            <v>0.26098294293350099</v>
          </cell>
          <cell r="AA13">
            <v>0.28029620363204594</v>
          </cell>
          <cell r="AB13">
            <v>0.31469210510765178</v>
          </cell>
          <cell r="AC13">
            <v>0.30553434616338415</v>
          </cell>
          <cell r="AD13">
            <v>0.29005314984961472</v>
          </cell>
          <cell r="AE13">
            <v>0.29959249215072492</v>
          </cell>
          <cell r="AF13">
            <v>0.28653683478982761</v>
          </cell>
          <cell r="AG13">
            <v>0.22817104330871771</v>
          </cell>
          <cell r="AH13">
            <v>0.22956625561087654</v>
          </cell>
          <cell r="AI13">
            <v>0.27670442147858676</v>
          </cell>
          <cell r="AJ13">
            <v>0.29214460538458464</v>
          </cell>
          <cell r="AK13">
            <v>0.25864769224160999</v>
          </cell>
          <cell r="AL13">
            <v>0.27738706925625412</v>
          </cell>
          <cell r="AM13">
            <v>0.27143312824526378</v>
          </cell>
          <cell r="AN13">
            <v>0.25281208937856375</v>
          </cell>
          <cell r="AO13">
            <v>0.21666876251463063</v>
          </cell>
          <cell r="AP13">
            <v>0.234156263775816</v>
          </cell>
          <cell r="AQ13">
            <v>0.25079264771575821</v>
          </cell>
          <cell r="AR13">
            <v>0.23647408556287972</v>
          </cell>
          <cell r="AS13">
            <v>0.22229534111137964</v>
          </cell>
        </row>
      </sheetData>
      <sheetData sheetId="26"/>
      <sheetData sheetId="27"/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/>
  <sheetData>
    <row r="1" spans="1:2">
      <c r="B1" t="s">
        <v>273</v>
      </c>
    </row>
  </sheetData>
  <phoneticPr fontId="2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7"/>
  <sheetViews>
    <sheetView showGridLines="0" tabSelected="1" workbookViewId="0">
      <selection activeCell="Z1" sqref="Z1"/>
    </sheetView>
  </sheetViews>
  <sheetFormatPr defaultRowHeight="12.75"/>
  <cols>
    <col min="1" max="1" width="25.7109375" style="1183" customWidth="1"/>
    <col min="2" max="5" width="9.140625" style="1183"/>
    <col min="6" max="6" width="18.7109375" style="1183" customWidth="1"/>
    <col min="7" max="256" width="9.140625" style="1183"/>
    <col min="257" max="257" width="100.7109375" style="1183" customWidth="1"/>
    <col min="258" max="512" width="9.140625" style="1183"/>
    <col min="513" max="513" width="100.7109375" style="1183" customWidth="1"/>
    <col min="514" max="768" width="9.140625" style="1183"/>
    <col min="769" max="769" width="100.7109375" style="1183" customWidth="1"/>
    <col min="770" max="1024" width="9.140625" style="1183"/>
    <col min="1025" max="1025" width="100.7109375" style="1183" customWidth="1"/>
    <col min="1026" max="1280" width="9.140625" style="1183"/>
    <col min="1281" max="1281" width="100.7109375" style="1183" customWidth="1"/>
    <col min="1282" max="1536" width="9.140625" style="1183"/>
    <col min="1537" max="1537" width="100.7109375" style="1183" customWidth="1"/>
    <col min="1538" max="1792" width="9.140625" style="1183"/>
    <col min="1793" max="1793" width="100.7109375" style="1183" customWidth="1"/>
    <col min="1794" max="2048" width="9.140625" style="1183"/>
    <col min="2049" max="2049" width="100.7109375" style="1183" customWidth="1"/>
    <col min="2050" max="2304" width="9.140625" style="1183"/>
    <col min="2305" max="2305" width="100.7109375" style="1183" customWidth="1"/>
    <col min="2306" max="2560" width="9.140625" style="1183"/>
    <col min="2561" max="2561" width="100.7109375" style="1183" customWidth="1"/>
    <col min="2562" max="2816" width="9.140625" style="1183"/>
    <col min="2817" max="2817" width="100.7109375" style="1183" customWidth="1"/>
    <col min="2818" max="3072" width="9.140625" style="1183"/>
    <col min="3073" max="3073" width="100.7109375" style="1183" customWidth="1"/>
    <col min="3074" max="3328" width="9.140625" style="1183"/>
    <col min="3329" max="3329" width="100.7109375" style="1183" customWidth="1"/>
    <col min="3330" max="3584" width="9.140625" style="1183"/>
    <col min="3585" max="3585" width="100.7109375" style="1183" customWidth="1"/>
    <col min="3586" max="3840" width="9.140625" style="1183"/>
    <col min="3841" max="3841" width="100.7109375" style="1183" customWidth="1"/>
    <col min="3842" max="4096" width="9.140625" style="1183"/>
    <col min="4097" max="4097" width="100.7109375" style="1183" customWidth="1"/>
    <col min="4098" max="4352" width="9.140625" style="1183"/>
    <col min="4353" max="4353" width="100.7109375" style="1183" customWidth="1"/>
    <col min="4354" max="4608" width="9.140625" style="1183"/>
    <col min="4609" max="4609" width="100.7109375" style="1183" customWidth="1"/>
    <col min="4610" max="4864" width="9.140625" style="1183"/>
    <col min="4865" max="4865" width="100.7109375" style="1183" customWidth="1"/>
    <col min="4866" max="5120" width="9.140625" style="1183"/>
    <col min="5121" max="5121" width="100.7109375" style="1183" customWidth="1"/>
    <col min="5122" max="5376" width="9.140625" style="1183"/>
    <col min="5377" max="5377" width="100.7109375" style="1183" customWidth="1"/>
    <col min="5378" max="5632" width="9.140625" style="1183"/>
    <col min="5633" max="5633" width="100.7109375" style="1183" customWidth="1"/>
    <col min="5634" max="5888" width="9.140625" style="1183"/>
    <col min="5889" max="5889" width="100.7109375" style="1183" customWidth="1"/>
    <col min="5890" max="6144" width="9.140625" style="1183"/>
    <col min="6145" max="6145" width="100.7109375" style="1183" customWidth="1"/>
    <col min="6146" max="6400" width="9.140625" style="1183"/>
    <col min="6401" max="6401" width="100.7109375" style="1183" customWidth="1"/>
    <col min="6402" max="6656" width="9.140625" style="1183"/>
    <col min="6657" max="6657" width="100.7109375" style="1183" customWidth="1"/>
    <col min="6658" max="6912" width="9.140625" style="1183"/>
    <col min="6913" max="6913" width="100.7109375" style="1183" customWidth="1"/>
    <col min="6914" max="7168" width="9.140625" style="1183"/>
    <col min="7169" max="7169" width="100.7109375" style="1183" customWidth="1"/>
    <col min="7170" max="7424" width="9.140625" style="1183"/>
    <col min="7425" max="7425" width="100.7109375" style="1183" customWidth="1"/>
    <col min="7426" max="7680" width="9.140625" style="1183"/>
    <col min="7681" max="7681" width="100.7109375" style="1183" customWidth="1"/>
    <col min="7682" max="7936" width="9.140625" style="1183"/>
    <col min="7937" max="7937" width="100.7109375" style="1183" customWidth="1"/>
    <col min="7938" max="8192" width="9.140625" style="1183"/>
    <col min="8193" max="8193" width="100.7109375" style="1183" customWidth="1"/>
    <col min="8194" max="8448" width="9.140625" style="1183"/>
    <col min="8449" max="8449" width="100.7109375" style="1183" customWidth="1"/>
    <col min="8450" max="8704" width="9.140625" style="1183"/>
    <col min="8705" max="8705" width="100.7109375" style="1183" customWidth="1"/>
    <col min="8706" max="8960" width="9.140625" style="1183"/>
    <col min="8961" max="8961" width="100.7109375" style="1183" customWidth="1"/>
    <col min="8962" max="9216" width="9.140625" style="1183"/>
    <col min="9217" max="9217" width="100.7109375" style="1183" customWidth="1"/>
    <col min="9218" max="9472" width="9.140625" style="1183"/>
    <col min="9473" max="9473" width="100.7109375" style="1183" customWidth="1"/>
    <col min="9474" max="9728" width="9.140625" style="1183"/>
    <col min="9729" max="9729" width="100.7109375" style="1183" customWidth="1"/>
    <col min="9730" max="9984" width="9.140625" style="1183"/>
    <col min="9985" max="9985" width="100.7109375" style="1183" customWidth="1"/>
    <col min="9986" max="10240" width="9.140625" style="1183"/>
    <col min="10241" max="10241" width="100.7109375" style="1183" customWidth="1"/>
    <col min="10242" max="10496" width="9.140625" style="1183"/>
    <col min="10497" max="10497" width="100.7109375" style="1183" customWidth="1"/>
    <col min="10498" max="10752" width="9.140625" style="1183"/>
    <col min="10753" max="10753" width="100.7109375" style="1183" customWidth="1"/>
    <col min="10754" max="11008" width="9.140625" style="1183"/>
    <col min="11009" max="11009" width="100.7109375" style="1183" customWidth="1"/>
    <col min="11010" max="11264" width="9.140625" style="1183"/>
    <col min="11265" max="11265" width="100.7109375" style="1183" customWidth="1"/>
    <col min="11266" max="11520" width="9.140625" style="1183"/>
    <col min="11521" max="11521" width="100.7109375" style="1183" customWidth="1"/>
    <col min="11522" max="11776" width="9.140625" style="1183"/>
    <col min="11777" max="11777" width="100.7109375" style="1183" customWidth="1"/>
    <col min="11778" max="12032" width="9.140625" style="1183"/>
    <col min="12033" max="12033" width="100.7109375" style="1183" customWidth="1"/>
    <col min="12034" max="12288" width="9.140625" style="1183"/>
    <col min="12289" max="12289" width="100.7109375" style="1183" customWidth="1"/>
    <col min="12290" max="12544" width="9.140625" style="1183"/>
    <col min="12545" max="12545" width="100.7109375" style="1183" customWidth="1"/>
    <col min="12546" max="12800" width="9.140625" style="1183"/>
    <col min="12801" max="12801" width="100.7109375" style="1183" customWidth="1"/>
    <col min="12802" max="13056" width="9.140625" style="1183"/>
    <col min="13057" max="13057" width="100.7109375" style="1183" customWidth="1"/>
    <col min="13058" max="13312" width="9.140625" style="1183"/>
    <col min="13313" max="13313" width="100.7109375" style="1183" customWidth="1"/>
    <col min="13314" max="13568" width="9.140625" style="1183"/>
    <col min="13569" max="13569" width="100.7109375" style="1183" customWidth="1"/>
    <col min="13570" max="13824" width="9.140625" style="1183"/>
    <col min="13825" max="13825" width="100.7109375" style="1183" customWidth="1"/>
    <col min="13826" max="14080" width="9.140625" style="1183"/>
    <col min="14081" max="14081" width="100.7109375" style="1183" customWidth="1"/>
    <col min="14082" max="14336" width="9.140625" style="1183"/>
    <col min="14337" max="14337" width="100.7109375" style="1183" customWidth="1"/>
    <col min="14338" max="14592" width="9.140625" style="1183"/>
    <col min="14593" max="14593" width="100.7109375" style="1183" customWidth="1"/>
    <col min="14594" max="14848" width="9.140625" style="1183"/>
    <col min="14849" max="14849" width="100.7109375" style="1183" customWidth="1"/>
    <col min="14850" max="15104" width="9.140625" style="1183"/>
    <col min="15105" max="15105" width="100.7109375" style="1183" customWidth="1"/>
    <col min="15106" max="15360" width="9.140625" style="1183"/>
    <col min="15361" max="15361" width="100.7109375" style="1183" customWidth="1"/>
    <col min="15362" max="15616" width="9.140625" style="1183"/>
    <col min="15617" max="15617" width="100.7109375" style="1183" customWidth="1"/>
    <col min="15618" max="15872" width="9.140625" style="1183"/>
    <col min="15873" max="15873" width="100.7109375" style="1183" customWidth="1"/>
    <col min="15874" max="16128" width="9.140625" style="1183"/>
    <col min="16129" max="16129" width="100.7109375" style="1183" customWidth="1"/>
    <col min="16130" max="16384" width="9.140625" style="1183"/>
  </cols>
  <sheetData>
    <row r="1" spans="1:8" ht="30" customHeight="1">
      <c r="A1" s="1181"/>
      <c r="B1" s="1182"/>
      <c r="C1" s="1182"/>
      <c r="D1" s="1182"/>
      <c r="E1" s="1182"/>
      <c r="F1" s="1182"/>
      <c r="G1" s="1182"/>
      <c r="H1" s="1182"/>
    </row>
    <row r="2" spans="1:8" ht="14.25">
      <c r="A2" s="1184" t="s">
        <v>877</v>
      </c>
      <c r="B2" s="1182"/>
      <c r="C2" s="1182"/>
      <c r="D2" s="1182"/>
      <c r="E2" s="1182"/>
      <c r="F2" s="1182"/>
      <c r="G2" s="1182"/>
      <c r="H2" s="1182"/>
    </row>
    <row r="3" spans="1:8" ht="14.25">
      <c r="A3" s="1184" t="s">
        <v>878</v>
      </c>
      <c r="B3" s="1182"/>
      <c r="C3" s="1182"/>
      <c r="D3" s="1182"/>
      <c r="E3" s="1182"/>
      <c r="F3" s="1182"/>
      <c r="G3" s="1182"/>
      <c r="H3" s="1182"/>
    </row>
    <row r="4" spans="1:8" ht="14.25">
      <c r="A4" s="1184" t="s">
        <v>451</v>
      </c>
      <c r="B4" s="1182"/>
      <c r="C4" s="1182"/>
      <c r="D4" s="1182"/>
      <c r="E4" s="1182"/>
      <c r="F4" s="1182"/>
      <c r="G4" s="1182"/>
      <c r="H4" s="1182"/>
    </row>
    <row r="5" spans="1:8" ht="14.25">
      <c r="A5" s="1184" t="s">
        <v>879</v>
      </c>
      <c r="B5" s="1182"/>
      <c r="C5" s="1182"/>
      <c r="D5" s="1182"/>
      <c r="E5" s="1182"/>
      <c r="F5" s="1182"/>
      <c r="G5" s="1182"/>
      <c r="H5" s="1182"/>
    </row>
    <row r="6" spans="1:8" ht="14.25">
      <c r="A6" s="1184"/>
      <c r="B6" s="1182"/>
      <c r="C6" s="1182"/>
      <c r="D6" s="1182"/>
      <c r="E6" s="1182"/>
      <c r="F6" s="1182"/>
      <c r="G6" s="1182"/>
      <c r="H6" s="1182"/>
    </row>
    <row r="7" spans="1:8">
      <c r="A7" s="1181" t="s">
        <v>880</v>
      </c>
      <c r="B7" s="1182"/>
      <c r="C7" s="1182"/>
      <c r="D7" s="1182"/>
      <c r="E7" s="1182"/>
      <c r="F7" s="1182"/>
      <c r="G7" s="1182"/>
      <c r="H7" s="1182"/>
    </row>
    <row r="8" spans="1:8">
      <c r="A8" s="1181" t="s">
        <v>881</v>
      </c>
      <c r="B8" s="1182"/>
      <c r="C8" s="1182"/>
      <c r="D8" s="1182"/>
      <c r="E8" s="1182"/>
      <c r="F8" s="1182"/>
      <c r="G8" s="1182"/>
      <c r="H8" s="1182"/>
    </row>
    <row r="9" spans="1:8">
      <c r="A9" s="1181"/>
      <c r="B9" s="1182"/>
      <c r="C9" s="1182"/>
      <c r="D9" s="1182"/>
      <c r="E9" s="1182"/>
      <c r="F9" s="1182"/>
      <c r="G9" s="1182"/>
      <c r="H9" s="1182"/>
    </row>
    <row r="10" spans="1:8">
      <c r="A10" s="1185" t="s">
        <v>882</v>
      </c>
      <c r="B10" s="1182"/>
      <c r="C10" s="1182"/>
      <c r="D10" s="1182"/>
      <c r="E10" s="1182"/>
      <c r="F10" s="1182"/>
      <c r="G10" s="1182"/>
      <c r="H10" s="1182"/>
    </row>
    <row r="11" spans="1:8">
      <c r="A11" s="1185" t="s">
        <v>883</v>
      </c>
      <c r="B11" s="1182"/>
      <c r="C11" s="1182"/>
      <c r="D11" s="1182"/>
      <c r="E11" s="1182"/>
      <c r="F11" s="1182"/>
      <c r="G11" s="1182"/>
      <c r="H11" s="1182"/>
    </row>
    <row r="12" spans="1:8">
      <c r="A12" s="1185" t="s">
        <v>884</v>
      </c>
      <c r="B12" s="1182"/>
      <c r="C12" s="1182"/>
      <c r="D12" s="1182"/>
      <c r="E12" s="1182"/>
      <c r="F12" s="1182"/>
      <c r="G12" s="1182"/>
      <c r="H12" s="1182"/>
    </row>
    <row r="13" spans="1:8">
      <c r="A13" s="1185" t="s">
        <v>885</v>
      </c>
      <c r="B13" s="1182"/>
      <c r="C13" s="1182"/>
      <c r="D13" s="1182"/>
      <c r="E13" s="1182"/>
      <c r="F13" s="1182"/>
      <c r="G13" s="1182"/>
      <c r="H13" s="1182"/>
    </row>
    <row r="14" spans="1:8">
      <c r="A14" s="1185" t="s">
        <v>886</v>
      </c>
      <c r="B14" s="1182"/>
      <c r="C14" s="1182"/>
      <c r="D14" s="1182"/>
      <c r="E14" s="1182"/>
      <c r="F14" s="1182"/>
      <c r="G14" s="1182"/>
      <c r="H14" s="1182"/>
    </row>
    <row r="15" spans="1:8">
      <c r="A15" s="1185" t="s">
        <v>887</v>
      </c>
      <c r="B15" s="1182"/>
      <c r="C15" s="1182"/>
      <c r="D15" s="1182"/>
      <c r="E15" s="1182"/>
      <c r="F15" s="1182"/>
      <c r="G15" s="1182"/>
      <c r="H15" s="1182"/>
    </row>
    <row r="16" spans="1:8">
      <c r="A16" s="1185"/>
      <c r="B16" s="1182"/>
      <c r="C16" s="1182"/>
      <c r="D16" s="1182"/>
      <c r="E16" s="1182"/>
      <c r="F16" s="1182"/>
      <c r="G16" s="1182"/>
      <c r="H16" s="1182"/>
    </row>
    <row r="17" spans="1:8">
      <c r="A17" s="1185" t="s">
        <v>874</v>
      </c>
      <c r="B17" s="1182"/>
      <c r="C17" s="1182"/>
      <c r="D17" s="1182"/>
      <c r="E17" s="1182"/>
      <c r="F17" s="1182"/>
      <c r="G17" s="1182"/>
      <c r="H17" s="1182"/>
    </row>
    <row r="18" spans="1:8">
      <c r="A18" s="1185"/>
      <c r="B18" s="1182"/>
      <c r="C18" s="1182"/>
      <c r="D18" s="1182"/>
      <c r="E18" s="1182"/>
      <c r="F18" s="1182"/>
      <c r="G18" s="1182"/>
      <c r="H18" s="1182"/>
    </row>
    <row r="19" spans="1:8">
      <c r="A19" s="1185" t="s">
        <v>875</v>
      </c>
      <c r="B19" s="1182"/>
      <c r="C19" s="1182"/>
      <c r="D19" s="1182"/>
      <c r="E19" s="1182"/>
      <c r="F19" s="1182"/>
      <c r="G19" s="1182"/>
      <c r="H19" s="1182"/>
    </row>
    <row r="20" spans="1:8">
      <c r="A20" s="1181"/>
      <c r="B20" s="1182"/>
      <c r="C20" s="1182"/>
      <c r="D20" s="1182"/>
      <c r="E20" s="1182"/>
      <c r="F20" s="1182"/>
      <c r="G20" s="1182"/>
      <c r="H20" s="1182"/>
    </row>
    <row r="21" spans="1:8">
      <c r="A21" s="1186" t="s">
        <v>876</v>
      </c>
      <c r="B21" s="1182"/>
      <c r="C21" s="1182"/>
      <c r="D21" s="1182"/>
      <c r="E21" s="1182"/>
      <c r="F21" s="1182"/>
      <c r="G21" s="1182"/>
      <c r="H21" s="1182"/>
    </row>
    <row r="22" spans="1:8">
      <c r="A22" s="1187"/>
      <c r="B22" s="1187"/>
      <c r="C22" s="1187"/>
      <c r="D22" s="1187"/>
      <c r="E22" s="1187"/>
      <c r="F22" s="1187"/>
      <c r="G22" s="1187"/>
      <c r="H22" s="1187"/>
    </row>
    <row r="23" spans="1:8">
      <c r="A23" s="1188" t="s">
        <v>1171</v>
      </c>
      <c r="B23" s="1187"/>
      <c r="C23" s="1187"/>
      <c r="D23" s="1187"/>
      <c r="E23" s="1187"/>
      <c r="F23" s="1187"/>
      <c r="G23" s="1187"/>
      <c r="H23" s="1187"/>
    </row>
    <row r="24" spans="1:8">
      <c r="A24" s="1188" t="s">
        <v>1172</v>
      </c>
      <c r="B24" s="1187"/>
      <c r="C24" s="1187"/>
      <c r="D24" s="1187"/>
      <c r="E24" s="1187"/>
      <c r="F24" s="1187"/>
      <c r="G24" s="1187"/>
      <c r="H24" s="1187"/>
    </row>
    <row r="25" spans="1:8">
      <c r="A25" s="1188" t="s">
        <v>1173</v>
      </c>
      <c r="B25" s="1187"/>
      <c r="C25" s="1187"/>
      <c r="D25" s="1187"/>
      <c r="E25" s="1187"/>
      <c r="F25" s="1187"/>
      <c r="G25" s="1187"/>
      <c r="H25" s="1187"/>
    </row>
    <row r="26" spans="1:8">
      <c r="A26" s="1188" t="s">
        <v>1174</v>
      </c>
      <c r="B26" s="1187"/>
      <c r="C26" s="1187"/>
      <c r="D26" s="1187"/>
      <c r="E26" s="1187"/>
      <c r="F26" s="1187"/>
      <c r="G26" s="1187"/>
      <c r="H26" s="1187"/>
    </row>
    <row r="27" spans="1:8">
      <c r="A27" s="1187"/>
      <c r="B27" s="1187"/>
      <c r="C27" s="1187"/>
      <c r="D27" s="1187"/>
      <c r="E27" s="1187"/>
      <c r="F27" s="1187"/>
      <c r="G27" s="1187"/>
      <c r="H27" s="1187"/>
    </row>
    <row r="28" spans="1:8">
      <c r="A28" s="1187"/>
      <c r="B28" s="1187"/>
      <c r="C28" s="1187"/>
      <c r="D28" s="1187"/>
      <c r="E28" s="1187"/>
      <c r="F28" s="1187"/>
      <c r="G28" s="1187"/>
      <c r="H28" s="1187"/>
    </row>
    <row r="29" spans="1:8">
      <c r="A29" s="1188" t="s">
        <v>1166</v>
      </c>
      <c r="B29" s="1187"/>
      <c r="C29" s="1187"/>
      <c r="D29" s="1187"/>
      <c r="E29" s="1187"/>
      <c r="F29" s="1187"/>
      <c r="G29" s="1187"/>
      <c r="H29" s="1187"/>
    </row>
    <row r="30" spans="1:8">
      <c r="A30" s="1188" t="s">
        <v>1167</v>
      </c>
      <c r="B30" s="1187"/>
      <c r="C30" s="1187"/>
      <c r="D30" s="1187"/>
      <c r="E30" s="1187"/>
      <c r="F30" s="1187"/>
      <c r="G30" s="1187"/>
      <c r="H30" s="1187"/>
    </row>
    <row r="31" spans="1:8">
      <c r="A31" s="1188" t="s">
        <v>1168</v>
      </c>
      <c r="B31" s="1187"/>
      <c r="C31" s="1187"/>
      <c r="D31" s="1187"/>
      <c r="E31" s="1187"/>
      <c r="F31" s="1187"/>
      <c r="G31" s="1187"/>
      <c r="H31" s="1187"/>
    </row>
    <row r="32" spans="1:8">
      <c r="A32" s="1188" t="s">
        <v>1169</v>
      </c>
      <c r="B32" s="1187"/>
      <c r="C32" s="1187"/>
      <c r="D32" s="1187"/>
      <c r="E32" s="1187"/>
      <c r="F32" s="1187"/>
      <c r="G32" s="1187"/>
      <c r="H32" s="1187"/>
    </row>
    <row r="33" spans="1:8">
      <c r="A33" s="1188" t="s">
        <v>1170</v>
      </c>
      <c r="B33" s="1187"/>
      <c r="C33" s="1187"/>
      <c r="D33" s="1187"/>
      <c r="E33" s="1187"/>
      <c r="F33" s="1187"/>
      <c r="G33" s="1187"/>
      <c r="H33" s="1187"/>
    </row>
    <row r="34" spans="1:8">
      <c r="A34" s="1187"/>
      <c r="B34" s="1187"/>
      <c r="C34" s="1187"/>
      <c r="D34" s="1187"/>
      <c r="E34" s="1187"/>
      <c r="F34" s="1187"/>
      <c r="G34" s="1187"/>
      <c r="H34" s="1187"/>
    </row>
    <row r="35" spans="1:8">
      <c r="A35" s="1188" t="s">
        <v>1162</v>
      </c>
      <c r="B35" s="1187"/>
      <c r="C35" s="1187"/>
      <c r="D35" s="1187"/>
      <c r="E35" s="1187"/>
      <c r="F35" s="1187"/>
      <c r="G35" s="1187"/>
      <c r="H35" s="1187"/>
    </row>
    <row r="36" spans="1:8">
      <c r="A36" s="1188" t="s">
        <v>1163</v>
      </c>
      <c r="B36" s="1187"/>
      <c r="C36" s="1187"/>
      <c r="D36" s="1187"/>
      <c r="E36" s="1187"/>
      <c r="F36" s="1187"/>
      <c r="G36" s="1187"/>
      <c r="H36" s="1187"/>
    </row>
    <row r="37" spans="1:8">
      <c r="A37" s="1188" t="s">
        <v>1164</v>
      </c>
      <c r="B37" s="1187"/>
      <c r="C37" s="1187"/>
      <c r="D37" s="1187"/>
      <c r="E37" s="1187"/>
      <c r="F37" s="1187"/>
      <c r="G37" s="1187"/>
      <c r="H37" s="1187"/>
    </row>
    <row r="38" spans="1:8">
      <c r="A38" s="1188" t="s">
        <v>1165</v>
      </c>
      <c r="B38" s="1187"/>
      <c r="C38" s="1187"/>
      <c r="D38" s="1187"/>
      <c r="E38" s="1187"/>
      <c r="F38" s="1187"/>
      <c r="G38" s="1187"/>
      <c r="H38" s="1187"/>
    </row>
    <row r="39" spans="1:8">
      <c r="A39" s="1187"/>
      <c r="B39" s="1187"/>
      <c r="C39" s="1187"/>
      <c r="D39" s="1187"/>
      <c r="E39" s="1187"/>
      <c r="F39" s="1187"/>
      <c r="G39" s="1187"/>
      <c r="H39" s="1187"/>
    </row>
    <row r="40" spans="1:8">
      <c r="A40" s="1188" t="s">
        <v>1156</v>
      </c>
      <c r="B40" s="1187"/>
      <c r="C40" s="1187"/>
      <c r="D40" s="1187"/>
      <c r="E40" s="1187"/>
      <c r="F40" s="1187"/>
      <c r="G40" s="1187"/>
      <c r="H40" s="1187"/>
    </row>
    <row r="41" spans="1:8">
      <c r="A41" s="1188" t="s">
        <v>1157</v>
      </c>
      <c r="B41" s="1187"/>
      <c r="C41" s="1187"/>
      <c r="D41" s="1187"/>
      <c r="E41" s="1187"/>
      <c r="F41" s="1187"/>
      <c r="G41" s="1187"/>
      <c r="H41" s="1187"/>
    </row>
    <row r="42" spans="1:8">
      <c r="A42" s="1188" t="s">
        <v>1158</v>
      </c>
      <c r="B42" s="1187"/>
      <c r="C42" s="1187"/>
      <c r="D42" s="1187"/>
      <c r="E42" s="1187"/>
      <c r="F42" s="1187"/>
      <c r="G42" s="1187"/>
      <c r="H42" s="1187"/>
    </row>
    <row r="43" spans="1:8">
      <c r="A43" s="1188" t="s">
        <v>1159</v>
      </c>
      <c r="B43" s="1187"/>
      <c r="C43" s="1187"/>
      <c r="D43" s="1187"/>
      <c r="E43" s="1187"/>
      <c r="F43" s="1187"/>
      <c r="G43" s="1187"/>
      <c r="H43" s="1187"/>
    </row>
    <row r="44" spans="1:8">
      <c r="A44" s="1188" t="s">
        <v>1160</v>
      </c>
      <c r="B44" s="1187"/>
      <c r="C44" s="1187"/>
      <c r="D44" s="1187"/>
      <c r="E44" s="1187"/>
      <c r="F44" s="1187"/>
      <c r="G44" s="1187"/>
      <c r="H44" s="1187"/>
    </row>
    <row r="45" spans="1:8">
      <c r="A45" s="1188" t="s">
        <v>1161</v>
      </c>
      <c r="B45" s="1187"/>
      <c r="C45" s="1187"/>
      <c r="D45" s="1187"/>
      <c r="E45" s="1187"/>
      <c r="F45" s="1187"/>
      <c r="G45" s="1187"/>
      <c r="H45" s="1187"/>
    </row>
    <row r="46" spans="1:8">
      <c r="A46" s="1187"/>
      <c r="B46" s="1187"/>
      <c r="C46" s="1187"/>
      <c r="D46" s="1187"/>
      <c r="E46" s="1187"/>
      <c r="F46" s="1187"/>
      <c r="G46" s="1187"/>
      <c r="H46" s="1187"/>
    </row>
    <row r="47" spans="1:8" ht="15.75">
      <c r="A47" s="1189" t="s">
        <v>888</v>
      </c>
      <c r="B47" s="1187"/>
      <c r="C47" s="1187"/>
      <c r="D47" s="1187"/>
      <c r="E47" s="1187"/>
      <c r="F47" s="1187"/>
      <c r="G47" s="1187"/>
      <c r="H47" s="1187"/>
    </row>
    <row r="48" spans="1:8">
      <c r="A48" s="1187"/>
      <c r="B48" s="1187"/>
      <c r="C48" s="1187"/>
      <c r="D48" s="1187"/>
      <c r="E48" s="1187"/>
      <c r="F48" s="1187"/>
      <c r="G48" s="1187"/>
      <c r="H48" s="1187"/>
    </row>
    <row r="49" spans="1:8">
      <c r="A49" s="1188" t="s">
        <v>1152</v>
      </c>
      <c r="B49" s="1187"/>
      <c r="C49" s="1187"/>
      <c r="D49" s="1187"/>
      <c r="E49" s="1187"/>
      <c r="F49" s="1187"/>
      <c r="G49" s="1187"/>
      <c r="H49" s="1187"/>
    </row>
    <row r="50" spans="1:8">
      <c r="A50" s="1188" t="s">
        <v>1153</v>
      </c>
      <c r="B50" s="1187"/>
      <c r="C50" s="1187"/>
      <c r="D50" s="1187"/>
      <c r="E50" s="1187"/>
      <c r="F50" s="1187"/>
      <c r="G50" s="1187"/>
      <c r="H50" s="1187"/>
    </row>
    <row r="51" spans="1:8">
      <c r="A51" s="1188" t="s">
        <v>1154</v>
      </c>
      <c r="B51" s="1187"/>
      <c r="C51" s="1187"/>
      <c r="D51" s="1187"/>
      <c r="E51" s="1187"/>
      <c r="F51" s="1187"/>
      <c r="G51" s="1187"/>
      <c r="H51" s="1187"/>
    </row>
    <row r="52" spans="1:8">
      <c r="A52" s="1188" t="s">
        <v>1155</v>
      </c>
      <c r="B52" s="1187"/>
      <c r="C52" s="1187"/>
      <c r="D52" s="1187"/>
      <c r="E52" s="1187"/>
      <c r="F52" s="1187"/>
      <c r="G52" s="1187"/>
      <c r="H52" s="1187"/>
    </row>
    <row r="53" spans="1:8">
      <c r="A53" s="1187"/>
      <c r="B53" s="1187"/>
      <c r="C53" s="1187"/>
      <c r="D53" s="1187"/>
      <c r="E53" s="1187"/>
      <c r="F53" s="1187"/>
      <c r="G53" s="1187"/>
      <c r="H53" s="1187"/>
    </row>
    <row r="54" spans="1:8">
      <c r="A54" s="1188" t="s">
        <v>889</v>
      </c>
      <c r="B54" s="1187"/>
      <c r="C54" s="1187"/>
      <c r="D54" s="1187"/>
      <c r="E54" s="1187"/>
      <c r="F54" s="1187"/>
      <c r="G54" s="1187"/>
      <c r="H54" s="1187"/>
    </row>
    <row r="55" spans="1:8">
      <c r="A55" s="1187"/>
      <c r="B55" s="1187"/>
      <c r="C55" s="1187"/>
      <c r="D55" s="1187"/>
      <c r="E55" s="1187"/>
      <c r="F55" s="1187"/>
      <c r="G55" s="1187"/>
      <c r="H55" s="1187"/>
    </row>
    <row r="56" spans="1:8" ht="15.75">
      <c r="A56" s="1189" t="s">
        <v>890</v>
      </c>
      <c r="B56" s="1187"/>
      <c r="C56" s="1187"/>
      <c r="D56" s="1187"/>
      <c r="E56" s="1187"/>
      <c r="F56" s="1187"/>
      <c r="G56" s="1187"/>
      <c r="H56" s="1187"/>
    </row>
    <row r="57" spans="1:8">
      <c r="A57" s="1187"/>
      <c r="B57" s="1187"/>
      <c r="C57" s="1187"/>
      <c r="D57" s="1187"/>
      <c r="E57" s="1187"/>
      <c r="F57" s="1187"/>
      <c r="G57" s="1187"/>
      <c r="H57" s="1187"/>
    </row>
    <row r="58" spans="1:8">
      <c r="A58" s="1188" t="s">
        <v>1150</v>
      </c>
      <c r="B58" s="1187"/>
      <c r="C58" s="1187"/>
      <c r="D58" s="1187"/>
      <c r="E58" s="1187"/>
      <c r="F58" s="1187"/>
      <c r="G58" s="1187"/>
      <c r="H58" s="1187"/>
    </row>
    <row r="59" spans="1:8">
      <c r="A59" s="1188" t="s">
        <v>1151</v>
      </c>
      <c r="B59" s="1187"/>
      <c r="C59" s="1187"/>
      <c r="D59" s="1187"/>
      <c r="E59" s="1187"/>
      <c r="F59" s="1187"/>
      <c r="G59" s="1187"/>
      <c r="H59" s="1187"/>
    </row>
    <row r="60" spans="1:8">
      <c r="A60" s="1187"/>
      <c r="B60" s="1187"/>
      <c r="C60" s="1187"/>
      <c r="D60" s="1187"/>
      <c r="E60" s="1187"/>
      <c r="F60" s="1187"/>
      <c r="G60" s="1187"/>
      <c r="H60" s="1187"/>
    </row>
    <row r="61" spans="1:8" ht="15.75">
      <c r="A61" s="1189" t="s">
        <v>891</v>
      </c>
      <c r="B61" s="1187"/>
      <c r="C61" s="1187"/>
      <c r="D61" s="1187"/>
      <c r="E61" s="1187"/>
      <c r="F61" s="1187"/>
      <c r="G61" s="1187"/>
      <c r="H61" s="1187"/>
    </row>
    <row r="62" spans="1:8">
      <c r="A62" s="1187"/>
      <c r="B62" s="1187"/>
      <c r="C62" s="1187"/>
      <c r="D62" s="1187"/>
      <c r="E62" s="1187"/>
      <c r="F62" s="1187"/>
      <c r="G62" s="1187"/>
      <c r="H62" s="1187"/>
    </row>
    <row r="63" spans="1:8">
      <c r="A63" s="1188" t="s">
        <v>1148</v>
      </c>
      <c r="B63" s="1187"/>
      <c r="C63" s="1187"/>
      <c r="D63" s="1187"/>
      <c r="E63" s="1187"/>
      <c r="F63" s="1187"/>
      <c r="G63" s="1187"/>
      <c r="H63" s="1187"/>
    </row>
    <row r="64" spans="1:8">
      <c r="A64" s="1188" t="s">
        <v>1149</v>
      </c>
      <c r="B64" s="1187"/>
      <c r="C64" s="1187"/>
      <c r="D64" s="1187"/>
      <c r="E64" s="1187"/>
      <c r="F64" s="1187"/>
      <c r="G64" s="1187"/>
      <c r="H64" s="1187"/>
    </row>
    <row r="65" spans="1:8">
      <c r="A65" s="1187"/>
      <c r="B65" s="1187"/>
      <c r="C65" s="1187"/>
      <c r="D65" s="1187"/>
      <c r="E65" s="1187"/>
      <c r="F65" s="1187"/>
      <c r="G65" s="1187"/>
      <c r="H65" s="1187"/>
    </row>
    <row r="66" spans="1:8">
      <c r="A66" s="1188" t="s">
        <v>1146</v>
      </c>
      <c r="B66" s="1187"/>
      <c r="C66" s="1187"/>
      <c r="D66" s="1187"/>
      <c r="E66" s="1187"/>
      <c r="F66" s="1187"/>
      <c r="G66" s="1187"/>
      <c r="H66" s="1187"/>
    </row>
    <row r="67" spans="1:8">
      <c r="A67" s="1188" t="s">
        <v>1147</v>
      </c>
      <c r="B67" s="1187"/>
      <c r="C67" s="1187"/>
      <c r="D67" s="1187"/>
      <c r="E67" s="1187"/>
      <c r="F67" s="1187"/>
      <c r="G67" s="1187"/>
      <c r="H67" s="1187"/>
    </row>
    <row r="68" spans="1:8">
      <c r="A68" s="1187"/>
      <c r="B68" s="1187"/>
      <c r="C68" s="1187"/>
      <c r="D68" s="1187"/>
      <c r="E68" s="1187"/>
      <c r="F68" s="1187"/>
      <c r="G68" s="1187"/>
      <c r="H68" s="1187"/>
    </row>
    <row r="69" spans="1:8">
      <c r="A69" s="1188" t="s">
        <v>1144</v>
      </c>
      <c r="B69" s="1187"/>
      <c r="C69" s="1187"/>
      <c r="D69" s="1187"/>
      <c r="E69" s="1187"/>
      <c r="F69" s="1187"/>
      <c r="G69" s="1187"/>
      <c r="H69" s="1187"/>
    </row>
    <row r="70" spans="1:8">
      <c r="A70" s="1188" t="s">
        <v>1145</v>
      </c>
      <c r="B70" s="1187"/>
      <c r="C70" s="1187"/>
      <c r="D70" s="1187"/>
      <c r="E70" s="1187"/>
      <c r="F70" s="1187"/>
      <c r="G70" s="1187"/>
      <c r="H70" s="1187"/>
    </row>
    <row r="71" spans="1:8">
      <c r="A71" s="1187"/>
      <c r="B71" s="1187"/>
      <c r="C71" s="1187"/>
      <c r="D71" s="1187"/>
      <c r="E71" s="1187"/>
      <c r="F71" s="1187"/>
      <c r="G71" s="1187"/>
      <c r="H71" s="1187"/>
    </row>
    <row r="72" spans="1:8">
      <c r="A72" s="1188" t="s">
        <v>1142</v>
      </c>
      <c r="B72" s="1187"/>
      <c r="C72" s="1187"/>
      <c r="D72" s="1187"/>
      <c r="E72" s="1187"/>
      <c r="F72" s="1187"/>
      <c r="G72" s="1187"/>
      <c r="H72" s="1187"/>
    </row>
    <row r="73" spans="1:8">
      <c r="A73" s="1188" t="s">
        <v>1143</v>
      </c>
      <c r="B73" s="1187"/>
      <c r="C73" s="1187"/>
      <c r="D73" s="1187"/>
      <c r="E73" s="1187"/>
      <c r="F73" s="1187"/>
      <c r="G73" s="1187"/>
      <c r="H73" s="1187"/>
    </row>
    <row r="74" spans="1:8">
      <c r="A74" s="1187"/>
      <c r="B74" s="1187"/>
      <c r="C74" s="1187"/>
      <c r="D74" s="1187"/>
      <c r="E74" s="1187"/>
      <c r="F74" s="1187"/>
      <c r="G74" s="1187"/>
      <c r="H74" s="1187"/>
    </row>
    <row r="75" spans="1:8">
      <c r="A75" s="1188" t="s">
        <v>1140</v>
      </c>
      <c r="B75" s="1187"/>
      <c r="C75" s="1187"/>
      <c r="D75" s="1187"/>
      <c r="E75" s="1187"/>
      <c r="F75" s="1187"/>
      <c r="G75" s="1187"/>
      <c r="H75" s="1187"/>
    </row>
    <row r="76" spans="1:8">
      <c r="A76" s="1188" t="s">
        <v>1141</v>
      </c>
      <c r="B76" s="1187"/>
      <c r="C76" s="1187"/>
      <c r="D76" s="1187"/>
      <c r="E76" s="1187"/>
      <c r="F76" s="1187"/>
      <c r="G76" s="1187"/>
      <c r="H76" s="1187"/>
    </row>
    <row r="77" spans="1:8">
      <c r="A77" s="1187"/>
      <c r="B77" s="1187"/>
      <c r="C77" s="1187"/>
      <c r="D77" s="1187"/>
      <c r="E77" s="1187"/>
      <c r="F77" s="1187"/>
      <c r="G77" s="1187"/>
      <c r="H77" s="1187"/>
    </row>
    <row r="78" spans="1:8">
      <c r="A78" s="1188" t="s">
        <v>1137</v>
      </c>
      <c r="B78" s="1187"/>
      <c r="C78" s="1187"/>
      <c r="D78" s="1187"/>
      <c r="E78" s="1187"/>
      <c r="F78" s="1187"/>
      <c r="G78" s="1187"/>
      <c r="H78" s="1187"/>
    </row>
    <row r="79" spans="1:8">
      <c r="A79" s="1188" t="s">
        <v>1138</v>
      </c>
      <c r="B79" s="1187"/>
      <c r="C79" s="1187"/>
      <c r="D79" s="1187"/>
      <c r="E79" s="1187"/>
      <c r="F79" s="1187"/>
      <c r="G79" s="1187"/>
      <c r="H79" s="1187"/>
    </row>
    <row r="80" spans="1:8">
      <c r="A80" s="1188" t="s">
        <v>1139</v>
      </c>
      <c r="B80" s="1187"/>
      <c r="C80" s="1187"/>
      <c r="D80" s="1187"/>
      <c r="E80" s="1187"/>
      <c r="F80" s="1187"/>
      <c r="G80" s="1187"/>
      <c r="H80" s="1187"/>
    </row>
    <row r="81" spans="1:8">
      <c r="A81" s="1187"/>
      <c r="B81" s="1187"/>
      <c r="C81" s="1187"/>
      <c r="D81" s="1187"/>
      <c r="E81" s="1187"/>
      <c r="F81" s="1187"/>
      <c r="G81" s="1187"/>
      <c r="H81" s="1187"/>
    </row>
    <row r="82" spans="1:8">
      <c r="A82" s="1188" t="s">
        <v>892</v>
      </c>
      <c r="B82" s="1187"/>
      <c r="C82" s="1187"/>
      <c r="D82" s="1187"/>
      <c r="E82" s="1187"/>
      <c r="F82" s="1187"/>
      <c r="G82" s="1187"/>
      <c r="H82" s="1187"/>
    </row>
    <row r="83" spans="1:8">
      <c r="A83" s="1187"/>
      <c r="B83" s="1187"/>
      <c r="C83" s="1187"/>
      <c r="D83" s="1187"/>
      <c r="E83" s="1187"/>
      <c r="F83" s="1187"/>
      <c r="G83" s="1187"/>
      <c r="H83" s="1187"/>
    </row>
    <row r="84" spans="1:8">
      <c r="A84" s="1188" t="s">
        <v>1132</v>
      </c>
      <c r="B84" s="1187"/>
      <c r="C84" s="1187"/>
      <c r="D84" s="1187"/>
      <c r="E84" s="1187"/>
      <c r="F84" s="1187"/>
      <c r="G84" s="1187"/>
      <c r="H84" s="1187"/>
    </row>
    <row r="85" spans="1:8">
      <c r="A85" s="1188" t="s">
        <v>1133</v>
      </c>
      <c r="B85" s="1187"/>
      <c r="C85" s="1187"/>
      <c r="D85" s="1187"/>
      <c r="E85" s="1187"/>
      <c r="F85" s="1187"/>
      <c r="G85" s="1187"/>
      <c r="H85" s="1187"/>
    </row>
    <row r="86" spans="1:8">
      <c r="A86" s="1188" t="s">
        <v>1134</v>
      </c>
      <c r="B86" s="1187"/>
      <c r="C86" s="1187"/>
      <c r="D86" s="1187"/>
      <c r="E86" s="1187"/>
      <c r="F86" s="1187"/>
      <c r="G86" s="1187"/>
      <c r="H86" s="1187"/>
    </row>
    <row r="87" spans="1:8">
      <c r="A87" s="1188" t="s">
        <v>1135</v>
      </c>
      <c r="B87" s="1187"/>
      <c r="C87" s="1187"/>
      <c r="D87" s="1187"/>
      <c r="E87" s="1187"/>
      <c r="F87" s="1187"/>
      <c r="G87" s="1187"/>
      <c r="H87" s="1187"/>
    </row>
    <row r="88" spans="1:8">
      <c r="A88" s="1188" t="s">
        <v>1136</v>
      </c>
      <c r="B88" s="1187"/>
      <c r="C88" s="1187"/>
      <c r="D88" s="1187"/>
      <c r="E88" s="1187"/>
      <c r="F88" s="1187"/>
      <c r="G88" s="1187"/>
      <c r="H88" s="1187"/>
    </row>
    <row r="89" spans="1:8">
      <c r="A89" s="1188" t="s">
        <v>1019</v>
      </c>
      <c r="B89" s="1187"/>
      <c r="C89" s="1187"/>
      <c r="D89" s="1187"/>
      <c r="E89" s="1187"/>
      <c r="F89" s="1187"/>
      <c r="G89" s="1187"/>
      <c r="H89" s="1187"/>
    </row>
    <row r="90" spans="1:8">
      <c r="A90" s="1187"/>
      <c r="B90" s="1187"/>
      <c r="C90" s="1187"/>
      <c r="D90" s="1187"/>
      <c r="E90" s="1187"/>
      <c r="F90" s="1187"/>
      <c r="G90" s="1187"/>
      <c r="H90" s="1187"/>
    </row>
    <row r="91" spans="1:8">
      <c r="A91" s="1188" t="s">
        <v>1125</v>
      </c>
      <c r="B91" s="1187"/>
      <c r="C91" s="1187"/>
      <c r="D91" s="1187"/>
      <c r="E91" s="1187"/>
      <c r="F91" s="1187"/>
      <c r="G91" s="1187"/>
      <c r="H91" s="1187"/>
    </row>
    <row r="92" spans="1:8">
      <c r="A92" s="1188" t="s">
        <v>1126</v>
      </c>
      <c r="B92" s="1187"/>
      <c r="C92" s="1187"/>
      <c r="D92" s="1187"/>
      <c r="E92" s="1187"/>
      <c r="F92" s="1187"/>
      <c r="G92" s="1187"/>
      <c r="H92" s="1187"/>
    </row>
    <row r="93" spans="1:8">
      <c r="A93" s="1188" t="s">
        <v>1127</v>
      </c>
      <c r="B93" s="1187"/>
      <c r="C93" s="1187"/>
      <c r="D93" s="1187"/>
      <c r="E93" s="1187"/>
      <c r="F93" s="1187"/>
      <c r="G93" s="1187"/>
      <c r="H93" s="1187"/>
    </row>
    <row r="94" spans="1:8">
      <c r="A94" s="1188" t="s">
        <v>1128</v>
      </c>
      <c r="B94" s="1187"/>
      <c r="C94" s="1187"/>
      <c r="D94" s="1187"/>
      <c r="E94" s="1187"/>
      <c r="F94" s="1187"/>
      <c r="G94" s="1187"/>
      <c r="H94" s="1187"/>
    </row>
    <row r="95" spans="1:8">
      <c r="A95" s="1188" t="s">
        <v>1129</v>
      </c>
      <c r="B95" s="1187"/>
      <c r="C95" s="1187"/>
      <c r="D95" s="1187"/>
      <c r="E95" s="1187"/>
      <c r="F95" s="1187"/>
      <c r="G95" s="1187"/>
      <c r="H95" s="1187"/>
    </row>
    <row r="96" spans="1:8">
      <c r="A96" s="1188" t="s">
        <v>1130</v>
      </c>
      <c r="B96" s="1187"/>
      <c r="C96" s="1187"/>
      <c r="D96" s="1187"/>
      <c r="E96" s="1187"/>
      <c r="F96" s="1187"/>
      <c r="G96" s="1187"/>
      <c r="H96" s="1187"/>
    </row>
    <row r="97" spans="1:8">
      <c r="A97" s="1188" t="s">
        <v>1131</v>
      </c>
      <c r="B97" s="1187"/>
      <c r="C97" s="1187"/>
      <c r="D97" s="1187"/>
      <c r="E97" s="1187"/>
      <c r="F97" s="1187"/>
      <c r="G97" s="1187"/>
      <c r="H97" s="1187"/>
    </row>
    <row r="98" spans="1:8">
      <c r="A98" s="1187"/>
      <c r="B98" s="1187"/>
      <c r="C98" s="1187"/>
      <c r="D98" s="1187"/>
      <c r="E98" s="1187"/>
      <c r="F98" s="1187"/>
      <c r="G98" s="1187"/>
      <c r="H98" s="1187"/>
    </row>
    <row r="99" spans="1:8">
      <c r="A99" s="1188" t="s">
        <v>1123</v>
      </c>
      <c r="B99" s="1187"/>
      <c r="C99" s="1187"/>
      <c r="D99" s="1187"/>
      <c r="E99" s="1187"/>
      <c r="F99" s="1187"/>
      <c r="G99" s="1187"/>
      <c r="H99" s="1187"/>
    </row>
    <row r="100" spans="1:8">
      <c r="A100" s="1188" t="s">
        <v>1124</v>
      </c>
      <c r="B100" s="1187"/>
      <c r="C100" s="1187"/>
      <c r="D100" s="1187"/>
      <c r="E100" s="1187"/>
      <c r="F100" s="1187"/>
      <c r="G100" s="1187"/>
      <c r="H100" s="1187"/>
    </row>
    <row r="101" spans="1:8">
      <c r="A101" s="1187"/>
      <c r="B101" s="1187"/>
      <c r="C101" s="1187"/>
      <c r="D101" s="1187"/>
      <c r="E101" s="1187"/>
      <c r="F101" s="1187"/>
      <c r="G101" s="1187"/>
      <c r="H101" s="1187"/>
    </row>
    <row r="102" spans="1:8" ht="15.75">
      <c r="A102" s="1189" t="s">
        <v>893</v>
      </c>
      <c r="B102" s="1187"/>
      <c r="C102" s="1187"/>
      <c r="D102" s="1187"/>
      <c r="E102" s="1187"/>
      <c r="F102" s="1187"/>
      <c r="G102" s="1187"/>
      <c r="H102" s="1187"/>
    </row>
    <row r="103" spans="1:8">
      <c r="A103" s="1187"/>
      <c r="B103" s="1187"/>
      <c r="C103" s="1187"/>
      <c r="D103" s="1187"/>
      <c r="E103" s="1187"/>
      <c r="F103" s="1187"/>
      <c r="G103" s="1187"/>
      <c r="H103" s="1187"/>
    </row>
    <row r="104" spans="1:8">
      <c r="A104" s="1188" t="s">
        <v>1114</v>
      </c>
      <c r="B104" s="1187"/>
      <c r="C104" s="1187"/>
      <c r="D104" s="1187"/>
      <c r="E104" s="1187"/>
      <c r="F104" s="1187"/>
      <c r="G104" s="1187"/>
      <c r="H104" s="1187"/>
    </row>
    <row r="105" spans="1:8">
      <c r="A105" s="1188" t="s">
        <v>1115</v>
      </c>
      <c r="B105" s="1187"/>
      <c r="C105" s="1187"/>
      <c r="D105" s="1187"/>
      <c r="E105" s="1187"/>
      <c r="F105" s="1187"/>
      <c r="G105" s="1187"/>
      <c r="H105" s="1187"/>
    </row>
    <row r="106" spans="1:8">
      <c r="A106" s="1188" t="s">
        <v>1116</v>
      </c>
      <c r="B106" s="1187"/>
      <c r="C106" s="1187"/>
      <c r="D106" s="1187"/>
      <c r="E106" s="1187"/>
      <c r="F106" s="1187"/>
      <c r="G106" s="1187"/>
      <c r="H106" s="1187"/>
    </row>
    <row r="107" spans="1:8">
      <c r="A107" s="1188" t="s">
        <v>1117</v>
      </c>
      <c r="B107" s="1187"/>
      <c r="C107" s="1187"/>
      <c r="D107" s="1187"/>
      <c r="E107" s="1187"/>
      <c r="F107" s="1187"/>
      <c r="G107" s="1187"/>
      <c r="H107" s="1187"/>
    </row>
    <row r="108" spans="1:8">
      <c r="A108" s="1188" t="s">
        <v>1118</v>
      </c>
      <c r="B108" s="1187"/>
      <c r="C108" s="1187"/>
      <c r="D108" s="1187"/>
      <c r="E108" s="1187"/>
      <c r="F108" s="1187"/>
      <c r="G108" s="1187"/>
      <c r="H108" s="1187"/>
    </row>
    <row r="109" spans="1:8">
      <c r="A109" s="1188" t="s">
        <v>1119</v>
      </c>
      <c r="B109" s="1187"/>
      <c r="C109" s="1187"/>
      <c r="D109" s="1187"/>
      <c r="E109" s="1187"/>
      <c r="F109" s="1187"/>
      <c r="G109" s="1187"/>
      <c r="H109" s="1187"/>
    </row>
    <row r="110" spans="1:8">
      <c r="A110" s="1188" t="s">
        <v>1120</v>
      </c>
      <c r="B110" s="1187"/>
      <c r="C110" s="1187"/>
      <c r="D110" s="1187"/>
      <c r="E110" s="1187"/>
      <c r="F110" s="1187"/>
      <c r="G110" s="1187"/>
      <c r="H110" s="1187"/>
    </row>
    <row r="111" spans="1:8">
      <c r="A111" s="1188" t="s">
        <v>1121</v>
      </c>
      <c r="B111" s="1187"/>
      <c r="C111" s="1187"/>
      <c r="D111" s="1187"/>
      <c r="E111" s="1187"/>
      <c r="F111" s="1187"/>
      <c r="G111" s="1187"/>
      <c r="H111" s="1187"/>
    </row>
    <row r="112" spans="1:8">
      <c r="A112" s="1188" t="s">
        <v>1122</v>
      </c>
      <c r="B112" s="1187"/>
      <c r="C112" s="1187"/>
      <c r="D112" s="1187"/>
      <c r="E112" s="1187"/>
      <c r="F112" s="1187"/>
      <c r="G112" s="1187"/>
      <c r="H112" s="1187"/>
    </row>
    <row r="113" spans="1:8">
      <c r="A113" s="1187"/>
      <c r="B113" s="1187"/>
      <c r="C113" s="1187"/>
      <c r="D113" s="1187"/>
      <c r="E113" s="1187"/>
      <c r="F113" s="1187"/>
      <c r="G113" s="1187"/>
      <c r="H113" s="1187"/>
    </row>
    <row r="114" spans="1:8" ht="15.75">
      <c r="A114" s="1190" t="s">
        <v>894</v>
      </c>
      <c r="B114" s="1190"/>
      <c r="C114" s="1190"/>
      <c r="D114" s="1190"/>
      <c r="E114" s="1190"/>
      <c r="F114" s="1190"/>
      <c r="G114" s="1190"/>
      <c r="H114" s="1190"/>
    </row>
    <row r="115" spans="1:8">
      <c r="A115" s="1191" t="s">
        <v>895</v>
      </c>
      <c r="B115" s="1191"/>
      <c r="C115" s="1191"/>
      <c r="D115" s="1191"/>
      <c r="E115" s="1191"/>
      <c r="F115" s="1191"/>
      <c r="G115" s="1191"/>
      <c r="H115" s="1191"/>
    </row>
    <row r="116" spans="1:8">
      <c r="A116" s="1192"/>
      <c r="B116" s="1192"/>
      <c r="C116" s="1192"/>
      <c r="D116" s="1192"/>
      <c r="E116" s="1192"/>
      <c r="F116" s="1192"/>
      <c r="G116" s="1192"/>
      <c r="H116" s="1192"/>
    </row>
    <row r="117" spans="1:8">
      <c r="A117" s="1191" t="s">
        <v>1112</v>
      </c>
      <c r="B117" s="1191"/>
      <c r="C117" s="1191"/>
      <c r="D117" s="1191"/>
      <c r="E117" s="1191"/>
      <c r="F117" s="1191"/>
      <c r="G117" s="1191"/>
      <c r="H117" s="1191"/>
    </row>
    <row r="118" spans="1:8">
      <c r="A118" s="1188" t="s">
        <v>1113</v>
      </c>
      <c r="B118" s="1188"/>
      <c r="C118" s="1188"/>
      <c r="D118" s="1188"/>
      <c r="E118" s="1188"/>
      <c r="F118" s="1188"/>
      <c r="G118" s="1188"/>
      <c r="H118" s="1188"/>
    </row>
    <row r="119" spans="1:8">
      <c r="A119" s="1192"/>
      <c r="B119" s="1192"/>
      <c r="C119" s="1192"/>
      <c r="D119" s="1192"/>
      <c r="E119" s="1192"/>
      <c r="F119" s="1192"/>
      <c r="G119" s="1192"/>
      <c r="H119" s="1192"/>
    </row>
    <row r="120" spans="1:8">
      <c r="A120" s="1191" t="s">
        <v>1105</v>
      </c>
      <c r="B120" s="1191"/>
      <c r="C120" s="1191"/>
      <c r="D120" s="1191"/>
      <c r="E120" s="1191"/>
      <c r="F120" s="1191"/>
      <c r="G120" s="1191"/>
      <c r="H120" s="1191"/>
    </row>
    <row r="121" spans="1:8">
      <c r="A121" s="1188" t="s">
        <v>1106</v>
      </c>
      <c r="B121" s="1188"/>
      <c r="C121" s="1188"/>
      <c r="D121" s="1188"/>
      <c r="E121" s="1188"/>
      <c r="F121" s="1188"/>
      <c r="G121" s="1188"/>
      <c r="H121" s="1188"/>
    </row>
    <row r="122" spans="1:8">
      <c r="A122" s="1188" t="s">
        <v>1107</v>
      </c>
      <c r="B122" s="1188"/>
      <c r="C122" s="1188"/>
      <c r="D122" s="1188"/>
      <c r="E122" s="1188"/>
      <c r="F122" s="1188"/>
      <c r="G122" s="1188"/>
      <c r="H122" s="1188"/>
    </row>
    <row r="123" spans="1:8">
      <c r="A123" s="1188" t="s">
        <v>1108</v>
      </c>
      <c r="B123" s="1188"/>
      <c r="C123" s="1188"/>
      <c r="D123" s="1188"/>
      <c r="E123" s="1188"/>
      <c r="F123" s="1188"/>
      <c r="G123" s="1188"/>
      <c r="H123" s="1188"/>
    </row>
    <row r="124" spans="1:8">
      <c r="A124" s="1188" t="s">
        <v>1109</v>
      </c>
      <c r="B124" s="1188"/>
      <c r="C124" s="1188"/>
      <c r="D124" s="1188"/>
      <c r="E124" s="1188"/>
      <c r="F124" s="1188"/>
      <c r="G124" s="1188"/>
      <c r="H124" s="1188"/>
    </row>
    <row r="125" spans="1:8">
      <c r="A125" s="1188" t="s">
        <v>1110</v>
      </c>
      <c r="B125" s="1188"/>
      <c r="C125" s="1188"/>
      <c r="D125" s="1188"/>
      <c r="E125" s="1188"/>
      <c r="F125" s="1188"/>
      <c r="G125" s="1188"/>
      <c r="H125" s="1188"/>
    </row>
    <row r="126" spans="1:8">
      <c r="A126" s="1188" t="s">
        <v>1111</v>
      </c>
      <c r="B126" s="1188"/>
      <c r="C126" s="1188"/>
      <c r="D126" s="1188"/>
      <c r="E126" s="1188"/>
      <c r="F126" s="1188"/>
      <c r="G126" s="1188"/>
      <c r="H126" s="1188"/>
    </row>
    <row r="127" spans="1:8">
      <c r="A127" s="1193"/>
      <c r="B127" s="1193"/>
      <c r="C127" s="1193"/>
      <c r="D127" s="1193"/>
      <c r="E127" s="1193"/>
      <c r="F127" s="1193"/>
      <c r="G127" s="1193"/>
      <c r="H127" s="1193"/>
    </row>
    <row r="128" spans="1:8">
      <c r="A128" s="1194"/>
      <c r="B128" s="1195" t="s">
        <v>896</v>
      </c>
      <c r="C128" s="1196"/>
      <c r="D128" s="1195" t="s">
        <v>897</v>
      </c>
      <c r="E128" s="1197"/>
      <c r="F128" s="1196"/>
      <c r="G128" s="1195" t="s">
        <v>898</v>
      </c>
      <c r="H128" s="1196"/>
    </row>
    <row r="129" spans="1:8">
      <c r="A129" s="1194" t="s">
        <v>899</v>
      </c>
      <c r="B129" s="1194" t="s">
        <v>286</v>
      </c>
      <c r="C129" s="1194" t="s">
        <v>900</v>
      </c>
      <c r="D129" s="1194" t="s">
        <v>286</v>
      </c>
      <c r="E129" s="1194" t="s">
        <v>901</v>
      </c>
      <c r="F129" s="1194" t="s">
        <v>902</v>
      </c>
      <c r="G129" s="1194" t="s">
        <v>286</v>
      </c>
      <c r="H129" s="1194" t="s">
        <v>903</v>
      </c>
    </row>
    <row r="130" spans="1:8">
      <c r="A130" s="1194" t="s">
        <v>904</v>
      </c>
      <c r="B130" s="1194">
        <v>1189</v>
      </c>
      <c r="C130" s="1198">
        <v>0.38</v>
      </c>
      <c r="D130" s="1194">
        <v>315</v>
      </c>
      <c r="E130" s="1198">
        <v>0.41</v>
      </c>
      <c r="F130" s="1198">
        <v>0.26</v>
      </c>
      <c r="G130" s="1194">
        <v>555</v>
      </c>
      <c r="H130" s="1198">
        <v>0.39</v>
      </c>
    </row>
    <row r="131" spans="1:8">
      <c r="A131" s="1194" t="s">
        <v>905</v>
      </c>
      <c r="B131" s="1194">
        <v>1355</v>
      </c>
      <c r="C131" s="1198">
        <v>0.43</v>
      </c>
      <c r="D131" s="1194">
        <v>364</v>
      </c>
      <c r="E131" s="1198">
        <v>0.47</v>
      </c>
      <c r="F131" s="1198">
        <v>0.27</v>
      </c>
      <c r="G131" s="1194">
        <v>644</v>
      </c>
      <c r="H131" s="1198">
        <v>0.45</v>
      </c>
    </row>
    <row r="132" spans="1:8">
      <c r="A132" s="1194" t="s">
        <v>906</v>
      </c>
      <c r="B132" s="1194">
        <v>53</v>
      </c>
      <c r="C132" s="1198">
        <v>0.02</v>
      </c>
      <c r="D132" s="1194">
        <v>4</v>
      </c>
      <c r="E132" s="1198">
        <v>0.01</v>
      </c>
      <c r="F132" s="1198">
        <v>0.08</v>
      </c>
      <c r="G132" s="1194">
        <v>7</v>
      </c>
      <c r="H132" s="1198">
        <v>0</v>
      </c>
    </row>
    <row r="133" spans="1:8">
      <c r="A133" s="1194" t="s">
        <v>907</v>
      </c>
      <c r="B133" s="1194">
        <v>545</v>
      </c>
      <c r="C133" s="1198">
        <v>0.17</v>
      </c>
      <c r="D133" s="1194">
        <v>84</v>
      </c>
      <c r="E133" s="1198">
        <v>0.11</v>
      </c>
      <c r="F133" s="1198">
        <v>0.15</v>
      </c>
      <c r="G133" s="1194">
        <v>214</v>
      </c>
      <c r="H133" s="1198">
        <v>0.15</v>
      </c>
    </row>
    <row r="134" spans="1:8">
      <c r="A134" s="1194" t="s">
        <v>908</v>
      </c>
      <c r="B134" s="1199">
        <v>3142</v>
      </c>
      <c r="C134" s="1194"/>
      <c r="D134" s="1194">
        <v>767</v>
      </c>
      <c r="E134" s="1194"/>
      <c r="F134" s="1194"/>
      <c r="G134" s="1194">
        <v>1420</v>
      </c>
      <c r="H134" s="1194"/>
    </row>
    <row r="135" spans="1:8">
      <c r="A135" s="1200"/>
      <c r="B135" s="1200"/>
      <c r="C135" s="1200"/>
      <c r="D135" s="1200"/>
      <c r="E135" s="1200"/>
      <c r="F135" s="1200"/>
      <c r="G135" s="1200"/>
      <c r="H135" s="1200"/>
    </row>
    <row r="136" spans="1:8">
      <c r="A136" s="1191" t="s">
        <v>1101</v>
      </c>
      <c r="B136" s="1191"/>
      <c r="C136" s="1191"/>
      <c r="D136" s="1191"/>
      <c r="E136" s="1191"/>
      <c r="F136" s="1191"/>
      <c r="G136" s="1191"/>
      <c r="H136" s="1191"/>
    </row>
    <row r="137" spans="1:8">
      <c r="A137" s="1188" t="s">
        <v>1102</v>
      </c>
      <c r="B137" s="1188"/>
      <c r="C137" s="1188"/>
      <c r="D137" s="1188"/>
      <c r="E137" s="1188"/>
      <c r="F137" s="1188"/>
      <c r="G137" s="1188"/>
      <c r="H137" s="1188"/>
    </row>
    <row r="138" spans="1:8">
      <c r="A138" s="1188" t="s">
        <v>1103</v>
      </c>
      <c r="B138" s="1188"/>
      <c r="C138" s="1188"/>
      <c r="D138" s="1188"/>
      <c r="E138" s="1188"/>
      <c r="F138" s="1188"/>
      <c r="G138" s="1188"/>
      <c r="H138" s="1188"/>
    </row>
    <row r="139" spans="1:8">
      <c r="A139" s="1188" t="s">
        <v>1104</v>
      </c>
      <c r="B139" s="1188"/>
      <c r="C139" s="1188"/>
      <c r="D139" s="1188"/>
      <c r="E139" s="1188"/>
      <c r="F139" s="1188"/>
      <c r="G139" s="1188"/>
      <c r="H139" s="1188"/>
    </row>
    <row r="140" spans="1:8">
      <c r="A140" s="1187"/>
      <c r="B140" s="1187"/>
      <c r="C140" s="1187"/>
      <c r="D140" s="1187"/>
      <c r="E140" s="1187"/>
      <c r="F140" s="1187"/>
      <c r="G140" s="1187"/>
      <c r="H140" s="1187"/>
    </row>
    <row r="141" spans="1:8" ht="15.75">
      <c r="A141" s="1189" t="s">
        <v>909</v>
      </c>
      <c r="B141" s="1187"/>
      <c r="C141" s="1187"/>
      <c r="D141" s="1187"/>
      <c r="E141" s="1187"/>
      <c r="F141" s="1187"/>
      <c r="G141" s="1187"/>
      <c r="H141" s="1187"/>
    </row>
    <row r="142" spans="1:8">
      <c r="A142" s="1187"/>
      <c r="B142" s="1187"/>
      <c r="C142" s="1187"/>
      <c r="D142" s="1187"/>
      <c r="E142" s="1187"/>
      <c r="F142" s="1187"/>
      <c r="G142" s="1187"/>
      <c r="H142" s="1187"/>
    </row>
    <row r="143" spans="1:8">
      <c r="A143" s="1188" t="s">
        <v>1099</v>
      </c>
      <c r="B143" s="1187"/>
      <c r="C143" s="1187"/>
      <c r="D143" s="1187"/>
      <c r="E143" s="1187"/>
      <c r="F143" s="1187"/>
      <c r="G143" s="1187"/>
      <c r="H143" s="1187"/>
    </row>
    <row r="144" spans="1:8">
      <c r="A144" s="1188" t="s">
        <v>1100</v>
      </c>
      <c r="B144" s="1187"/>
      <c r="C144" s="1187"/>
      <c r="D144" s="1187"/>
      <c r="E144" s="1187"/>
      <c r="F144" s="1187"/>
      <c r="G144" s="1187"/>
      <c r="H144" s="1187"/>
    </row>
    <row r="145" spans="1:8">
      <c r="A145" s="1187"/>
      <c r="B145" s="1187"/>
      <c r="C145" s="1187"/>
      <c r="D145" s="1187"/>
      <c r="E145" s="1187"/>
      <c r="F145" s="1187"/>
      <c r="G145" s="1187"/>
      <c r="H145" s="1187"/>
    </row>
    <row r="146" spans="1:8">
      <c r="A146" s="1188" t="s">
        <v>1096</v>
      </c>
      <c r="B146" s="1187"/>
      <c r="C146" s="1187"/>
      <c r="D146" s="1187"/>
      <c r="E146" s="1187"/>
      <c r="F146" s="1187"/>
      <c r="G146" s="1187"/>
      <c r="H146" s="1187"/>
    </row>
    <row r="147" spans="1:8">
      <c r="A147" s="1188" t="s">
        <v>1097</v>
      </c>
      <c r="B147" s="1187"/>
      <c r="C147" s="1187"/>
      <c r="D147" s="1187"/>
      <c r="E147" s="1187"/>
      <c r="F147" s="1187"/>
      <c r="G147" s="1187"/>
      <c r="H147" s="1187"/>
    </row>
    <row r="148" spans="1:8">
      <c r="A148" s="1188" t="s">
        <v>1098</v>
      </c>
      <c r="B148" s="1187"/>
      <c r="C148" s="1187"/>
      <c r="D148" s="1187"/>
      <c r="E148" s="1187"/>
      <c r="F148" s="1187"/>
      <c r="G148" s="1187"/>
      <c r="H148" s="1187"/>
    </row>
    <row r="149" spans="1:8">
      <c r="A149" s="1187"/>
      <c r="B149" s="1187"/>
      <c r="C149" s="1187"/>
      <c r="D149" s="1187"/>
      <c r="E149" s="1187"/>
      <c r="F149" s="1187"/>
      <c r="G149" s="1187"/>
      <c r="H149" s="1187"/>
    </row>
    <row r="150" spans="1:8">
      <c r="A150" s="1188" t="s">
        <v>1093</v>
      </c>
      <c r="B150" s="1187"/>
      <c r="C150" s="1187"/>
      <c r="D150" s="1187"/>
      <c r="E150" s="1187"/>
      <c r="F150" s="1187"/>
      <c r="G150" s="1187"/>
      <c r="H150" s="1187"/>
    </row>
    <row r="151" spans="1:8">
      <c r="A151" s="1188" t="s">
        <v>1094</v>
      </c>
      <c r="B151" s="1187"/>
      <c r="C151" s="1187"/>
      <c r="D151" s="1187"/>
      <c r="E151" s="1187"/>
      <c r="F151" s="1187"/>
      <c r="G151" s="1187"/>
      <c r="H151" s="1187"/>
    </row>
    <row r="152" spans="1:8">
      <c r="A152" s="1188" t="s">
        <v>1095</v>
      </c>
      <c r="B152" s="1187"/>
      <c r="C152" s="1187"/>
      <c r="D152" s="1187"/>
      <c r="E152" s="1187"/>
      <c r="F152" s="1187"/>
      <c r="G152" s="1187"/>
      <c r="H152" s="1187"/>
    </row>
    <row r="153" spans="1:8">
      <c r="A153" s="1187"/>
      <c r="B153" s="1187"/>
      <c r="C153" s="1187"/>
      <c r="D153" s="1187"/>
      <c r="E153" s="1187"/>
      <c r="F153" s="1187"/>
      <c r="G153" s="1187"/>
      <c r="H153" s="1187"/>
    </row>
    <row r="154" spans="1:8">
      <c r="A154" s="1188" t="s">
        <v>1090</v>
      </c>
      <c r="B154" s="1187"/>
      <c r="C154" s="1187"/>
      <c r="D154" s="1187"/>
      <c r="E154" s="1187"/>
      <c r="F154" s="1187"/>
      <c r="G154" s="1187"/>
      <c r="H154" s="1187"/>
    </row>
    <row r="155" spans="1:8">
      <c r="A155" s="1188" t="s">
        <v>1091</v>
      </c>
      <c r="B155" s="1187"/>
      <c r="C155" s="1187"/>
      <c r="D155" s="1187"/>
      <c r="E155" s="1187"/>
      <c r="F155" s="1187"/>
      <c r="G155" s="1187"/>
      <c r="H155" s="1187"/>
    </row>
    <row r="156" spans="1:8">
      <c r="A156" s="1188" t="s">
        <v>1092</v>
      </c>
      <c r="B156" s="1187"/>
      <c r="C156" s="1187"/>
      <c r="D156" s="1187"/>
      <c r="E156" s="1187"/>
      <c r="F156" s="1187"/>
      <c r="G156" s="1187"/>
      <c r="H156" s="1187"/>
    </row>
    <row r="157" spans="1:8">
      <c r="A157" s="1187"/>
      <c r="B157" s="1187"/>
      <c r="C157" s="1187"/>
      <c r="D157" s="1187"/>
      <c r="E157" s="1187"/>
      <c r="F157" s="1187"/>
      <c r="G157" s="1187"/>
      <c r="H157" s="1187"/>
    </row>
    <row r="158" spans="1:8">
      <c r="A158" s="1188" t="s">
        <v>1088</v>
      </c>
      <c r="B158" s="1187"/>
      <c r="C158" s="1187"/>
      <c r="D158" s="1187"/>
      <c r="E158" s="1187"/>
      <c r="F158" s="1187"/>
      <c r="G158" s="1187"/>
      <c r="H158" s="1187"/>
    </row>
    <row r="159" spans="1:8">
      <c r="A159" s="1188" t="s">
        <v>1089</v>
      </c>
      <c r="B159" s="1187"/>
      <c r="C159" s="1187"/>
      <c r="D159" s="1187"/>
      <c r="E159" s="1187"/>
      <c r="F159" s="1187"/>
      <c r="G159" s="1187"/>
      <c r="H159" s="1187"/>
    </row>
    <row r="160" spans="1:8">
      <c r="A160" s="1187"/>
      <c r="B160" s="1187"/>
      <c r="C160" s="1187"/>
      <c r="D160" s="1187"/>
      <c r="E160" s="1187"/>
      <c r="F160" s="1187"/>
      <c r="G160" s="1187"/>
      <c r="H160" s="1187"/>
    </row>
    <row r="161" spans="1:8" ht="15.75">
      <c r="A161" s="1189" t="s">
        <v>910</v>
      </c>
      <c r="B161" s="1187"/>
      <c r="C161" s="1187"/>
      <c r="D161" s="1187"/>
      <c r="E161" s="1187"/>
      <c r="F161" s="1187"/>
      <c r="G161" s="1187"/>
      <c r="H161" s="1187"/>
    </row>
    <row r="162" spans="1:8">
      <c r="A162" s="1187"/>
      <c r="B162" s="1187"/>
      <c r="C162" s="1187"/>
      <c r="D162" s="1187"/>
      <c r="E162" s="1187"/>
      <c r="F162" s="1187"/>
      <c r="G162" s="1187"/>
      <c r="H162" s="1187"/>
    </row>
    <row r="163" spans="1:8">
      <c r="A163" s="1188" t="s">
        <v>1086</v>
      </c>
      <c r="B163" s="1187"/>
      <c r="C163" s="1187"/>
      <c r="D163" s="1187"/>
      <c r="E163" s="1187"/>
      <c r="F163" s="1187"/>
      <c r="G163" s="1187"/>
      <c r="H163" s="1187"/>
    </row>
    <row r="164" spans="1:8">
      <c r="A164" s="1188" t="s">
        <v>1087</v>
      </c>
      <c r="B164" s="1187"/>
      <c r="C164" s="1187"/>
      <c r="D164" s="1187"/>
      <c r="E164" s="1187"/>
      <c r="F164" s="1187"/>
      <c r="G164" s="1187"/>
      <c r="H164" s="1187"/>
    </row>
    <row r="165" spans="1:8">
      <c r="A165" s="1187"/>
      <c r="B165" s="1187"/>
      <c r="C165" s="1187"/>
      <c r="D165" s="1187"/>
      <c r="E165" s="1187"/>
      <c r="F165" s="1187"/>
      <c r="G165" s="1187"/>
      <c r="H165" s="1187"/>
    </row>
    <row r="166" spans="1:8">
      <c r="A166" s="1188" t="s">
        <v>1084</v>
      </c>
      <c r="B166" s="1187"/>
      <c r="C166" s="1187"/>
      <c r="D166" s="1187"/>
      <c r="E166" s="1187"/>
      <c r="F166" s="1187"/>
      <c r="G166" s="1187"/>
      <c r="H166" s="1187"/>
    </row>
    <row r="167" spans="1:8">
      <c r="A167" s="1188" t="s">
        <v>1085</v>
      </c>
      <c r="B167" s="1187"/>
      <c r="C167" s="1187"/>
      <c r="D167" s="1187"/>
      <c r="E167" s="1187"/>
      <c r="F167" s="1187"/>
      <c r="G167" s="1187"/>
      <c r="H167" s="1187"/>
    </row>
    <row r="168" spans="1:8">
      <c r="A168" s="1187"/>
      <c r="B168" s="1187"/>
      <c r="C168" s="1187"/>
      <c r="D168" s="1187"/>
      <c r="E168" s="1187"/>
      <c r="F168" s="1187"/>
      <c r="G168" s="1187"/>
      <c r="H168" s="1187"/>
    </row>
    <row r="169" spans="1:8">
      <c r="A169" s="1188" t="s">
        <v>1082</v>
      </c>
      <c r="B169" s="1187"/>
      <c r="C169" s="1187"/>
      <c r="D169" s="1187"/>
      <c r="E169" s="1187"/>
      <c r="F169" s="1187"/>
      <c r="G169" s="1187"/>
      <c r="H169" s="1187"/>
    </row>
    <row r="170" spans="1:8">
      <c r="A170" s="1188" t="s">
        <v>1083</v>
      </c>
      <c r="B170" s="1187"/>
      <c r="C170" s="1187"/>
      <c r="D170" s="1187"/>
      <c r="E170" s="1187"/>
      <c r="F170" s="1187"/>
      <c r="G170" s="1187"/>
      <c r="H170" s="1187"/>
    </row>
    <row r="171" spans="1:8">
      <c r="A171" s="1187"/>
      <c r="B171" s="1187"/>
      <c r="C171" s="1187"/>
      <c r="D171" s="1187"/>
      <c r="E171" s="1187"/>
      <c r="F171" s="1187"/>
      <c r="G171" s="1187"/>
      <c r="H171" s="1187"/>
    </row>
    <row r="172" spans="1:8">
      <c r="A172" s="1188" t="s">
        <v>1079</v>
      </c>
      <c r="B172" s="1187"/>
      <c r="C172" s="1187"/>
      <c r="D172" s="1187"/>
      <c r="E172" s="1187"/>
      <c r="F172" s="1187"/>
      <c r="G172" s="1187"/>
      <c r="H172" s="1187"/>
    </row>
    <row r="173" spans="1:8">
      <c r="A173" s="1188" t="s">
        <v>1080</v>
      </c>
      <c r="B173" s="1187"/>
      <c r="C173" s="1187"/>
      <c r="D173" s="1187"/>
      <c r="E173" s="1187"/>
      <c r="F173" s="1187"/>
      <c r="G173" s="1187"/>
      <c r="H173" s="1187"/>
    </row>
    <row r="174" spans="1:8">
      <c r="A174" s="1188" t="s">
        <v>1081</v>
      </c>
      <c r="B174" s="1187"/>
      <c r="C174" s="1187"/>
      <c r="D174" s="1187"/>
      <c r="E174" s="1187"/>
      <c r="F174" s="1187"/>
      <c r="G174" s="1187"/>
      <c r="H174" s="1187"/>
    </row>
    <row r="175" spans="1:8">
      <c r="A175" s="1187"/>
      <c r="B175" s="1187"/>
      <c r="C175" s="1187"/>
      <c r="D175" s="1187"/>
      <c r="E175" s="1187"/>
      <c r="F175" s="1187"/>
      <c r="G175" s="1187"/>
      <c r="H175" s="1187"/>
    </row>
    <row r="176" spans="1:8">
      <c r="A176" s="1187"/>
      <c r="B176" s="1187"/>
      <c r="C176" s="1187"/>
      <c r="D176" s="1187"/>
      <c r="E176" s="1187"/>
      <c r="F176" s="1187"/>
      <c r="G176" s="1187"/>
      <c r="H176" s="1187"/>
    </row>
    <row r="177" spans="1:8">
      <c r="A177" s="1188" t="s">
        <v>911</v>
      </c>
      <c r="B177" s="1187"/>
      <c r="C177" s="1187"/>
      <c r="D177" s="1187"/>
      <c r="E177" s="1187"/>
      <c r="F177" s="1187"/>
      <c r="G177" s="1187"/>
      <c r="H177" s="1187"/>
    </row>
    <row r="178" spans="1:8">
      <c r="A178" s="1187"/>
      <c r="B178" s="1187"/>
      <c r="C178" s="1187"/>
      <c r="D178" s="1187"/>
      <c r="E178" s="1187"/>
      <c r="F178" s="1187"/>
      <c r="G178" s="1187"/>
      <c r="H178" s="1187"/>
    </row>
    <row r="179" spans="1:8" ht="15.75">
      <c r="A179" s="1189" t="s">
        <v>912</v>
      </c>
      <c r="B179" s="1187"/>
      <c r="C179" s="1187"/>
      <c r="D179" s="1187"/>
      <c r="E179" s="1187"/>
      <c r="F179" s="1187"/>
      <c r="G179" s="1187"/>
      <c r="H179" s="1187"/>
    </row>
    <row r="180" spans="1:8">
      <c r="A180" s="1187"/>
      <c r="B180" s="1187"/>
      <c r="C180" s="1187"/>
      <c r="D180" s="1187"/>
      <c r="E180" s="1187"/>
      <c r="F180" s="1187"/>
      <c r="G180" s="1187"/>
      <c r="H180" s="1187"/>
    </row>
    <row r="181" spans="1:8">
      <c r="A181" s="1187"/>
      <c r="B181" s="1187"/>
      <c r="C181" s="1187"/>
      <c r="D181" s="1187"/>
      <c r="E181" s="1187"/>
      <c r="F181" s="1187"/>
      <c r="G181" s="1187"/>
      <c r="H181" s="1187"/>
    </row>
    <row r="182" spans="1:8">
      <c r="A182" s="1187"/>
      <c r="B182" s="1187"/>
      <c r="C182" s="1187"/>
      <c r="D182" s="1187"/>
      <c r="E182" s="1187"/>
      <c r="F182" s="1187"/>
      <c r="G182" s="1187"/>
      <c r="H182" s="1187"/>
    </row>
    <row r="183" spans="1:8">
      <c r="A183" s="1187"/>
      <c r="B183" s="1187"/>
      <c r="C183" s="1187"/>
      <c r="D183" s="1187"/>
      <c r="E183" s="1187"/>
      <c r="F183" s="1187"/>
      <c r="G183" s="1187"/>
      <c r="H183" s="1187"/>
    </row>
    <row r="184" spans="1:8">
      <c r="A184" s="1187"/>
      <c r="B184" s="1187"/>
      <c r="C184" s="1187"/>
      <c r="D184" s="1187"/>
      <c r="E184" s="1187"/>
      <c r="F184" s="1187"/>
      <c r="G184" s="1187"/>
      <c r="H184" s="1187"/>
    </row>
    <row r="185" spans="1:8">
      <c r="A185" s="1187"/>
      <c r="B185" s="1187"/>
      <c r="C185" s="1187"/>
      <c r="D185" s="1187"/>
      <c r="E185" s="1187"/>
      <c r="F185" s="1187"/>
      <c r="G185" s="1187"/>
      <c r="H185" s="1187"/>
    </row>
    <row r="186" spans="1:8">
      <c r="A186" s="1187"/>
      <c r="B186" s="1187"/>
      <c r="C186" s="1187"/>
      <c r="D186" s="1187"/>
      <c r="E186" s="1187"/>
      <c r="F186" s="1187"/>
      <c r="G186" s="1187"/>
      <c r="H186" s="1187"/>
    </row>
    <row r="187" spans="1:8">
      <c r="A187" s="1187"/>
      <c r="B187" s="1187"/>
      <c r="C187" s="1187"/>
      <c r="D187" s="1187"/>
      <c r="E187" s="1187"/>
      <c r="F187" s="1187"/>
      <c r="G187" s="1187"/>
      <c r="H187" s="1187"/>
    </row>
    <row r="188" spans="1:8">
      <c r="A188" s="1187"/>
      <c r="B188" s="1187"/>
      <c r="C188" s="1187"/>
      <c r="D188" s="1187"/>
      <c r="E188" s="1187"/>
      <c r="F188" s="1187"/>
      <c r="G188" s="1187"/>
      <c r="H188" s="1187"/>
    </row>
    <row r="189" spans="1:8">
      <c r="A189" s="1187"/>
      <c r="B189" s="1187"/>
      <c r="C189" s="1187"/>
      <c r="D189" s="1187"/>
      <c r="E189" s="1187"/>
      <c r="F189" s="1187"/>
      <c r="G189" s="1187"/>
      <c r="H189" s="1187"/>
    </row>
    <row r="190" spans="1:8">
      <c r="A190" s="1187"/>
      <c r="B190" s="1187"/>
      <c r="C190" s="1187"/>
      <c r="D190" s="1187"/>
      <c r="E190" s="1187"/>
      <c r="F190" s="1187"/>
      <c r="G190" s="1187"/>
      <c r="H190" s="1187"/>
    </row>
    <row r="191" spans="1:8">
      <c r="A191" s="1187"/>
      <c r="B191" s="1187"/>
      <c r="C191" s="1187"/>
      <c r="D191" s="1187"/>
      <c r="E191" s="1187"/>
      <c r="F191" s="1187"/>
      <c r="G191" s="1187"/>
      <c r="H191" s="1187"/>
    </row>
    <row r="192" spans="1:8">
      <c r="A192" s="1187"/>
      <c r="B192" s="1187"/>
      <c r="C192" s="1187"/>
      <c r="D192" s="1187"/>
      <c r="E192" s="1187"/>
      <c r="F192" s="1187"/>
      <c r="G192" s="1187"/>
      <c r="H192" s="1187"/>
    </row>
    <row r="193" spans="1:8">
      <c r="A193" s="1187"/>
      <c r="B193" s="1187"/>
      <c r="C193" s="1187"/>
      <c r="D193" s="1187"/>
      <c r="E193" s="1187"/>
      <c r="F193" s="1187"/>
      <c r="G193" s="1187"/>
      <c r="H193" s="1187"/>
    </row>
    <row r="194" spans="1:8">
      <c r="A194" s="1187"/>
      <c r="B194" s="1187"/>
      <c r="C194" s="1187"/>
      <c r="D194" s="1187"/>
      <c r="E194" s="1187"/>
      <c r="F194" s="1187"/>
      <c r="G194" s="1187"/>
      <c r="H194" s="1187"/>
    </row>
    <row r="195" spans="1:8">
      <c r="A195" s="1187"/>
      <c r="B195" s="1187"/>
      <c r="C195" s="1187"/>
      <c r="D195" s="1187"/>
      <c r="E195" s="1187"/>
      <c r="F195" s="1187"/>
      <c r="G195" s="1187"/>
      <c r="H195" s="1187"/>
    </row>
    <row r="196" spans="1:8">
      <c r="A196" s="1187"/>
      <c r="B196" s="1187"/>
      <c r="C196" s="1187"/>
      <c r="D196" s="1187"/>
      <c r="E196" s="1187"/>
      <c r="F196" s="1187"/>
      <c r="G196" s="1187"/>
      <c r="H196" s="1187"/>
    </row>
    <row r="197" spans="1:8">
      <c r="A197" s="1187"/>
      <c r="B197" s="1187"/>
      <c r="C197" s="1187"/>
      <c r="D197" s="1187"/>
      <c r="E197" s="1187"/>
      <c r="F197" s="1187"/>
      <c r="G197" s="1187"/>
      <c r="H197" s="1187"/>
    </row>
    <row r="198" spans="1:8">
      <c r="A198" s="1187"/>
      <c r="B198" s="1187"/>
      <c r="C198" s="1187"/>
      <c r="D198" s="1187"/>
      <c r="E198" s="1187"/>
      <c r="F198" s="1187"/>
      <c r="G198" s="1187"/>
      <c r="H198" s="1187"/>
    </row>
    <row r="199" spans="1:8">
      <c r="A199" s="1187"/>
      <c r="B199" s="1187"/>
      <c r="C199" s="1187"/>
      <c r="D199" s="1187"/>
      <c r="E199" s="1187"/>
      <c r="F199" s="1187"/>
      <c r="G199" s="1187"/>
      <c r="H199" s="1187"/>
    </row>
    <row r="200" spans="1:8">
      <c r="A200" s="1187"/>
      <c r="B200" s="1187"/>
      <c r="C200" s="1187"/>
      <c r="D200" s="1187"/>
      <c r="E200" s="1187"/>
      <c r="F200" s="1187"/>
      <c r="G200" s="1187"/>
      <c r="H200" s="1187"/>
    </row>
    <row r="201" spans="1:8">
      <c r="A201" s="1187"/>
      <c r="B201" s="1187"/>
      <c r="C201" s="1187"/>
      <c r="D201" s="1187"/>
      <c r="E201" s="1187"/>
      <c r="F201" s="1187"/>
      <c r="G201" s="1187"/>
      <c r="H201" s="1187"/>
    </row>
    <row r="202" spans="1:8">
      <c r="A202" s="1187"/>
      <c r="B202" s="1187"/>
      <c r="C202" s="1187"/>
      <c r="D202" s="1187"/>
      <c r="E202" s="1187"/>
      <c r="F202" s="1187"/>
      <c r="G202" s="1187"/>
      <c r="H202" s="1187"/>
    </row>
    <row r="203" spans="1:8">
      <c r="A203" s="1187"/>
      <c r="B203" s="1187"/>
      <c r="C203" s="1187"/>
      <c r="D203" s="1187"/>
      <c r="E203" s="1187"/>
      <c r="F203" s="1187"/>
      <c r="G203" s="1187"/>
      <c r="H203" s="1187"/>
    </row>
    <row r="204" spans="1:8">
      <c r="A204" s="1187"/>
      <c r="B204" s="1187"/>
      <c r="C204" s="1187"/>
      <c r="D204" s="1187"/>
      <c r="E204" s="1187"/>
      <c r="F204" s="1187"/>
      <c r="G204" s="1187"/>
      <c r="H204" s="1187"/>
    </row>
    <row r="205" spans="1:8">
      <c r="A205" s="1187"/>
      <c r="B205" s="1187"/>
      <c r="C205" s="1187"/>
      <c r="D205" s="1187"/>
      <c r="E205" s="1187"/>
      <c r="F205" s="1187"/>
      <c r="G205" s="1187"/>
      <c r="H205" s="1187"/>
    </row>
    <row r="206" spans="1:8" ht="15.75">
      <c r="A206" s="1189" t="s">
        <v>913</v>
      </c>
      <c r="B206" s="1187"/>
      <c r="C206" s="1187"/>
      <c r="D206" s="1187"/>
      <c r="E206" s="1187"/>
      <c r="F206" s="1187"/>
      <c r="G206" s="1187"/>
      <c r="H206" s="1187"/>
    </row>
    <row r="207" spans="1:8">
      <c r="A207" s="1187"/>
      <c r="B207" s="1187"/>
      <c r="C207" s="1187"/>
      <c r="D207" s="1187"/>
      <c r="E207" s="1187"/>
      <c r="F207" s="1187"/>
      <c r="G207" s="1187"/>
      <c r="H207" s="1187"/>
    </row>
    <row r="208" spans="1:8">
      <c r="A208" s="1188" t="s">
        <v>1074</v>
      </c>
      <c r="B208" s="1187"/>
      <c r="C208" s="1187"/>
      <c r="D208" s="1187"/>
      <c r="E208" s="1187"/>
      <c r="F208" s="1187"/>
      <c r="G208" s="1187"/>
      <c r="H208" s="1187"/>
    </row>
    <row r="209" spans="1:8">
      <c r="A209" s="1188" t="s">
        <v>1075</v>
      </c>
      <c r="B209" s="1187"/>
      <c r="C209" s="1187"/>
      <c r="D209" s="1187"/>
      <c r="E209" s="1187"/>
      <c r="F209" s="1187"/>
      <c r="G209" s="1187"/>
      <c r="H209" s="1187"/>
    </row>
    <row r="210" spans="1:8">
      <c r="A210" s="1188" t="s">
        <v>1076</v>
      </c>
      <c r="B210" s="1187"/>
      <c r="C210" s="1187"/>
      <c r="D210" s="1187"/>
      <c r="E210" s="1187"/>
      <c r="F210" s="1187"/>
      <c r="G210" s="1187"/>
      <c r="H210" s="1187"/>
    </row>
    <row r="211" spans="1:8">
      <c r="A211" s="1188" t="s">
        <v>1077</v>
      </c>
      <c r="B211" s="1187"/>
      <c r="C211" s="1187"/>
      <c r="D211" s="1187"/>
      <c r="E211" s="1187"/>
      <c r="F211" s="1187"/>
      <c r="G211" s="1187"/>
      <c r="H211" s="1187"/>
    </row>
    <row r="212" spans="1:8">
      <c r="A212" s="1188" t="s">
        <v>1078</v>
      </c>
      <c r="B212" s="1187"/>
      <c r="C212" s="1187"/>
      <c r="D212" s="1187"/>
      <c r="E212" s="1187"/>
      <c r="F212" s="1187"/>
      <c r="G212" s="1187"/>
      <c r="H212" s="1187"/>
    </row>
    <row r="213" spans="1:8">
      <c r="A213" s="1187"/>
      <c r="B213" s="1187"/>
      <c r="C213" s="1187"/>
      <c r="D213" s="1187"/>
      <c r="E213" s="1187"/>
      <c r="F213" s="1187"/>
      <c r="G213" s="1187"/>
      <c r="H213" s="1187"/>
    </row>
    <row r="214" spans="1:8">
      <c r="A214" s="1188" t="s">
        <v>1071</v>
      </c>
      <c r="B214" s="1187"/>
      <c r="C214" s="1187"/>
      <c r="D214" s="1187"/>
      <c r="E214" s="1187"/>
      <c r="F214" s="1187"/>
      <c r="G214" s="1187"/>
      <c r="H214" s="1187"/>
    </row>
    <row r="215" spans="1:8">
      <c r="A215" s="1188" t="s">
        <v>1072</v>
      </c>
      <c r="B215" s="1187"/>
      <c r="C215" s="1187"/>
      <c r="D215" s="1187"/>
      <c r="E215" s="1187"/>
      <c r="F215" s="1187"/>
      <c r="G215" s="1187"/>
      <c r="H215" s="1187"/>
    </row>
    <row r="216" spans="1:8">
      <c r="A216" s="1188" t="s">
        <v>1073</v>
      </c>
      <c r="B216" s="1187"/>
      <c r="C216" s="1187"/>
      <c r="D216" s="1187"/>
      <c r="E216" s="1187"/>
      <c r="F216" s="1187"/>
      <c r="G216" s="1187"/>
      <c r="H216" s="1187"/>
    </row>
    <row r="217" spans="1:8" ht="15.75">
      <c r="A217" s="1189" t="s">
        <v>914</v>
      </c>
      <c r="B217" s="1187"/>
      <c r="C217" s="1187"/>
      <c r="D217" s="1187"/>
      <c r="E217" s="1187"/>
      <c r="F217" s="1187"/>
      <c r="G217" s="1187"/>
      <c r="H217" s="1187"/>
    </row>
    <row r="218" spans="1:8">
      <c r="A218" s="1187"/>
      <c r="B218" s="1187"/>
      <c r="C218" s="1187"/>
      <c r="D218" s="1187"/>
      <c r="E218" s="1187"/>
      <c r="F218" s="1187"/>
      <c r="G218" s="1187"/>
      <c r="H218" s="1187"/>
    </row>
    <row r="219" spans="1:8">
      <c r="A219" s="1188" t="s">
        <v>1069</v>
      </c>
      <c r="B219" s="1187"/>
      <c r="C219" s="1187"/>
      <c r="D219" s="1187"/>
      <c r="E219" s="1187"/>
      <c r="F219" s="1187"/>
      <c r="G219" s="1187"/>
      <c r="H219" s="1187"/>
    </row>
    <row r="220" spans="1:8">
      <c r="A220" s="1188" t="s">
        <v>1070</v>
      </c>
      <c r="B220" s="1187"/>
      <c r="C220" s="1187"/>
      <c r="D220" s="1187"/>
      <c r="E220" s="1187"/>
      <c r="F220" s="1187"/>
      <c r="G220" s="1187"/>
      <c r="H220" s="1187"/>
    </row>
    <row r="221" spans="1:8">
      <c r="A221" s="1187"/>
      <c r="B221" s="1187"/>
      <c r="C221" s="1187"/>
      <c r="D221" s="1187"/>
      <c r="E221" s="1187"/>
      <c r="F221" s="1187"/>
      <c r="G221" s="1187"/>
      <c r="H221" s="1187"/>
    </row>
    <row r="222" spans="1:8">
      <c r="A222" s="1188" t="s">
        <v>1062</v>
      </c>
      <c r="B222" s="1187"/>
      <c r="C222" s="1187"/>
      <c r="D222" s="1187"/>
      <c r="E222" s="1187"/>
      <c r="F222" s="1187"/>
      <c r="G222" s="1187"/>
      <c r="H222" s="1187"/>
    </row>
    <row r="223" spans="1:8">
      <c r="A223" s="1188" t="s">
        <v>1063</v>
      </c>
      <c r="B223" s="1187"/>
      <c r="C223" s="1187"/>
      <c r="D223" s="1187"/>
      <c r="E223" s="1187"/>
      <c r="F223" s="1187"/>
      <c r="G223" s="1187"/>
      <c r="H223" s="1187"/>
    </row>
    <row r="224" spans="1:8">
      <c r="A224" s="1188" t="s">
        <v>1064</v>
      </c>
      <c r="B224" s="1187"/>
      <c r="C224" s="1187"/>
      <c r="D224" s="1187"/>
      <c r="E224" s="1187"/>
      <c r="F224" s="1187"/>
      <c r="G224" s="1187"/>
      <c r="H224" s="1187"/>
    </row>
    <row r="225" spans="1:8">
      <c r="A225" s="1188" t="s">
        <v>1065</v>
      </c>
      <c r="B225" s="1187"/>
      <c r="C225" s="1187"/>
      <c r="D225" s="1187"/>
      <c r="E225" s="1187"/>
      <c r="F225" s="1187"/>
      <c r="G225" s="1187"/>
      <c r="H225" s="1187"/>
    </row>
    <row r="226" spans="1:8">
      <c r="A226" s="1188" t="s">
        <v>1066</v>
      </c>
      <c r="B226" s="1187"/>
      <c r="C226" s="1187"/>
      <c r="D226" s="1187"/>
      <c r="E226" s="1187"/>
      <c r="F226" s="1187"/>
      <c r="G226" s="1187"/>
      <c r="H226" s="1187"/>
    </row>
    <row r="227" spans="1:8">
      <c r="A227" s="1188" t="s">
        <v>1067</v>
      </c>
      <c r="B227" s="1187"/>
      <c r="C227" s="1187"/>
      <c r="D227" s="1187"/>
      <c r="E227" s="1187"/>
      <c r="F227" s="1187"/>
      <c r="G227" s="1187"/>
      <c r="H227" s="1187"/>
    </row>
    <row r="228" spans="1:8">
      <c r="A228" s="1188" t="s">
        <v>1068</v>
      </c>
      <c r="B228" s="1187"/>
      <c r="C228" s="1187"/>
      <c r="D228" s="1187"/>
      <c r="E228" s="1187"/>
      <c r="F228" s="1187"/>
      <c r="G228" s="1187"/>
      <c r="H228" s="1187"/>
    </row>
    <row r="229" spans="1:8">
      <c r="A229" s="1187"/>
      <c r="B229" s="1187"/>
      <c r="C229" s="1187"/>
      <c r="D229" s="1187"/>
      <c r="E229" s="1187"/>
      <c r="F229" s="1187"/>
      <c r="G229" s="1187"/>
      <c r="H229" s="1187"/>
    </row>
    <row r="230" spans="1:8">
      <c r="A230" s="1188" t="s">
        <v>1059</v>
      </c>
      <c r="B230" s="1187"/>
      <c r="C230" s="1187"/>
      <c r="D230" s="1187"/>
      <c r="E230" s="1187"/>
      <c r="F230" s="1187"/>
      <c r="G230" s="1187"/>
      <c r="H230" s="1187"/>
    </row>
    <row r="231" spans="1:8">
      <c r="A231" s="1188" t="s">
        <v>1060</v>
      </c>
      <c r="B231" s="1187"/>
      <c r="C231" s="1187"/>
      <c r="D231" s="1187"/>
      <c r="E231" s="1187"/>
      <c r="F231" s="1187"/>
      <c r="G231" s="1187"/>
      <c r="H231" s="1187"/>
    </row>
    <row r="232" spans="1:8">
      <c r="A232" s="1188" t="s">
        <v>1061</v>
      </c>
      <c r="B232" s="1187"/>
      <c r="C232" s="1187"/>
      <c r="D232" s="1187"/>
      <c r="E232" s="1187"/>
      <c r="F232" s="1187"/>
      <c r="G232" s="1187"/>
      <c r="H232" s="1187"/>
    </row>
    <row r="233" spans="1:8">
      <c r="A233" s="1187"/>
      <c r="B233" s="1187"/>
      <c r="C233" s="1187"/>
      <c r="D233" s="1187"/>
      <c r="E233" s="1187"/>
      <c r="F233" s="1187"/>
      <c r="G233" s="1187"/>
      <c r="H233" s="1187"/>
    </row>
    <row r="234" spans="1:8">
      <c r="A234" s="1188" t="s">
        <v>1054</v>
      </c>
      <c r="B234" s="1187"/>
      <c r="C234" s="1187"/>
      <c r="D234" s="1187"/>
      <c r="E234" s="1187"/>
      <c r="F234" s="1187"/>
      <c r="G234" s="1187"/>
      <c r="H234" s="1187"/>
    </row>
    <row r="235" spans="1:8">
      <c r="A235" s="1188" t="s">
        <v>1055</v>
      </c>
      <c r="B235" s="1187"/>
      <c r="C235" s="1187"/>
      <c r="D235" s="1187"/>
      <c r="E235" s="1187"/>
      <c r="F235" s="1187"/>
      <c r="G235" s="1187"/>
      <c r="H235" s="1187"/>
    </row>
    <row r="236" spans="1:8">
      <c r="A236" s="1188" t="s">
        <v>1056</v>
      </c>
      <c r="B236" s="1187"/>
      <c r="C236" s="1187"/>
      <c r="D236" s="1187"/>
      <c r="E236" s="1187"/>
      <c r="F236" s="1187"/>
      <c r="G236" s="1187"/>
      <c r="H236" s="1187"/>
    </row>
    <row r="237" spans="1:8">
      <c r="A237" s="1188" t="s">
        <v>1057</v>
      </c>
      <c r="B237" s="1187"/>
      <c r="C237" s="1187"/>
      <c r="D237" s="1187"/>
      <c r="E237" s="1187"/>
      <c r="F237" s="1187"/>
      <c r="G237" s="1187"/>
      <c r="H237" s="1187"/>
    </row>
    <row r="238" spans="1:8">
      <c r="A238" s="1188" t="s">
        <v>1058</v>
      </c>
      <c r="B238" s="1187"/>
      <c r="C238" s="1187"/>
      <c r="D238" s="1187"/>
      <c r="E238" s="1187"/>
      <c r="F238" s="1187"/>
      <c r="G238" s="1187"/>
      <c r="H238" s="1187"/>
    </row>
    <row r="239" spans="1:8">
      <c r="A239" s="1187"/>
      <c r="B239" s="1187"/>
      <c r="C239" s="1187"/>
      <c r="D239" s="1187"/>
      <c r="E239" s="1187"/>
      <c r="F239" s="1187"/>
      <c r="G239" s="1187"/>
      <c r="H239" s="1187"/>
    </row>
    <row r="240" spans="1:8">
      <c r="A240" s="1188" t="s">
        <v>1048</v>
      </c>
      <c r="B240" s="1187"/>
      <c r="C240" s="1187"/>
      <c r="D240" s="1187"/>
      <c r="E240" s="1187"/>
      <c r="F240" s="1187"/>
      <c r="G240" s="1187"/>
      <c r="H240" s="1187"/>
    </row>
    <row r="241" spans="1:8">
      <c r="A241" s="1188" t="s">
        <v>1049</v>
      </c>
      <c r="B241" s="1187"/>
      <c r="C241" s="1187"/>
      <c r="D241" s="1187"/>
      <c r="E241" s="1187"/>
      <c r="F241" s="1187"/>
      <c r="G241" s="1187"/>
      <c r="H241" s="1187"/>
    </row>
    <row r="242" spans="1:8">
      <c r="A242" s="1188" t="s">
        <v>1050</v>
      </c>
      <c r="B242" s="1187"/>
      <c r="C242" s="1187"/>
      <c r="D242" s="1187"/>
      <c r="E242" s="1187"/>
      <c r="F242" s="1187"/>
      <c r="G242" s="1187"/>
      <c r="H242" s="1187"/>
    </row>
    <row r="243" spans="1:8">
      <c r="A243" s="1188" t="s">
        <v>1051</v>
      </c>
      <c r="B243" s="1187"/>
      <c r="C243" s="1187"/>
      <c r="D243" s="1187"/>
      <c r="E243" s="1187"/>
      <c r="F243" s="1187"/>
      <c r="G243" s="1187"/>
      <c r="H243" s="1187"/>
    </row>
    <row r="244" spans="1:8">
      <c r="A244" s="1188" t="s">
        <v>1052</v>
      </c>
      <c r="B244" s="1187"/>
      <c r="C244" s="1187"/>
      <c r="D244" s="1187"/>
      <c r="E244" s="1187"/>
      <c r="F244" s="1187"/>
      <c r="G244" s="1187"/>
      <c r="H244" s="1187"/>
    </row>
    <row r="245" spans="1:8">
      <c r="A245" s="1188" t="s">
        <v>1053</v>
      </c>
      <c r="B245" s="1187"/>
      <c r="C245" s="1187"/>
      <c r="D245" s="1187"/>
      <c r="E245" s="1187"/>
      <c r="F245" s="1187"/>
      <c r="G245" s="1187"/>
      <c r="H245" s="1187"/>
    </row>
    <row r="246" spans="1:8">
      <c r="A246" s="1187"/>
      <c r="B246" s="1187"/>
      <c r="C246" s="1187"/>
      <c r="D246" s="1187"/>
      <c r="E246" s="1187"/>
      <c r="F246" s="1187"/>
      <c r="G246" s="1187"/>
      <c r="H246" s="1187"/>
    </row>
    <row r="247" spans="1:8">
      <c r="A247" s="1188" t="s">
        <v>1038</v>
      </c>
      <c r="B247" s="1187"/>
      <c r="C247" s="1187"/>
      <c r="D247" s="1187"/>
      <c r="E247" s="1187"/>
      <c r="F247" s="1187"/>
      <c r="G247" s="1187"/>
      <c r="H247" s="1187"/>
    </row>
    <row r="248" spans="1:8">
      <c r="A248" s="1188" t="s">
        <v>1039</v>
      </c>
      <c r="B248" s="1187"/>
      <c r="C248" s="1187"/>
      <c r="D248" s="1187"/>
      <c r="E248" s="1187"/>
      <c r="F248" s="1187"/>
      <c r="G248" s="1187"/>
      <c r="H248" s="1187"/>
    </row>
    <row r="249" spans="1:8">
      <c r="A249" s="1188" t="s">
        <v>1040</v>
      </c>
      <c r="B249" s="1187"/>
      <c r="C249" s="1187"/>
      <c r="D249" s="1187"/>
      <c r="E249" s="1187"/>
      <c r="F249" s="1187"/>
      <c r="G249" s="1187"/>
      <c r="H249" s="1187"/>
    </row>
    <row r="250" spans="1:8">
      <c r="A250" s="1188" t="s">
        <v>1041</v>
      </c>
      <c r="B250" s="1187"/>
      <c r="C250" s="1187"/>
      <c r="D250" s="1187"/>
      <c r="E250" s="1187"/>
      <c r="F250" s="1187"/>
      <c r="G250" s="1187"/>
      <c r="H250" s="1187"/>
    </row>
    <row r="251" spans="1:8">
      <c r="A251" s="1188" t="s">
        <v>1042</v>
      </c>
      <c r="B251" s="1187"/>
      <c r="C251" s="1187"/>
      <c r="D251" s="1187"/>
      <c r="E251" s="1187"/>
      <c r="F251" s="1187"/>
      <c r="G251" s="1187"/>
      <c r="H251" s="1187"/>
    </row>
    <row r="252" spans="1:8">
      <c r="A252" s="1188" t="s">
        <v>1043</v>
      </c>
      <c r="B252" s="1187"/>
      <c r="C252" s="1187"/>
      <c r="D252" s="1187"/>
      <c r="E252" s="1187"/>
      <c r="F252" s="1187"/>
      <c r="G252" s="1187"/>
      <c r="H252" s="1187"/>
    </row>
    <row r="253" spans="1:8">
      <c r="A253" s="1188" t="s">
        <v>1044</v>
      </c>
      <c r="B253" s="1187"/>
      <c r="C253" s="1187"/>
      <c r="D253" s="1187"/>
      <c r="E253" s="1187"/>
      <c r="F253" s="1187"/>
      <c r="G253" s="1187"/>
      <c r="H253" s="1187"/>
    </row>
    <row r="254" spans="1:8">
      <c r="A254" s="1188" t="s">
        <v>1045</v>
      </c>
      <c r="B254" s="1187"/>
      <c r="C254" s="1187"/>
      <c r="D254" s="1187"/>
      <c r="E254" s="1187"/>
      <c r="F254" s="1187"/>
      <c r="G254" s="1187"/>
      <c r="H254" s="1187"/>
    </row>
    <row r="255" spans="1:8">
      <c r="A255" s="1188" t="s">
        <v>1046</v>
      </c>
      <c r="B255" s="1187"/>
      <c r="C255" s="1187"/>
      <c r="D255" s="1187"/>
      <c r="E255" s="1187"/>
      <c r="F255" s="1187"/>
      <c r="G255" s="1187"/>
      <c r="H255" s="1187"/>
    </row>
    <row r="256" spans="1:8">
      <c r="A256" s="1188" t="s">
        <v>1047</v>
      </c>
      <c r="B256" s="1187"/>
      <c r="C256" s="1187"/>
      <c r="D256" s="1187"/>
      <c r="E256" s="1187"/>
      <c r="F256" s="1187"/>
      <c r="G256" s="1187"/>
      <c r="H256" s="1187"/>
    </row>
    <row r="257" spans="1:8">
      <c r="A257" s="1187"/>
      <c r="B257" s="1187"/>
      <c r="C257" s="1187"/>
      <c r="D257" s="1187"/>
      <c r="E257" s="1187"/>
      <c r="F257" s="1187"/>
      <c r="G257" s="1187"/>
      <c r="H257" s="1187"/>
    </row>
    <row r="258" spans="1:8">
      <c r="A258" s="1188" t="s">
        <v>1036</v>
      </c>
      <c r="B258" s="1187"/>
      <c r="C258" s="1187"/>
      <c r="D258" s="1187"/>
      <c r="E258" s="1187"/>
      <c r="F258" s="1187"/>
      <c r="G258" s="1187"/>
      <c r="H258" s="1187"/>
    </row>
    <row r="259" spans="1:8">
      <c r="A259" s="1188" t="s">
        <v>1037</v>
      </c>
      <c r="B259" s="1187"/>
      <c r="C259" s="1187"/>
      <c r="D259" s="1187"/>
      <c r="E259" s="1187"/>
      <c r="F259" s="1187"/>
      <c r="G259" s="1187"/>
      <c r="H259" s="1187"/>
    </row>
    <row r="260" spans="1:8">
      <c r="A260" s="1187"/>
      <c r="B260" s="1187"/>
      <c r="C260" s="1187"/>
      <c r="D260" s="1187"/>
      <c r="E260" s="1187"/>
      <c r="F260" s="1187"/>
      <c r="G260" s="1187"/>
      <c r="H260" s="1187"/>
    </row>
    <row r="261" spans="1:8">
      <c r="A261" s="1188" t="s">
        <v>1020</v>
      </c>
      <c r="B261" s="1187"/>
      <c r="C261" s="1187"/>
      <c r="D261" s="1187"/>
      <c r="E261" s="1187"/>
      <c r="F261" s="1187"/>
      <c r="G261" s="1187"/>
      <c r="H261" s="1187"/>
    </row>
    <row r="262" spans="1:8">
      <c r="A262" s="1188" t="s">
        <v>1021</v>
      </c>
      <c r="B262" s="1187"/>
      <c r="C262" s="1187"/>
      <c r="D262" s="1187"/>
      <c r="E262" s="1187"/>
      <c r="F262" s="1187"/>
      <c r="G262" s="1187"/>
      <c r="H262" s="1187"/>
    </row>
    <row r="263" spans="1:8">
      <c r="A263" s="1188" t="s">
        <v>1022</v>
      </c>
      <c r="B263" s="1187"/>
      <c r="C263" s="1187"/>
      <c r="D263" s="1187"/>
      <c r="E263" s="1187"/>
      <c r="F263" s="1187"/>
      <c r="G263" s="1187"/>
      <c r="H263" s="1187"/>
    </row>
    <row r="264" spans="1:8">
      <c r="A264" s="1188" t="s">
        <v>1023</v>
      </c>
      <c r="B264" s="1187"/>
      <c r="C264" s="1187"/>
      <c r="D264" s="1187"/>
      <c r="E264" s="1187"/>
      <c r="F264" s="1187"/>
      <c r="G264" s="1187"/>
      <c r="H264" s="1187"/>
    </row>
    <row r="265" spans="1:8">
      <c r="A265" s="1188" t="s">
        <v>1024</v>
      </c>
      <c r="B265" s="1187"/>
      <c r="C265" s="1187"/>
      <c r="D265" s="1187"/>
      <c r="E265" s="1187"/>
      <c r="F265" s="1187"/>
      <c r="G265" s="1187"/>
      <c r="H265" s="1187"/>
    </row>
    <row r="266" spans="1:8">
      <c r="A266" s="1188" t="s">
        <v>1025</v>
      </c>
      <c r="B266" s="1187"/>
      <c r="C266" s="1187"/>
      <c r="D266" s="1187"/>
      <c r="E266" s="1187"/>
      <c r="F266" s="1187"/>
      <c r="G266" s="1187"/>
      <c r="H266" s="1187"/>
    </row>
    <row r="267" spans="1:8">
      <c r="A267" s="1188" t="s">
        <v>1026</v>
      </c>
      <c r="B267" s="1187"/>
      <c r="C267" s="1187"/>
      <c r="D267" s="1187"/>
      <c r="E267" s="1187"/>
      <c r="F267" s="1187"/>
      <c r="G267" s="1187"/>
      <c r="H267" s="1187"/>
    </row>
    <row r="268" spans="1:8">
      <c r="A268" s="1188" t="s">
        <v>1027</v>
      </c>
      <c r="B268" s="1187"/>
      <c r="C268" s="1187"/>
      <c r="D268" s="1187"/>
      <c r="E268" s="1187"/>
      <c r="F268" s="1187"/>
      <c r="G268" s="1187"/>
      <c r="H268" s="1187"/>
    </row>
    <row r="269" spans="1:8">
      <c r="A269" s="1188" t="s">
        <v>1028</v>
      </c>
      <c r="B269" s="1187"/>
      <c r="C269" s="1187"/>
      <c r="D269" s="1187"/>
      <c r="E269" s="1187"/>
      <c r="F269" s="1187"/>
      <c r="G269" s="1187"/>
      <c r="H269" s="1187"/>
    </row>
    <row r="270" spans="1:8">
      <c r="A270" s="1188" t="s">
        <v>1029</v>
      </c>
      <c r="B270" s="1187"/>
      <c r="C270" s="1187"/>
      <c r="D270" s="1187"/>
      <c r="E270" s="1187"/>
      <c r="F270" s="1187"/>
      <c r="G270" s="1187"/>
      <c r="H270" s="1187"/>
    </row>
    <row r="271" spans="1:8">
      <c r="A271" s="1188" t="s">
        <v>1030</v>
      </c>
      <c r="B271" s="1187"/>
      <c r="C271" s="1187"/>
      <c r="D271" s="1187"/>
      <c r="E271" s="1187"/>
      <c r="F271" s="1187"/>
      <c r="G271" s="1187"/>
      <c r="H271" s="1187"/>
    </row>
    <row r="272" spans="1:8">
      <c r="A272" s="1188" t="s">
        <v>1031</v>
      </c>
      <c r="B272" s="1187"/>
      <c r="C272" s="1187"/>
      <c r="D272" s="1187"/>
      <c r="E272" s="1187"/>
      <c r="F272" s="1187"/>
      <c r="G272" s="1187"/>
      <c r="H272" s="1187"/>
    </row>
    <row r="273" spans="1:8">
      <c r="A273" s="1188" t="s">
        <v>1032</v>
      </c>
      <c r="B273" s="1187"/>
      <c r="C273" s="1187"/>
      <c r="D273" s="1187"/>
      <c r="E273" s="1187"/>
      <c r="F273" s="1187"/>
      <c r="G273" s="1187"/>
      <c r="H273" s="1187"/>
    </row>
    <row r="274" spans="1:8">
      <c r="A274" s="1188" t="s">
        <v>1033</v>
      </c>
      <c r="B274" s="1187"/>
      <c r="C274" s="1187"/>
      <c r="D274" s="1187"/>
      <c r="E274" s="1187"/>
      <c r="F274" s="1187"/>
      <c r="G274" s="1187"/>
      <c r="H274" s="1187"/>
    </row>
    <row r="275" spans="1:8">
      <c r="A275" s="1188" t="s">
        <v>1034</v>
      </c>
      <c r="B275" s="1187"/>
      <c r="C275" s="1187"/>
      <c r="D275" s="1187"/>
      <c r="E275" s="1187"/>
      <c r="F275" s="1187"/>
      <c r="G275" s="1187"/>
      <c r="H275" s="1187"/>
    </row>
    <row r="276" spans="1:8">
      <c r="A276" s="1188" t="s">
        <v>1035</v>
      </c>
      <c r="B276" s="1187"/>
      <c r="C276" s="1187"/>
      <c r="D276" s="1187"/>
      <c r="E276" s="1187"/>
      <c r="F276" s="1187"/>
      <c r="G276" s="1187"/>
      <c r="H276" s="1187"/>
    </row>
    <row r="277" spans="1:8">
      <c r="A277" s="1187"/>
      <c r="B277" s="1187"/>
      <c r="C277" s="1187"/>
      <c r="D277" s="1187"/>
      <c r="E277" s="1187"/>
      <c r="F277" s="1187"/>
      <c r="G277" s="1187"/>
      <c r="H277" s="1187"/>
    </row>
    <row r="278" spans="1:8">
      <c r="A278" s="1188" t="s">
        <v>1013</v>
      </c>
      <c r="B278" s="1187"/>
      <c r="C278" s="1187"/>
      <c r="D278" s="1187"/>
      <c r="E278" s="1187"/>
      <c r="F278" s="1187"/>
      <c r="G278" s="1187"/>
      <c r="H278" s="1187"/>
    </row>
    <row r="279" spans="1:8">
      <c r="A279" s="1188" t="s">
        <v>1014</v>
      </c>
      <c r="B279" s="1187"/>
      <c r="C279" s="1187"/>
      <c r="D279" s="1187"/>
      <c r="E279" s="1187"/>
      <c r="F279" s="1187"/>
      <c r="G279" s="1187"/>
      <c r="H279" s="1187"/>
    </row>
    <row r="280" spans="1:8">
      <c r="A280" s="1188" t="s">
        <v>1015</v>
      </c>
      <c r="B280" s="1187"/>
      <c r="C280" s="1187"/>
      <c r="D280" s="1187"/>
      <c r="E280" s="1187"/>
      <c r="F280" s="1187"/>
      <c r="G280" s="1187"/>
      <c r="H280" s="1187"/>
    </row>
    <row r="281" spans="1:8">
      <c r="A281" s="1188" t="s">
        <v>1016</v>
      </c>
      <c r="B281" s="1187"/>
      <c r="C281" s="1187"/>
      <c r="D281" s="1187"/>
      <c r="E281" s="1187"/>
      <c r="F281" s="1187"/>
      <c r="G281" s="1187"/>
      <c r="H281" s="1187"/>
    </row>
    <row r="282" spans="1:8">
      <c r="A282" s="1188" t="s">
        <v>1017</v>
      </c>
      <c r="B282" s="1187"/>
      <c r="C282" s="1187"/>
      <c r="D282" s="1187"/>
      <c r="E282" s="1187"/>
      <c r="F282" s="1187"/>
      <c r="G282" s="1187"/>
      <c r="H282" s="1187"/>
    </row>
    <row r="283" spans="1:8">
      <c r="A283" s="1188" t="s">
        <v>1018</v>
      </c>
      <c r="B283" s="1187"/>
      <c r="C283" s="1187"/>
      <c r="D283" s="1187"/>
      <c r="E283" s="1187"/>
      <c r="F283" s="1187"/>
      <c r="G283" s="1187"/>
      <c r="H283" s="1187"/>
    </row>
    <row r="284" spans="1:8">
      <c r="A284" s="1188" t="s">
        <v>1019</v>
      </c>
      <c r="B284" s="1187"/>
      <c r="C284" s="1187"/>
      <c r="D284" s="1187"/>
      <c r="E284" s="1187"/>
      <c r="F284" s="1187"/>
      <c r="G284" s="1187"/>
      <c r="H284" s="1187"/>
    </row>
    <row r="285" spans="1:8">
      <c r="A285" s="1187"/>
      <c r="B285" s="1187"/>
      <c r="C285" s="1187"/>
      <c r="D285" s="1187"/>
      <c r="E285" s="1187"/>
      <c r="F285" s="1187"/>
      <c r="G285" s="1187"/>
      <c r="H285" s="1187"/>
    </row>
    <row r="286" spans="1:8">
      <c r="A286" s="1188" t="s">
        <v>1004</v>
      </c>
      <c r="B286" s="1187"/>
      <c r="C286" s="1187"/>
      <c r="D286" s="1187"/>
      <c r="E286" s="1187"/>
      <c r="F286" s="1187"/>
      <c r="G286" s="1187"/>
      <c r="H286" s="1187"/>
    </row>
    <row r="287" spans="1:8">
      <c r="A287" s="1188" t="s">
        <v>1005</v>
      </c>
      <c r="B287" s="1187"/>
      <c r="C287" s="1187"/>
      <c r="D287" s="1187"/>
      <c r="E287" s="1187"/>
      <c r="F287" s="1187"/>
      <c r="G287" s="1187"/>
      <c r="H287" s="1187"/>
    </row>
    <row r="288" spans="1:8">
      <c r="A288" s="1188" t="s">
        <v>1006</v>
      </c>
      <c r="B288" s="1187"/>
      <c r="C288" s="1187"/>
      <c r="D288" s="1187"/>
      <c r="E288" s="1187"/>
      <c r="F288" s="1187"/>
      <c r="G288" s="1187"/>
      <c r="H288" s="1187"/>
    </row>
    <row r="289" spans="1:8">
      <c r="A289" s="1188" t="s">
        <v>1007</v>
      </c>
      <c r="B289" s="1187"/>
      <c r="C289" s="1187"/>
      <c r="D289" s="1187"/>
      <c r="E289" s="1187"/>
      <c r="F289" s="1187"/>
      <c r="G289" s="1187"/>
      <c r="H289" s="1187"/>
    </row>
    <row r="290" spans="1:8">
      <c r="A290" s="1188" t="s">
        <v>1008</v>
      </c>
      <c r="B290" s="1187"/>
      <c r="C290" s="1187"/>
      <c r="D290" s="1187"/>
      <c r="E290" s="1187"/>
      <c r="F290" s="1187"/>
      <c r="G290" s="1187"/>
      <c r="H290" s="1187"/>
    </row>
    <row r="291" spans="1:8">
      <c r="A291" s="1188" t="s">
        <v>1009</v>
      </c>
      <c r="B291" s="1187"/>
      <c r="C291" s="1187"/>
      <c r="D291" s="1187"/>
      <c r="E291" s="1187"/>
      <c r="F291" s="1187"/>
      <c r="G291" s="1187"/>
      <c r="H291" s="1187"/>
    </row>
    <row r="292" spans="1:8">
      <c r="A292" s="1188" t="s">
        <v>1010</v>
      </c>
      <c r="B292" s="1187"/>
      <c r="C292" s="1187"/>
      <c r="D292" s="1187"/>
      <c r="E292" s="1187"/>
      <c r="F292" s="1187"/>
      <c r="G292" s="1187"/>
      <c r="H292" s="1187"/>
    </row>
    <row r="293" spans="1:8">
      <c r="A293" s="1188" t="s">
        <v>1011</v>
      </c>
      <c r="B293" s="1187"/>
      <c r="C293" s="1187"/>
      <c r="D293" s="1187"/>
      <c r="E293" s="1187"/>
      <c r="F293" s="1187"/>
      <c r="G293" s="1187"/>
      <c r="H293" s="1187"/>
    </row>
    <row r="294" spans="1:8">
      <c r="A294" s="1188" t="s">
        <v>1012</v>
      </c>
      <c r="B294" s="1187"/>
      <c r="C294" s="1187"/>
      <c r="D294" s="1187"/>
      <c r="E294" s="1187"/>
      <c r="F294" s="1187"/>
      <c r="G294" s="1187"/>
      <c r="H294" s="1187"/>
    </row>
    <row r="295" spans="1:8">
      <c r="A295" s="1187"/>
      <c r="B295" s="1187"/>
      <c r="C295" s="1187"/>
      <c r="D295" s="1187"/>
      <c r="E295" s="1187"/>
      <c r="F295" s="1187"/>
      <c r="G295" s="1187"/>
      <c r="H295" s="1187"/>
    </row>
    <row r="296" spans="1:8">
      <c r="A296" s="1188" t="s">
        <v>997</v>
      </c>
      <c r="B296" s="1187"/>
      <c r="C296" s="1187"/>
      <c r="D296" s="1187"/>
      <c r="E296" s="1187"/>
      <c r="F296" s="1187"/>
      <c r="G296" s="1187"/>
      <c r="H296" s="1187"/>
    </row>
    <row r="297" spans="1:8">
      <c r="A297" s="1188" t="s">
        <v>998</v>
      </c>
      <c r="B297" s="1187"/>
      <c r="C297" s="1187"/>
      <c r="D297" s="1187"/>
      <c r="E297" s="1187"/>
      <c r="F297" s="1187"/>
      <c r="G297" s="1187"/>
      <c r="H297" s="1187"/>
    </row>
    <row r="298" spans="1:8">
      <c r="A298" s="1188" t="s">
        <v>999</v>
      </c>
      <c r="B298" s="1187"/>
      <c r="C298" s="1187"/>
      <c r="D298" s="1187"/>
      <c r="E298" s="1187"/>
      <c r="F298" s="1187"/>
      <c r="G298" s="1187"/>
      <c r="H298" s="1187"/>
    </row>
    <row r="299" spans="1:8">
      <c r="A299" s="1188" t="s">
        <v>1000</v>
      </c>
      <c r="B299" s="1187"/>
      <c r="C299" s="1187"/>
      <c r="D299" s="1187"/>
      <c r="E299" s="1187"/>
      <c r="F299" s="1187"/>
      <c r="G299" s="1187"/>
      <c r="H299" s="1187"/>
    </row>
    <row r="300" spans="1:8">
      <c r="A300" s="1188" t="s">
        <v>1001</v>
      </c>
      <c r="B300" s="1187"/>
      <c r="C300" s="1187"/>
      <c r="D300" s="1187"/>
      <c r="E300" s="1187"/>
      <c r="F300" s="1187"/>
      <c r="G300" s="1187"/>
      <c r="H300" s="1187"/>
    </row>
    <row r="301" spans="1:8">
      <c r="A301" s="1188" t="s">
        <v>1002</v>
      </c>
      <c r="B301" s="1187"/>
      <c r="C301" s="1187"/>
      <c r="D301" s="1187"/>
      <c r="E301" s="1187"/>
      <c r="F301" s="1187"/>
      <c r="G301" s="1187"/>
      <c r="H301" s="1187"/>
    </row>
    <row r="302" spans="1:8">
      <c r="A302" s="1188" t="s">
        <v>1003</v>
      </c>
      <c r="B302" s="1187"/>
      <c r="C302" s="1187"/>
      <c r="D302" s="1187"/>
      <c r="E302" s="1187"/>
      <c r="F302" s="1187"/>
      <c r="G302" s="1187"/>
      <c r="H302" s="1187"/>
    </row>
    <row r="303" spans="1:8">
      <c r="A303" s="1187"/>
      <c r="B303" s="1187"/>
      <c r="C303" s="1187"/>
      <c r="D303" s="1187"/>
      <c r="E303" s="1187"/>
      <c r="F303" s="1187"/>
      <c r="G303" s="1187"/>
      <c r="H303" s="1187"/>
    </row>
    <row r="304" spans="1:8">
      <c r="A304" s="1188" t="s">
        <v>994</v>
      </c>
      <c r="B304" s="1187"/>
      <c r="C304" s="1187"/>
      <c r="D304" s="1187"/>
      <c r="E304" s="1187"/>
      <c r="F304" s="1187"/>
      <c r="G304" s="1187"/>
      <c r="H304" s="1187"/>
    </row>
    <row r="305" spans="1:8">
      <c r="A305" s="1188" t="s">
        <v>995</v>
      </c>
      <c r="B305" s="1187"/>
      <c r="C305" s="1187"/>
      <c r="D305" s="1187"/>
      <c r="E305" s="1187"/>
      <c r="F305" s="1187"/>
      <c r="G305" s="1187"/>
      <c r="H305" s="1187"/>
    </row>
    <row r="306" spans="1:8">
      <c r="A306" s="1188" t="s">
        <v>996</v>
      </c>
      <c r="B306" s="1187"/>
      <c r="C306" s="1187"/>
      <c r="D306" s="1187"/>
      <c r="E306" s="1187"/>
      <c r="F306" s="1187"/>
      <c r="G306" s="1187"/>
      <c r="H306" s="1187"/>
    </row>
    <row r="307" spans="1:8">
      <c r="A307" s="1187"/>
      <c r="B307" s="1187"/>
      <c r="C307" s="1187"/>
      <c r="D307" s="1187"/>
      <c r="E307" s="1187"/>
      <c r="F307" s="1187"/>
      <c r="G307" s="1187"/>
      <c r="H307" s="1187"/>
    </row>
    <row r="308" spans="1:8">
      <c r="A308" s="1188" t="s">
        <v>992</v>
      </c>
      <c r="B308" s="1187"/>
      <c r="C308" s="1187"/>
      <c r="D308" s="1187"/>
      <c r="E308" s="1187"/>
      <c r="F308" s="1187"/>
      <c r="G308" s="1187"/>
      <c r="H308" s="1187"/>
    </row>
    <row r="309" spans="1:8">
      <c r="A309" s="1188" t="s">
        <v>993</v>
      </c>
      <c r="B309" s="1187"/>
      <c r="C309" s="1187"/>
      <c r="D309" s="1187"/>
      <c r="E309" s="1187"/>
      <c r="F309" s="1187"/>
      <c r="G309" s="1187"/>
      <c r="H309" s="1187"/>
    </row>
    <row r="310" spans="1:8">
      <c r="A310" s="1187"/>
      <c r="B310" s="1187"/>
      <c r="C310" s="1187"/>
      <c r="D310" s="1187"/>
      <c r="E310" s="1187"/>
      <c r="F310" s="1187"/>
      <c r="G310" s="1187"/>
      <c r="H310" s="1187"/>
    </row>
    <row r="311" spans="1:8">
      <c r="A311" s="1188" t="s">
        <v>979</v>
      </c>
      <c r="B311" s="1187"/>
      <c r="C311" s="1187"/>
      <c r="D311" s="1187"/>
      <c r="E311" s="1187"/>
      <c r="F311" s="1187"/>
      <c r="G311" s="1187"/>
      <c r="H311" s="1187"/>
    </row>
    <row r="312" spans="1:8">
      <c r="A312" s="1188" t="s">
        <v>980</v>
      </c>
      <c r="B312" s="1187"/>
      <c r="C312" s="1187"/>
      <c r="D312" s="1187"/>
      <c r="E312" s="1187"/>
      <c r="F312" s="1187"/>
      <c r="G312" s="1187"/>
      <c r="H312" s="1187"/>
    </row>
    <row r="313" spans="1:8">
      <c r="A313" s="1188" t="s">
        <v>981</v>
      </c>
      <c r="B313" s="1187"/>
      <c r="C313" s="1187"/>
      <c r="D313" s="1187"/>
      <c r="E313" s="1187"/>
      <c r="F313" s="1187"/>
      <c r="G313" s="1187"/>
      <c r="H313" s="1187"/>
    </row>
    <row r="314" spans="1:8">
      <c r="A314" s="1188" t="s">
        <v>982</v>
      </c>
      <c r="B314" s="1187"/>
      <c r="C314" s="1187"/>
      <c r="D314" s="1187"/>
      <c r="E314" s="1187"/>
      <c r="F314" s="1187"/>
      <c r="G314" s="1187"/>
      <c r="H314" s="1187"/>
    </row>
    <row r="315" spans="1:8">
      <c r="A315" s="1188" t="s">
        <v>983</v>
      </c>
      <c r="B315" s="1187"/>
      <c r="C315" s="1187"/>
      <c r="D315" s="1187"/>
      <c r="E315" s="1187"/>
      <c r="F315" s="1187"/>
      <c r="G315" s="1187"/>
      <c r="H315" s="1187"/>
    </row>
    <row r="316" spans="1:8">
      <c r="A316" s="1188" t="s">
        <v>984</v>
      </c>
      <c r="B316" s="1187"/>
      <c r="C316" s="1187"/>
      <c r="D316" s="1187"/>
      <c r="E316" s="1187"/>
      <c r="F316" s="1187"/>
      <c r="G316" s="1187"/>
      <c r="H316" s="1187"/>
    </row>
    <row r="317" spans="1:8">
      <c r="A317" s="1188" t="s">
        <v>985</v>
      </c>
      <c r="B317" s="1187"/>
      <c r="C317" s="1187"/>
      <c r="D317" s="1187"/>
      <c r="E317" s="1187"/>
      <c r="F317" s="1187"/>
      <c r="G317" s="1187"/>
      <c r="H317" s="1187"/>
    </row>
    <row r="318" spans="1:8">
      <c r="A318" s="1188" t="s">
        <v>986</v>
      </c>
      <c r="B318" s="1187"/>
      <c r="C318" s="1187"/>
      <c r="D318" s="1187"/>
      <c r="E318" s="1187"/>
      <c r="F318" s="1187"/>
      <c r="G318" s="1187"/>
      <c r="H318" s="1187"/>
    </row>
    <row r="319" spans="1:8">
      <c r="A319" s="1188" t="s">
        <v>987</v>
      </c>
      <c r="B319" s="1187"/>
      <c r="C319" s="1187"/>
      <c r="D319" s="1187"/>
      <c r="E319" s="1187"/>
      <c r="F319" s="1187"/>
      <c r="G319" s="1187"/>
      <c r="H319" s="1187"/>
    </row>
    <row r="320" spans="1:8">
      <c r="A320" s="1188" t="s">
        <v>988</v>
      </c>
      <c r="B320" s="1187"/>
      <c r="C320" s="1187"/>
      <c r="D320" s="1187"/>
      <c r="E320" s="1187"/>
      <c r="F320" s="1187"/>
      <c r="G320" s="1187"/>
      <c r="H320" s="1187"/>
    </row>
    <row r="321" spans="1:8">
      <c r="A321" s="1188" t="s">
        <v>989</v>
      </c>
      <c r="B321" s="1187"/>
      <c r="C321" s="1187"/>
      <c r="D321" s="1187"/>
      <c r="E321" s="1187"/>
      <c r="F321" s="1187"/>
      <c r="G321" s="1187"/>
      <c r="H321" s="1187"/>
    </row>
    <row r="322" spans="1:8">
      <c r="A322" s="1188" t="s">
        <v>990</v>
      </c>
      <c r="B322" s="1187"/>
      <c r="C322" s="1187"/>
      <c r="D322" s="1187"/>
      <c r="E322" s="1187"/>
      <c r="F322" s="1187"/>
      <c r="G322" s="1187"/>
      <c r="H322" s="1187"/>
    </row>
    <row r="323" spans="1:8">
      <c r="A323" s="1188" t="s">
        <v>991</v>
      </c>
      <c r="B323" s="1187"/>
      <c r="C323" s="1187"/>
      <c r="D323" s="1187"/>
      <c r="E323" s="1187"/>
      <c r="F323" s="1187"/>
      <c r="G323" s="1187"/>
      <c r="H323" s="1187"/>
    </row>
    <row r="324" spans="1:8">
      <c r="A324" s="1187"/>
      <c r="B324" s="1187"/>
      <c r="C324" s="1187"/>
      <c r="D324" s="1187"/>
      <c r="E324" s="1187"/>
      <c r="F324" s="1187"/>
      <c r="G324" s="1187"/>
      <c r="H324" s="1187"/>
    </row>
    <row r="325" spans="1:8">
      <c r="A325" s="1188" t="s">
        <v>971</v>
      </c>
      <c r="B325" s="1187"/>
      <c r="C325" s="1187"/>
      <c r="D325" s="1187"/>
      <c r="E325" s="1187"/>
      <c r="F325" s="1187"/>
      <c r="G325" s="1187"/>
      <c r="H325" s="1187"/>
    </row>
    <row r="326" spans="1:8">
      <c r="A326" s="1188" t="s">
        <v>972</v>
      </c>
      <c r="B326" s="1187"/>
      <c r="C326" s="1187"/>
      <c r="D326" s="1187"/>
      <c r="E326" s="1187"/>
      <c r="F326" s="1187"/>
      <c r="G326" s="1187"/>
      <c r="H326" s="1187"/>
    </row>
    <row r="327" spans="1:8">
      <c r="A327" s="1188" t="s">
        <v>973</v>
      </c>
      <c r="B327" s="1187"/>
      <c r="C327" s="1187"/>
      <c r="D327" s="1187"/>
      <c r="E327" s="1187"/>
      <c r="F327" s="1187"/>
      <c r="G327" s="1187"/>
      <c r="H327" s="1187"/>
    </row>
    <row r="328" spans="1:8">
      <c r="A328" s="1188" t="s">
        <v>974</v>
      </c>
      <c r="B328" s="1187"/>
      <c r="C328" s="1187"/>
      <c r="D328" s="1187"/>
      <c r="E328" s="1187"/>
      <c r="F328" s="1187"/>
      <c r="G328" s="1187"/>
      <c r="H328" s="1187"/>
    </row>
    <row r="329" spans="1:8">
      <c r="A329" s="1188" t="s">
        <v>975</v>
      </c>
      <c r="B329" s="1187"/>
      <c r="C329" s="1187"/>
      <c r="D329" s="1187"/>
      <c r="E329" s="1187"/>
      <c r="F329" s="1187"/>
      <c r="G329" s="1187"/>
      <c r="H329" s="1187"/>
    </row>
    <row r="330" spans="1:8">
      <c r="A330" s="1188" t="s">
        <v>976</v>
      </c>
      <c r="B330" s="1187"/>
      <c r="C330" s="1187"/>
      <c r="D330" s="1187"/>
      <c r="E330" s="1187"/>
      <c r="F330" s="1187"/>
      <c r="G330" s="1187"/>
      <c r="H330" s="1187"/>
    </row>
    <row r="331" spans="1:8">
      <c r="A331" s="1188" t="s">
        <v>977</v>
      </c>
      <c r="B331" s="1187"/>
      <c r="C331" s="1187"/>
      <c r="D331" s="1187"/>
      <c r="E331" s="1187"/>
      <c r="F331" s="1187"/>
      <c r="G331" s="1187"/>
      <c r="H331" s="1187"/>
    </row>
    <row r="332" spans="1:8">
      <c r="A332" s="1188" t="s">
        <v>978</v>
      </c>
      <c r="B332" s="1187"/>
      <c r="C332" s="1187"/>
      <c r="D332" s="1187"/>
      <c r="E332" s="1187"/>
      <c r="F332" s="1187"/>
      <c r="G332" s="1187"/>
      <c r="H332" s="1187"/>
    </row>
    <row r="333" spans="1:8">
      <c r="A333" s="1187"/>
      <c r="B333" s="1187"/>
      <c r="C333" s="1187"/>
      <c r="D333" s="1187"/>
      <c r="E333" s="1187"/>
      <c r="F333" s="1187"/>
      <c r="G333" s="1187"/>
      <c r="H333" s="1187"/>
    </row>
    <row r="334" spans="1:8">
      <c r="A334" s="1188" t="s">
        <v>936</v>
      </c>
      <c r="B334" s="1187"/>
      <c r="C334" s="1187"/>
      <c r="D334" s="1187"/>
      <c r="E334" s="1187"/>
      <c r="F334" s="1187"/>
      <c r="G334" s="1187"/>
      <c r="H334" s="1187"/>
    </row>
    <row r="335" spans="1:8">
      <c r="A335" s="1188" t="s">
        <v>937</v>
      </c>
      <c r="B335" s="1187"/>
      <c r="C335" s="1187"/>
      <c r="D335" s="1187"/>
      <c r="E335" s="1187"/>
      <c r="F335" s="1187"/>
      <c r="G335" s="1187"/>
      <c r="H335" s="1187"/>
    </row>
    <row r="336" spans="1:8">
      <c r="A336" s="1188" t="s">
        <v>938</v>
      </c>
      <c r="B336" s="1187"/>
      <c r="C336" s="1187"/>
      <c r="D336" s="1187"/>
      <c r="E336" s="1187"/>
      <c r="F336" s="1187"/>
      <c r="G336" s="1187"/>
      <c r="H336" s="1187"/>
    </row>
    <row r="337" spans="1:8">
      <c r="A337" s="1188" t="s">
        <v>939</v>
      </c>
      <c r="B337" s="1187"/>
      <c r="C337" s="1187"/>
      <c r="D337" s="1187"/>
      <c r="E337" s="1187"/>
      <c r="F337" s="1187"/>
      <c r="G337" s="1187"/>
      <c r="H337" s="1187"/>
    </row>
    <row r="338" spans="1:8">
      <c r="A338" s="1188" t="s">
        <v>940</v>
      </c>
      <c r="B338" s="1187"/>
      <c r="C338" s="1187"/>
      <c r="D338" s="1187"/>
      <c r="E338" s="1187"/>
      <c r="F338" s="1187"/>
      <c r="G338" s="1187"/>
      <c r="H338" s="1187"/>
    </row>
    <row r="339" spans="1:8">
      <c r="A339" s="1188" t="s">
        <v>941</v>
      </c>
      <c r="B339" s="1187"/>
      <c r="C339" s="1187"/>
      <c r="D339" s="1187"/>
      <c r="E339" s="1187"/>
      <c r="F339" s="1187"/>
      <c r="G339" s="1187"/>
      <c r="H339" s="1187"/>
    </row>
    <row r="340" spans="1:8">
      <c r="A340" s="1188" t="s">
        <v>942</v>
      </c>
      <c r="B340" s="1187"/>
      <c r="C340" s="1187"/>
      <c r="D340" s="1187"/>
      <c r="E340" s="1187"/>
      <c r="F340" s="1187"/>
      <c r="G340" s="1187"/>
      <c r="H340" s="1187"/>
    </row>
    <row r="341" spans="1:8">
      <c r="A341" s="1188" t="s">
        <v>943</v>
      </c>
      <c r="B341" s="1187"/>
      <c r="C341" s="1187"/>
      <c r="D341" s="1187"/>
      <c r="E341" s="1187"/>
      <c r="F341" s="1187"/>
      <c r="G341" s="1187"/>
      <c r="H341" s="1187"/>
    </row>
    <row r="342" spans="1:8">
      <c r="A342" s="1188" t="s">
        <v>944</v>
      </c>
      <c r="B342" s="1187"/>
      <c r="C342" s="1187"/>
      <c r="D342" s="1187"/>
      <c r="E342" s="1187"/>
      <c r="F342" s="1187"/>
      <c r="G342" s="1187"/>
      <c r="H342" s="1187"/>
    </row>
    <row r="343" spans="1:8">
      <c r="A343" s="1188" t="s">
        <v>945</v>
      </c>
      <c r="B343" s="1187"/>
      <c r="C343" s="1187"/>
      <c r="D343" s="1187"/>
      <c r="E343" s="1187"/>
      <c r="F343" s="1187"/>
      <c r="G343" s="1187"/>
      <c r="H343" s="1187"/>
    </row>
    <row r="344" spans="1:8">
      <c r="A344" s="1188" t="s">
        <v>946</v>
      </c>
      <c r="B344" s="1187"/>
      <c r="C344" s="1187"/>
      <c r="D344" s="1187"/>
      <c r="E344" s="1187"/>
      <c r="F344" s="1187"/>
      <c r="G344" s="1187"/>
      <c r="H344" s="1187"/>
    </row>
    <row r="345" spans="1:8">
      <c r="A345" s="1188" t="s">
        <v>947</v>
      </c>
      <c r="B345" s="1187"/>
      <c r="C345" s="1187"/>
      <c r="D345" s="1187"/>
      <c r="E345" s="1187"/>
      <c r="F345" s="1187"/>
      <c r="G345" s="1187"/>
      <c r="H345" s="1187"/>
    </row>
    <row r="346" spans="1:8">
      <c r="A346" s="1188" t="s">
        <v>948</v>
      </c>
      <c r="B346" s="1187"/>
      <c r="C346" s="1187"/>
      <c r="D346" s="1187"/>
      <c r="E346" s="1187"/>
      <c r="F346" s="1187"/>
      <c r="G346" s="1187"/>
      <c r="H346" s="1187"/>
    </row>
    <row r="347" spans="1:8">
      <c r="A347" s="1188" t="s">
        <v>949</v>
      </c>
      <c r="B347" s="1187"/>
      <c r="C347" s="1187"/>
      <c r="D347" s="1187"/>
      <c r="E347" s="1187"/>
      <c r="F347" s="1187"/>
      <c r="G347" s="1187"/>
      <c r="H347" s="1187"/>
    </row>
    <row r="348" spans="1:8">
      <c r="A348" s="1188" t="s">
        <v>950</v>
      </c>
      <c r="B348" s="1187"/>
      <c r="C348" s="1187"/>
      <c r="D348" s="1187"/>
      <c r="E348" s="1187"/>
      <c r="F348" s="1187"/>
      <c r="G348" s="1187"/>
      <c r="H348" s="1187"/>
    </row>
    <row r="349" spans="1:8">
      <c r="A349" s="1188" t="s">
        <v>951</v>
      </c>
      <c r="B349" s="1187"/>
      <c r="C349" s="1187"/>
      <c r="D349" s="1187"/>
      <c r="E349" s="1187"/>
      <c r="F349" s="1187"/>
      <c r="G349" s="1187"/>
      <c r="H349" s="1187"/>
    </row>
    <row r="350" spans="1:8">
      <c r="A350" s="1188" t="s">
        <v>952</v>
      </c>
      <c r="B350" s="1187"/>
      <c r="C350" s="1187"/>
      <c r="D350" s="1187"/>
      <c r="E350" s="1187"/>
      <c r="F350" s="1187"/>
      <c r="G350" s="1187"/>
      <c r="H350" s="1187"/>
    </row>
    <row r="351" spans="1:8">
      <c r="A351" s="1188" t="s">
        <v>953</v>
      </c>
      <c r="B351" s="1187"/>
      <c r="C351" s="1187"/>
      <c r="D351" s="1187"/>
      <c r="E351" s="1187"/>
      <c r="F351" s="1187"/>
      <c r="G351" s="1187"/>
      <c r="H351" s="1187"/>
    </row>
    <row r="352" spans="1:8">
      <c r="A352" s="1188" t="s">
        <v>954</v>
      </c>
      <c r="B352" s="1187"/>
      <c r="C352" s="1187"/>
      <c r="D352" s="1187"/>
      <c r="E352" s="1187"/>
      <c r="F352" s="1187"/>
      <c r="G352" s="1187"/>
      <c r="H352" s="1187"/>
    </row>
    <row r="353" spans="1:8">
      <c r="A353" s="1188" t="s">
        <v>955</v>
      </c>
      <c r="B353" s="1187"/>
      <c r="C353" s="1187"/>
      <c r="D353" s="1187"/>
      <c r="E353" s="1187"/>
      <c r="F353" s="1187"/>
      <c r="G353" s="1187"/>
      <c r="H353" s="1187"/>
    </row>
    <row r="354" spans="1:8">
      <c r="A354" s="1188" t="s">
        <v>956</v>
      </c>
      <c r="B354" s="1187"/>
      <c r="C354" s="1187"/>
      <c r="D354" s="1187"/>
      <c r="E354" s="1187"/>
      <c r="F354" s="1187"/>
      <c r="G354" s="1187"/>
      <c r="H354" s="1187"/>
    </row>
    <row r="355" spans="1:8">
      <c r="A355" s="1188" t="s">
        <v>957</v>
      </c>
      <c r="B355" s="1187"/>
      <c r="C355" s="1187"/>
      <c r="D355" s="1187"/>
      <c r="E355" s="1187"/>
      <c r="F355" s="1187"/>
      <c r="G355" s="1187"/>
      <c r="H355" s="1187"/>
    </row>
    <row r="356" spans="1:8">
      <c r="A356" s="1188" t="s">
        <v>958</v>
      </c>
      <c r="B356" s="1187"/>
      <c r="C356" s="1187"/>
      <c r="D356" s="1187"/>
      <c r="E356" s="1187"/>
      <c r="F356" s="1187"/>
      <c r="G356" s="1187"/>
      <c r="H356" s="1187"/>
    </row>
    <row r="357" spans="1:8">
      <c r="A357" s="1188" t="s">
        <v>959</v>
      </c>
      <c r="B357" s="1187"/>
      <c r="C357" s="1187"/>
      <c r="D357" s="1187"/>
      <c r="E357" s="1187"/>
      <c r="F357" s="1187"/>
      <c r="G357" s="1187"/>
      <c r="H357" s="1187"/>
    </row>
    <row r="358" spans="1:8">
      <c r="A358" s="1188" t="s">
        <v>960</v>
      </c>
      <c r="B358" s="1187"/>
      <c r="C358" s="1187"/>
      <c r="D358" s="1187"/>
      <c r="E358" s="1187"/>
      <c r="F358" s="1187"/>
      <c r="G358" s="1187"/>
      <c r="H358" s="1187"/>
    </row>
    <row r="359" spans="1:8">
      <c r="A359" s="1188" t="s">
        <v>961</v>
      </c>
      <c r="B359" s="1187"/>
      <c r="C359" s="1187"/>
      <c r="D359" s="1187"/>
      <c r="E359" s="1187"/>
      <c r="F359" s="1187"/>
      <c r="G359" s="1187"/>
      <c r="H359" s="1187"/>
    </row>
    <row r="360" spans="1:8">
      <c r="A360" s="1188" t="s">
        <v>962</v>
      </c>
      <c r="B360" s="1187"/>
      <c r="C360" s="1187"/>
      <c r="D360" s="1187"/>
      <c r="E360" s="1187"/>
      <c r="F360" s="1187"/>
      <c r="G360" s="1187"/>
      <c r="H360" s="1187"/>
    </row>
    <row r="361" spans="1:8">
      <c r="A361" s="1188" t="s">
        <v>963</v>
      </c>
      <c r="B361" s="1187"/>
      <c r="C361" s="1187"/>
      <c r="D361" s="1187"/>
      <c r="E361" s="1187"/>
      <c r="F361" s="1187"/>
      <c r="G361" s="1187"/>
      <c r="H361" s="1187"/>
    </row>
    <row r="362" spans="1:8">
      <c r="A362" s="1188" t="s">
        <v>964</v>
      </c>
      <c r="B362" s="1187"/>
      <c r="C362" s="1187"/>
      <c r="D362" s="1187"/>
      <c r="E362" s="1187"/>
      <c r="F362" s="1187"/>
      <c r="G362" s="1187"/>
      <c r="H362" s="1187"/>
    </row>
    <row r="363" spans="1:8">
      <c r="A363" s="1188" t="s">
        <v>965</v>
      </c>
      <c r="B363" s="1187"/>
      <c r="C363" s="1187"/>
      <c r="D363" s="1187"/>
      <c r="E363" s="1187"/>
      <c r="F363" s="1187"/>
      <c r="G363" s="1187"/>
      <c r="H363" s="1187"/>
    </row>
    <row r="364" spans="1:8">
      <c r="A364" s="1188" t="s">
        <v>966</v>
      </c>
      <c r="B364" s="1187"/>
      <c r="C364" s="1187"/>
      <c r="D364" s="1187"/>
      <c r="E364" s="1187"/>
      <c r="F364" s="1187"/>
      <c r="G364" s="1187"/>
      <c r="H364" s="1187"/>
    </row>
    <row r="365" spans="1:8">
      <c r="A365" s="1188" t="s">
        <v>967</v>
      </c>
      <c r="B365" s="1187"/>
      <c r="C365" s="1187"/>
      <c r="D365" s="1187"/>
      <c r="E365" s="1187"/>
      <c r="F365" s="1187"/>
      <c r="G365" s="1187"/>
      <c r="H365" s="1187"/>
    </row>
    <row r="366" spans="1:8">
      <c r="A366" s="1188" t="s">
        <v>968</v>
      </c>
      <c r="B366" s="1187"/>
      <c r="C366" s="1187"/>
      <c r="D366" s="1187"/>
      <c r="E366" s="1187"/>
      <c r="F366" s="1187"/>
      <c r="G366" s="1187"/>
      <c r="H366" s="1187"/>
    </row>
    <row r="367" spans="1:8">
      <c r="A367" s="1188" t="s">
        <v>969</v>
      </c>
      <c r="B367" s="1187"/>
      <c r="C367" s="1187"/>
      <c r="D367" s="1187"/>
      <c r="E367" s="1187"/>
      <c r="F367" s="1187"/>
      <c r="G367" s="1187"/>
      <c r="H367" s="1187"/>
    </row>
    <row r="368" spans="1:8">
      <c r="A368" s="1188" t="s">
        <v>970</v>
      </c>
      <c r="B368" s="1187"/>
      <c r="C368" s="1187"/>
      <c r="D368" s="1187"/>
      <c r="E368" s="1187"/>
      <c r="F368" s="1187"/>
      <c r="G368" s="1187"/>
      <c r="H368" s="1187"/>
    </row>
    <row r="369" spans="1:8">
      <c r="A369" s="1187"/>
      <c r="B369" s="1187"/>
      <c r="C369" s="1187"/>
      <c r="D369" s="1187"/>
      <c r="E369" s="1187"/>
      <c r="F369" s="1187"/>
      <c r="G369" s="1187"/>
      <c r="H369" s="1187"/>
    </row>
    <row r="370" spans="1:8">
      <c r="A370" s="1188" t="s">
        <v>928</v>
      </c>
      <c r="B370" s="1187"/>
      <c r="C370" s="1187"/>
      <c r="D370" s="1187"/>
      <c r="E370" s="1187"/>
      <c r="F370" s="1187"/>
      <c r="G370" s="1187"/>
      <c r="H370" s="1187"/>
    </row>
    <row r="371" spans="1:8">
      <c r="A371" s="1188" t="s">
        <v>932</v>
      </c>
      <c r="B371" s="1187"/>
      <c r="C371" s="1187"/>
      <c r="D371" s="1187"/>
      <c r="E371" s="1187"/>
      <c r="F371" s="1187"/>
      <c r="G371" s="1187"/>
      <c r="H371" s="1187"/>
    </row>
    <row r="372" spans="1:8">
      <c r="A372" s="1188" t="s">
        <v>933</v>
      </c>
      <c r="B372" s="1187"/>
      <c r="C372" s="1187"/>
      <c r="D372" s="1187"/>
      <c r="E372" s="1187"/>
      <c r="F372" s="1187"/>
      <c r="G372" s="1187"/>
      <c r="H372" s="1187"/>
    </row>
    <row r="373" spans="1:8">
      <c r="A373" s="1188" t="s">
        <v>934</v>
      </c>
      <c r="B373" s="1187"/>
      <c r="C373" s="1187"/>
      <c r="D373" s="1187"/>
      <c r="E373" s="1187"/>
      <c r="F373" s="1187"/>
      <c r="G373" s="1187"/>
      <c r="H373" s="1187"/>
    </row>
    <row r="374" spans="1:8">
      <c r="A374" s="1188" t="s">
        <v>935</v>
      </c>
      <c r="B374" s="1187"/>
      <c r="C374" s="1187"/>
      <c r="D374" s="1187"/>
      <c r="E374" s="1187"/>
      <c r="F374" s="1187"/>
      <c r="G374" s="1187"/>
      <c r="H374" s="1187"/>
    </row>
    <row r="375" spans="1:8">
      <c r="A375" s="1187"/>
      <c r="B375" s="1187"/>
      <c r="C375" s="1187"/>
      <c r="D375" s="1187"/>
      <c r="E375" s="1187"/>
      <c r="F375" s="1187"/>
      <c r="G375" s="1187"/>
      <c r="H375" s="1187"/>
    </row>
    <row r="376" spans="1:8">
      <c r="A376" s="1188" t="s">
        <v>928</v>
      </c>
      <c r="B376" s="1187"/>
      <c r="C376" s="1187"/>
      <c r="D376" s="1187"/>
      <c r="E376" s="1187"/>
      <c r="F376" s="1187"/>
      <c r="G376" s="1187"/>
      <c r="H376" s="1187"/>
    </row>
    <row r="377" spans="1:8">
      <c r="A377" s="1188" t="s">
        <v>929</v>
      </c>
      <c r="B377" s="1187"/>
      <c r="C377" s="1187"/>
      <c r="D377" s="1187"/>
      <c r="E377" s="1187"/>
      <c r="F377" s="1187"/>
      <c r="G377" s="1187"/>
      <c r="H377" s="1187"/>
    </row>
    <row r="378" spans="1:8">
      <c r="A378" s="1188" t="s">
        <v>930</v>
      </c>
      <c r="B378" s="1187"/>
      <c r="C378" s="1187"/>
      <c r="D378" s="1187"/>
      <c r="E378" s="1187"/>
      <c r="F378" s="1187"/>
      <c r="G378" s="1187"/>
      <c r="H378" s="1187"/>
    </row>
    <row r="379" spans="1:8">
      <c r="A379" s="1188" t="s">
        <v>931</v>
      </c>
      <c r="B379" s="1187"/>
      <c r="C379" s="1187"/>
      <c r="D379" s="1187"/>
      <c r="E379" s="1187"/>
      <c r="F379" s="1187"/>
      <c r="G379" s="1187"/>
      <c r="H379" s="1187"/>
    </row>
    <row r="380" spans="1:8">
      <c r="A380" s="1187"/>
      <c r="B380" s="1187"/>
      <c r="C380" s="1187"/>
      <c r="D380" s="1187"/>
      <c r="E380" s="1187"/>
      <c r="F380" s="1187"/>
      <c r="G380" s="1187"/>
      <c r="H380" s="1187"/>
    </row>
    <row r="381" spans="1:8">
      <c r="A381" s="1188" t="s">
        <v>922</v>
      </c>
      <c r="B381" s="1187"/>
      <c r="C381" s="1187"/>
      <c r="D381" s="1187"/>
      <c r="E381" s="1187"/>
      <c r="F381" s="1187"/>
      <c r="G381" s="1187"/>
      <c r="H381" s="1187"/>
    </row>
    <row r="382" spans="1:8">
      <c r="A382" s="1188" t="s">
        <v>923</v>
      </c>
      <c r="B382" s="1187"/>
      <c r="C382" s="1187"/>
      <c r="D382" s="1187"/>
      <c r="E382" s="1187"/>
      <c r="F382" s="1187"/>
      <c r="G382" s="1187"/>
      <c r="H382" s="1187"/>
    </row>
    <row r="383" spans="1:8">
      <c r="A383" s="1188" t="s">
        <v>924</v>
      </c>
      <c r="B383" s="1187"/>
      <c r="C383" s="1187"/>
      <c r="D383" s="1187"/>
      <c r="E383" s="1187"/>
      <c r="F383" s="1187"/>
      <c r="G383" s="1187"/>
      <c r="H383" s="1187"/>
    </row>
    <row r="384" spans="1:8">
      <c r="A384" s="1188" t="s">
        <v>925</v>
      </c>
      <c r="B384" s="1187"/>
      <c r="C384" s="1187"/>
      <c r="D384" s="1187"/>
      <c r="E384" s="1187"/>
      <c r="F384" s="1187"/>
      <c r="G384" s="1187"/>
      <c r="H384" s="1187"/>
    </row>
    <row r="385" spans="1:8">
      <c r="A385" s="1188" t="s">
        <v>926</v>
      </c>
      <c r="B385" s="1187"/>
      <c r="C385" s="1187"/>
      <c r="D385" s="1187"/>
      <c r="E385" s="1187"/>
      <c r="F385" s="1187"/>
      <c r="G385" s="1187"/>
      <c r="H385" s="1187"/>
    </row>
    <row r="386" spans="1:8">
      <c r="A386" s="1188" t="s">
        <v>927</v>
      </c>
      <c r="B386" s="1187"/>
      <c r="C386" s="1187"/>
      <c r="D386" s="1187"/>
      <c r="E386" s="1187"/>
      <c r="F386" s="1187"/>
      <c r="G386" s="1187"/>
      <c r="H386" s="1187"/>
    </row>
    <row r="387" spans="1:8">
      <c r="A387" s="1187"/>
      <c r="B387" s="1187"/>
      <c r="C387" s="1187"/>
      <c r="D387" s="1187"/>
      <c r="E387" s="1187"/>
      <c r="F387" s="1187"/>
      <c r="G387" s="1187"/>
      <c r="H387" s="1187"/>
    </row>
    <row r="388" spans="1:8">
      <c r="A388" s="1188" t="s">
        <v>917</v>
      </c>
      <c r="B388" s="1187"/>
      <c r="C388" s="1187"/>
      <c r="D388" s="1187"/>
      <c r="E388" s="1187"/>
      <c r="F388" s="1187"/>
      <c r="G388" s="1187"/>
      <c r="H388" s="1187"/>
    </row>
    <row r="389" spans="1:8">
      <c r="A389" s="1188" t="s">
        <v>918</v>
      </c>
      <c r="B389" s="1187"/>
      <c r="C389" s="1187"/>
      <c r="D389" s="1187"/>
      <c r="E389" s="1187"/>
      <c r="F389" s="1187"/>
      <c r="G389" s="1187"/>
      <c r="H389" s="1187"/>
    </row>
    <row r="390" spans="1:8">
      <c r="A390" s="1188" t="s">
        <v>919</v>
      </c>
      <c r="B390" s="1187"/>
      <c r="C390" s="1187"/>
      <c r="D390" s="1187"/>
      <c r="E390" s="1187"/>
      <c r="F390" s="1187"/>
      <c r="G390" s="1187"/>
      <c r="H390" s="1187"/>
    </row>
    <row r="391" spans="1:8">
      <c r="A391" s="1188" t="s">
        <v>920</v>
      </c>
      <c r="B391" s="1187"/>
      <c r="C391" s="1187"/>
      <c r="D391" s="1187"/>
      <c r="E391" s="1187"/>
      <c r="F391" s="1187"/>
      <c r="G391" s="1187"/>
      <c r="H391" s="1187"/>
    </row>
    <row r="392" spans="1:8">
      <c r="A392" s="1188" t="s">
        <v>921</v>
      </c>
      <c r="B392" s="1187"/>
      <c r="C392" s="1187"/>
      <c r="D392" s="1187"/>
      <c r="E392" s="1187"/>
      <c r="F392" s="1187"/>
      <c r="G392" s="1187"/>
      <c r="H392" s="1187"/>
    </row>
    <row r="393" spans="1:8">
      <c r="A393" s="1187"/>
      <c r="B393" s="1187"/>
      <c r="C393" s="1187"/>
      <c r="D393" s="1187"/>
      <c r="E393" s="1187"/>
      <c r="F393" s="1187"/>
      <c r="G393" s="1187"/>
      <c r="H393" s="1187"/>
    </row>
    <row r="394" spans="1:8">
      <c r="A394" s="1188" t="s">
        <v>915</v>
      </c>
      <c r="B394" s="1187"/>
      <c r="C394" s="1187"/>
      <c r="D394" s="1187"/>
      <c r="E394" s="1187"/>
      <c r="F394" s="1187"/>
      <c r="G394" s="1187"/>
      <c r="H394" s="1187"/>
    </row>
    <row r="395" spans="1:8">
      <c r="A395" s="1188" t="s">
        <v>916</v>
      </c>
      <c r="B395" s="1187"/>
      <c r="C395" s="1187"/>
      <c r="D395" s="1187"/>
      <c r="E395" s="1187"/>
      <c r="F395" s="1187"/>
      <c r="G395" s="1187"/>
      <c r="H395" s="1187"/>
    </row>
    <row r="397" spans="1:8">
      <c r="A397" s="1183" t="s">
        <v>1175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A1:DK142"/>
  <sheetViews>
    <sheetView showGridLines="0" zoomScale="85" zoomScaleNormal="85" workbookViewId="0">
      <pane xSplit="3" ySplit="6" topLeftCell="AS73" activePane="bottomRight" state="frozen"/>
      <selection activeCell="AZ133" activeCellId="1" sqref="AZ131:BC131 AZ133:BC133"/>
      <selection pane="topRight" activeCell="AZ133" activeCellId="1" sqref="AZ131:BC131 AZ133:BC133"/>
      <selection pane="bottomLeft" activeCell="AZ133" activeCellId="1" sqref="AZ131:BC131 AZ133:BC133"/>
      <selection pane="bottomRight" activeCell="BE38" sqref="BE38"/>
    </sheetView>
  </sheetViews>
  <sheetFormatPr defaultRowHeight="14.25" customHeight="1" outlineLevelRow="1" outlineLevelCol="1"/>
  <cols>
    <col min="1" max="1" width="1.7109375" style="283" customWidth="1"/>
    <col min="2" max="2" width="47.28515625" style="283" customWidth="1"/>
    <col min="3" max="3" width="1.7109375" style="283" customWidth="1"/>
    <col min="4" max="35" width="11.42578125" style="283" customWidth="1" outlineLevel="1"/>
    <col min="36" max="36" width="10.85546875" style="283" customWidth="1" outlineLevel="1" collapsed="1"/>
    <col min="37" max="39" width="10.85546875" style="283" customWidth="1" outlineLevel="1"/>
    <col min="40" max="40" width="10.85546875" style="283" customWidth="1" outlineLevel="1" collapsed="1"/>
    <col min="41" max="41" width="10.85546875" style="283" customWidth="1" outlineLevel="1"/>
    <col min="42" max="44" width="9.7109375" style="283" customWidth="1" outlineLevel="1"/>
    <col min="45" max="45" width="10.85546875" style="283" customWidth="1" outlineLevel="1"/>
    <col min="46" max="47" width="9.7109375" style="283" customWidth="1" outlineLevel="1"/>
    <col min="48" max="48" width="9.7109375" style="283" customWidth="1" outlineLevel="1" collapsed="1"/>
    <col min="49" max="51" width="9.7109375" style="283" customWidth="1" outlineLevel="1"/>
    <col min="52" max="54" width="9.7109375" style="283" customWidth="1"/>
    <col min="55" max="55" width="10.7109375" style="283" customWidth="1"/>
    <col min="56" max="63" width="9.7109375" style="283" customWidth="1"/>
    <col min="64" max="67" width="9.7109375" style="283" hidden="1" customWidth="1" outlineLevel="1"/>
    <col min="68" max="68" width="2.7109375" style="484" customWidth="1" collapsed="1"/>
    <col min="69" max="78" width="11.42578125" style="283" hidden="1" customWidth="1" outlineLevel="1"/>
    <col min="79" max="80" width="10.7109375" style="283" hidden="1" customWidth="1" outlineLevel="1"/>
    <col min="81" max="81" width="10.7109375" style="283" customWidth="1" collapsed="1"/>
    <col min="82" max="83" width="10.7109375" style="283" customWidth="1"/>
    <col min="84" max="84" width="12.7109375" style="283" hidden="1" customWidth="1" outlineLevel="1"/>
    <col min="85" max="85" width="20.28515625" bestFit="1" customWidth="1" collapsed="1"/>
    <col min="86" max="86" width="11.42578125" customWidth="1"/>
    <col min="87" max="92" width="12.5703125" hidden="1" customWidth="1" outlineLevel="1"/>
    <col min="93" max="93" width="9.140625" customWidth="1" collapsed="1"/>
    <col min="94" max="98" width="9.140625" customWidth="1"/>
    <col min="104" max="114" width="9.140625" hidden="1" customWidth="1" outlineLevel="1"/>
    <col min="115" max="115" width="9.140625" collapsed="1"/>
  </cols>
  <sheetData>
    <row r="1" spans="1:107" ht="67.5" customHeight="1">
      <c r="A1" s="1"/>
      <c r="B1" s="298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1"/>
      <c r="AM1" s="1"/>
      <c r="AN1" s="2"/>
      <c r="AO1" s="1"/>
      <c r="AP1" s="2"/>
      <c r="AQ1" s="1"/>
      <c r="AR1" s="2"/>
      <c r="AS1" s="1"/>
      <c r="AT1" s="2"/>
      <c r="AU1" s="1"/>
      <c r="AV1" s="2"/>
      <c r="AW1" s="299" t="s">
        <v>494</v>
      </c>
      <c r="AX1" s="2"/>
      <c r="AY1" s="1"/>
      <c r="AZ1" s="2"/>
      <c r="BA1" s="1"/>
      <c r="BB1" s="2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2"/>
      <c r="BQ1" s="2"/>
      <c r="BR1" s="1"/>
      <c r="BS1" s="2"/>
      <c r="BT1" s="1"/>
      <c r="BU1" s="2"/>
      <c r="BV1" s="1"/>
      <c r="BW1" s="2"/>
      <c r="BX1" s="2"/>
      <c r="BY1" s="2"/>
      <c r="BZ1" s="2"/>
      <c r="CA1" s="2"/>
      <c r="CB1" s="2"/>
      <c r="CC1" s="2"/>
      <c r="CD1" s="2"/>
      <c r="CE1" s="2"/>
      <c r="CF1" s="2"/>
      <c r="CG1" s="1"/>
      <c r="CH1" s="2"/>
      <c r="CO1" s="1"/>
    </row>
    <row r="2" spans="1:107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6"/>
      <c r="R2" s="1"/>
      <c r="S2" s="5"/>
      <c r="T2" s="1"/>
      <c r="U2" s="1"/>
      <c r="V2" s="1"/>
      <c r="W2" s="1"/>
      <c r="X2" s="1"/>
      <c r="Y2" s="1"/>
      <c r="Z2" s="1"/>
      <c r="AA2" s="1"/>
      <c r="AB2" s="1"/>
      <c r="AC2" s="6"/>
      <c r="AD2" s="300"/>
      <c r="AE2" s="301"/>
      <c r="AF2" s="302"/>
      <c r="AG2" s="302" t="s">
        <v>494</v>
      </c>
      <c r="AH2" s="303"/>
      <c r="AI2" s="303"/>
      <c r="AJ2" s="303"/>
      <c r="AK2" s="303" t="s">
        <v>494</v>
      </c>
      <c r="AL2" s="303"/>
      <c r="AM2" s="303"/>
      <c r="AN2" s="303"/>
      <c r="AO2" s="303"/>
      <c r="AP2" s="303"/>
      <c r="AQ2" s="303"/>
      <c r="AR2" s="303"/>
      <c r="AS2" s="303"/>
      <c r="AT2" s="304"/>
      <c r="AU2" s="303"/>
      <c r="AV2" s="2"/>
      <c r="AW2" s="299" t="s">
        <v>494</v>
      </c>
      <c r="AX2" s="2"/>
      <c r="AY2" s="1"/>
      <c r="AZ2" s="2"/>
      <c r="BA2" s="1"/>
      <c r="BB2" s="2"/>
      <c r="BC2" s="1"/>
      <c r="BD2" s="1177"/>
      <c r="BE2" s="1177"/>
      <c r="BF2" s="1177"/>
      <c r="BG2" s="1177"/>
      <c r="BH2" s="303"/>
      <c r="BI2" s="303"/>
      <c r="BJ2" s="303"/>
      <c r="BK2" s="303"/>
      <c r="BL2" s="303"/>
      <c r="BM2" s="303"/>
      <c r="BN2" s="303"/>
      <c r="BO2" s="303"/>
      <c r="BP2" s="303"/>
      <c r="BQ2" s="303"/>
      <c r="BR2" s="303"/>
      <c r="BS2" s="303"/>
      <c r="BT2" s="303"/>
      <c r="BU2" s="303"/>
      <c r="BV2" s="303"/>
      <c r="BW2" s="303"/>
      <c r="BX2" s="303"/>
      <c r="BY2" s="303"/>
      <c r="BZ2" s="303"/>
      <c r="CA2" s="305"/>
      <c r="CB2" s="306"/>
      <c r="CC2" s="306"/>
      <c r="CD2" s="306"/>
      <c r="CE2" s="306"/>
      <c r="CF2" s="173"/>
      <c r="CG2" s="173"/>
      <c r="CH2" s="1"/>
      <c r="CO2" s="1"/>
      <c r="CZ2" t="s">
        <v>281</v>
      </c>
      <c r="DC2" t="s">
        <v>445</v>
      </c>
    </row>
    <row r="3" spans="1:107" ht="14.25" customHeight="1">
      <c r="A3" s="1"/>
      <c r="B3" s="307" t="s">
        <v>282</v>
      </c>
      <c r="C3" s="7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5"/>
      <c r="T3" s="1"/>
      <c r="U3" s="1"/>
      <c r="V3" s="1"/>
      <c r="W3" s="1"/>
      <c r="X3" s="1"/>
      <c r="Y3" s="1"/>
      <c r="Z3" s="1"/>
      <c r="AA3" s="1"/>
      <c r="AB3" s="1"/>
      <c r="AC3" s="1"/>
      <c r="AD3" s="1" t="s">
        <v>494</v>
      </c>
      <c r="AE3" s="308" t="s">
        <v>494</v>
      </c>
      <c r="AF3" s="309"/>
      <c r="AG3" s="309"/>
      <c r="AH3" s="310"/>
      <c r="AI3" s="310"/>
      <c r="AJ3" s="310"/>
      <c r="AK3" s="310"/>
      <c r="AL3" s="310"/>
      <c r="AM3" s="310" t="s">
        <v>494</v>
      </c>
      <c r="AN3" s="310" t="s">
        <v>494</v>
      </c>
      <c r="AO3" s="310" t="s">
        <v>494</v>
      </c>
      <c r="AP3" s="310" t="s">
        <v>494</v>
      </c>
      <c r="AQ3" s="310" t="s">
        <v>494</v>
      </c>
      <c r="AR3" s="310" t="s">
        <v>494</v>
      </c>
      <c r="AS3" s="310" t="s">
        <v>494</v>
      </c>
      <c r="AT3" s="310" t="s">
        <v>494</v>
      </c>
      <c r="AU3" s="310" t="s">
        <v>494</v>
      </c>
      <c r="AV3" s="2"/>
      <c r="AW3" s="299" t="s">
        <v>494</v>
      </c>
      <c r="AX3" s="2"/>
      <c r="AY3" s="1"/>
      <c r="AZ3" s="2"/>
      <c r="BA3" s="1"/>
      <c r="BB3" s="2"/>
      <c r="BC3" s="1"/>
      <c r="BD3" s="1178"/>
      <c r="BE3" s="1178"/>
      <c r="BF3" s="1178"/>
      <c r="BG3" s="1178"/>
      <c r="BH3" s="310"/>
      <c r="BI3" s="310"/>
      <c r="BJ3" s="310"/>
      <c r="BK3" s="310"/>
      <c r="BL3" s="310"/>
      <c r="BM3" s="310"/>
      <c r="BN3" s="310"/>
      <c r="BO3" s="310"/>
      <c r="BP3" s="310" t="s">
        <v>494</v>
      </c>
      <c r="BQ3" s="310" t="s">
        <v>494</v>
      </c>
      <c r="BR3" s="310" t="s">
        <v>494</v>
      </c>
      <c r="BS3" s="310" t="s">
        <v>494</v>
      </c>
      <c r="BT3" s="310" t="s">
        <v>494</v>
      </c>
      <c r="BU3" s="310" t="s">
        <v>494</v>
      </c>
      <c r="BV3" s="310" t="s">
        <v>494</v>
      </c>
      <c r="BW3" s="310" t="s">
        <v>494</v>
      </c>
      <c r="BX3" s="310" t="s">
        <v>494</v>
      </c>
      <c r="BY3" s="310" t="s">
        <v>494</v>
      </c>
      <c r="BZ3" s="310"/>
      <c r="CA3" s="310"/>
      <c r="CB3" s="312"/>
      <c r="CC3" s="312"/>
      <c r="CD3" s="312"/>
      <c r="CE3" s="312"/>
      <c r="CF3" s="173"/>
      <c r="CG3" s="173"/>
      <c r="CH3" s="1"/>
      <c r="CO3" s="1"/>
      <c r="CZ3" t="s">
        <v>282</v>
      </c>
      <c r="DC3" t="s">
        <v>446</v>
      </c>
    </row>
    <row r="4" spans="1:107" ht="14.25" customHeight="1">
      <c r="A4" s="8"/>
      <c r="B4" s="9" t="s">
        <v>9</v>
      </c>
      <c r="C4" s="1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11"/>
      <c r="T4" s="7"/>
      <c r="U4" s="7"/>
      <c r="V4" s="7"/>
      <c r="W4" s="7"/>
      <c r="X4" s="7"/>
      <c r="Y4" s="7"/>
      <c r="Z4" s="7"/>
      <c r="AA4" s="313"/>
      <c r="AB4" s="7"/>
      <c r="AC4" s="7"/>
      <c r="AD4" s="7"/>
      <c r="AE4" s="7"/>
      <c r="AF4" s="7"/>
      <c r="AG4" s="314"/>
      <c r="AH4" s="315" t="s">
        <v>494</v>
      </c>
      <c r="AI4" s="316"/>
      <c r="AJ4" s="317"/>
      <c r="AK4" s="309"/>
      <c r="AL4" s="309"/>
      <c r="AM4" s="173"/>
      <c r="AN4" s="7"/>
      <c r="AO4" s="309"/>
      <c r="AP4" s="7"/>
      <c r="AQ4" s="318" t="s">
        <v>494</v>
      </c>
      <c r="AR4" s="7"/>
      <c r="AS4" s="7"/>
      <c r="AT4" s="7"/>
      <c r="AU4" s="7"/>
      <c r="AV4" s="7"/>
      <c r="AW4" s="7"/>
      <c r="AX4" s="7"/>
      <c r="AY4" s="314" t="s">
        <v>494</v>
      </c>
      <c r="AZ4" s="7" t="s">
        <v>494</v>
      </c>
      <c r="BA4" s="7"/>
      <c r="BB4" s="1144"/>
      <c r="BC4" s="7"/>
      <c r="BD4" s="7"/>
      <c r="BE4" s="7"/>
      <c r="BF4" s="7"/>
      <c r="BG4" s="173"/>
      <c r="BH4" s="7"/>
      <c r="BI4" s="7"/>
      <c r="BJ4" s="7"/>
      <c r="BK4" s="173"/>
      <c r="BL4" s="7"/>
      <c r="BM4" s="7"/>
      <c r="BN4" s="7"/>
      <c r="BO4" s="173"/>
      <c r="BP4" s="12"/>
      <c r="BQ4" s="8"/>
      <c r="BR4" s="8"/>
      <c r="BS4" s="8"/>
      <c r="BT4" s="12"/>
      <c r="BU4" s="8"/>
      <c r="BV4" s="8"/>
      <c r="BW4" s="8"/>
      <c r="BX4" s="8"/>
      <c r="BY4" s="8" t="s">
        <v>494</v>
      </c>
      <c r="BZ4" s="8"/>
      <c r="CA4" s="8"/>
      <c r="CF4" s="8"/>
      <c r="CG4" s="8"/>
      <c r="CH4" s="8"/>
      <c r="CO4" s="8"/>
      <c r="CZ4" t="s">
        <v>283</v>
      </c>
      <c r="DC4" t="s">
        <v>447</v>
      </c>
    </row>
    <row r="5" spans="1:107" s="283" customFormat="1" ht="14.25" customHeight="1">
      <c r="A5" s="8"/>
      <c r="B5" s="284" t="s">
        <v>89</v>
      </c>
      <c r="C5" s="13"/>
      <c r="D5" s="285">
        <v>38442</v>
      </c>
      <c r="E5" s="286">
        <v>38533</v>
      </c>
      <c r="F5" s="286">
        <v>38625</v>
      </c>
      <c r="G5" s="287">
        <v>38717</v>
      </c>
      <c r="H5" s="285">
        <v>38807</v>
      </c>
      <c r="I5" s="286">
        <v>38898</v>
      </c>
      <c r="J5" s="286">
        <v>38990</v>
      </c>
      <c r="K5" s="287">
        <v>39082</v>
      </c>
      <c r="L5" s="285">
        <v>39172</v>
      </c>
      <c r="M5" s="286">
        <v>39263</v>
      </c>
      <c r="N5" s="286">
        <v>39355</v>
      </c>
      <c r="O5" s="287">
        <v>39447</v>
      </c>
      <c r="P5" s="285">
        <v>39538</v>
      </c>
      <c r="Q5" s="286">
        <v>39629</v>
      </c>
      <c r="R5" s="286">
        <v>39721</v>
      </c>
      <c r="S5" s="287">
        <v>39813</v>
      </c>
      <c r="T5" s="285">
        <v>39903</v>
      </c>
      <c r="U5" s="288">
        <v>39994</v>
      </c>
      <c r="V5" s="288">
        <v>40086</v>
      </c>
      <c r="W5" s="289">
        <v>40178</v>
      </c>
      <c r="X5" s="288">
        <v>40268</v>
      </c>
      <c r="Y5" s="288">
        <v>40359</v>
      </c>
      <c r="Z5" s="288">
        <v>40451</v>
      </c>
      <c r="AA5" s="289">
        <v>40543</v>
      </c>
      <c r="AB5" s="288">
        <v>40633</v>
      </c>
      <c r="AC5" s="288">
        <v>40724</v>
      </c>
      <c r="AD5" s="288">
        <v>40816</v>
      </c>
      <c r="AE5" s="289">
        <v>40908</v>
      </c>
      <c r="AF5" s="290">
        <v>40999</v>
      </c>
      <c r="AG5" s="288">
        <v>41090</v>
      </c>
      <c r="AH5" s="288">
        <v>41182</v>
      </c>
      <c r="AI5" s="289">
        <v>41274</v>
      </c>
      <c r="AJ5" s="291">
        <v>41364</v>
      </c>
      <c r="AK5" s="292">
        <v>41455</v>
      </c>
      <c r="AL5" s="292">
        <v>41547</v>
      </c>
      <c r="AM5" s="293">
        <v>41639</v>
      </c>
      <c r="AN5" s="290">
        <v>41729</v>
      </c>
      <c r="AO5" s="292">
        <v>41820</v>
      </c>
      <c r="AP5" s="288">
        <v>41912</v>
      </c>
      <c r="AQ5" s="293">
        <v>42004</v>
      </c>
      <c r="AR5" s="290">
        <v>42094</v>
      </c>
      <c r="AS5" s="288">
        <v>42185</v>
      </c>
      <c r="AT5" s="288">
        <v>42277</v>
      </c>
      <c r="AU5" s="293">
        <v>42369</v>
      </c>
      <c r="AV5" s="290">
        <v>42460</v>
      </c>
      <c r="AW5" s="288">
        <v>42551</v>
      </c>
      <c r="AX5" s="288">
        <v>42643</v>
      </c>
      <c r="AY5" s="293">
        <v>42735</v>
      </c>
      <c r="AZ5" s="294">
        <v>42825</v>
      </c>
      <c r="BA5" s="288">
        <v>42916</v>
      </c>
      <c r="BB5" s="288">
        <v>43008</v>
      </c>
      <c r="BC5" s="293">
        <v>43100</v>
      </c>
      <c r="BD5" s="290">
        <v>43190</v>
      </c>
      <c r="BE5" s="288">
        <v>43281</v>
      </c>
      <c r="BF5" s="288">
        <v>43373</v>
      </c>
      <c r="BG5" s="293">
        <v>43465</v>
      </c>
      <c r="BH5" s="290">
        <v>43555</v>
      </c>
      <c r="BI5" s="288">
        <v>43646</v>
      </c>
      <c r="BJ5" s="288">
        <v>43738</v>
      </c>
      <c r="BK5" s="293">
        <v>43830</v>
      </c>
      <c r="BL5" s="290">
        <v>43921</v>
      </c>
      <c r="BM5" s="288">
        <v>44012</v>
      </c>
      <c r="BN5" s="288">
        <v>44104</v>
      </c>
      <c r="BO5" s="293">
        <v>44196</v>
      </c>
      <c r="BP5" s="12"/>
      <c r="BQ5" s="8"/>
      <c r="BR5" s="8"/>
      <c r="BS5" s="8"/>
      <c r="BT5" s="12"/>
      <c r="BU5" s="8"/>
      <c r="BV5" s="8"/>
      <c r="BW5" s="8"/>
      <c r="BX5" s="8"/>
      <c r="BY5" s="8"/>
      <c r="BZ5" s="8"/>
      <c r="CA5" s="8"/>
      <c r="CF5" s="8"/>
      <c r="CG5" s="1148" t="s">
        <v>494</v>
      </c>
      <c r="CH5" s="8"/>
      <c r="CI5"/>
      <c r="CJ5"/>
      <c r="CK5"/>
      <c r="CL5"/>
      <c r="CM5"/>
      <c r="CN5"/>
      <c r="CO5" s="8"/>
    </row>
    <row r="6" spans="1:107" s="283" customFormat="1" ht="14.25" customHeight="1">
      <c r="A6" s="8"/>
      <c r="B6" s="15"/>
      <c r="C6" s="16"/>
      <c r="D6" s="17" t="s">
        <v>506</v>
      </c>
      <c r="E6" s="18" t="s">
        <v>507</v>
      </c>
      <c r="F6" s="18" t="s">
        <v>508</v>
      </c>
      <c r="G6" s="19" t="s">
        <v>509</v>
      </c>
      <c r="H6" s="17" t="s">
        <v>510</v>
      </c>
      <c r="I6" s="18" t="s">
        <v>511</v>
      </c>
      <c r="J6" s="18" t="s">
        <v>512</v>
      </c>
      <c r="K6" s="19" t="s">
        <v>513</v>
      </c>
      <c r="L6" s="17" t="s">
        <v>411</v>
      </c>
      <c r="M6" s="18" t="s">
        <v>412</v>
      </c>
      <c r="N6" s="18" t="s">
        <v>413</v>
      </c>
      <c r="O6" s="19" t="s">
        <v>414</v>
      </c>
      <c r="P6" s="17" t="s">
        <v>415</v>
      </c>
      <c r="Q6" s="18" t="s">
        <v>416</v>
      </c>
      <c r="R6" s="18" t="s">
        <v>417</v>
      </c>
      <c r="S6" s="19" t="s">
        <v>418</v>
      </c>
      <c r="T6" s="17" t="s">
        <v>419</v>
      </c>
      <c r="U6" s="18" t="s">
        <v>420</v>
      </c>
      <c r="V6" s="18" t="s">
        <v>421</v>
      </c>
      <c r="W6" s="19" t="s">
        <v>422</v>
      </c>
      <c r="X6" s="18" t="s">
        <v>423</v>
      </c>
      <c r="Y6" s="18" t="s">
        <v>424</v>
      </c>
      <c r="Z6" s="18" t="s">
        <v>425</v>
      </c>
      <c r="AA6" s="19" t="s">
        <v>426</v>
      </c>
      <c r="AB6" s="18" t="s">
        <v>427</v>
      </c>
      <c r="AC6" s="18" t="s">
        <v>428</v>
      </c>
      <c r="AD6" s="18" t="s">
        <v>514</v>
      </c>
      <c r="AE6" s="19" t="s">
        <v>515</v>
      </c>
      <c r="AF6" s="17" t="s">
        <v>516</v>
      </c>
      <c r="AG6" s="18" t="s">
        <v>522</v>
      </c>
      <c r="AH6" s="18" t="s">
        <v>21</v>
      </c>
      <c r="AI6" s="19" t="s">
        <v>27</v>
      </c>
      <c r="AJ6" s="17" t="s">
        <v>65</v>
      </c>
      <c r="AK6" s="18" t="s">
        <v>34</v>
      </c>
      <c r="AL6" s="18" t="s">
        <v>294</v>
      </c>
      <c r="AM6" s="19" t="s">
        <v>363</v>
      </c>
      <c r="AN6" s="17" t="s">
        <v>267</v>
      </c>
      <c r="AO6" s="18" t="s">
        <v>533</v>
      </c>
      <c r="AP6" s="18" t="s">
        <v>534</v>
      </c>
      <c r="AQ6" s="19" t="s">
        <v>539</v>
      </c>
      <c r="AR6" s="17" t="s">
        <v>540</v>
      </c>
      <c r="AS6" s="18" t="s">
        <v>541</v>
      </c>
      <c r="AT6" s="18" t="s">
        <v>542</v>
      </c>
      <c r="AU6" s="18" t="s">
        <v>546</v>
      </c>
      <c r="AV6" s="17" t="s">
        <v>547</v>
      </c>
      <c r="AW6" s="18" t="s">
        <v>548</v>
      </c>
      <c r="AX6" s="18" t="s">
        <v>549</v>
      </c>
      <c r="AY6" s="295" t="s">
        <v>849</v>
      </c>
      <c r="AZ6" s="296" t="s">
        <v>853</v>
      </c>
      <c r="BA6" s="295" t="s">
        <v>854</v>
      </c>
      <c r="BB6" s="295" t="s">
        <v>859</v>
      </c>
      <c r="BC6" s="295" t="s">
        <v>860</v>
      </c>
      <c r="BD6" s="296" t="s">
        <v>868</v>
      </c>
      <c r="BE6" s="295" t="s">
        <v>490</v>
      </c>
      <c r="BF6" s="295" t="s">
        <v>491</v>
      </c>
      <c r="BG6" s="295" t="s">
        <v>492</v>
      </c>
      <c r="BH6" s="296" t="s">
        <v>855</v>
      </c>
      <c r="BI6" s="295" t="s">
        <v>856</v>
      </c>
      <c r="BJ6" s="295" t="s">
        <v>857</v>
      </c>
      <c r="BK6" s="295" t="s">
        <v>858</v>
      </c>
      <c r="BL6" s="296" t="s">
        <v>861</v>
      </c>
      <c r="BM6" s="295" t="s">
        <v>862</v>
      </c>
      <c r="BN6" s="295" t="s">
        <v>863</v>
      </c>
      <c r="BO6" s="295" t="s">
        <v>864</v>
      </c>
      <c r="BP6" s="152"/>
      <c r="BQ6" s="17" t="s">
        <v>517</v>
      </c>
      <c r="BR6" s="18" t="s">
        <v>518</v>
      </c>
      <c r="BS6" s="18" t="s">
        <v>430</v>
      </c>
      <c r="BT6" s="18" t="s">
        <v>431</v>
      </c>
      <c r="BU6" s="18" t="s">
        <v>432</v>
      </c>
      <c r="BV6" s="19" t="s">
        <v>433</v>
      </c>
      <c r="BW6" s="18" t="s">
        <v>519</v>
      </c>
      <c r="BX6" s="18" t="s">
        <v>811</v>
      </c>
      <c r="BY6" s="18" t="s">
        <v>812</v>
      </c>
      <c r="BZ6" s="18" t="s">
        <v>580</v>
      </c>
      <c r="CA6" s="18" t="s">
        <v>581</v>
      </c>
      <c r="CB6" s="18" t="s">
        <v>852</v>
      </c>
      <c r="CC6" s="18" t="s">
        <v>434</v>
      </c>
      <c r="CD6" s="18" t="s">
        <v>435</v>
      </c>
      <c r="CE6" s="18" t="s">
        <v>436</v>
      </c>
      <c r="CF6" s="19" t="s">
        <v>865</v>
      </c>
      <c r="CG6" s="297"/>
      <c r="CH6" s="8"/>
      <c r="CI6"/>
      <c r="CJ6"/>
      <c r="CK6"/>
      <c r="CL6"/>
      <c r="CM6"/>
      <c r="CN6"/>
      <c r="CO6" s="8"/>
      <c r="CV6" s="282"/>
      <c r="CW6" s="282"/>
    </row>
    <row r="7" spans="1:107" ht="14.25" customHeight="1">
      <c r="A7" s="8"/>
      <c r="B7" s="320" t="s">
        <v>203</v>
      </c>
      <c r="C7" s="21"/>
      <c r="D7" s="321">
        <v>2702</v>
      </c>
      <c r="E7" s="22">
        <v>2971</v>
      </c>
      <c r="F7" s="22">
        <v>3339</v>
      </c>
      <c r="G7" s="322">
        <v>3324</v>
      </c>
      <c r="H7" s="321">
        <v>3334</v>
      </c>
      <c r="I7" s="22">
        <v>3697</v>
      </c>
      <c r="J7" s="22">
        <v>3761</v>
      </c>
      <c r="K7" s="322">
        <v>3463</v>
      </c>
      <c r="L7" s="321">
        <v>3191</v>
      </c>
      <c r="M7" s="22">
        <v>3424</v>
      </c>
      <c r="N7" s="22">
        <v>3663</v>
      </c>
      <c r="O7" s="322">
        <v>3556</v>
      </c>
      <c r="P7" s="321">
        <v>3272</v>
      </c>
      <c r="Q7" s="22">
        <v>3351</v>
      </c>
      <c r="R7" s="22">
        <v>3387</v>
      </c>
      <c r="S7" s="323">
        <f>12501-R7-Q7-P7</f>
        <v>2491</v>
      </c>
      <c r="T7" s="321">
        <v>2086</v>
      </c>
      <c r="U7" s="22">
        <v>2457</v>
      </c>
      <c r="V7" s="22">
        <v>2880</v>
      </c>
      <c r="W7" s="323">
        <f>10427-V7-U7-T7</f>
        <v>3004</v>
      </c>
      <c r="X7" s="22">
        <v>3205</v>
      </c>
      <c r="Y7" s="22">
        <v>3496</v>
      </c>
      <c r="Z7" s="22">
        <v>3740</v>
      </c>
      <c r="AA7" s="323">
        <f>13966-Z7-Y7-X7</f>
        <v>3525</v>
      </c>
      <c r="AB7" s="324">
        <v>3392</v>
      </c>
      <c r="AC7" s="22">
        <v>3458</v>
      </c>
      <c r="AD7" s="22">
        <v>3466</v>
      </c>
      <c r="AE7" s="325">
        <v>3420</v>
      </c>
      <c r="AF7" s="324">
        <v>3121</v>
      </c>
      <c r="AG7" s="22">
        <v>3335</v>
      </c>
      <c r="AH7" s="22">
        <v>3390</v>
      </c>
      <c r="AI7" s="325">
        <v>2979</v>
      </c>
      <c r="AJ7" s="326">
        <v>2885</v>
      </c>
      <c r="AK7" s="326">
        <v>3047</v>
      </c>
      <c r="AL7" s="326">
        <v>3244</v>
      </c>
      <c r="AM7" s="327">
        <v>3028</v>
      </c>
      <c r="AN7" s="326">
        <v>2983</v>
      </c>
      <c r="AO7" s="326">
        <v>3292</v>
      </c>
      <c r="AP7" s="326">
        <v>3501</v>
      </c>
      <c r="AQ7" s="327">
        <v>3269</v>
      </c>
      <c r="AR7" s="326">
        <v>3150</v>
      </c>
      <c r="AS7" s="326">
        <v>3232</v>
      </c>
      <c r="AT7" s="326">
        <v>3429</v>
      </c>
      <c r="AU7" s="327">
        <v>3189</v>
      </c>
      <c r="AV7" s="326">
        <v>3008</v>
      </c>
      <c r="AW7" s="326">
        <v>3273</v>
      </c>
      <c r="AX7" s="326">
        <v>3675</v>
      </c>
      <c r="AY7" s="327">
        <v>3414</v>
      </c>
      <c r="AZ7" s="326">
        <v>3402</v>
      </c>
      <c r="BA7" s="326">
        <v>3693</v>
      </c>
      <c r="BB7" s="326">
        <v>4116</v>
      </c>
      <c r="BC7" s="327">
        <v>3750</v>
      </c>
      <c r="BD7" s="326">
        <v>3789</v>
      </c>
      <c r="BE7" s="329">
        <f>+'BU-Segment'!BE14</f>
        <v>3944.37656387995</v>
      </c>
      <c r="BF7" s="329">
        <f>+'BU-Segment'!BF14</f>
        <v>4197.0123972325364</v>
      </c>
      <c r="BG7" s="328">
        <f>+'BU-Segment'!BG14</f>
        <v>3954.6407105987741</v>
      </c>
      <c r="BH7" s="329">
        <f>+'BU-Segment'!BH14</f>
        <v>3850.608143918771</v>
      </c>
      <c r="BI7" s="329">
        <f>+'BU-Segment'!BI14</f>
        <v>4089.387039143096</v>
      </c>
      <c r="BJ7" s="329">
        <f>+'BU-Segment'!BJ14</f>
        <v>4340.7337841289063</v>
      </c>
      <c r="BK7" s="328">
        <f>+'BU-Segment'!BK14</f>
        <v>4076.8148538701234</v>
      </c>
      <c r="BL7" s="329">
        <f>+'BU-Segment'!BL14</f>
        <v>3974.0556768382357</v>
      </c>
      <c r="BM7" s="329">
        <f>+'BU-Segment'!BM14</f>
        <v>4219.2397939314815</v>
      </c>
      <c r="BN7" s="329">
        <f>+'BU-Segment'!BN14</f>
        <v>4475.9943590156736</v>
      </c>
      <c r="BO7" s="328">
        <f>+'BU-Segment'!BO14</f>
        <v>4206.2221878130495</v>
      </c>
      <c r="BP7" s="330"/>
      <c r="BQ7" s="331">
        <f>SUM(D7:G7)</f>
        <v>12336</v>
      </c>
      <c r="BR7" s="331">
        <f>SUM(H7:K7)</f>
        <v>14255</v>
      </c>
      <c r="BS7" s="331">
        <f>SUM(L7:O7)</f>
        <v>13834</v>
      </c>
      <c r="BT7" s="331">
        <f>SUM(P7:S7)</f>
        <v>12501</v>
      </c>
      <c r="BU7" s="331">
        <f>SUM(T7:W7)</f>
        <v>10427</v>
      </c>
      <c r="BV7" s="331">
        <f>SUM(X7:AA7)</f>
        <v>13966</v>
      </c>
      <c r="BW7" s="331">
        <f>SUM(AB7:AE7)</f>
        <v>13736</v>
      </c>
      <c r="BX7" s="331">
        <f>SUM(AF7:AI7)</f>
        <v>12825</v>
      </c>
      <c r="BY7" s="331">
        <f>SUM(AJ7:AM7)</f>
        <v>12204</v>
      </c>
      <c r="BZ7" s="331">
        <f>+SUM(AN7:AQ7)</f>
        <v>13045</v>
      </c>
      <c r="CA7" s="331">
        <f>SUM(AR7:AU7)</f>
        <v>13000</v>
      </c>
      <c r="CB7" s="331">
        <f>SUM(AV7:AY7)</f>
        <v>13370</v>
      </c>
      <c r="CC7" s="331">
        <f>SUM(AZ7:BC7)</f>
        <v>14961</v>
      </c>
      <c r="CD7" s="331">
        <f>SUM(BD7:BG7)</f>
        <v>15885.029671711261</v>
      </c>
      <c r="CE7" s="331">
        <f>SUM(BH7:BK7)</f>
        <v>16357.543821060895</v>
      </c>
      <c r="CF7" s="1134">
        <f>SUM(BL7:BO7)</f>
        <v>16875.512017598441</v>
      </c>
      <c r="CG7" s="364"/>
      <c r="CO7" s="8"/>
      <c r="CV7" s="282"/>
      <c r="CW7" s="282"/>
    </row>
    <row r="8" spans="1:107" ht="14.25" customHeight="1" outlineLevel="1">
      <c r="A8" s="8"/>
      <c r="B8" s="332" t="s">
        <v>503</v>
      </c>
      <c r="C8" s="21"/>
      <c r="D8" s="321"/>
      <c r="E8" s="22"/>
      <c r="F8" s="22"/>
      <c r="G8" s="322"/>
      <c r="H8" s="321"/>
      <c r="I8" s="22"/>
      <c r="J8" s="22"/>
      <c r="K8" s="322"/>
      <c r="L8" s="321"/>
      <c r="M8" s="22"/>
      <c r="N8" s="22"/>
      <c r="O8" s="322"/>
      <c r="P8" s="321"/>
      <c r="Q8" s="22"/>
      <c r="R8" s="22"/>
      <c r="S8" s="323"/>
      <c r="T8" s="321"/>
      <c r="U8" s="22"/>
      <c r="V8" s="22"/>
      <c r="W8" s="323"/>
      <c r="X8" s="22"/>
      <c r="Y8" s="22"/>
      <c r="Z8" s="22"/>
      <c r="AA8" s="323"/>
      <c r="AB8" s="22"/>
      <c r="AC8" s="22"/>
      <c r="AD8" s="22"/>
      <c r="AE8" s="322"/>
      <c r="AF8" s="22"/>
      <c r="AG8" s="333">
        <v>3353</v>
      </c>
      <c r="AH8" s="333">
        <v>3598</v>
      </c>
      <c r="AI8" s="334">
        <v>3636</v>
      </c>
      <c r="AJ8" s="333">
        <v>3499</v>
      </c>
      <c r="AK8" s="333">
        <v>3059.268</v>
      </c>
      <c r="AL8" s="333">
        <v>3891</v>
      </c>
      <c r="AM8" s="334">
        <v>3636</v>
      </c>
      <c r="AN8" s="333">
        <v>3499</v>
      </c>
      <c r="AO8" s="333">
        <v>3059.268</v>
      </c>
      <c r="AP8" s="333"/>
      <c r="AQ8" s="334"/>
      <c r="AR8" s="333"/>
      <c r="AS8" s="333">
        <v>3059.268</v>
      </c>
      <c r="AT8" s="333"/>
      <c r="AU8" s="334"/>
      <c r="AV8" s="333"/>
      <c r="AW8" s="333"/>
      <c r="AX8" s="333"/>
      <c r="AY8" s="334"/>
      <c r="AZ8" s="335"/>
      <c r="BA8" s="329"/>
      <c r="BB8" s="333"/>
      <c r="BC8" s="334"/>
      <c r="BD8" s="335"/>
      <c r="BE8" s="329">
        <v>3332.33</v>
      </c>
      <c r="BF8" s="329">
        <v>3518.89</v>
      </c>
      <c r="BG8" s="329">
        <v>3369.73</v>
      </c>
      <c r="BH8" s="335">
        <v>3153.16</v>
      </c>
      <c r="BI8" s="329">
        <v>3332.33</v>
      </c>
      <c r="BJ8" s="329">
        <v>3518.89</v>
      </c>
      <c r="BK8" s="329">
        <v>3369.73</v>
      </c>
      <c r="BL8" s="335">
        <v>3153.16</v>
      </c>
      <c r="BM8" s="329">
        <v>3332.33</v>
      </c>
      <c r="BN8" s="329">
        <v>3518.89</v>
      </c>
      <c r="BO8" s="329">
        <v>3369.73</v>
      </c>
      <c r="BP8" s="152"/>
      <c r="BQ8" s="23"/>
      <c r="BR8" s="23"/>
      <c r="BS8" s="23"/>
      <c r="BT8" s="23"/>
      <c r="BU8" s="23"/>
      <c r="BV8" s="23"/>
      <c r="BW8" s="23"/>
      <c r="BX8" s="23">
        <v>13697</v>
      </c>
      <c r="BY8" s="23">
        <v>14960</v>
      </c>
      <c r="BZ8" s="23"/>
      <c r="CA8" s="333"/>
      <c r="CB8" s="333"/>
      <c r="CC8" s="333"/>
      <c r="CD8" s="333"/>
      <c r="CE8" s="333"/>
      <c r="CF8" s="334"/>
      <c r="CG8" s="297"/>
      <c r="CO8" s="8"/>
      <c r="CV8" s="282"/>
      <c r="CW8" s="282"/>
    </row>
    <row r="9" spans="1:107" ht="14.25" customHeight="1" outlineLevel="1">
      <c r="A9" s="8"/>
      <c r="B9" s="336" t="s">
        <v>90</v>
      </c>
      <c r="C9" s="24"/>
      <c r="D9" s="337">
        <v>0</v>
      </c>
      <c r="E9" s="25">
        <v>0</v>
      </c>
      <c r="F9" s="25">
        <v>0</v>
      </c>
      <c r="G9" s="26">
        <v>0</v>
      </c>
      <c r="H9" s="337">
        <v>0</v>
      </c>
      <c r="I9" s="25">
        <v>0</v>
      </c>
      <c r="J9" s="25">
        <v>0</v>
      </c>
      <c r="K9" s="26">
        <v>0</v>
      </c>
      <c r="L9" s="337">
        <v>0</v>
      </c>
      <c r="M9" s="25">
        <v>0</v>
      </c>
      <c r="N9" s="25">
        <v>0</v>
      </c>
      <c r="O9" s="26">
        <v>0</v>
      </c>
      <c r="P9" s="337">
        <v>0</v>
      </c>
      <c r="Q9" s="25">
        <v>0</v>
      </c>
      <c r="R9" s="25">
        <v>0</v>
      </c>
      <c r="S9" s="26">
        <v>0</v>
      </c>
      <c r="T9" s="337">
        <v>0</v>
      </c>
      <c r="U9" s="25">
        <v>0</v>
      </c>
      <c r="V9" s="25">
        <v>0</v>
      </c>
      <c r="W9" s="26">
        <v>0</v>
      </c>
      <c r="X9" s="25">
        <v>0</v>
      </c>
      <c r="Y9" s="25">
        <v>0</v>
      </c>
      <c r="Z9" s="27">
        <v>0</v>
      </c>
      <c r="AA9" s="26">
        <v>0</v>
      </c>
      <c r="AB9" s="25">
        <v>0</v>
      </c>
      <c r="AC9" s="25">
        <v>0</v>
      </c>
      <c r="AD9" s="27">
        <f t="shared" ref="AD9:AQ9" si="0">AC9</f>
        <v>0</v>
      </c>
      <c r="AE9" s="26">
        <v>0</v>
      </c>
      <c r="AF9" s="25">
        <v>0</v>
      </c>
      <c r="AG9" s="27">
        <f t="shared" si="0"/>
        <v>0</v>
      </c>
      <c r="AH9" s="27">
        <f>AG9</f>
        <v>0</v>
      </c>
      <c r="AI9" s="28">
        <f t="shared" si="0"/>
        <v>0</v>
      </c>
      <c r="AJ9" s="27">
        <f t="shared" si="0"/>
        <v>0</v>
      </c>
      <c r="AK9" s="27">
        <f>AJ9</f>
        <v>0</v>
      </c>
      <c r="AL9" s="27">
        <f t="shared" si="0"/>
        <v>0</v>
      </c>
      <c r="AM9" s="28">
        <f>AL9</f>
        <v>0</v>
      </c>
      <c r="AN9" s="27">
        <f t="shared" si="0"/>
        <v>0</v>
      </c>
      <c r="AO9" s="27">
        <f>AN9</f>
        <v>0</v>
      </c>
      <c r="AP9" s="27">
        <f t="shared" si="0"/>
        <v>0</v>
      </c>
      <c r="AQ9" s="28">
        <f t="shared" si="0"/>
        <v>0</v>
      </c>
      <c r="AR9" s="27">
        <f t="shared" ref="AR9:BD9" si="1">AQ9</f>
        <v>0</v>
      </c>
      <c r="AS9" s="27">
        <f t="shared" si="1"/>
        <v>0</v>
      </c>
      <c r="AT9" s="27">
        <f t="shared" si="1"/>
        <v>0</v>
      </c>
      <c r="AU9" s="28">
        <f t="shared" si="1"/>
        <v>0</v>
      </c>
      <c r="AV9" s="27">
        <f t="shared" si="1"/>
        <v>0</v>
      </c>
      <c r="AW9" s="27">
        <f t="shared" si="1"/>
        <v>0</v>
      </c>
      <c r="AX9" s="27">
        <f t="shared" si="1"/>
        <v>0</v>
      </c>
      <c r="AY9" s="28">
        <f t="shared" si="1"/>
        <v>0</v>
      </c>
      <c r="AZ9" s="338">
        <f t="shared" si="1"/>
        <v>0</v>
      </c>
      <c r="BA9" s="27">
        <f t="shared" si="1"/>
        <v>0</v>
      </c>
      <c r="BB9" s="27">
        <f t="shared" si="1"/>
        <v>0</v>
      </c>
      <c r="BC9" s="28">
        <f t="shared" si="1"/>
        <v>0</v>
      </c>
      <c r="BD9" s="338">
        <f t="shared" si="1"/>
        <v>0</v>
      </c>
      <c r="BE9" s="27">
        <f t="shared" ref="BE9" si="2">BD9</f>
        <v>0</v>
      </c>
      <c r="BF9" s="27">
        <f t="shared" ref="BF9" si="3">BE9</f>
        <v>0</v>
      </c>
      <c r="BG9" s="27">
        <f t="shared" ref="BG9" si="4">BF9</f>
        <v>0</v>
      </c>
      <c r="BH9" s="338">
        <f t="shared" ref="BH9" si="5">BG9</f>
        <v>0</v>
      </c>
      <c r="BI9" s="27">
        <f t="shared" ref="BI9" si="6">BH9</f>
        <v>0</v>
      </c>
      <c r="BJ9" s="27">
        <f t="shared" ref="BJ9" si="7">BI9</f>
        <v>0</v>
      </c>
      <c r="BK9" s="27">
        <f t="shared" ref="BK9" si="8">BJ9</f>
        <v>0</v>
      </c>
      <c r="BL9" s="338">
        <f t="shared" ref="BL9" si="9">BK9</f>
        <v>0</v>
      </c>
      <c r="BM9" s="27">
        <f t="shared" ref="BM9" si="10">BL9</f>
        <v>0</v>
      </c>
      <c r="BN9" s="27">
        <f t="shared" ref="BN9" si="11">BM9</f>
        <v>0</v>
      </c>
      <c r="BO9" s="27">
        <f t="shared" ref="BO9" si="12">BN9</f>
        <v>0</v>
      </c>
      <c r="BP9" s="152"/>
      <c r="BQ9" s="27">
        <f>SUM(D9:G9)</f>
        <v>0</v>
      </c>
      <c r="BR9" s="27">
        <f>SUM(H9:K9)</f>
        <v>0</v>
      </c>
      <c r="BS9" s="27">
        <f>SUM(L9:O9)</f>
        <v>0</v>
      </c>
      <c r="BT9" s="27">
        <f>SUM(P9:S9)</f>
        <v>0</v>
      </c>
      <c r="BU9" s="27">
        <f>SUM(T9:W9)</f>
        <v>0</v>
      </c>
      <c r="BV9" s="27">
        <f>SUM(X9:AA9)</f>
        <v>0</v>
      </c>
      <c r="BW9" s="27">
        <f>SUM(AB9:AE9)</f>
        <v>0</v>
      </c>
      <c r="BX9" s="27">
        <f>SUM(AF9:AI9)</f>
        <v>0</v>
      </c>
      <c r="BY9" s="27">
        <f>SUM(AK9:AN9)</f>
        <v>0</v>
      </c>
      <c r="BZ9" s="27">
        <f>SUM(AN9:AQ9)</f>
        <v>0</v>
      </c>
      <c r="CA9" s="27">
        <f t="shared" ref="CA9:CF9" si="13">BZ9</f>
        <v>0</v>
      </c>
      <c r="CB9" s="27">
        <f t="shared" si="13"/>
        <v>0</v>
      </c>
      <c r="CC9" s="27">
        <f t="shared" si="13"/>
        <v>0</v>
      </c>
      <c r="CD9" s="27">
        <f t="shared" si="13"/>
        <v>0</v>
      </c>
      <c r="CE9" s="27">
        <f t="shared" si="13"/>
        <v>0</v>
      </c>
      <c r="CF9" s="28">
        <f t="shared" si="13"/>
        <v>0</v>
      </c>
      <c r="CG9" s="297"/>
      <c r="CH9" s="14"/>
      <c r="CO9" s="14"/>
      <c r="CP9" s="14"/>
      <c r="CQ9" s="14"/>
      <c r="CR9" s="14"/>
      <c r="CS9" s="14"/>
      <c r="CT9" s="14"/>
      <c r="CV9" s="282"/>
      <c r="CW9" s="282"/>
    </row>
    <row r="10" spans="1:107" ht="14.25" customHeight="1">
      <c r="A10" s="8"/>
      <c r="B10" s="320" t="s">
        <v>91</v>
      </c>
      <c r="C10" s="21"/>
      <c r="D10" s="338">
        <f t="shared" ref="D10:AQ10" si="14">D7-D9</f>
        <v>2702</v>
      </c>
      <c r="E10" s="27">
        <f t="shared" si="14"/>
        <v>2971</v>
      </c>
      <c r="F10" s="27">
        <f t="shared" si="14"/>
        <v>3339</v>
      </c>
      <c r="G10" s="28">
        <f t="shared" si="14"/>
        <v>3324</v>
      </c>
      <c r="H10" s="338">
        <f t="shared" si="14"/>
        <v>3334</v>
      </c>
      <c r="I10" s="27">
        <f t="shared" si="14"/>
        <v>3697</v>
      </c>
      <c r="J10" s="27">
        <f t="shared" si="14"/>
        <v>3761</v>
      </c>
      <c r="K10" s="28">
        <f t="shared" si="14"/>
        <v>3463</v>
      </c>
      <c r="L10" s="338">
        <f t="shared" si="14"/>
        <v>3191</v>
      </c>
      <c r="M10" s="27">
        <f t="shared" si="14"/>
        <v>3424</v>
      </c>
      <c r="N10" s="27">
        <f t="shared" si="14"/>
        <v>3663</v>
      </c>
      <c r="O10" s="28">
        <f t="shared" si="14"/>
        <v>3556</v>
      </c>
      <c r="P10" s="338">
        <f t="shared" si="14"/>
        <v>3272</v>
      </c>
      <c r="Q10" s="27">
        <f t="shared" si="14"/>
        <v>3351</v>
      </c>
      <c r="R10" s="27">
        <f t="shared" si="14"/>
        <v>3387</v>
      </c>
      <c r="S10" s="28">
        <f t="shared" si="14"/>
        <v>2491</v>
      </c>
      <c r="T10" s="338">
        <f t="shared" si="14"/>
        <v>2086</v>
      </c>
      <c r="U10" s="27">
        <f t="shared" si="14"/>
        <v>2457</v>
      </c>
      <c r="V10" s="27">
        <f t="shared" si="14"/>
        <v>2880</v>
      </c>
      <c r="W10" s="28">
        <f t="shared" si="14"/>
        <v>3004</v>
      </c>
      <c r="X10" s="27">
        <f t="shared" si="14"/>
        <v>3205</v>
      </c>
      <c r="Y10" s="27">
        <f t="shared" si="14"/>
        <v>3496</v>
      </c>
      <c r="Z10" s="27">
        <f t="shared" si="14"/>
        <v>3740</v>
      </c>
      <c r="AA10" s="28">
        <f t="shared" si="14"/>
        <v>3525</v>
      </c>
      <c r="AB10" s="27">
        <f t="shared" si="14"/>
        <v>3392</v>
      </c>
      <c r="AC10" s="27">
        <f t="shared" si="14"/>
        <v>3458</v>
      </c>
      <c r="AD10" s="27">
        <f t="shared" si="14"/>
        <v>3466</v>
      </c>
      <c r="AE10" s="28">
        <f t="shared" si="14"/>
        <v>3420</v>
      </c>
      <c r="AF10" s="27">
        <f t="shared" si="14"/>
        <v>3121</v>
      </c>
      <c r="AG10" s="27">
        <f t="shared" si="14"/>
        <v>3335</v>
      </c>
      <c r="AH10" s="27">
        <f>AH7-AH9</f>
        <v>3390</v>
      </c>
      <c r="AI10" s="28">
        <f t="shared" si="14"/>
        <v>2979</v>
      </c>
      <c r="AJ10" s="27">
        <f t="shared" si="14"/>
        <v>2885</v>
      </c>
      <c r="AK10" s="27">
        <f t="shared" si="14"/>
        <v>3047</v>
      </c>
      <c r="AL10" s="27">
        <f t="shared" si="14"/>
        <v>3244</v>
      </c>
      <c r="AM10" s="28">
        <f t="shared" si="14"/>
        <v>3028</v>
      </c>
      <c r="AN10" s="27">
        <f>AN7-AN9</f>
        <v>2983</v>
      </c>
      <c r="AO10" s="27">
        <f>AO7-AO9</f>
        <v>3292</v>
      </c>
      <c r="AP10" s="27">
        <f t="shared" si="14"/>
        <v>3501</v>
      </c>
      <c r="AQ10" s="28">
        <f t="shared" si="14"/>
        <v>3269</v>
      </c>
      <c r="AR10" s="27">
        <f t="shared" ref="AR10:AX10" si="15">AR7-AR9</f>
        <v>3150</v>
      </c>
      <c r="AS10" s="27">
        <f t="shared" si="15"/>
        <v>3232</v>
      </c>
      <c r="AT10" s="27">
        <f t="shared" si="15"/>
        <v>3429</v>
      </c>
      <c r="AU10" s="28">
        <f t="shared" si="15"/>
        <v>3189</v>
      </c>
      <c r="AV10" s="27">
        <f t="shared" si="15"/>
        <v>3008</v>
      </c>
      <c r="AW10" s="27">
        <f t="shared" si="15"/>
        <v>3273</v>
      </c>
      <c r="AX10" s="27">
        <f t="shared" si="15"/>
        <v>3675</v>
      </c>
      <c r="AY10" s="28">
        <f t="shared" ref="AY10:BB10" si="16">AY7-AY9</f>
        <v>3414</v>
      </c>
      <c r="AZ10" s="27">
        <f t="shared" si="16"/>
        <v>3402</v>
      </c>
      <c r="BA10" s="27">
        <f t="shared" si="16"/>
        <v>3693</v>
      </c>
      <c r="BB10" s="27">
        <f t="shared" si="16"/>
        <v>4116</v>
      </c>
      <c r="BC10" s="28">
        <f t="shared" ref="BC10:BD10" si="17">BC7-BC9</f>
        <v>3750</v>
      </c>
      <c r="BD10" s="27">
        <f t="shared" si="17"/>
        <v>3789</v>
      </c>
      <c r="BE10" s="27">
        <f t="shared" ref="BE10:BG10" si="18">BE7-BE9</f>
        <v>3944.37656387995</v>
      </c>
      <c r="BF10" s="27">
        <f t="shared" si="18"/>
        <v>4197.0123972325364</v>
      </c>
      <c r="BG10" s="27">
        <f t="shared" si="18"/>
        <v>3954.6407105987741</v>
      </c>
      <c r="BH10" s="338">
        <f t="shared" ref="BH10:BK10" si="19">BH7-BH9</f>
        <v>3850.608143918771</v>
      </c>
      <c r="BI10" s="27">
        <f t="shared" si="19"/>
        <v>4089.387039143096</v>
      </c>
      <c r="BJ10" s="27">
        <f t="shared" si="19"/>
        <v>4340.7337841289063</v>
      </c>
      <c r="BK10" s="27">
        <f t="shared" si="19"/>
        <v>4076.8148538701234</v>
      </c>
      <c r="BL10" s="338">
        <f t="shared" ref="BL10:BO10" si="20">BL7-BL9</f>
        <v>3974.0556768382357</v>
      </c>
      <c r="BM10" s="27">
        <f t="shared" si="20"/>
        <v>4219.2397939314815</v>
      </c>
      <c r="BN10" s="27">
        <f t="shared" si="20"/>
        <v>4475.9943590156736</v>
      </c>
      <c r="BO10" s="27">
        <f t="shared" si="20"/>
        <v>4206.2221878130495</v>
      </c>
      <c r="BP10" s="152"/>
      <c r="BQ10" s="27">
        <f>SUM(D10:G10)</f>
        <v>12336</v>
      </c>
      <c r="BR10" s="27">
        <f>SUM(H10:K10)</f>
        <v>14255</v>
      </c>
      <c r="BS10" s="27">
        <f>SUM(L10:O10)</f>
        <v>13834</v>
      </c>
      <c r="BT10" s="27">
        <f>SUM(P10:S10)</f>
        <v>12501</v>
      </c>
      <c r="BU10" s="27">
        <f>SUM(T10:W10)</f>
        <v>10427</v>
      </c>
      <c r="BV10" s="27">
        <f>SUM(X10:AA10)</f>
        <v>13966</v>
      </c>
      <c r="BW10" s="27">
        <f>SUM(AB10:AE10)</f>
        <v>13736</v>
      </c>
      <c r="BX10" s="27">
        <f>SUM(AF10:AI10)</f>
        <v>12825</v>
      </c>
      <c r="BY10" s="27">
        <f>SUM(AJ10:AM10)</f>
        <v>12204</v>
      </c>
      <c r="BZ10" s="27">
        <f>BZ7</f>
        <v>13045</v>
      </c>
      <c r="CA10" s="27">
        <f t="shared" ref="CA10:CF10" si="21">CA7-CA9</f>
        <v>13000</v>
      </c>
      <c r="CB10" s="27">
        <f t="shared" si="21"/>
        <v>13370</v>
      </c>
      <c r="CC10" s="27">
        <f t="shared" si="21"/>
        <v>14961</v>
      </c>
      <c r="CD10" s="27">
        <f t="shared" si="21"/>
        <v>15885.029671711261</v>
      </c>
      <c r="CE10" s="27">
        <f t="shared" si="21"/>
        <v>16357.543821060895</v>
      </c>
      <c r="CF10" s="28">
        <f t="shared" si="21"/>
        <v>16875.512017598441</v>
      </c>
      <c r="CG10" s="364"/>
      <c r="CH10" s="8"/>
      <c r="CO10" s="8"/>
      <c r="CV10" s="282"/>
      <c r="CW10" s="282"/>
    </row>
    <row r="11" spans="1:107" ht="14.25" customHeight="1">
      <c r="A11" s="8"/>
      <c r="B11" s="332" t="s">
        <v>523</v>
      </c>
      <c r="C11" s="29"/>
      <c r="D11" s="30"/>
      <c r="E11" s="30">
        <f t="shared" ref="E11:BC11" si="22">E7/D7-1</f>
        <v>9.9555884529977767E-2</v>
      </c>
      <c r="F11" s="30">
        <f t="shared" si="22"/>
        <v>0.12386401884887244</v>
      </c>
      <c r="G11" s="31">
        <f t="shared" si="22"/>
        <v>-4.4923629829289879E-3</v>
      </c>
      <c r="H11" s="30">
        <f t="shared" si="22"/>
        <v>3.0084235860408093E-3</v>
      </c>
      <c r="I11" s="30">
        <f t="shared" si="22"/>
        <v>0.10887822435512895</v>
      </c>
      <c r="J11" s="30">
        <f t="shared" si="22"/>
        <v>1.7311333513659655E-2</v>
      </c>
      <c r="K11" s="31">
        <f t="shared" si="22"/>
        <v>-7.9234246211114079E-2</v>
      </c>
      <c r="L11" s="30">
        <f t="shared" si="22"/>
        <v>-7.8544614496101617E-2</v>
      </c>
      <c r="M11" s="30">
        <f t="shared" si="22"/>
        <v>7.3017862738953276E-2</v>
      </c>
      <c r="N11" s="30">
        <f t="shared" si="22"/>
        <v>6.9801401869158841E-2</v>
      </c>
      <c r="O11" s="31">
        <f t="shared" si="22"/>
        <v>-2.9211029211029249E-2</v>
      </c>
      <c r="P11" s="30">
        <f t="shared" si="22"/>
        <v>-7.9865016872890937E-2</v>
      </c>
      <c r="Q11" s="30">
        <f t="shared" si="22"/>
        <v>2.4144254278728683E-2</v>
      </c>
      <c r="R11" s="30">
        <f t="shared" si="22"/>
        <v>1.07430617726052E-2</v>
      </c>
      <c r="S11" s="31">
        <f t="shared" si="22"/>
        <v>-0.26454089164452321</v>
      </c>
      <c r="T11" s="30">
        <f t="shared" si="22"/>
        <v>-0.16258530710558006</v>
      </c>
      <c r="U11" s="30">
        <f t="shared" si="22"/>
        <v>0.17785234899328861</v>
      </c>
      <c r="V11" s="30">
        <f t="shared" si="22"/>
        <v>0.17216117216117222</v>
      </c>
      <c r="W11" s="31">
        <f t="shared" si="22"/>
        <v>4.3055555555555625E-2</v>
      </c>
      <c r="X11" s="30">
        <f t="shared" si="22"/>
        <v>6.6910785619174407E-2</v>
      </c>
      <c r="Y11" s="30">
        <f t="shared" si="22"/>
        <v>9.0795631825272949E-2</v>
      </c>
      <c r="Z11" s="30">
        <f t="shared" si="22"/>
        <v>6.9794050343249481E-2</v>
      </c>
      <c r="AA11" s="31">
        <f t="shared" si="22"/>
        <v>-5.7486631016042788E-2</v>
      </c>
      <c r="AB11" s="30">
        <f t="shared" si="22"/>
        <v>-3.7730496453900697E-2</v>
      </c>
      <c r="AC11" s="30">
        <f t="shared" si="22"/>
        <v>1.9457547169811296E-2</v>
      </c>
      <c r="AD11" s="30">
        <f t="shared" si="22"/>
        <v>2.3134759976866093E-3</v>
      </c>
      <c r="AE11" s="31">
        <f t="shared" si="22"/>
        <v>-1.3271783035199047E-2</v>
      </c>
      <c r="AF11" s="30">
        <f t="shared" si="22"/>
        <v>-8.7426900584795297E-2</v>
      </c>
      <c r="AG11" s="30">
        <f t="shared" si="22"/>
        <v>6.8567766741429059E-2</v>
      </c>
      <c r="AH11" s="30">
        <f>AH7/AG7-1</f>
        <v>1.6491754122938573E-2</v>
      </c>
      <c r="AI11" s="31">
        <f t="shared" si="22"/>
        <v>-0.12123893805309738</v>
      </c>
      <c r="AJ11" s="30">
        <f t="shared" si="22"/>
        <v>-3.1554212823095007E-2</v>
      </c>
      <c r="AK11" s="30">
        <f t="shared" si="22"/>
        <v>5.6152512998266957E-2</v>
      </c>
      <c r="AL11" s="30">
        <f t="shared" si="22"/>
        <v>6.4653757794552069E-2</v>
      </c>
      <c r="AM11" s="31">
        <f t="shared" si="22"/>
        <v>-6.6584463625154133E-2</v>
      </c>
      <c r="AN11" s="30">
        <f t="shared" si="22"/>
        <v>-1.4861294583883744E-2</v>
      </c>
      <c r="AO11" s="30">
        <f t="shared" si="22"/>
        <v>0.1035869929601072</v>
      </c>
      <c r="AP11" s="30">
        <f t="shared" si="22"/>
        <v>6.348724179829901E-2</v>
      </c>
      <c r="AQ11" s="31">
        <f t="shared" si="22"/>
        <v>-6.6266780919737256E-2</v>
      </c>
      <c r="AR11" s="30">
        <f>AR7/AQ7-1</f>
        <v>-3.6402569593147804E-2</v>
      </c>
      <c r="AS11" s="30">
        <f t="shared" si="22"/>
        <v>2.6031746031746072E-2</v>
      </c>
      <c r="AT11" s="30">
        <f t="shared" si="22"/>
        <v>6.0952970297029729E-2</v>
      </c>
      <c r="AU11" s="31">
        <f t="shared" si="22"/>
        <v>-6.999125109361326E-2</v>
      </c>
      <c r="AV11" s="30">
        <f>AV7/AU7-1</f>
        <v>-5.6757604264659811E-2</v>
      </c>
      <c r="AW11" s="30">
        <f t="shared" si="22"/>
        <v>8.8098404255319229E-2</v>
      </c>
      <c r="AX11" s="30">
        <f t="shared" si="22"/>
        <v>0.12282309807516034</v>
      </c>
      <c r="AY11" s="31">
        <f t="shared" si="22"/>
        <v>-7.102040816326527E-2</v>
      </c>
      <c r="AZ11" s="30">
        <f>AZ7/AY7-1</f>
        <v>-3.5149384885764245E-3</v>
      </c>
      <c r="BA11" s="30">
        <f t="shared" si="22"/>
        <v>8.5537918871252172E-2</v>
      </c>
      <c r="BB11" s="30">
        <f t="shared" si="22"/>
        <v>0.11454102355808282</v>
      </c>
      <c r="BC11" s="31">
        <f t="shared" si="22"/>
        <v>-8.8921282798833823E-2</v>
      </c>
      <c r="BD11" s="30">
        <f>BD7/BC7-1</f>
        <v>1.0399999999999965E-2</v>
      </c>
      <c r="BE11" s="30">
        <f t="shared" ref="BE11:BG11" si="23">BE7/BD7-1</f>
        <v>4.1007274710992414E-2</v>
      </c>
      <c r="BF11" s="30">
        <f t="shared" si="23"/>
        <v>6.4049623371678521E-2</v>
      </c>
      <c r="BG11" s="30">
        <f t="shared" si="23"/>
        <v>-5.7748622995152377E-2</v>
      </c>
      <c r="BH11" s="339">
        <f t="shared" ref="BH11" si="24">BH7/BG7-1</f>
        <v>-2.6306452164209793E-2</v>
      </c>
      <c r="BI11" s="30">
        <f t="shared" ref="BI11" si="25">BI7/BH7-1</f>
        <v>6.2010697089867728E-2</v>
      </c>
      <c r="BJ11" s="30">
        <f t="shared" ref="BJ11" si="26">BJ7/BI7-1</f>
        <v>6.1463183254593101E-2</v>
      </c>
      <c r="BK11" s="30">
        <f t="shared" ref="BK11" si="27">BK7/BJ7-1</f>
        <v>-6.0800533592673678E-2</v>
      </c>
      <c r="BL11" s="339">
        <f t="shared" ref="BL11" si="28">BL7/BK7-1</f>
        <v>-2.5205750252390913E-2</v>
      </c>
      <c r="BM11" s="30">
        <f t="shared" ref="BM11" si="29">BM7/BL7-1</f>
        <v>6.1696195783626839E-2</v>
      </c>
      <c r="BN11" s="30">
        <f t="shared" ref="BN11" si="30">BN7/BM7-1</f>
        <v>6.0853276330366857E-2</v>
      </c>
      <c r="BO11" s="30">
        <f t="shared" ref="BO11" si="31">BO7/BN7-1</f>
        <v>-6.0270891686724615E-2</v>
      </c>
      <c r="BP11" s="15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41"/>
      <c r="CB11" s="340"/>
      <c r="CC11" s="340"/>
      <c r="CD11" s="340"/>
      <c r="CE11" s="340"/>
      <c r="CF11" s="1135"/>
      <c r="CG11" s="297"/>
      <c r="CH11" s="8"/>
      <c r="CO11" s="8"/>
      <c r="CV11" s="282"/>
      <c r="CW11" s="282"/>
    </row>
    <row r="12" spans="1:107" ht="14.25" customHeight="1">
      <c r="A12" s="8"/>
      <c r="B12" s="332" t="s">
        <v>505</v>
      </c>
      <c r="C12" s="29"/>
      <c r="D12" s="30"/>
      <c r="E12" s="30"/>
      <c r="F12" s="30"/>
      <c r="G12" s="31"/>
      <c r="H12" s="30">
        <f t="shared" ref="H12:AO12" si="32">H7/D7-1</f>
        <v>0.23390081421169495</v>
      </c>
      <c r="I12" s="30">
        <f t="shared" si="32"/>
        <v>0.24436216762032981</v>
      </c>
      <c r="J12" s="30">
        <f t="shared" si="32"/>
        <v>0.12638514525306976</v>
      </c>
      <c r="K12" s="31">
        <f t="shared" si="32"/>
        <v>4.1817087845968715E-2</v>
      </c>
      <c r="L12" s="30">
        <f t="shared" si="32"/>
        <v>-4.2891421715656852E-2</v>
      </c>
      <c r="M12" s="30">
        <f t="shared" si="32"/>
        <v>-7.3843657019204811E-2</v>
      </c>
      <c r="N12" s="30">
        <f t="shared" si="32"/>
        <v>-2.6056899760701913E-2</v>
      </c>
      <c r="O12" s="31">
        <f t="shared" si="32"/>
        <v>2.6855327750505253E-2</v>
      </c>
      <c r="P12" s="30">
        <f t="shared" si="32"/>
        <v>2.5383892196803481E-2</v>
      </c>
      <c r="Q12" s="30">
        <f t="shared" si="32"/>
        <v>-2.1320093457943945E-2</v>
      </c>
      <c r="R12" s="30">
        <f t="shared" si="32"/>
        <v>-7.5348075348075305E-2</v>
      </c>
      <c r="S12" s="31">
        <f t="shared" si="32"/>
        <v>-0.29949381327334079</v>
      </c>
      <c r="T12" s="30">
        <f t="shared" si="32"/>
        <v>-0.3624694376528117</v>
      </c>
      <c r="U12" s="30">
        <f t="shared" si="32"/>
        <v>-0.26678603401969558</v>
      </c>
      <c r="V12" s="30">
        <f t="shared" si="32"/>
        <v>-0.14968999114260406</v>
      </c>
      <c r="W12" s="31">
        <f t="shared" si="32"/>
        <v>0.20594138900040138</v>
      </c>
      <c r="X12" s="30">
        <f t="shared" si="32"/>
        <v>0.5364333652924258</v>
      </c>
      <c r="Y12" s="30">
        <f t="shared" si="32"/>
        <v>0.42287342287342278</v>
      </c>
      <c r="Z12" s="30">
        <f t="shared" si="32"/>
        <v>0.29861111111111116</v>
      </c>
      <c r="AA12" s="31">
        <f t="shared" si="32"/>
        <v>0.1734354194407457</v>
      </c>
      <c r="AB12" s="30">
        <f t="shared" si="32"/>
        <v>5.8346333853354082E-2</v>
      </c>
      <c r="AC12" s="30">
        <f t="shared" si="32"/>
        <v>-1.0869565217391353E-2</v>
      </c>
      <c r="AD12" s="30">
        <f t="shared" si="32"/>
        <v>-7.3262032085561479E-2</v>
      </c>
      <c r="AE12" s="31">
        <f t="shared" si="32"/>
        <v>-2.9787234042553234E-2</v>
      </c>
      <c r="AF12" s="30">
        <f t="shared" si="32"/>
        <v>-7.989386792452835E-2</v>
      </c>
      <c r="AG12" s="30">
        <f t="shared" si="32"/>
        <v>-3.5569693464430285E-2</v>
      </c>
      <c r="AH12" s="30">
        <f>AH7/AD7-1</f>
        <v>-2.1927293710328866E-2</v>
      </c>
      <c r="AI12" s="31">
        <f t="shared" si="32"/>
        <v>-0.12894736842105259</v>
      </c>
      <c r="AJ12" s="30">
        <f t="shared" si="32"/>
        <v>-7.5616789490547953E-2</v>
      </c>
      <c r="AK12" s="30">
        <f t="shared" si="32"/>
        <v>-8.6356821589205435E-2</v>
      </c>
      <c r="AL12" s="30">
        <f t="shared" ref="AL12:AQ12" si="33">AL10/AH10-1</f>
        <v>-4.3067846607669602E-2</v>
      </c>
      <c r="AM12" s="31">
        <f t="shared" si="32"/>
        <v>1.644847264182614E-2</v>
      </c>
      <c r="AN12" s="30">
        <f t="shared" si="32"/>
        <v>3.3968804159445476E-2</v>
      </c>
      <c r="AO12" s="30">
        <f t="shared" si="32"/>
        <v>8.0406957663275325E-2</v>
      </c>
      <c r="AP12" s="30">
        <f t="shared" si="33"/>
        <v>7.9223181257706443E-2</v>
      </c>
      <c r="AQ12" s="31">
        <f t="shared" si="33"/>
        <v>7.9590488771466239E-2</v>
      </c>
      <c r="AR12" s="30">
        <f>AR10/AN10-1</f>
        <v>5.5983908816627626E-2</v>
      </c>
      <c r="AS12" s="30">
        <f>AS7/AO7-1</f>
        <v>-1.8226002430133614E-2</v>
      </c>
      <c r="AT12" s="30">
        <f>AT10/AP10-1</f>
        <v>-2.0565552699228773E-2</v>
      </c>
      <c r="AU12" s="31">
        <f>AU10/AQ10-1</f>
        <v>-2.4472315692872448E-2</v>
      </c>
      <c r="AV12" s="30">
        <f>AV10/AR10-1</f>
        <v>-4.5079365079365052E-2</v>
      </c>
      <c r="AW12" s="30">
        <f>AW7/AS7-1</f>
        <v>1.268564356435653E-2</v>
      </c>
      <c r="AX12" s="30">
        <f t="shared" ref="AX12:BB12" si="34">AX10/AT10-1</f>
        <v>7.1741032370953528E-2</v>
      </c>
      <c r="AY12" s="31">
        <f>AY10/AU10-1</f>
        <v>7.0555032925682104E-2</v>
      </c>
      <c r="AZ12" s="30">
        <f>AZ10/AV10-1</f>
        <v>0.1309840425531914</v>
      </c>
      <c r="BA12" s="30">
        <f>BA7/AW7-1</f>
        <v>0.12832263978001834</v>
      </c>
      <c r="BB12" s="30">
        <f t="shared" si="34"/>
        <v>0.12000000000000011</v>
      </c>
      <c r="BC12" s="31">
        <f>BC10/AY10-1</f>
        <v>9.8418277680140553E-2</v>
      </c>
      <c r="BD12" s="30">
        <f>BD10/AZ10-1</f>
        <v>0.11375661375661372</v>
      </c>
      <c r="BE12" s="30">
        <f t="shared" ref="BE12" si="35">BE10/BA10-1</f>
        <v>6.8068389894381243E-2</v>
      </c>
      <c r="BF12" s="30">
        <f t="shared" ref="BF12" si="36">BF10/BB10-1</f>
        <v>1.9682312252802925E-2</v>
      </c>
      <c r="BG12" s="30">
        <f t="shared" ref="BG12" si="37">BG10/BC10-1</f>
        <v>5.4570856159673164E-2</v>
      </c>
      <c r="BH12" s="339">
        <f t="shared" ref="BH12" si="38">BH10/BD10-1</f>
        <v>1.6259737112370276E-2</v>
      </c>
      <c r="BI12" s="30">
        <f t="shared" ref="BI12" si="39">BI10/BE10-1</f>
        <v>3.6763851755701626E-2</v>
      </c>
      <c r="BJ12" s="30">
        <f t="shared" ref="BJ12" si="40">BJ10/BF10-1</f>
        <v>3.4243736566310412E-2</v>
      </c>
      <c r="BK12" s="30">
        <f t="shared" ref="BK12" si="41">BK10/BG10-1</f>
        <v>3.089386677882322E-2</v>
      </c>
      <c r="BL12" s="339">
        <f t="shared" ref="BL12" si="42">BL10/BH10-1</f>
        <v>3.2059230206123113E-2</v>
      </c>
      <c r="BM12" s="30">
        <f t="shared" ref="BM12" si="43">BM10/BI10-1</f>
        <v>3.1753598655605675E-2</v>
      </c>
      <c r="BN12" s="30">
        <f t="shared" ref="BN12" si="44">BN10/BJ10-1</f>
        <v>3.1160762583810842E-2</v>
      </c>
      <c r="BO12" s="30">
        <f t="shared" ref="BO12" si="45">BO10/BK10-1</f>
        <v>3.174226414036907E-2</v>
      </c>
      <c r="BP12" s="152"/>
      <c r="BQ12" s="30"/>
      <c r="BR12" s="30">
        <f t="shared" ref="BR12:CB12" si="46">BR10/BQ10-1</f>
        <v>0.15556095979247719</v>
      </c>
      <c r="BS12" s="30">
        <f t="shared" si="46"/>
        <v>-2.9533497018589983E-2</v>
      </c>
      <c r="BT12" s="30">
        <f t="shared" si="46"/>
        <v>-9.6356802081827397E-2</v>
      </c>
      <c r="BU12" s="30">
        <f t="shared" si="46"/>
        <v>-0.16590672746180302</v>
      </c>
      <c r="BV12" s="30">
        <f t="shared" si="46"/>
        <v>0.3394073079505131</v>
      </c>
      <c r="BW12" s="30">
        <f t="shared" si="46"/>
        <v>-1.6468566518688221E-2</v>
      </c>
      <c r="BX12" s="30">
        <f t="shared" si="46"/>
        <v>-6.6322073383809022E-2</v>
      </c>
      <c r="BY12" s="30">
        <f t="shared" si="46"/>
        <v>-4.842105263157892E-2</v>
      </c>
      <c r="BZ12" s="30">
        <f t="shared" si="46"/>
        <v>6.8911832186168365E-2</v>
      </c>
      <c r="CA12" s="30">
        <f>CA10/BZ10-1</f>
        <v>-3.4495975469528428E-3</v>
      </c>
      <c r="CB12" s="30">
        <f t="shared" si="46"/>
        <v>2.8461538461538538E-2</v>
      </c>
      <c r="CC12" s="30">
        <f>CC10/CB10-1</f>
        <v>0.1189977561705311</v>
      </c>
      <c r="CD12" s="30">
        <f>CD10/CC10-1</f>
        <v>6.1762560772091524E-2</v>
      </c>
      <c r="CE12" s="30">
        <f>CE10/CD10-1</f>
        <v>2.974587766688952E-2</v>
      </c>
      <c r="CF12" s="31">
        <f>CF10/CE10-1</f>
        <v>3.1665401737799082E-2</v>
      </c>
      <c r="CG12" s="297"/>
      <c r="CH12" s="8"/>
      <c r="CO12" s="8"/>
      <c r="CV12" s="282"/>
      <c r="CW12" s="282"/>
    </row>
    <row r="13" spans="1:107" ht="8.25" customHeight="1">
      <c r="A13" s="8"/>
      <c r="B13" s="342"/>
      <c r="C13" s="21"/>
      <c r="D13" s="34"/>
      <c r="E13" s="34"/>
      <c r="F13" s="34"/>
      <c r="G13" s="35"/>
      <c r="H13" s="343"/>
      <c r="I13" s="34"/>
      <c r="J13" s="34"/>
      <c r="K13" s="35"/>
      <c r="L13" s="343"/>
      <c r="M13" s="34"/>
      <c r="N13" s="34"/>
      <c r="O13" s="35"/>
      <c r="P13" s="343"/>
      <c r="Q13" s="34"/>
      <c r="R13" s="34"/>
      <c r="S13" s="35"/>
      <c r="T13" s="343"/>
      <c r="U13" s="34"/>
      <c r="V13" s="34"/>
      <c r="W13" s="35"/>
      <c r="X13" s="34"/>
      <c r="Y13" s="34"/>
      <c r="Z13" s="34"/>
      <c r="AA13" s="35"/>
      <c r="AB13" s="34"/>
      <c r="AC13" s="34"/>
      <c r="AD13" s="34"/>
      <c r="AE13" s="35"/>
      <c r="AF13" s="34"/>
      <c r="AG13" s="34"/>
      <c r="AH13" s="34"/>
      <c r="AI13" s="35"/>
      <c r="AJ13" s="34"/>
      <c r="AK13" s="34"/>
      <c r="AL13" s="34"/>
      <c r="AM13" s="35"/>
      <c r="AN13" s="34"/>
      <c r="AO13" s="34"/>
      <c r="AP13" s="34"/>
      <c r="AQ13" s="35"/>
      <c r="AR13" s="34"/>
      <c r="AS13" s="34"/>
      <c r="AT13" s="34"/>
      <c r="AU13" s="35"/>
      <c r="AV13" s="34"/>
      <c r="AW13" s="34"/>
      <c r="AX13" s="34"/>
      <c r="AY13" s="35"/>
      <c r="AZ13" s="34"/>
      <c r="BA13" s="34"/>
      <c r="BB13" s="34"/>
      <c r="BC13" s="35"/>
      <c r="BD13" s="34"/>
      <c r="BE13" s="34"/>
      <c r="BF13" s="34"/>
      <c r="BG13" s="35"/>
      <c r="BH13" s="343"/>
      <c r="BI13" s="34"/>
      <c r="BJ13" s="34"/>
      <c r="BK13" s="35"/>
      <c r="BL13" s="343"/>
      <c r="BM13" s="34"/>
      <c r="BN13" s="34"/>
      <c r="BO13" s="35"/>
      <c r="BP13" s="152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44"/>
      <c r="CB13" s="344"/>
      <c r="CC13" s="344"/>
      <c r="CD13" s="344"/>
      <c r="CE13" s="344"/>
      <c r="CF13" s="1136"/>
      <c r="CG13" s="297"/>
      <c r="CH13" s="8"/>
      <c r="CO13" s="8"/>
      <c r="CV13" s="282"/>
      <c r="CW13" s="282"/>
    </row>
    <row r="14" spans="1:107" ht="14.25" customHeight="1">
      <c r="A14" s="8"/>
      <c r="B14" s="345" t="s">
        <v>5</v>
      </c>
      <c r="C14" s="346"/>
      <c r="D14" s="347">
        <v>1468</v>
      </c>
      <c r="E14" s="348">
        <v>1545</v>
      </c>
      <c r="F14" s="348">
        <v>1649</v>
      </c>
      <c r="G14" s="349">
        <v>1667</v>
      </c>
      <c r="H14" s="347">
        <v>1662</v>
      </c>
      <c r="I14" s="348">
        <v>1790</v>
      </c>
      <c r="J14" s="348">
        <v>1829</v>
      </c>
      <c r="K14" s="349">
        <v>1715</v>
      </c>
      <c r="L14" s="347">
        <v>1545</v>
      </c>
      <c r="M14" s="348">
        <v>1629</v>
      </c>
      <c r="N14" s="348">
        <v>1705</v>
      </c>
      <c r="O14" s="349">
        <v>1625</v>
      </c>
      <c r="P14" s="347">
        <v>1516</v>
      </c>
      <c r="Q14" s="348">
        <v>1602</v>
      </c>
      <c r="R14" s="348">
        <v>1744</v>
      </c>
      <c r="S14" s="350">
        <f>6256-R14-Q14-P14</f>
        <v>1394</v>
      </c>
      <c r="T14" s="347">
        <v>1280</v>
      </c>
      <c r="U14" s="348">
        <v>1333</v>
      </c>
      <c r="V14" s="348">
        <v>1399</v>
      </c>
      <c r="W14" s="350">
        <f>5428-V14-U14-T14</f>
        <v>1416</v>
      </c>
      <c r="X14" s="348">
        <v>1516</v>
      </c>
      <c r="Y14" s="348">
        <v>1602</v>
      </c>
      <c r="Z14" s="348">
        <v>1701</v>
      </c>
      <c r="AA14" s="350">
        <f>6474-Z14-Y14-X14</f>
        <v>1655</v>
      </c>
      <c r="AB14" s="348">
        <v>1664</v>
      </c>
      <c r="AC14" s="348">
        <v>1705</v>
      </c>
      <c r="AD14" s="348">
        <v>1722</v>
      </c>
      <c r="AE14" s="349">
        <v>1872</v>
      </c>
      <c r="AF14" s="348">
        <v>1590</v>
      </c>
      <c r="AG14" s="348">
        <v>1684</v>
      </c>
      <c r="AH14" s="348">
        <v>1650</v>
      </c>
      <c r="AI14" s="349">
        <v>1534</v>
      </c>
      <c r="AJ14" s="348">
        <v>1511</v>
      </c>
      <c r="AK14" s="348">
        <v>1477</v>
      </c>
      <c r="AL14" s="348">
        <v>1465</v>
      </c>
      <c r="AM14" s="349">
        <v>1388</v>
      </c>
      <c r="AN14" s="348">
        <v>1376</v>
      </c>
      <c r="AO14" s="348">
        <v>1411</v>
      </c>
      <c r="AP14" s="348">
        <v>1457</v>
      </c>
      <c r="AQ14" s="349">
        <v>1374</v>
      </c>
      <c r="AR14" s="348">
        <v>1334</v>
      </c>
      <c r="AS14" s="348">
        <v>1351</v>
      </c>
      <c r="AT14" s="348">
        <v>1432</v>
      </c>
      <c r="AU14" s="349">
        <v>1323</v>
      </c>
      <c r="AV14" s="348">
        <v>1184</v>
      </c>
      <c r="AW14" s="348">
        <v>1270</v>
      </c>
      <c r="AX14" s="348">
        <v>1395</v>
      </c>
      <c r="AY14" s="349">
        <v>1281</v>
      </c>
      <c r="AZ14" s="348">
        <v>1258</v>
      </c>
      <c r="BA14" s="348">
        <v>1319</v>
      </c>
      <c r="BB14" s="348">
        <v>1460</v>
      </c>
      <c r="BC14" s="349">
        <v>1310</v>
      </c>
      <c r="BD14" s="348">
        <v>1342</v>
      </c>
      <c r="BE14" s="351">
        <f>'BU-Segment'!BE359</f>
        <v>1397.0677354949571</v>
      </c>
      <c r="BF14" s="351">
        <f>'BU-Segment'!BF359</f>
        <v>1459.7233102697212</v>
      </c>
      <c r="BG14" s="629">
        <f>'BU-Segment'!BG359</f>
        <v>1378.9016209548713</v>
      </c>
      <c r="BH14" s="351">
        <f>'BU-Segment'!BH359</f>
        <v>1367.1617780168312</v>
      </c>
      <c r="BI14" s="351">
        <f>'BU-Segment'!BI359</f>
        <v>1425.5839907177519</v>
      </c>
      <c r="BJ14" s="351">
        <f>'BU-Segment'!BJ359</f>
        <v>1485.7677215133665</v>
      </c>
      <c r="BK14" s="629">
        <f>'BU-Segment'!BK359</f>
        <v>1407.6616311632397</v>
      </c>
      <c r="BL14" s="351">
        <f>'BU-Segment'!BL359</f>
        <v>1389.3937254796574</v>
      </c>
      <c r="BM14" s="351">
        <f>'BU-Segment'!BM359</f>
        <v>1451.2581314557065</v>
      </c>
      <c r="BN14" s="351">
        <f>'BU-Segment'!BN359</f>
        <v>1512.9300544889727</v>
      </c>
      <c r="BO14" s="629">
        <f>'BU-Segment'!BO359</f>
        <v>1434.0698984095511</v>
      </c>
      <c r="BP14" s="152"/>
      <c r="BQ14" s="27">
        <f>SUM(D14:G14)</f>
        <v>6329</v>
      </c>
      <c r="BR14" s="27">
        <f>SUM(H14:K14)</f>
        <v>6996</v>
      </c>
      <c r="BS14" s="27">
        <f>SUM(L14:O14)</f>
        <v>6504</v>
      </c>
      <c r="BT14" s="27">
        <f>SUM(P14:S14)</f>
        <v>6256</v>
      </c>
      <c r="BU14" s="27">
        <f>SUM(T14:W14)</f>
        <v>5428</v>
      </c>
      <c r="BV14" s="27">
        <f>SUM(X14:AA14)</f>
        <v>6474</v>
      </c>
      <c r="BW14" s="27">
        <f>SUM(AB14:AE14)</f>
        <v>6963</v>
      </c>
      <c r="BX14" s="27">
        <f>SUM(AF14:AI14)</f>
        <v>6458</v>
      </c>
      <c r="BY14" s="27">
        <f>SUM(AJ14:AM14)</f>
        <v>5841</v>
      </c>
      <c r="BZ14" s="27">
        <f>+SUM(AN14:AQ14)</f>
        <v>5618</v>
      </c>
      <c r="CA14" s="352">
        <f>SUM(AR14:AU14)</f>
        <v>5440</v>
      </c>
      <c r="CB14" s="352">
        <f>SUM(AV14:AY14)</f>
        <v>5130</v>
      </c>
      <c r="CC14" s="352">
        <f>SUM(AZ14:BC14)</f>
        <v>5347</v>
      </c>
      <c r="CD14" s="352">
        <f>SUM(BD14:BG14)</f>
        <v>5577.6926667195494</v>
      </c>
      <c r="CE14" s="352">
        <f>SUM(BH14:BK14)</f>
        <v>5686.1751214111891</v>
      </c>
      <c r="CF14" s="354">
        <f>SUM(BL14:BO14)</f>
        <v>5787.6518098338875</v>
      </c>
      <c r="CG14" s="364"/>
      <c r="CH14" s="8"/>
      <c r="CO14" s="8"/>
      <c r="CV14" s="282"/>
      <c r="CW14" s="282"/>
    </row>
    <row r="15" spans="1:107">
      <c r="A15" s="8"/>
      <c r="B15" s="336"/>
      <c r="C15" s="24"/>
      <c r="D15" s="337"/>
      <c r="E15" s="25"/>
      <c r="F15" s="25"/>
      <c r="G15" s="26"/>
      <c r="H15" s="337"/>
      <c r="I15" s="25"/>
      <c r="J15" s="25"/>
      <c r="K15" s="355"/>
      <c r="L15" s="337"/>
      <c r="M15" s="25"/>
      <c r="N15" s="25"/>
      <c r="O15" s="355"/>
      <c r="P15" s="337"/>
      <c r="Q15" s="25"/>
      <c r="R15" s="25"/>
      <c r="S15" s="355"/>
      <c r="T15" s="337"/>
      <c r="U15" s="25"/>
      <c r="V15" s="25"/>
      <c r="W15" s="355"/>
      <c r="X15" s="25"/>
      <c r="Y15" s="25"/>
      <c r="Z15" s="25"/>
      <c r="AA15" s="355"/>
      <c r="AB15" s="25"/>
      <c r="AC15" s="25"/>
      <c r="AD15" s="25"/>
      <c r="AE15" s="26"/>
      <c r="AF15" s="25"/>
      <c r="AG15" s="25"/>
      <c r="AH15" s="25"/>
      <c r="AI15" s="26"/>
      <c r="AJ15" s="25"/>
      <c r="AK15" s="25"/>
      <c r="AL15" s="25"/>
      <c r="AM15" s="26"/>
      <c r="AN15" s="25"/>
      <c r="AO15" s="25"/>
      <c r="AP15" s="25"/>
      <c r="AQ15" s="26"/>
      <c r="AR15" s="25"/>
      <c r="AS15" s="25"/>
      <c r="AT15" s="25"/>
      <c r="AU15" s="26"/>
      <c r="AV15" s="25"/>
      <c r="AW15" s="25"/>
      <c r="AX15" s="25"/>
      <c r="AY15" s="26"/>
      <c r="AZ15" s="25"/>
      <c r="BA15" s="25"/>
      <c r="BB15" s="25"/>
      <c r="BC15" s="26"/>
      <c r="BD15" s="25"/>
      <c r="BE15" s="25"/>
      <c r="BF15" s="25"/>
      <c r="BG15" s="26"/>
      <c r="BH15" s="337"/>
      <c r="BI15" s="25"/>
      <c r="BJ15" s="25"/>
      <c r="BK15" s="26"/>
      <c r="BL15" s="337"/>
      <c r="BM15" s="25"/>
      <c r="BN15" s="25"/>
      <c r="BO15" s="26"/>
      <c r="BP15" s="152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8"/>
      <c r="CG15" s="297"/>
      <c r="CH15" s="8"/>
      <c r="CO15" s="8"/>
      <c r="CV15" s="282"/>
      <c r="CW15" s="282"/>
    </row>
    <row r="16" spans="1:107" ht="14.25" customHeight="1">
      <c r="A16" s="8"/>
      <c r="B16" s="356" t="s">
        <v>3</v>
      </c>
      <c r="C16" s="24"/>
      <c r="D16" s="337">
        <v>0</v>
      </c>
      <c r="E16" s="25">
        <v>0</v>
      </c>
      <c r="F16" s="25">
        <v>0</v>
      </c>
      <c r="G16" s="26">
        <v>0</v>
      </c>
      <c r="H16" s="337">
        <v>0</v>
      </c>
      <c r="I16" s="25">
        <v>0</v>
      </c>
      <c r="J16" s="25">
        <v>0</v>
      </c>
      <c r="K16" s="26">
        <v>0</v>
      </c>
      <c r="L16" s="337">
        <v>0</v>
      </c>
      <c r="M16" s="25">
        <v>0</v>
      </c>
      <c r="N16" s="25">
        <v>0</v>
      </c>
      <c r="O16" s="26">
        <v>0</v>
      </c>
      <c r="P16" s="337">
        <v>0</v>
      </c>
      <c r="Q16" s="25">
        <v>0</v>
      </c>
      <c r="R16" s="25">
        <v>0</v>
      </c>
      <c r="S16" s="26">
        <v>0</v>
      </c>
      <c r="T16" s="337">
        <v>0</v>
      </c>
      <c r="U16" s="25">
        <v>0</v>
      </c>
      <c r="V16" s="25">
        <v>0</v>
      </c>
      <c r="W16" s="26">
        <v>0</v>
      </c>
      <c r="X16" s="25">
        <v>0</v>
      </c>
      <c r="Y16" s="25">
        <v>0</v>
      </c>
      <c r="Z16" s="25">
        <v>0</v>
      </c>
      <c r="AA16" s="26">
        <v>0</v>
      </c>
      <c r="AB16" s="25">
        <v>0</v>
      </c>
      <c r="AC16" s="25">
        <v>0</v>
      </c>
      <c r="AD16" s="25">
        <v>0</v>
      </c>
      <c r="AE16" s="26">
        <v>103</v>
      </c>
      <c r="AF16" s="25">
        <v>21</v>
      </c>
      <c r="AG16" s="25">
        <v>0</v>
      </c>
      <c r="AH16" s="25">
        <v>0</v>
      </c>
      <c r="AI16" s="26">
        <v>0</v>
      </c>
      <c r="AJ16" s="25">
        <v>0</v>
      </c>
      <c r="AK16" s="25">
        <v>0</v>
      </c>
      <c r="AL16" s="25">
        <v>0</v>
      </c>
      <c r="AM16" s="26">
        <v>0</v>
      </c>
      <c r="AN16" s="25">
        <v>0</v>
      </c>
      <c r="AO16" s="25">
        <v>0</v>
      </c>
      <c r="AP16" s="25">
        <v>0</v>
      </c>
      <c r="AQ16" s="26">
        <v>0</v>
      </c>
      <c r="AR16" s="25">
        <v>0</v>
      </c>
      <c r="AS16" s="25">
        <v>0</v>
      </c>
      <c r="AT16" s="25">
        <v>0</v>
      </c>
      <c r="AU16" s="26">
        <v>0</v>
      </c>
      <c r="AV16" s="25">
        <v>0</v>
      </c>
      <c r="AW16" s="25">
        <v>0</v>
      </c>
      <c r="AX16" s="25">
        <v>0</v>
      </c>
      <c r="AY16" s="26">
        <v>0</v>
      </c>
      <c r="AZ16" s="25">
        <v>0</v>
      </c>
      <c r="BA16" s="25">
        <v>0</v>
      </c>
      <c r="BB16" s="25">
        <v>0</v>
      </c>
      <c r="BC16" s="26">
        <v>0</v>
      </c>
      <c r="BD16" s="25">
        <v>0</v>
      </c>
      <c r="BE16" s="25">
        <v>0</v>
      </c>
      <c r="BF16" s="25">
        <v>0</v>
      </c>
      <c r="BG16" s="26">
        <v>0</v>
      </c>
      <c r="BH16" s="337">
        <v>0</v>
      </c>
      <c r="BI16" s="25">
        <v>0</v>
      </c>
      <c r="BJ16" s="25">
        <v>0</v>
      </c>
      <c r="BK16" s="26">
        <v>0</v>
      </c>
      <c r="BL16" s="337">
        <v>0</v>
      </c>
      <c r="BM16" s="25">
        <v>0</v>
      </c>
      <c r="BN16" s="25">
        <v>0</v>
      </c>
      <c r="BO16" s="26">
        <v>0</v>
      </c>
      <c r="BP16" s="152"/>
      <c r="BQ16" s="27">
        <f>SUM(D16:G16)</f>
        <v>0</v>
      </c>
      <c r="BR16" s="27">
        <f>SUM(H16:K16)</f>
        <v>0</v>
      </c>
      <c r="BS16" s="27">
        <f>SUM(L16:O16)</f>
        <v>0</v>
      </c>
      <c r="BT16" s="27">
        <f>SUM(P16:S16)</f>
        <v>0</v>
      </c>
      <c r="BU16" s="27">
        <f>SUM(T16:W16)</f>
        <v>0</v>
      </c>
      <c r="BV16" s="27">
        <f>SUM(X16:AA16)</f>
        <v>0</v>
      </c>
      <c r="BW16" s="27">
        <f>SUM(AB16:AE16)</f>
        <v>103</v>
      </c>
      <c r="BX16" s="27">
        <f>SUM(AF16:AI16)</f>
        <v>21</v>
      </c>
      <c r="BY16" s="27">
        <f>SUM(AJ16:AM16)</f>
        <v>0</v>
      </c>
      <c r="BZ16" s="27">
        <f>SUM(AN16:AQ16)</f>
        <v>0</v>
      </c>
      <c r="CA16" s="27">
        <v>0</v>
      </c>
      <c r="CB16" s="27">
        <v>0</v>
      </c>
      <c r="CC16" s="27">
        <v>0</v>
      </c>
      <c r="CD16" s="27">
        <v>0</v>
      </c>
      <c r="CE16" s="27">
        <v>0</v>
      </c>
      <c r="CF16" s="28">
        <v>0</v>
      </c>
      <c r="CG16" s="297"/>
      <c r="CH16" s="8"/>
      <c r="CO16" s="8"/>
      <c r="CV16" s="282"/>
      <c r="CW16" s="282"/>
    </row>
    <row r="17" spans="1:101">
      <c r="A17" s="8"/>
      <c r="B17" s="342" t="s">
        <v>93</v>
      </c>
      <c r="C17" s="21"/>
      <c r="D17" s="338">
        <f t="shared" ref="D17:AP17" si="47">D14-D16</f>
        <v>1468</v>
      </c>
      <c r="E17" s="27">
        <f t="shared" si="47"/>
        <v>1545</v>
      </c>
      <c r="F17" s="27">
        <f t="shared" si="47"/>
        <v>1649</v>
      </c>
      <c r="G17" s="28">
        <f t="shared" si="47"/>
        <v>1667</v>
      </c>
      <c r="H17" s="338">
        <f t="shared" si="47"/>
        <v>1662</v>
      </c>
      <c r="I17" s="27">
        <f t="shared" si="47"/>
        <v>1790</v>
      </c>
      <c r="J17" s="27">
        <f t="shared" si="47"/>
        <v>1829</v>
      </c>
      <c r="K17" s="28">
        <f t="shared" si="47"/>
        <v>1715</v>
      </c>
      <c r="L17" s="338">
        <f t="shared" si="47"/>
        <v>1545</v>
      </c>
      <c r="M17" s="27">
        <f t="shared" si="47"/>
        <v>1629</v>
      </c>
      <c r="N17" s="27">
        <f t="shared" si="47"/>
        <v>1705</v>
      </c>
      <c r="O17" s="28">
        <f t="shared" si="47"/>
        <v>1625</v>
      </c>
      <c r="P17" s="338">
        <f t="shared" si="47"/>
        <v>1516</v>
      </c>
      <c r="Q17" s="27">
        <f t="shared" si="47"/>
        <v>1602</v>
      </c>
      <c r="R17" s="27">
        <f t="shared" si="47"/>
        <v>1744</v>
      </c>
      <c r="S17" s="28">
        <f t="shared" si="47"/>
        <v>1394</v>
      </c>
      <c r="T17" s="338">
        <f t="shared" si="47"/>
        <v>1280</v>
      </c>
      <c r="U17" s="27">
        <f t="shared" si="47"/>
        <v>1333</v>
      </c>
      <c r="V17" s="27">
        <f t="shared" si="47"/>
        <v>1399</v>
      </c>
      <c r="W17" s="28">
        <f t="shared" si="47"/>
        <v>1416</v>
      </c>
      <c r="X17" s="27">
        <f t="shared" si="47"/>
        <v>1516</v>
      </c>
      <c r="Y17" s="27">
        <f t="shared" si="47"/>
        <v>1602</v>
      </c>
      <c r="Z17" s="27">
        <f t="shared" si="47"/>
        <v>1701</v>
      </c>
      <c r="AA17" s="28">
        <f t="shared" si="47"/>
        <v>1655</v>
      </c>
      <c r="AB17" s="27">
        <f t="shared" si="47"/>
        <v>1664</v>
      </c>
      <c r="AC17" s="27">
        <f t="shared" si="47"/>
        <v>1705</v>
      </c>
      <c r="AD17" s="27">
        <f t="shared" si="47"/>
        <v>1722</v>
      </c>
      <c r="AE17" s="28">
        <f t="shared" si="47"/>
        <v>1769</v>
      </c>
      <c r="AF17" s="27">
        <f t="shared" si="47"/>
        <v>1569</v>
      </c>
      <c r="AG17" s="27">
        <f t="shared" si="47"/>
        <v>1684</v>
      </c>
      <c r="AH17" s="27">
        <f t="shared" si="47"/>
        <v>1650</v>
      </c>
      <c r="AI17" s="28">
        <f t="shared" si="47"/>
        <v>1534</v>
      </c>
      <c r="AJ17" s="27">
        <f t="shared" si="47"/>
        <v>1511</v>
      </c>
      <c r="AK17" s="27">
        <f t="shared" si="47"/>
        <v>1477</v>
      </c>
      <c r="AL17" s="27">
        <f t="shared" si="47"/>
        <v>1465</v>
      </c>
      <c r="AM17" s="28">
        <f t="shared" si="47"/>
        <v>1388</v>
      </c>
      <c r="AN17" s="27">
        <f>AN14-AN16</f>
        <v>1376</v>
      </c>
      <c r="AO17" s="27">
        <f>AO14-AO16</f>
        <v>1411</v>
      </c>
      <c r="AP17" s="27">
        <f t="shared" si="47"/>
        <v>1457</v>
      </c>
      <c r="AQ17" s="28">
        <f t="shared" ref="AQ17:AV17" si="48">AQ14-AQ16</f>
        <v>1374</v>
      </c>
      <c r="AR17" s="27">
        <f t="shared" si="48"/>
        <v>1334</v>
      </c>
      <c r="AS17" s="27">
        <f>AS14-AS16</f>
        <v>1351</v>
      </c>
      <c r="AT17" s="27">
        <f>AT14-AT16</f>
        <v>1432</v>
      </c>
      <c r="AU17" s="28">
        <f>AU14-AU16</f>
        <v>1323</v>
      </c>
      <c r="AV17" s="27">
        <f t="shared" si="48"/>
        <v>1184</v>
      </c>
      <c r="AW17" s="27">
        <f>AW14-AW16</f>
        <v>1270</v>
      </c>
      <c r="AX17" s="27">
        <f>AX14-AX16</f>
        <v>1395</v>
      </c>
      <c r="AY17" s="28">
        <f>AY14-AY16</f>
        <v>1281</v>
      </c>
      <c r="AZ17" s="27">
        <f t="shared" ref="AZ17" si="49">AZ14-AZ16</f>
        <v>1258</v>
      </c>
      <c r="BA17" s="27">
        <f>BA14-BA16</f>
        <v>1319</v>
      </c>
      <c r="BB17" s="27">
        <f>BB14-BB16</f>
        <v>1460</v>
      </c>
      <c r="BC17" s="28">
        <f>BC14-BC16</f>
        <v>1310</v>
      </c>
      <c r="BD17" s="27">
        <f t="shared" ref="BD17" si="50">BD14-BD16</f>
        <v>1342</v>
      </c>
      <c r="BE17" s="27">
        <f t="shared" ref="BE17:BG17" si="51">BE14-BE16</f>
        <v>1397.0677354949571</v>
      </c>
      <c r="BF17" s="27">
        <f t="shared" si="51"/>
        <v>1459.7233102697212</v>
      </c>
      <c r="BG17" s="28">
        <f t="shared" si="51"/>
        <v>1378.9016209548713</v>
      </c>
      <c r="BH17" s="338">
        <f t="shared" ref="BH17:BK17" si="52">BH14-BH16</f>
        <v>1367.1617780168312</v>
      </c>
      <c r="BI17" s="27">
        <f t="shared" si="52"/>
        <v>1425.5839907177519</v>
      </c>
      <c r="BJ17" s="27">
        <f t="shared" si="52"/>
        <v>1485.7677215133665</v>
      </c>
      <c r="BK17" s="28">
        <f t="shared" si="52"/>
        <v>1407.6616311632397</v>
      </c>
      <c r="BL17" s="338">
        <f t="shared" ref="BL17:BO17" si="53">BL14-BL16</f>
        <v>1389.3937254796574</v>
      </c>
      <c r="BM17" s="27">
        <f t="shared" si="53"/>
        <v>1451.2581314557065</v>
      </c>
      <c r="BN17" s="27">
        <f t="shared" si="53"/>
        <v>1512.9300544889727</v>
      </c>
      <c r="BO17" s="28">
        <f t="shared" si="53"/>
        <v>1434.0698984095511</v>
      </c>
      <c r="BP17" s="152"/>
      <c r="BQ17" s="27">
        <f t="shared" ref="BQ17:BZ17" si="54">BQ14-BQ16</f>
        <v>6329</v>
      </c>
      <c r="BR17" s="27">
        <f t="shared" si="54"/>
        <v>6996</v>
      </c>
      <c r="BS17" s="27">
        <f t="shared" si="54"/>
        <v>6504</v>
      </c>
      <c r="BT17" s="27">
        <f t="shared" si="54"/>
        <v>6256</v>
      </c>
      <c r="BU17" s="27">
        <f t="shared" si="54"/>
        <v>5428</v>
      </c>
      <c r="BV17" s="27">
        <f t="shared" si="54"/>
        <v>6474</v>
      </c>
      <c r="BW17" s="27">
        <f t="shared" si="54"/>
        <v>6860</v>
      </c>
      <c r="BX17" s="27">
        <f t="shared" si="54"/>
        <v>6437</v>
      </c>
      <c r="BY17" s="27">
        <f t="shared" si="54"/>
        <v>5841</v>
      </c>
      <c r="BZ17" s="27">
        <f t="shared" si="54"/>
        <v>5618</v>
      </c>
      <c r="CA17" s="27">
        <f t="shared" ref="CA17:CF17" si="55">CA14-CA16</f>
        <v>5440</v>
      </c>
      <c r="CB17" s="27">
        <f t="shared" si="55"/>
        <v>5130</v>
      </c>
      <c r="CC17" s="27">
        <f t="shared" si="55"/>
        <v>5347</v>
      </c>
      <c r="CD17" s="27">
        <f t="shared" si="55"/>
        <v>5577.6926667195494</v>
      </c>
      <c r="CE17" s="27">
        <f t="shared" si="55"/>
        <v>5686.1751214111891</v>
      </c>
      <c r="CF17" s="28">
        <f t="shared" si="55"/>
        <v>5787.6518098338875</v>
      </c>
      <c r="CG17" s="364"/>
      <c r="CO17" s="8"/>
      <c r="CV17" s="282"/>
      <c r="CW17" s="282"/>
    </row>
    <row r="18" spans="1:101">
      <c r="A18" s="8"/>
      <c r="B18" s="332"/>
      <c r="C18" s="29"/>
      <c r="D18" s="339"/>
      <c r="E18" s="30"/>
      <c r="F18" s="30"/>
      <c r="G18" s="31"/>
      <c r="H18" s="339"/>
      <c r="I18" s="30"/>
      <c r="J18" s="30"/>
      <c r="K18" s="31"/>
      <c r="L18" s="339"/>
      <c r="M18" s="30"/>
      <c r="N18" s="30"/>
      <c r="O18" s="31"/>
      <c r="P18" s="339"/>
      <c r="Q18" s="30"/>
      <c r="R18" s="30"/>
      <c r="S18" s="31"/>
      <c r="T18" s="339"/>
      <c r="U18" s="30"/>
      <c r="V18" s="30"/>
      <c r="W18" s="31"/>
      <c r="X18" s="30"/>
      <c r="Y18" s="30"/>
      <c r="Z18" s="30"/>
      <c r="AA18" s="31"/>
      <c r="AB18" s="30"/>
      <c r="AC18" s="30"/>
      <c r="AD18" s="30"/>
      <c r="AE18" s="31"/>
      <c r="AF18" s="30"/>
      <c r="AG18" s="30"/>
      <c r="AH18" s="30"/>
      <c r="AI18" s="31"/>
      <c r="AJ18" s="30"/>
      <c r="AK18" s="30"/>
      <c r="AL18" s="30"/>
      <c r="AM18" s="31"/>
      <c r="AN18" s="30"/>
      <c r="AO18" s="30"/>
      <c r="AP18" s="30"/>
      <c r="AQ18" s="31"/>
      <c r="AR18" s="30"/>
      <c r="AS18" s="30"/>
      <c r="AT18" s="30"/>
      <c r="AU18" s="31"/>
      <c r="AV18" s="30"/>
      <c r="AW18" s="30"/>
      <c r="AX18" s="30"/>
      <c r="AY18" s="31"/>
      <c r="AZ18" s="30"/>
      <c r="BA18" s="30"/>
      <c r="BB18" s="30"/>
      <c r="BC18" s="31"/>
      <c r="BD18" s="30"/>
      <c r="BE18" s="30"/>
      <c r="BF18" s="30"/>
      <c r="BG18" s="30"/>
      <c r="BH18" s="339"/>
      <c r="BI18" s="30"/>
      <c r="BJ18" s="30"/>
      <c r="BK18" s="30"/>
      <c r="BL18" s="339"/>
      <c r="BM18" s="30"/>
      <c r="BN18" s="30"/>
      <c r="BO18" s="30"/>
      <c r="BP18" s="152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1"/>
      <c r="CG18" s="297"/>
      <c r="CH18" s="8"/>
      <c r="CO18" s="8"/>
      <c r="CV18" s="282"/>
      <c r="CW18" s="282"/>
    </row>
    <row r="19" spans="1:101" ht="14.25" customHeight="1">
      <c r="A19" s="8"/>
      <c r="B19" s="320" t="s">
        <v>275</v>
      </c>
      <c r="C19" s="39"/>
      <c r="D19" s="357">
        <f t="shared" ref="D19:AF19" si="56">D7-D14</f>
        <v>1234</v>
      </c>
      <c r="E19" s="40">
        <f t="shared" si="56"/>
        <v>1426</v>
      </c>
      <c r="F19" s="40">
        <f t="shared" si="56"/>
        <v>1690</v>
      </c>
      <c r="G19" s="41">
        <f t="shared" si="56"/>
        <v>1657</v>
      </c>
      <c r="H19" s="357">
        <f t="shared" si="56"/>
        <v>1672</v>
      </c>
      <c r="I19" s="40">
        <f t="shared" si="56"/>
        <v>1907</v>
      </c>
      <c r="J19" s="40">
        <f t="shared" si="56"/>
        <v>1932</v>
      </c>
      <c r="K19" s="41">
        <f t="shared" si="56"/>
        <v>1748</v>
      </c>
      <c r="L19" s="357">
        <f t="shared" si="56"/>
        <v>1646</v>
      </c>
      <c r="M19" s="40">
        <f t="shared" si="56"/>
        <v>1795</v>
      </c>
      <c r="N19" s="40">
        <f t="shared" si="56"/>
        <v>1958</v>
      </c>
      <c r="O19" s="41">
        <f t="shared" si="56"/>
        <v>1931</v>
      </c>
      <c r="P19" s="357">
        <f t="shared" si="56"/>
        <v>1756</v>
      </c>
      <c r="Q19" s="40">
        <f t="shared" si="56"/>
        <v>1749</v>
      </c>
      <c r="R19" s="40">
        <f t="shared" si="56"/>
        <v>1643</v>
      </c>
      <c r="S19" s="41">
        <f t="shared" si="56"/>
        <v>1097</v>
      </c>
      <c r="T19" s="357">
        <f t="shared" si="56"/>
        <v>806</v>
      </c>
      <c r="U19" s="40">
        <f t="shared" si="56"/>
        <v>1124</v>
      </c>
      <c r="V19" s="40">
        <f t="shared" si="56"/>
        <v>1481</v>
      </c>
      <c r="W19" s="41">
        <f t="shared" si="56"/>
        <v>1588</v>
      </c>
      <c r="X19" s="40">
        <f t="shared" si="56"/>
        <v>1689</v>
      </c>
      <c r="Y19" s="40">
        <f t="shared" si="56"/>
        <v>1894</v>
      </c>
      <c r="Z19" s="40">
        <f t="shared" si="56"/>
        <v>2039</v>
      </c>
      <c r="AA19" s="41">
        <f t="shared" si="56"/>
        <v>1870</v>
      </c>
      <c r="AB19" s="40">
        <f t="shared" si="56"/>
        <v>1728</v>
      </c>
      <c r="AC19" s="40">
        <f t="shared" si="56"/>
        <v>1753</v>
      </c>
      <c r="AD19" s="40">
        <f t="shared" si="56"/>
        <v>1744</v>
      </c>
      <c r="AE19" s="41">
        <f t="shared" si="56"/>
        <v>1548</v>
      </c>
      <c r="AF19" s="40">
        <f t="shared" si="56"/>
        <v>1531</v>
      </c>
      <c r="AG19" s="40">
        <f t="shared" ref="AG19:AQ19" si="57">AG7-AG17</f>
        <v>1651</v>
      </c>
      <c r="AH19" s="40">
        <f t="shared" si="57"/>
        <v>1740</v>
      </c>
      <c r="AI19" s="41">
        <f>AI7-AI14</f>
        <v>1445</v>
      </c>
      <c r="AJ19" s="40">
        <f t="shared" si="57"/>
        <v>1374</v>
      </c>
      <c r="AK19" s="40">
        <f>AK7-AK17</f>
        <v>1570</v>
      </c>
      <c r="AL19" s="40">
        <f t="shared" si="57"/>
        <v>1779</v>
      </c>
      <c r="AM19" s="41">
        <f>AM7-AM14</f>
        <v>1640</v>
      </c>
      <c r="AN19" s="40">
        <f>AN7-AN17</f>
        <v>1607</v>
      </c>
      <c r="AO19" s="40">
        <f>AO7-AO17</f>
        <v>1881</v>
      </c>
      <c r="AP19" s="40">
        <f t="shared" si="57"/>
        <v>2044</v>
      </c>
      <c r="AQ19" s="41">
        <f t="shared" si="57"/>
        <v>1895</v>
      </c>
      <c r="AR19" s="40">
        <f t="shared" ref="AR19:AX19" si="58">AR7-AR17</f>
        <v>1816</v>
      </c>
      <c r="AS19" s="40">
        <f t="shared" si="58"/>
        <v>1881</v>
      </c>
      <c r="AT19" s="40">
        <f t="shared" si="58"/>
        <v>1997</v>
      </c>
      <c r="AU19" s="41">
        <f t="shared" si="58"/>
        <v>1866</v>
      </c>
      <c r="AV19" s="40">
        <f t="shared" si="58"/>
        <v>1824</v>
      </c>
      <c r="AW19" s="40">
        <f t="shared" si="58"/>
        <v>2003</v>
      </c>
      <c r="AX19" s="40">
        <f t="shared" si="58"/>
        <v>2280</v>
      </c>
      <c r="AY19" s="41">
        <f t="shared" ref="AY19:BB19" si="59">AY7-AY17</f>
        <v>2133</v>
      </c>
      <c r="AZ19" s="40">
        <f t="shared" si="59"/>
        <v>2144</v>
      </c>
      <c r="BA19" s="40">
        <f t="shared" si="59"/>
        <v>2374</v>
      </c>
      <c r="BB19" s="40">
        <f t="shared" si="59"/>
        <v>2656</v>
      </c>
      <c r="BC19" s="41">
        <f t="shared" ref="BC19:BD19" si="60">BC7-BC17</f>
        <v>2440</v>
      </c>
      <c r="BD19" s="40">
        <f t="shared" si="60"/>
        <v>2447</v>
      </c>
      <c r="BE19" s="40">
        <f t="shared" ref="BE19:BG19" si="61">BE7-BE17</f>
        <v>2547.3088283849929</v>
      </c>
      <c r="BF19" s="40">
        <f t="shared" si="61"/>
        <v>2737.2890869628154</v>
      </c>
      <c r="BG19" s="40">
        <f t="shared" si="61"/>
        <v>2575.7390896439028</v>
      </c>
      <c r="BH19" s="357">
        <f t="shared" ref="BH19:BK19" si="62">BH7-BH17</f>
        <v>2483.4463659019398</v>
      </c>
      <c r="BI19" s="40">
        <f t="shared" si="62"/>
        <v>2663.8030484253441</v>
      </c>
      <c r="BJ19" s="40">
        <f t="shared" si="62"/>
        <v>2854.9660626155401</v>
      </c>
      <c r="BK19" s="40">
        <f t="shared" si="62"/>
        <v>2669.1532227068838</v>
      </c>
      <c r="BL19" s="357">
        <f t="shared" ref="BL19:BO19" si="63">BL7-BL17</f>
        <v>2584.6619513585783</v>
      </c>
      <c r="BM19" s="40">
        <f t="shared" si="63"/>
        <v>2767.981662475775</v>
      </c>
      <c r="BN19" s="40">
        <f t="shared" si="63"/>
        <v>2963.0643045267007</v>
      </c>
      <c r="BO19" s="40">
        <f t="shared" si="63"/>
        <v>2772.1522894034983</v>
      </c>
      <c r="BP19" s="152"/>
      <c r="BQ19" s="40">
        <f t="shared" ref="BQ19:BW19" si="64">BQ7-BQ14</f>
        <v>6007</v>
      </c>
      <c r="BR19" s="40">
        <f t="shared" si="64"/>
        <v>7259</v>
      </c>
      <c r="BS19" s="40">
        <f t="shared" si="64"/>
        <v>7330</v>
      </c>
      <c r="BT19" s="40">
        <f t="shared" si="64"/>
        <v>6245</v>
      </c>
      <c r="BU19" s="40">
        <f t="shared" si="64"/>
        <v>4999</v>
      </c>
      <c r="BV19" s="40">
        <f t="shared" si="64"/>
        <v>7492</v>
      </c>
      <c r="BW19" s="40">
        <f t="shared" si="64"/>
        <v>6773</v>
      </c>
      <c r="BX19" s="40">
        <f t="shared" ref="BX19:CC19" si="65">BX7-BX14</f>
        <v>6367</v>
      </c>
      <c r="BY19" s="40">
        <f t="shared" si="65"/>
        <v>6363</v>
      </c>
      <c r="BZ19" s="40">
        <f t="shared" si="65"/>
        <v>7427</v>
      </c>
      <c r="CA19" s="40">
        <f t="shared" si="65"/>
        <v>7560</v>
      </c>
      <c r="CB19" s="40">
        <f t="shared" si="65"/>
        <v>8240</v>
      </c>
      <c r="CC19" s="40">
        <f t="shared" si="65"/>
        <v>9614</v>
      </c>
      <c r="CD19" s="40">
        <f t="shared" ref="CD19:CE19" si="66">CD7-CD14</f>
        <v>10307.337004991712</v>
      </c>
      <c r="CE19" s="40">
        <f t="shared" si="66"/>
        <v>10671.368699649705</v>
      </c>
      <c r="CF19" s="41">
        <f t="shared" ref="CF19" si="67">CF7-CF14</f>
        <v>11087.860207764554</v>
      </c>
      <c r="CG19" s="364"/>
      <c r="CH19" s="8"/>
      <c r="CO19" s="8"/>
      <c r="CV19" s="282"/>
      <c r="CW19" s="282"/>
    </row>
    <row r="20" spans="1:101" ht="14.25" customHeight="1">
      <c r="A20" s="8"/>
      <c r="B20" s="332" t="s">
        <v>262</v>
      </c>
      <c r="C20" s="29"/>
      <c r="D20" s="339">
        <f t="shared" ref="D20:AN20" si="68">D19/D7</f>
        <v>0.45669874167283492</v>
      </c>
      <c r="E20" s="30">
        <f t="shared" si="68"/>
        <v>0.47997307303938069</v>
      </c>
      <c r="F20" s="30">
        <f t="shared" si="68"/>
        <v>0.50613956274333638</v>
      </c>
      <c r="G20" s="31">
        <f t="shared" si="68"/>
        <v>0.49849578820697954</v>
      </c>
      <c r="H20" s="339">
        <f t="shared" si="68"/>
        <v>0.50149970005998801</v>
      </c>
      <c r="I20" s="30">
        <f t="shared" si="68"/>
        <v>0.51582364078982956</v>
      </c>
      <c r="J20" s="30">
        <f t="shared" si="68"/>
        <v>0.51369316671098109</v>
      </c>
      <c r="K20" s="31">
        <f t="shared" si="68"/>
        <v>0.50476465492347677</v>
      </c>
      <c r="L20" s="339">
        <f t="shared" si="68"/>
        <v>0.51582575994985902</v>
      </c>
      <c r="M20" s="30">
        <f t="shared" si="68"/>
        <v>0.5242406542056075</v>
      </c>
      <c r="N20" s="30">
        <f t="shared" si="68"/>
        <v>0.53453453453453459</v>
      </c>
      <c r="O20" s="31">
        <f t="shared" si="68"/>
        <v>0.54302587176602923</v>
      </c>
      <c r="P20" s="339">
        <f t="shared" si="68"/>
        <v>0.53667481662591687</v>
      </c>
      <c r="Q20" s="30">
        <f t="shared" si="68"/>
        <v>0.52193375111906892</v>
      </c>
      <c r="R20" s="30">
        <f t="shared" si="68"/>
        <v>0.48509005019191026</v>
      </c>
      <c r="S20" s="31">
        <f t="shared" si="68"/>
        <v>0.44038538739462063</v>
      </c>
      <c r="T20" s="339">
        <f t="shared" si="68"/>
        <v>0.38638542665388304</v>
      </c>
      <c r="U20" s="30">
        <f t="shared" si="68"/>
        <v>0.45746845746845749</v>
      </c>
      <c r="V20" s="30">
        <f t="shared" si="68"/>
        <v>0.51423611111111112</v>
      </c>
      <c r="W20" s="31">
        <f t="shared" si="68"/>
        <v>0.52862849533954726</v>
      </c>
      <c r="X20" s="30">
        <f t="shared" si="68"/>
        <v>0.52698907956318253</v>
      </c>
      <c r="Y20" s="30">
        <f t="shared" si="68"/>
        <v>0.54176201372997712</v>
      </c>
      <c r="Z20" s="30">
        <f t="shared" si="68"/>
        <v>0.54518716577540105</v>
      </c>
      <c r="AA20" s="31">
        <f t="shared" si="68"/>
        <v>0.53049645390070921</v>
      </c>
      <c r="AB20" s="30">
        <f t="shared" si="68"/>
        <v>0.50943396226415094</v>
      </c>
      <c r="AC20" s="30">
        <f t="shared" si="68"/>
        <v>0.50694042799305961</v>
      </c>
      <c r="AD20" s="30">
        <f t="shared" si="68"/>
        <v>0.50317368724754763</v>
      </c>
      <c r="AE20" s="31">
        <f t="shared" si="68"/>
        <v>0.45263157894736844</v>
      </c>
      <c r="AF20" s="30">
        <f t="shared" si="68"/>
        <v>0.49054790131368153</v>
      </c>
      <c r="AG20" s="30">
        <f t="shared" si="68"/>
        <v>0.49505247376311845</v>
      </c>
      <c r="AH20" s="30">
        <f t="shared" si="68"/>
        <v>0.51327433628318586</v>
      </c>
      <c r="AI20" s="31">
        <f t="shared" si="68"/>
        <v>0.48506210137630079</v>
      </c>
      <c r="AJ20" s="30">
        <f t="shared" ref="AJ20:AQ20" si="69">AJ19/AJ7</f>
        <v>0.47625649913344886</v>
      </c>
      <c r="AK20" s="30">
        <f t="shared" si="68"/>
        <v>0.51526091237282579</v>
      </c>
      <c r="AL20" s="30">
        <f t="shared" si="69"/>
        <v>0.54839704069050554</v>
      </c>
      <c r="AM20" s="31">
        <f t="shared" si="68"/>
        <v>0.54161162483487446</v>
      </c>
      <c r="AN20" s="30">
        <f t="shared" si="68"/>
        <v>0.53871940998994305</v>
      </c>
      <c r="AO20" s="30">
        <f>AO19/AO7</f>
        <v>0.5713851761846902</v>
      </c>
      <c r="AP20" s="30">
        <f t="shared" si="69"/>
        <v>0.58383319051699512</v>
      </c>
      <c r="AQ20" s="31">
        <f t="shared" si="69"/>
        <v>0.57968797797491589</v>
      </c>
      <c r="AR20" s="30">
        <f t="shared" ref="AR20:AX20" si="70">AR19/AR7</f>
        <v>0.57650793650793652</v>
      </c>
      <c r="AS20" s="30">
        <f t="shared" si="70"/>
        <v>0.58199257425742579</v>
      </c>
      <c r="AT20" s="30">
        <f t="shared" si="70"/>
        <v>0.58238553514144065</v>
      </c>
      <c r="AU20" s="31">
        <f t="shared" si="70"/>
        <v>0.58513640639698961</v>
      </c>
      <c r="AV20" s="30">
        <f t="shared" si="70"/>
        <v>0.6063829787234043</v>
      </c>
      <c r="AW20" s="30">
        <f t="shared" si="70"/>
        <v>0.61197677971280173</v>
      </c>
      <c r="AX20" s="30">
        <f t="shared" si="70"/>
        <v>0.62040816326530612</v>
      </c>
      <c r="AY20" s="31">
        <f t="shared" ref="AY20:BB20" si="71">AY19/AY7</f>
        <v>0.62478031634446396</v>
      </c>
      <c r="AZ20" s="30">
        <f t="shared" si="71"/>
        <v>0.630217519106408</v>
      </c>
      <c r="BA20" s="30">
        <f t="shared" si="71"/>
        <v>0.64283780124559975</v>
      </c>
      <c r="BB20" s="30">
        <f t="shared" si="71"/>
        <v>0.64528668610301265</v>
      </c>
      <c r="BC20" s="31">
        <f t="shared" ref="BC20:BD20" si="72">BC19/BC7</f>
        <v>0.65066666666666662</v>
      </c>
      <c r="BD20" s="30">
        <f t="shared" si="72"/>
        <v>0.64581683821588809</v>
      </c>
      <c r="BE20" s="30">
        <f t="shared" ref="BE20:BG20" si="73">BE19/BE7</f>
        <v>0.64580771818583449</v>
      </c>
      <c r="BF20" s="30">
        <f t="shared" si="73"/>
        <v>0.65219942851914225</v>
      </c>
      <c r="BG20" s="30">
        <f t="shared" si="73"/>
        <v>0.65132063267864071</v>
      </c>
      <c r="BH20" s="339">
        <f t="shared" ref="BH20:BK20" si="74">BH19/BH7</f>
        <v>0.6449491283147113</v>
      </c>
      <c r="BI20" s="30">
        <f t="shared" si="74"/>
        <v>0.65139421212219772</v>
      </c>
      <c r="BJ20" s="30">
        <f t="shared" si="74"/>
        <v>0.65771507873949742</v>
      </c>
      <c r="BK20" s="30">
        <f t="shared" si="74"/>
        <v>0.65471533988673891</v>
      </c>
      <c r="BL20" s="339">
        <f t="shared" ref="BL20:BO20" si="75">BL19/BL7</f>
        <v>0.65038393055804866</v>
      </c>
      <c r="BM20" s="30">
        <f t="shared" si="75"/>
        <v>0.65603800629131193</v>
      </c>
      <c r="BN20" s="30">
        <f t="shared" si="75"/>
        <v>0.661990178463566</v>
      </c>
      <c r="BO20" s="30">
        <f t="shared" si="75"/>
        <v>0.65905987977416614</v>
      </c>
      <c r="BP20" s="152"/>
      <c r="BQ20" s="30">
        <f t="shared" ref="BQ20:BX20" si="76">BQ19/BQ7</f>
        <v>0.48694876783398183</v>
      </c>
      <c r="BR20" s="30">
        <f t="shared" si="76"/>
        <v>0.50922483339179236</v>
      </c>
      <c r="BS20" s="30">
        <f t="shared" si="76"/>
        <v>0.52985398294058117</v>
      </c>
      <c r="BT20" s="30">
        <f t="shared" si="76"/>
        <v>0.49956003519718423</v>
      </c>
      <c r="BU20" s="30">
        <f t="shared" si="76"/>
        <v>0.47942840702023592</v>
      </c>
      <c r="BV20" s="30">
        <f t="shared" si="76"/>
        <v>0.53644565373048836</v>
      </c>
      <c r="BW20" s="30">
        <f t="shared" si="76"/>
        <v>0.49308386721025044</v>
      </c>
      <c r="BX20" s="30">
        <f t="shared" si="76"/>
        <v>0.49645224171539959</v>
      </c>
      <c r="BY20" s="30">
        <f t="shared" ref="BY20:CD20" si="77">BY19/BY7</f>
        <v>0.52138643067846613</v>
      </c>
      <c r="BZ20" s="30">
        <f t="shared" si="77"/>
        <v>0.56933691069375236</v>
      </c>
      <c r="CA20" s="30">
        <f t="shared" si="77"/>
        <v>0.58153846153846156</v>
      </c>
      <c r="CB20" s="30">
        <f t="shared" si="77"/>
        <v>0.61630516080777864</v>
      </c>
      <c r="CC20" s="30">
        <f t="shared" si="77"/>
        <v>0.64260410400374302</v>
      </c>
      <c r="CD20" s="30">
        <f t="shared" si="77"/>
        <v>0.64887112067202857</v>
      </c>
      <c r="CE20" s="30">
        <f t="shared" ref="CE20:CF20" si="78">CE19/CE7</f>
        <v>0.65238209454832419</v>
      </c>
      <c r="CF20" s="31">
        <f t="shared" si="78"/>
        <v>0.65703844696396185</v>
      </c>
      <c r="CG20" s="297"/>
      <c r="CH20" s="14"/>
      <c r="CO20" s="14"/>
      <c r="CP20" s="14"/>
      <c r="CQ20" s="14"/>
      <c r="CR20" s="14"/>
      <c r="CS20" s="14"/>
      <c r="CT20" s="14"/>
      <c r="CV20" s="282"/>
      <c r="CW20" s="282"/>
    </row>
    <row r="21" spans="1:101" ht="14.25" customHeight="1" outlineLevel="1">
      <c r="A21" s="8"/>
      <c r="B21" s="332" t="s">
        <v>504</v>
      </c>
      <c r="C21" s="29"/>
      <c r="D21" s="339"/>
      <c r="E21" s="30"/>
      <c r="F21" s="30"/>
      <c r="G21" s="31"/>
      <c r="H21" s="339"/>
      <c r="I21" s="30"/>
      <c r="J21" s="30"/>
      <c r="K21" s="31"/>
      <c r="L21" s="339"/>
      <c r="M21" s="30"/>
      <c r="N21" s="30"/>
      <c r="O21" s="31"/>
      <c r="P21" s="339"/>
      <c r="Q21" s="30"/>
      <c r="R21" s="30"/>
      <c r="S21" s="31"/>
      <c r="T21" s="339"/>
      <c r="U21" s="30"/>
      <c r="V21" s="30"/>
      <c r="W21" s="31"/>
      <c r="X21" s="30"/>
      <c r="Y21" s="30"/>
      <c r="Z21" s="30"/>
      <c r="AA21" s="31"/>
      <c r="AB21" s="30"/>
      <c r="AC21" s="30"/>
      <c r="AD21" s="30"/>
      <c r="AE21" s="31"/>
      <c r="AF21" s="30"/>
      <c r="AG21" s="358">
        <v>0.49980000000000002</v>
      </c>
      <c r="AH21" s="358">
        <v>0.51549999999999996</v>
      </c>
      <c r="AI21" s="359">
        <v>0.51910000000000001</v>
      </c>
      <c r="AJ21" s="358">
        <v>0.51570000000000005</v>
      </c>
      <c r="AK21" s="358">
        <v>0.50232999999999994</v>
      </c>
      <c r="AL21" s="358">
        <v>0.53620000000000001</v>
      </c>
      <c r="AM21" s="359">
        <v>0.51910000000000001</v>
      </c>
      <c r="AN21" s="358">
        <v>0.51570000000000005</v>
      </c>
      <c r="AO21" s="358">
        <v>0.50232999999999994</v>
      </c>
      <c r="AP21" s="30"/>
      <c r="AQ21" s="359"/>
      <c r="AR21" s="358"/>
      <c r="AS21" s="358">
        <v>0.50232999999999994</v>
      </c>
      <c r="AT21" s="30"/>
      <c r="AU21" s="359"/>
      <c r="AV21" s="358"/>
      <c r="AW21" s="358" t="s">
        <v>494</v>
      </c>
      <c r="AX21" s="30"/>
      <c r="AY21" s="359"/>
      <c r="AZ21" s="358"/>
      <c r="BA21" s="358" t="s">
        <v>494</v>
      </c>
      <c r="BB21" s="30"/>
      <c r="BC21" s="359"/>
      <c r="BD21" s="358"/>
      <c r="BE21" s="30"/>
      <c r="BF21" s="30"/>
      <c r="BG21" s="30"/>
      <c r="BH21" s="339"/>
      <c r="BI21" s="30"/>
      <c r="BJ21" s="30"/>
      <c r="BK21" s="30"/>
      <c r="BL21" s="339"/>
      <c r="BM21" s="30"/>
      <c r="BN21" s="30"/>
      <c r="BO21" s="30"/>
      <c r="BP21" s="152"/>
      <c r="BQ21" s="30"/>
      <c r="BR21" s="30"/>
      <c r="BS21" s="30"/>
      <c r="BT21" s="30"/>
      <c r="BU21" s="30"/>
      <c r="BV21" s="30"/>
      <c r="BW21" s="30"/>
      <c r="BX21" s="30">
        <v>0.50670000000000004</v>
      </c>
      <c r="BY21" s="30">
        <v>0.53</v>
      </c>
      <c r="BZ21" s="30"/>
      <c r="CA21" s="358"/>
      <c r="CB21" s="358"/>
      <c r="CC21" s="358"/>
      <c r="CD21" s="358"/>
      <c r="CE21" s="358"/>
      <c r="CF21" s="359"/>
      <c r="CG21" s="297"/>
      <c r="CH21" s="14"/>
      <c r="CO21" s="14"/>
      <c r="CP21" s="14"/>
      <c r="CQ21" s="14"/>
      <c r="CR21" s="14"/>
      <c r="CS21" s="14"/>
      <c r="CT21" s="14"/>
      <c r="CV21" s="282"/>
      <c r="CW21" s="282"/>
    </row>
    <row r="22" spans="1:101" ht="14.25" customHeight="1" outlineLevel="1">
      <c r="A22" s="8"/>
      <c r="B22" s="320"/>
      <c r="C22" s="39"/>
      <c r="D22" s="357"/>
      <c r="E22" s="40"/>
      <c r="F22" s="40"/>
      <c r="G22" s="41"/>
      <c r="H22" s="357"/>
      <c r="I22" s="40"/>
      <c r="J22" s="40"/>
      <c r="K22" s="41"/>
      <c r="L22" s="357"/>
      <c r="M22" s="40"/>
      <c r="N22" s="40"/>
      <c r="O22" s="41"/>
      <c r="P22" s="357"/>
      <c r="Q22" s="40"/>
      <c r="R22" s="40"/>
      <c r="S22" s="41"/>
      <c r="T22" s="357"/>
      <c r="U22" s="40"/>
      <c r="V22" s="40"/>
      <c r="W22" s="41"/>
      <c r="X22" s="40"/>
      <c r="Y22" s="40"/>
      <c r="Z22" s="40"/>
      <c r="AA22" s="41"/>
      <c r="AB22" s="40"/>
      <c r="AC22" s="40"/>
      <c r="AD22" s="40"/>
      <c r="AE22" s="41"/>
      <c r="AF22" s="40"/>
      <c r="AG22" s="40"/>
      <c r="AH22" s="40"/>
      <c r="AI22" s="41"/>
      <c r="AJ22" s="40"/>
      <c r="AK22" s="40"/>
      <c r="AL22" s="40"/>
      <c r="AM22" s="360"/>
      <c r="AN22" s="40"/>
      <c r="AO22" s="40"/>
      <c r="AP22" s="40"/>
      <c r="AQ22" s="360"/>
      <c r="AR22" s="40"/>
      <c r="AS22" s="40"/>
      <c r="AT22" s="40"/>
      <c r="AU22" s="360"/>
      <c r="AV22" s="40"/>
      <c r="AW22" s="40"/>
      <c r="AX22" s="40"/>
      <c r="AY22" s="360"/>
      <c r="AZ22" s="40"/>
      <c r="BA22" s="40"/>
      <c r="BB22" s="40"/>
      <c r="BC22" s="360"/>
      <c r="BD22" s="40"/>
      <c r="BE22" s="40"/>
      <c r="BF22" s="40"/>
      <c r="BG22" s="40"/>
      <c r="BH22" s="357"/>
      <c r="BI22" s="40"/>
      <c r="BJ22" s="40"/>
      <c r="BK22" s="40"/>
      <c r="BL22" s="357"/>
      <c r="BM22" s="40"/>
      <c r="BN22" s="40"/>
      <c r="BO22" s="40"/>
      <c r="BP22" s="152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1"/>
      <c r="CG22" s="297"/>
      <c r="CH22" s="14"/>
      <c r="CO22" s="14"/>
      <c r="CP22" s="14"/>
      <c r="CQ22" s="14"/>
      <c r="CR22" s="14"/>
      <c r="CS22" s="14"/>
      <c r="CT22" s="14"/>
      <c r="CV22" s="282"/>
      <c r="CW22" s="282"/>
    </row>
    <row r="23" spans="1:101" ht="14.25" customHeight="1">
      <c r="A23" s="8"/>
      <c r="B23" s="320" t="s">
        <v>95</v>
      </c>
      <c r="C23" s="39"/>
      <c r="D23" s="357">
        <f t="shared" ref="D23:AQ23" si="79">D10-D17</f>
        <v>1234</v>
      </c>
      <c r="E23" s="40">
        <f t="shared" si="79"/>
        <v>1426</v>
      </c>
      <c r="F23" s="40">
        <f t="shared" si="79"/>
        <v>1690</v>
      </c>
      <c r="G23" s="41">
        <f t="shared" si="79"/>
        <v>1657</v>
      </c>
      <c r="H23" s="357">
        <f t="shared" si="79"/>
        <v>1672</v>
      </c>
      <c r="I23" s="40">
        <f t="shared" si="79"/>
        <v>1907</v>
      </c>
      <c r="J23" s="40">
        <f t="shared" si="79"/>
        <v>1932</v>
      </c>
      <c r="K23" s="41">
        <f t="shared" si="79"/>
        <v>1748</v>
      </c>
      <c r="L23" s="357">
        <f t="shared" si="79"/>
        <v>1646</v>
      </c>
      <c r="M23" s="40">
        <f t="shared" si="79"/>
        <v>1795</v>
      </c>
      <c r="N23" s="40">
        <f t="shared" si="79"/>
        <v>1958</v>
      </c>
      <c r="O23" s="41">
        <f t="shared" si="79"/>
        <v>1931</v>
      </c>
      <c r="P23" s="357">
        <f t="shared" si="79"/>
        <v>1756</v>
      </c>
      <c r="Q23" s="40">
        <f t="shared" si="79"/>
        <v>1749</v>
      </c>
      <c r="R23" s="40">
        <f t="shared" si="79"/>
        <v>1643</v>
      </c>
      <c r="S23" s="41">
        <f t="shared" si="79"/>
        <v>1097</v>
      </c>
      <c r="T23" s="357">
        <f t="shared" si="79"/>
        <v>806</v>
      </c>
      <c r="U23" s="40">
        <f t="shared" si="79"/>
        <v>1124</v>
      </c>
      <c r="V23" s="40">
        <f t="shared" si="79"/>
        <v>1481</v>
      </c>
      <c r="W23" s="41">
        <f t="shared" si="79"/>
        <v>1588</v>
      </c>
      <c r="X23" s="40">
        <f t="shared" si="79"/>
        <v>1689</v>
      </c>
      <c r="Y23" s="40">
        <f t="shared" si="79"/>
        <v>1894</v>
      </c>
      <c r="Z23" s="40">
        <f t="shared" si="79"/>
        <v>2039</v>
      </c>
      <c r="AA23" s="41">
        <f t="shared" si="79"/>
        <v>1870</v>
      </c>
      <c r="AB23" s="40">
        <f t="shared" si="79"/>
        <v>1728</v>
      </c>
      <c r="AC23" s="40">
        <f t="shared" si="79"/>
        <v>1753</v>
      </c>
      <c r="AD23" s="40">
        <f t="shared" si="79"/>
        <v>1744</v>
      </c>
      <c r="AE23" s="41">
        <f t="shared" si="79"/>
        <v>1651</v>
      </c>
      <c r="AF23" s="40">
        <f t="shared" si="79"/>
        <v>1552</v>
      </c>
      <c r="AG23" s="40">
        <f t="shared" si="79"/>
        <v>1651</v>
      </c>
      <c r="AH23" s="40">
        <f t="shared" si="79"/>
        <v>1740</v>
      </c>
      <c r="AI23" s="41">
        <f>AI10-AI17</f>
        <v>1445</v>
      </c>
      <c r="AJ23" s="40">
        <f t="shared" si="79"/>
        <v>1374</v>
      </c>
      <c r="AK23" s="40">
        <f>AK10-AK17</f>
        <v>1570</v>
      </c>
      <c r="AL23" s="40">
        <f t="shared" si="79"/>
        <v>1779</v>
      </c>
      <c r="AM23" s="41">
        <f>AM10-AM17</f>
        <v>1640</v>
      </c>
      <c r="AN23" s="40">
        <f>AN10-AN17</f>
        <v>1607</v>
      </c>
      <c r="AO23" s="40">
        <f>AO10-AO17</f>
        <v>1881</v>
      </c>
      <c r="AP23" s="40">
        <f t="shared" si="79"/>
        <v>2044</v>
      </c>
      <c r="AQ23" s="41">
        <f t="shared" si="79"/>
        <v>1895</v>
      </c>
      <c r="AR23" s="40">
        <f t="shared" ref="AR23:AX23" si="80">AR10-AR17</f>
        <v>1816</v>
      </c>
      <c r="AS23" s="40">
        <f t="shared" si="80"/>
        <v>1881</v>
      </c>
      <c r="AT23" s="40">
        <f t="shared" si="80"/>
        <v>1997</v>
      </c>
      <c r="AU23" s="41">
        <f t="shared" si="80"/>
        <v>1866</v>
      </c>
      <c r="AV23" s="40">
        <f t="shared" si="80"/>
        <v>1824</v>
      </c>
      <c r="AW23" s="40">
        <f t="shared" si="80"/>
        <v>2003</v>
      </c>
      <c r="AX23" s="40">
        <f t="shared" si="80"/>
        <v>2280</v>
      </c>
      <c r="AY23" s="41">
        <f t="shared" ref="AY23:BB23" si="81">AY10-AY17</f>
        <v>2133</v>
      </c>
      <c r="AZ23" s="40">
        <f t="shared" si="81"/>
        <v>2144</v>
      </c>
      <c r="BA23" s="40">
        <f t="shared" si="81"/>
        <v>2374</v>
      </c>
      <c r="BB23" s="40">
        <f t="shared" si="81"/>
        <v>2656</v>
      </c>
      <c r="BC23" s="41">
        <f t="shared" ref="BC23:BD23" si="82">BC10-BC17</f>
        <v>2440</v>
      </c>
      <c r="BD23" s="40">
        <f t="shared" si="82"/>
        <v>2447</v>
      </c>
      <c r="BE23" s="40">
        <f t="shared" ref="BE23:BG23" si="83">BE10-BE17</f>
        <v>2547.3088283849929</v>
      </c>
      <c r="BF23" s="40">
        <f t="shared" si="83"/>
        <v>2737.2890869628154</v>
      </c>
      <c r="BG23" s="40">
        <f t="shared" si="83"/>
        <v>2575.7390896439028</v>
      </c>
      <c r="BH23" s="357">
        <f t="shared" ref="BH23:BK23" si="84">BH10-BH17</f>
        <v>2483.4463659019398</v>
      </c>
      <c r="BI23" s="40">
        <f t="shared" si="84"/>
        <v>2663.8030484253441</v>
      </c>
      <c r="BJ23" s="40">
        <f t="shared" si="84"/>
        <v>2854.9660626155401</v>
      </c>
      <c r="BK23" s="40">
        <f t="shared" si="84"/>
        <v>2669.1532227068838</v>
      </c>
      <c r="BL23" s="357">
        <f t="shared" ref="BL23:BO23" si="85">BL10-BL17</f>
        <v>2584.6619513585783</v>
      </c>
      <c r="BM23" s="40">
        <f t="shared" si="85"/>
        <v>2767.981662475775</v>
      </c>
      <c r="BN23" s="40">
        <f t="shared" si="85"/>
        <v>2963.0643045267007</v>
      </c>
      <c r="BO23" s="40">
        <f t="shared" si="85"/>
        <v>2772.1522894034983</v>
      </c>
      <c r="BP23" s="152"/>
      <c r="BQ23" s="40">
        <f t="shared" ref="BQ23:CA23" si="86">BQ10-BQ17</f>
        <v>6007</v>
      </c>
      <c r="BR23" s="40">
        <f t="shared" si="86"/>
        <v>7259</v>
      </c>
      <c r="BS23" s="40">
        <f t="shared" si="86"/>
        <v>7330</v>
      </c>
      <c r="BT23" s="40">
        <f t="shared" si="86"/>
        <v>6245</v>
      </c>
      <c r="BU23" s="40">
        <f t="shared" si="86"/>
        <v>4999</v>
      </c>
      <c r="BV23" s="40">
        <f t="shared" si="86"/>
        <v>7492</v>
      </c>
      <c r="BW23" s="40">
        <f t="shared" si="86"/>
        <v>6876</v>
      </c>
      <c r="BX23" s="40">
        <f t="shared" si="86"/>
        <v>6388</v>
      </c>
      <c r="BY23" s="40">
        <f t="shared" si="86"/>
        <v>6363</v>
      </c>
      <c r="BZ23" s="40">
        <f t="shared" si="86"/>
        <v>7427</v>
      </c>
      <c r="CA23" s="40">
        <f t="shared" si="86"/>
        <v>7560</v>
      </c>
      <c r="CB23" s="40">
        <f>CB10-CB17</f>
        <v>8240</v>
      </c>
      <c r="CC23" s="40">
        <f>CC10-CC17</f>
        <v>9614</v>
      </c>
      <c r="CD23" s="40">
        <f>CD10-CD17</f>
        <v>10307.337004991712</v>
      </c>
      <c r="CE23" s="40">
        <f>CE10-CE17</f>
        <v>10671.368699649705</v>
      </c>
      <c r="CF23" s="41">
        <f>CF10-CF17</f>
        <v>11087.860207764554</v>
      </c>
      <c r="CG23" s="364"/>
      <c r="CH23" s="8"/>
      <c r="CO23" s="8"/>
      <c r="CV23" s="282"/>
      <c r="CW23" s="282"/>
    </row>
    <row r="24" spans="1:101" ht="14.25" customHeight="1">
      <c r="A24" s="8"/>
      <c r="B24" s="332" t="s">
        <v>96</v>
      </c>
      <c r="C24" s="29"/>
      <c r="D24" s="339">
        <f t="shared" ref="D24:AQ24" si="87">D23/D10</f>
        <v>0.45669874167283492</v>
      </c>
      <c r="E24" s="30">
        <f t="shared" si="87"/>
        <v>0.47997307303938069</v>
      </c>
      <c r="F24" s="30">
        <f t="shared" si="87"/>
        <v>0.50613956274333638</v>
      </c>
      <c r="G24" s="31">
        <f t="shared" si="87"/>
        <v>0.49849578820697954</v>
      </c>
      <c r="H24" s="339">
        <f t="shared" si="87"/>
        <v>0.50149970005998801</v>
      </c>
      <c r="I24" s="30">
        <f t="shared" si="87"/>
        <v>0.51582364078982956</v>
      </c>
      <c r="J24" s="30">
        <f t="shared" si="87"/>
        <v>0.51369316671098109</v>
      </c>
      <c r="K24" s="31">
        <f t="shared" si="87"/>
        <v>0.50476465492347677</v>
      </c>
      <c r="L24" s="339">
        <f t="shared" si="87"/>
        <v>0.51582575994985902</v>
      </c>
      <c r="M24" s="30">
        <f t="shared" si="87"/>
        <v>0.5242406542056075</v>
      </c>
      <c r="N24" s="30">
        <f t="shared" si="87"/>
        <v>0.53453453453453459</v>
      </c>
      <c r="O24" s="31">
        <f t="shared" si="87"/>
        <v>0.54302587176602923</v>
      </c>
      <c r="P24" s="339">
        <f t="shared" si="87"/>
        <v>0.53667481662591687</v>
      </c>
      <c r="Q24" s="30">
        <f t="shared" si="87"/>
        <v>0.52193375111906892</v>
      </c>
      <c r="R24" s="30">
        <f t="shared" si="87"/>
        <v>0.48509005019191026</v>
      </c>
      <c r="S24" s="31">
        <f t="shared" si="87"/>
        <v>0.44038538739462063</v>
      </c>
      <c r="T24" s="339">
        <f t="shared" si="87"/>
        <v>0.38638542665388304</v>
      </c>
      <c r="U24" s="30">
        <f t="shared" si="87"/>
        <v>0.45746845746845749</v>
      </c>
      <c r="V24" s="30">
        <f t="shared" si="87"/>
        <v>0.51423611111111112</v>
      </c>
      <c r="W24" s="31">
        <f t="shared" si="87"/>
        <v>0.52862849533954726</v>
      </c>
      <c r="X24" s="30">
        <f t="shared" si="87"/>
        <v>0.52698907956318253</v>
      </c>
      <c r="Y24" s="30">
        <f t="shared" si="87"/>
        <v>0.54176201372997712</v>
      </c>
      <c r="Z24" s="30">
        <f t="shared" si="87"/>
        <v>0.54518716577540105</v>
      </c>
      <c r="AA24" s="31">
        <f t="shared" si="87"/>
        <v>0.53049645390070921</v>
      </c>
      <c r="AB24" s="30">
        <f t="shared" si="87"/>
        <v>0.50943396226415094</v>
      </c>
      <c r="AC24" s="30">
        <f t="shared" si="87"/>
        <v>0.50694042799305961</v>
      </c>
      <c r="AD24" s="30">
        <f t="shared" si="87"/>
        <v>0.50317368724754763</v>
      </c>
      <c r="AE24" s="31">
        <f t="shared" si="87"/>
        <v>0.48274853801169593</v>
      </c>
      <c r="AF24" s="30">
        <f t="shared" si="87"/>
        <v>0.49727651393784045</v>
      </c>
      <c r="AG24" s="30">
        <f t="shared" si="87"/>
        <v>0.49505247376311845</v>
      </c>
      <c r="AH24" s="30">
        <f t="shared" si="87"/>
        <v>0.51327433628318586</v>
      </c>
      <c r="AI24" s="31">
        <f t="shared" si="87"/>
        <v>0.48506210137630079</v>
      </c>
      <c r="AJ24" s="30">
        <f t="shared" si="87"/>
        <v>0.47625649913344886</v>
      </c>
      <c r="AK24" s="30">
        <f t="shared" si="87"/>
        <v>0.51526091237282579</v>
      </c>
      <c r="AL24" s="30">
        <f t="shared" si="87"/>
        <v>0.54839704069050554</v>
      </c>
      <c r="AM24" s="31">
        <f t="shared" si="87"/>
        <v>0.54161162483487446</v>
      </c>
      <c r="AN24" s="30">
        <f>AN23/AN10</f>
        <v>0.53871940998994305</v>
      </c>
      <c r="AO24" s="30">
        <f>AO23/AO10</f>
        <v>0.5713851761846902</v>
      </c>
      <c r="AP24" s="30">
        <f t="shared" si="87"/>
        <v>0.58383319051699512</v>
      </c>
      <c r="AQ24" s="31">
        <f t="shared" si="87"/>
        <v>0.57968797797491589</v>
      </c>
      <c r="AR24" s="30">
        <f t="shared" ref="AR24:AX24" si="88">AR23/AR10</f>
        <v>0.57650793650793652</v>
      </c>
      <c r="AS24" s="30">
        <f t="shared" si="88"/>
        <v>0.58199257425742579</v>
      </c>
      <c r="AT24" s="30">
        <f t="shared" si="88"/>
        <v>0.58238553514144065</v>
      </c>
      <c r="AU24" s="31">
        <f t="shared" si="88"/>
        <v>0.58513640639698961</v>
      </c>
      <c r="AV24" s="30">
        <f t="shared" si="88"/>
        <v>0.6063829787234043</v>
      </c>
      <c r="AW24" s="30">
        <f t="shared" si="88"/>
        <v>0.61197677971280173</v>
      </c>
      <c r="AX24" s="30">
        <f t="shared" si="88"/>
        <v>0.62040816326530612</v>
      </c>
      <c r="AY24" s="31">
        <f t="shared" ref="AY24:BB24" si="89">AY23/AY10</f>
        <v>0.62478031634446396</v>
      </c>
      <c r="AZ24" s="30">
        <f t="shared" si="89"/>
        <v>0.630217519106408</v>
      </c>
      <c r="BA24" s="30">
        <f t="shared" si="89"/>
        <v>0.64283780124559975</v>
      </c>
      <c r="BB24" s="30">
        <f t="shared" si="89"/>
        <v>0.64528668610301265</v>
      </c>
      <c r="BC24" s="31">
        <f t="shared" ref="BC24:BD24" si="90">BC23/BC10</f>
        <v>0.65066666666666662</v>
      </c>
      <c r="BD24" s="30">
        <f t="shared" si="90"/>
        <v>0.64581683821588809</v>
      </c>
      <c r="BE24" s="30">
        <f t="shared" ref="BE24:BG24" si="91">BE23/BE10</f>
        <v>0.64580771818583449</v>
      </c>
      <c r="BF24" s="30">
        <f t="shared" si="91"/>
        <v>0.65219942851914225</v>
      </c>
      <c r="BG24" s="30">
        <f t="shared" si="91"/>
        <v>0.65132063267864071</v>
      </c>
      <c r="BH24" s="339">
        <f t="shared" ref="BH24:BK24" si="92">BH23/BH10</f>
        <v>0.6449491283147113</v>
      </c>
      <c r="BI24" s="30">
        <f t="shared" si="92"/>
        <v>0.65139421212219772</v>
      </c>
      <c r="BJ24" s="30">
        <f t="shared" si="92"/>
        <v>0.65771507873949742</v>
      </c>
      <c r="BK24" s="30">
        <f t="shared" si="92"/>
        <v>0.65471533988673891</v>
      </c>
      <c r="BL24" s="339">
        <f t="shared" ref="BL24:BO24" si="93">BL23/BL10</f>
        <v>0.65038393055804866</v>
      </c>
      <c r="BM24" s="30">
        <f t="shared" si="93"/>
        <v>0.65603800629131193</v>
      </c>
      <c r="BN24" s="30">
        <f t="shared" si="93"/>
        <v>0.661990178463566</v>
      </c>
      <c r="BO24" s="30">
        <f t="shared" si="93"/>
        <v>0.65905987977416614</v>
      </c>
      <c r="BP24" s="152"/>
      <c r="BQ24" s="30">
        <f t="shared" ref="BQ24:CA24" si="94">BQ23/BQ10</f>
        <v>0.48694876783398183</v>
      </c>
      <c r="BR24" s="30">
        <f t="shared" si="94"/>
        <v>0.50922483339179236</v>
      </c>
      <c r="BS24" s="30">
        <f t="shared" si="94"/>
        <v>0.52985398294058117</v>
      </c>
      <c r="BT24" s="30">
        <f t="shared" si="94"/>
        <v>0.49956003519718423</v>
      </c>
      <c r="BU24" s="30">
        <f t="shared" si="94"/>
        <v>0.47942840702023592</v>
      </c>
      <c r="BV24" s="30">
        <f t="shared" si="94"/>
        <v>0.53644565373048836</v>
      </c>
      <c r="BW24" s="30">
        <f t="shared" si="94"/>
        <v>0.50058241118229474</v>
      </c>
      <c r="BX24" s="30">
        <f t="shared" si="94"/>
        <v>0.49808966861598442</v>
      </c>
      <c r="BY24" s="30">
        <f t="shared" si="94"/>
        <v>0.52138643067846613</v>
      </c>
      <c r="BZ24" s="30">
        <f t="shared" si="94"/>
        <v>0.56933691069375236</v>
      </c>
      <c r="CA24" s="30">
        <f t="shared" si="94"/>
        <v>0.58153846153846156</v>
      </c>
      <c r="CB24" s="30">
        <f>CB23/CB10</f>
        <v>0.61630516080777864</v>
      </c>
      <c r="CC24" s="30">
        <f>CC23/CC10</f>
        <v>0.64260410400374302</v>
      </c>
      <c r="CD24" s="30">
        <f>CD23/CD10</f>
        <v>0.64887112067202857</v>
      </c>
      <c r="CE24" s="30">
        <f>CE23/CE10</f>
        <v>0.65238209454832419</v>
      </c>
      <c r="CF24" s="31">
        <f>CF23/CF10</f>
        <v>0.65703844696396185</v>
      </c>
      <c r="CG24" s="297"/>
      <c r="CH24" s="8"/>
      <c r="CO24" s="8"/>
      <c r="CV24" s="282"/>
      <c r="CW24" s="282"/>
    </row>
    <row r="25" spans="1:101" ht="8.25" customHeight="1">
      <c r="A25" s="8"/>
      <c r="B25" s="342"/>
      <c r="C25" s="21"/>
      <c r="D25" s="343"/>
      <c r="E25" s="34"/>
      <c r="F25" s="34"/>
      <c r="G25" s="35"/>
      <c r="H25" s="343"/>
      <c r="I25" s="34"/>
      <c r="J25" s="34"/>
      <c r="K25" s="35"/>
      <c r="L25" s="343"/>
      <c r="M25" s="34"/>
      <c r="N25" s="34"/>
      <c r="O25" s="35"/>
      <c r="P25" s="343"/>
      <c r="Q25" s="34"/>
      <c r="R25" s="34"/>
      <c r="S25" s="35"/>
      <c r="T25" s="343"/>
      <c r="U25" s="34"/>
      <c r="V25" s="34"/>
      <c r="W25" s="35"/>
      <c r="X25" s="34"/>
      <c r="Y25" s="34"/>
      <c r="Z25" s="34"/>
      <c r="AA25" s="35"/>
      <c r="AB25" s="34"/>
      <c r="AC25" s="34"/>
      <c r="AD25" s="34"/>
      <c r="AE25" s="35"/>
      <c r="AF25" s="34"/>
      <c r="AG25" s="34"/>
      <c r="AH25" s="34"/>
      <c r="AI25" s="35"/>
      <c r="AJ25" s="30"/>
      <c r="AK25" s="30"/>
      <c r="AL25" s="30"/>
      <c r="AM25" s="31" t="s">
        <v>494</v>
      </c>
      <c r="AN25" s="30"/>
      <c r="AO25" s="30"/>
      <c r="AP25" s="30"/>
      <c r="AQ25" s="31" t="s">
        <v>494</v>
      </c>
      <c r="AR25" s="30"/>
      <c r="AS25" s="30"/>
      <c r="AT25" s="30"/>
      <c r="AU25" s="31" t="s">
        <v>494</v>
      </c>
      <c r="AV25" s="30"/>
      <c r="AW25" s="30"/>
      <c r="AX25" s="30"/>
      <c r="AY25" s="31" t="s">
        <v>494</v>
      </c>
      <c r="AZ25" s="30"/>
      <c r="BA25" s="30"/>
      <c r="BB25" s="30"/>
      <c r="BC25" s="31" t="s">
        <v>494</v>
      </c>
      <c r="BD25" s="30"/>
      <c r="BE25" s="34"/>
      <c r="BF25" s="34"/>
      <c r="BG25" s="34"/>
      <c r="BH25" s="361"/>
      <c r="BI25" s="34"/>
      <c r="BJ25" s="34"/>
      <c r="BK25" s="34"/>
      <c r="BL25" s="361"/>
      <c r="BM25" s="34"/>
      <c r="BN25" s="34"/>
      <c r="BO25" s="34"/>
      <c r="BP25" s="152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3"/>
      <c r="CB25" s="363"/>
      <c r="CC25" s="363"/>
      <c r="CD25" s="363"/>
      <c r="CE25" s="363"/>
      <c r="CF25" s="365"/>
      <c r="CG25" s="364"/>
      <c r="CH25" s="36"/>
      <c r="CO25" s="8"/>
      <c r="CV25" s="282"/>
      <c r="CW25" s="282"/>
    </row>
    <row r="26" spans="1:101" ht="14.25" customHeight="1">
      <c r="A26" s="8"/>
      <c r="B26" s="342" t="s">
        <v>276</v>
      </c>
      <c r="C26" s="21"/>
      <c r="D26" s="337">
        <v>487</v>
      </c>
      <c r="E26" s="25">
        <v>485</v>
      </c>
      <c r="F26" s="25">
        <v>521</v>
      </c>
      <c r="G26" s="26">
        <v>493</v>
      </c>
      <c r="H26" s="337">
        <v>533</v>
      </c>
      <c r="I26" s="25">
        <v>536</v>
      </c>
      <c r="J26" s="25">
        <v>570</v>
      </c>
      <c r="K26" s="26">
        <v>556</v>
      </c>
      <c r="L26" s="337">
        <v>547</v>
      </c>
      <c r="M26" s="25">
        <v>545</v>
      </c>
      <c r="N26" s="25">
        <v>540</v>
      </c>
      <c r="O26" s="26">
        <v>507</v>
      </c>
      <c r="P26" s="337">
        <v>514</v>
      </c>
      <c r="Q26" s="25">
        <v>488</v>
      </c>
      <c r="R26" s="25">
        <v>507</v>
      </c>
      <c r="S26" s="355">
        <f>1940-R26-Q26-P26</f>
        <v>431</v>
      </c>
      <c r="T26" s="337">
        <v>386</v>
      </c>
      <c r="U26" s="25">
        <v>369</v>
      </c>
      <c r="V26" s="25">
        <v>368</v>
      </c>
      <c r="W26" s="355">
        <f>1476-V26-U26-T26</f>
        <v>353</v>
      </c>
      <c r="X26" s="25">
        <v>370</v>
      </c>
      <c r="Y26" s="25">
        <v>392</v>
      </c>
      <c r="Z26" s="25">
        <v>417</v>
      </c>
      <c r="AA26" s="355">
        <f>1570-Z26-Y26-X26</f>
        <v>391</v>
      </c>
      <c r="AB26" s="25">
        <v>422</v>
      </c>
      <c r="AC26" s="25">
        <v>424</v>
      </c>
      <c r="AD26" s="25">
        <v>395</v>
      </c>
      <c r="AE26" s="26">
        <v>475</v>
      </c>
      <c r="AF26" s="25">
        <v>509</v>
      </c>
      <c r="AG26" s="25">
        <v>480</v>
      </c>
      <c r="AH26" s="25">
        <v>463</v>
      </c>
      <c r="AI26" s="26">
        <v>425</v>
      </c>
      <c r="AJ26" s="25">
        <v>419</v>
      </c>
      <c r="AK26" s="25">
        <v>389</v>
      </c>
      <c r="AL26" s="25">
        <v>368</v>
      </c>
      <c r="AM26" s="26">
        <v>346</v>
      </c>
      <c r="AN26" s="25">
        <v>366</v>
      </c>
      <c r="AO26" s="25">
        <v>349</v>
      </c>
      <c r="AP26" s="25">
        <v>332</v>
      </c>
      <c r="AQ26" s="26">
        <v>311</v>
      </c>
      <c r="AR26" s="25">
        <v>338</v>
      </c>
      <c r="AS26" s="25">
        <v>320</v>
      </c>
      <c r="AT26" s="25">
        <v>316</v>
      </c>
      <c r="AU26" s="26">
        <v>306</v>
      </c>
      <c r="AV26" s="25">
        <v>326</v>
      </c>
      <c r="AW26" s="25">
        <v>345</v>
      </c>
      <c r="AX26" s="25">
        <v>356</v>
      </c>
      <c r="AY26" s="26">
        <v>343</v>
      </c>
      <c r="AZ26" s="25">
        <v>369</v>
      </c>
      <c r="BA26" s="25">
        <v>378</v>
      </c>
      <c r="BB26" s="25">
        <v>375</v>
      </c>
      <c r="BC26" s="26">
        <v>386</v>
      </c>
      <c r="BD26" s="25">
        <v>385</v>
      </c>
      <c r="BE26" s="366">
        <v>402</v>
      </c>
      <c r="BF26" s="366">
        <v>425</v>
      </c>
      <c r="BG26" s="366">
        <v>400</v>
      </c>
      <c r="BH26" s="367">
        <v>415</v>
      </c>
      <c r="BI26" s="366">
        <v>425</v>
      </c>
      <c r="BJ26" s="366">
        <v>425</v>
      </c>
      <c r="BK26" s="366">
        <v>420</v>
      </c>
      <c r="BL26" s="367">
        <v>395</v>
      </c>
      <c r="BM26" s="366">
        <v>375</v>
      </c>
      <c r="BN26" s="366">
        <v>385</v>
      </c>
      <c r="BO26" s="366">
        <v>380</v>
      </c>
      <c r="BP26" s="152"/>
      <c r="BQ26" s="27">
        <f>SUM(D26:G26)</f>
        <v>1986</v>
      </c>
      <c r="BR26" s="27">
        <f>SUM(H26:K26)</f>
        <v>2195</v>
      </c>
      <c r="BS26" s="27">
        <f>SUM(L26:O26)</f>
        <v>2139</v>
      </c>
      <c r="BT26" s="27">
        <f>SUM(P26:S26)</f>
        <v>1940</v>
      </c>
      <c r="BU26" s="27">
        <f>SUM(T26:W26)</f>
        <v>1476</v>
      </c>
      <c r="BV26" s="27">
        <f>SUM(X26:AA26)</f>
        <v>1570</v>
      </c>
      <c r="BW26" s="27">
        <f>SUM(AB26:AE26)</f>
        <v>1716</v>
      </c>
      <c r="BX26" s="27">
        <f>SUM(AF26:AI26)</f>
        <v>1877</v>
      </c>
      <c r="BY26" s="27">
        <f>SUM(AJ26:AM26)</f>
        <v>1522</v>
      </c>
      <c r="BZ26" s="27">
        <f>+SUM(AN26:AQ26)</f>
        <v>1358</v>
      </c>
      <c r="CA26" s="27">
        <f>SUM(AR26:AU26)</f>
        <v>1280</v>
      </c>
      <c r="CB26" s="27">
        <f>SUM(AV26:AY26)</f>
        <v>1370</v>
      </c>
      <c r="CC26" s="27">
        <f>SUM(AZ26:BC26)</f>
        <v>1508</v>
      </c>
      <c r="CD26" s="27">
        <f>SUM(BD26:BG26)</f>
        <v>1612</v>
      </c>
      <c r="CE26" s="27">
        <f>SUM(BH26:BK26)</f>
        <v>1685</v>
      </c>
      <c r="CF26" s="28">
        <f>SUM(BL26:BO26)</f>
        <v>1535</v>
      </c>
      <c r="CG26" s="364"/>
      <c r="CH26" s="8"/>
      <c r="CO26" s="8"/>
      <c r="CV26" s="282"/>
      <c r="CW26" s="282"/>
    </row>
    <row r="27" spans="1:101" ht="14.25" customHeight="1">
      <c r="A27" s="8"/>
      <c r="B27" s="332" t="s">
        <v>7</v>
      </c>
      <c r="C27" s="29"/>
      <c r="D27" s="339">
        <f t="shared" ref="D27:P27" si="95">D26/D7</f>
        <v>0.18023686158401184</v>
      </c>
      <c r="E27" s="30">
        <f t="shared" si="95"/>
        <v>0.16324469875462808</v>
      </c>
      <c r="F27" s="30">
        <f t="shared" si="95"/>
        <v>0.15603474094040132</v>
      </c>
      <c r="G27" s="31">
        <f t="shared" si="95"/>
        <v>0.14831528279181708</v>
      </c>
      <c r="H27" s="339">
        <f t="shared" si="95"/>
        <v>0.15986802639472106</v>
      </c>
      <c r="I27" s="30">
        <f t="shared" si="95"/>
        <v>0.14498241817690019</v>
      </c>
      <c r="J27" s="30">
        <f t="shared" si="95"/>
        <v>0.15155543738367455</v>
      </c>
      <c r="K27" s="31">
        <f t="shared" si="95"/>
        <v>0.16055443257291366</v>
      </c>
      <c r="L27" s="339">
        <f t="shared" si="95"/>
        <v>0.17141961767471012</v>
      </c>
      <c r="M27" s="30">
        <f t="shared" si="95"/>
        <v>0.15917056074766356</v>
      </c>
      <c r="N27" s="30">
        <f t="shared" si="95"/>
        <v>0.14742014742014742</v>
      </c>
      <c r="O27" s="31">
        <f t="shared" si="95"/>
        <v>0.14257592800899888</v>
      </c>
      <c r="P27" s="339">
        <f t="shared" si="95"/>
        <v>0.15709046454767725</v>
      </c>
      <c r="Q27" s="30">
        <v>0.17937</v>
      </c>
      <c r="R27" s="30">
        <f t="shared" ref="R27:AQ27" si="96">R26/R7</f>
        <v>0.14968999114260406</v>
      </c>
      <c r="S27" s="31">
        <f t="shared" si="96"/>
        <v>0.17302288237655561</v>
      </c>
      <c r="T27" s="339">
        <f t="shared" si="96"/>
        <v>0.18504314477468839</v>
      </c>
      <c r="U27" s="30">
        <f t="shared" si="96"/>
        <v>0.15018315018315018</v>
      </c>
      <c r="V27" s="30">
        <f t="shared" si="96"/>
        <v>0.12777777777777777</v>
      </c>
      <c r="W27" s="31">
        <f t="shared" si="96"/>
        <v>0.11750998668442077</v>
      </c>
      <c r="X27" s="30">
        <f t="shared" si="96"/>
        <v>0.11544461778471139</v>
      </c>
      <c r="Y27" s="30">
        <f t="shared" si="96"/>
        <v>0.11212814645308924</v>
      </c>
      <c r="Z27" s="30">
        <f t="shared" si="96"/>
        <v>0.11149732620320855</v>
      </c>
      <c r="AA27" s="31">
        <f t="shared" si="96"/>
        <v>0.11092198581560284</v>
      </c>
      <c r="AB27" s="30">
        <f t="shared" si="96"/>
        <v>0.12441037735849056</v>
      </c>
      <c r="AC27" s="30">
        <f t="shared" si="96"/>
        <v>0.12261422787738577</v>
      </c>
      <c r="AD27" s="30">
        <f t="shared" si="96"/>
        <v>0.11396422388920946</v>
      </c>
      <c r="AE27" s="31">
        <f t="shared" si="96"/>
        <v>0.1388888888888889</v>
      </c>
      <c r="AF27" s="30">
        <f t="shared" si="96"/>
        <v>0.16308875360461392</v>
      </c>
      <c r="AG27" s="30">
        <f t="shared" si="96"/>
        <v>0.14392803598200898</v>
      </c>
      <c r="AH27" s="30">
        <f t="shared" si="96"/>
        <v>0.13657817109144543</v>
      </c>
      <c r="AI27" s="31">
        <f t="shared" si="96"/>
        <v>0.14266532393420611</v>
      </c>
      <c r="AJ27" s="30">
        <f t="shared" si="96"/>
        <v>0.14523396880415945</v>
      </c>
      <c r="AK27" s="30">
        <f t="shared" si="96"/>
        <v>0.12766655726944537</v>
      </c>
      <c r="AL27" s="30">
        <f t="shared" si="96"/>
        <v>0.11344019728729964</v>
      </c>
      <c r="AM27" s="31">
        <f t="shared" si="96"/>
        <v>0.1142668428005284</v>
      </c>
      <c r="AN27" s="30">
        <f>AN26/AN7</f>
        <v>0.12269527321488434</v>
      </c>
      <c r="AO27" s="30">
        <f>AO26/AO7</f>
        <v>0.10601458080194411</v>
      </c>
      <c r="AP27" s="30">
        <f t="shared" si="96"/>
        <v>9.4830048557554988E-2</v>
      </c>
      <c r="AQ27" s="31">
        <f t="shared" si="96"/>
        <v>9.5136127256041605E-2</v>
      </c>
      <c r="AR27" s="30">
        <f t="shared" ref="AR27:AX27" si="97">AR26/AR7</f>
        <v>0.1073015873015873</v>
      </c>
      <c r="AS27" s="30">
        <f t="shared" si="97"/>
        <v>9.9009900990099015E-2</v>
      </c>
      <c r="AT27" s="30">
        <f t="shared" si="97"/>
        <v>9.2155147273257507E-2</v>
      </c>
      <c r="AU27" s="31">
        <f t="shared" si="97"/>
        <v>9.5954844778927559E-2</v>
      </c>
      <c r="AV27" s="30">
        <f t="shared" si="97"/>
        <v>0.10837765957446809</v>
      </c>
      <c r="AW27" s="30">
        <f t="shared" si="97"/>
        <v>0.10540788267644363</v>
      </c>
      <c r="AX27" s="30">
        <f t="shared" si="97"/>
        <v>9.6870748299319728E-2</v>
      </c>
      <c r="AY27" s="31">
        <f t="shared" ref="AY27:BB27" si="98">AY26/AY7</f>
        <v>0.10046865846514352</v>
      </c>
      <c r="AZ27" s="30">
        <f t="shared" si="98"/>
        <v>0.10846560846560846</v>
      </c>
      <c r="BA27" s="30">
        <f t="shared" si="98"/>
        <v>0.10235580828594638</v>
      </c>
      <c r="BB27" s="30">
        <f t="shared" si="98"/>
        <v>9.1107871720116612E-2</v>
      </c>
      <c r="BC27" s="31">
        <f t="shared" ref="BC27:BD27" si="99">BC26/BC7</f>
        <v>0.10293333333333334</v>
      </c>
      <c r="BD27" s="30">
        <f t="shared" si="99"/>
        <v>0.10160992346265506</v>
      </c>
      <c r="BE27" s="30">
        <f t="shared" ref="BE27:BG27" si="100">BE26/BE7</f>
        <v>0.10191724686766879</v>
      </c>
      <c r="BF27" s="30">
        <f t="shared" si="100"/>
        <v>0.10126250765431151</v>
      </c>
      <c r="BG27" s="30">
        <f t="shared" si="100"/>
        <v>0.1011469888852269</v>
      </c>
      <c r="BH27" s="339">
        <f t="shared" ref="BH27:BK27" si="101">BH26/BH7</f>
        <v>0.10777518368245431</v>
      </c>
      <c r="BI27" s="30">
        <f t="shared" si="101"/>
        <v>0.10392755587376634</v>
      </c>
      <c r="BJ27" s="30">
        <f t="shared" si="101"/>
        <v>9.7909713227273751E-2</v>
      </c>
      <c r="BK27" s="30">
        <f t="shared" si="101"/>
        <v>0.10302160266152231</v>
      </c>
      <c r="BL27" s="339">
        <f t="shared" ref="BL27:BO27" si="102">BL26/BL7</f>
        <v>9.9394681937184773E-2</v>
      </c>
      <c r="BM27" s="30">
        <f t="shared" si="102"/>
        <v>8.887857014890721E-2</v>
      </c>
      <c r="BN27" s="30">
        <f t="shared" si="102"/>
        <v>8.6014406882466726E-2</v>
      </c>
      <c r="BO27" s="30">
        <f t="shared" si="102"/>
        <v>9.0342350696783869E-2</v>
      </c>
      <c r="BP27" s="152"/>
      <c r="BQ27" s="30">
        <f t="shared" ref="BQ27:BZ27" si="103">BQ26/BQ7</f>
        <v>0.1609922178988327</v>
      </c>
      <c r="BR27" s="30">
        <f t="shared" si="103"/>
        <v>0.15398105927744651</v>
      </c>
      <c r="BS27" s="30">
        <f t="shared" si="103"/>
        <v>0.15461905450339741</v>
      </c>
      <c r="BT27" s="30">
        <f t="shared" si="103"/>
        <v>0.15518758499320054</v>
      </c>
      <c r="BU27" s="30">
        <f t="shared" si="103"/>
        <v>0.1415555768677472</v>
      </c>
      <c r="BV27" s="30">
        <f t="shared" si="103"/>
        <v>0.11241586710582845</v>
      </c>
      <c r="BW27" s="30">
        <f t="shared" si="103"/>
        <v>0.12492719860221316</v>
      </c>
      <c r="BX27" s="30">
        <f t="shared" si="103"/>
        <v>0.14635477582846004</v>
      </c>
      <c r="BY27" s="30">
        <f t="shared" si="103"/>
        <v>0.12471320878400524</v>
      </c>
      <c r="BZ27" s="30">
        <f t="shared" si="103"/>
        <v>0.10410118819471062</v>
      </c>
      <c r="CA27" s="30">
        <f t="shared" ref="CA27:CF27" si="104">CA26/CA7</f>
        <v>9.8461538461538461E-2</v>
      </c>
      <c r="CB27" s="30">
        <f t="shared" si="104"/>
        <v>0.10246821241585639</v>
      </c>
      <c r="CC27" s="30">
        <f t="shared" si="104"/>
        <v>0.10079540137691331</v>
      </c>
      <c r="CD27" s="30">
        <f t="shared" si="104"/>
        <v>0.10147919351203469</v>
      </c>
      <c r="CE27" s="30">
        <f t="shared" si="104"/>
        <v>0.10301057533041758</v>
      </c>
      <c r="CF27" s="31">
        <f t="shared" si="104"/>
        <v>9.0960203068164228E-2</v>
      </c>
      <c r="CG27" s="297"/>
      <c r="CH27" s="8"/>
      <c r="CO27" s="8"/>
      <c r="CV27" s="282"/>
      <c r="CW27" s="282"/>
    </row>
    <row r="28" spans="1:101" ht="8.25" customHeight="1">
      <c r="A28" s="8"/>
      <c r="B28" s="336"/>
      <c r="C28" s="24"/>
      <c r="D28" s="337"/>
      <c r="E28" s="25"/>
      <c r="F28" s="25"/>
      <c r="G28" s="355"/>
      <c r="H28" s="337"/>
      <c r="I28" s="25"/>
      <c r="J28" s="25"/>
      <c r="K28" s="355"/>
      <c r="L28" s="337"/>
      <c r="M28" s="25"/>
      <c r="N28" s="25"/>
      <c r="O28" s="355"/>
      <c r="P28" s="337"/>
      <c r="Q28" s="25"/>
      <c r="R28" s="25"/>
      <c r="S28" s="355"/>
      <c r="T28" s="337"/>
      <c r="U28" s="25"/>
      <c r="V28" s="25"/>
      <c r="W28" s="355"/>
      <c r="X28" s="25"/>
      <c r="Y28" s="25"/>
      <c r="Z28" s="25"/>
      <c r="AA28" s="355"/>
      <c r="AB28" s="25"/>
      <c r="AC28" s="25"/>
      <c r="AD28" s="25"/>
      <c r="AE28" s="26"/>
      <c r="AF28" s="25"/>
      <c r="AG28" s="25"/>
      <c r="AH28" s="25"/>
      <c r="AI28" s="26"/>
      <c r="AJ28" s="25"/>
      <c r="AK28" s="25"/>
      <c r="AL28" s="25"/>
      <c r="AM28" s="26"/>
      <c r="AN28" s="25"/>
      <c r="AO28" s="25"/>
      <c r="AP28" s="25"/>
      <c r="AQ28" s="26" t="s">
        <v>494</v>
      </c>
      <c r="AR28" s="25"/>
      <c r="AS28" s="25"/>
      <c r="AT28" s="25"/>
      <c r="AU28" s="26" t="s">
        <v>494</v>
      </c>
      <c r="AV28" s="25"/>
      <c r="AW28" s="25"/>
      <c r="AX28" s="25"/>
      <c r="AY28" s="26" t="s">
        <v>494</v>
      </c>
      <c r="AZ28" s="25"/>
      <c r="BA28" s="25"/>
      <c r="BB28" s="25"/>
      <c r="BC28" s="26" t="s">
        <v>494</v>
      </c>
      <c r="BD28" s="25"/>
      <c r="BE28" s="25"/>
      <c r="BF28" s="25"/>
      <c r="BG28" s="25"/>
      <c r="BH28" s="337"/>
      <c r="BI28" s="25"/>
      <c r="BJ28" s="25"/>
      <c r="BK28" s="25"/>
      <c r="BL28" s="337"/>
      <c r="BM28" s="25"/>
      <c r="BN28" s="25"/>
      <c r="BO28" s="25"/>
      <c r="BP28" s="152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8"/>
      <c r="CG28" s="297"/>
      <c r="CH28" s="8"/>
      <c r="CO28" s="8"/>
      <c r="CV28" s="282"/>
      <c r="CW28" s="282"/>
    </row>
    <row r="29" spans="1:101" ht="14.25" customHeight="1">
      <c r="A29" s="368"/>
      <c r="B29" s="369" t="s">
        <v>3</v>
      </c>
      <c r="C29" s="370"/>
      <c r="D29" s="347">
        <v>0</v>
      </c>
      <c r="E29" s="348">
        <v>0</v>
      </c>
      <c r="F29" s="348">
        <v>0</v>
      </c>
      <c r="G29" s="349">
        <v>0</v>
      </c>
      <c r="H29" s="347">
        <v>0</v>
      </c>
      <c r="I29" s="348">
        <v>0</v>
      </c>
      <c r="J29" s="348">
        <v>0</v>
      </c>
      <c r="K29" s="349">
        <v>0</v>
      </c>
      <c r="L29" s="347">
        <v>0</v>
      </c>
      <c r="M29" s="348">
        <v>0</v>
      </c>
      <c r="N29" s="348">
        <v>0</v>
      </c>
      <c r="O29" s="349">
        <v>0</v>
      </c>
      <c r="P29" s="347">
        <v>0</v>
      </c>
      <c r="Q29" s="348">
        <v>0</v>
      </c>
      <c r="R29" s="348">
        <v>0</v>
      </c>
      <c r="S29" s="349">
        <v>0</v>
      </c>
      <c r="T29" s="347">
        <v>0</v>
      </c>
      <c r="U29" s="348">
        <v>0</v>
      </c>
      <c r="V29" s="348">
        <v>0</v>
      </c>
      <c r="W29" s="349">
        <v>0</v>
      </c>
      <c r="X29" s="348">
        <v>0</v>
      </c>
      <c r="Y29" s="348">
        <v>0</v>
      </c>
      <c r="Z29" s="348">
        <v>0</v>
      </c>
      <c r="AA29" s="349">
        <v>0</v>
      </c>
      <c r="AB29" s="348">
        <v>0</v>
      </c>
      <c r="AC29" s="348">
        <v>0</v>
      </c>
      <c r="AD29" s="348">
        <v>0</v>
      </c>
      <c r="AE29" s="349">
        <v>0</v>
      </c>
      <c r="AF29" s="348">
        <v>0</v>
      </c>
      <c r="AG29" s="352">
        <f t="shared" ref="AG29:AQ29" si="105">AF29</f>
        <v>0</v>
      </c>
      <c r="AH29" s="352">
        <f t="shared" si="105"/>
        <v>0</v>
      </c>
      <c r="AI29" s="349">
        <v>0</v>
      </c>
      <c r="AJ29" s="352">
        <f t="shared" si="105"/>
        <v>0</v>
      </c>
      <c r="AK29" s="352">
        <f>AJ29</f>
        <v>0</v>
      </c>
      <c r="AL29" s="352">
        <f t="shared" si="105"/>
        <v>0</v>
      </c>
      <c r="AM29" s="349">
        <v>0</v>
      </c>
      <c r="AN29" s="352">
        <f t="shared" si="105"/>
        <v>0</v>
      </c>
      <c r="AO29" s="352">
        <f>AN29</f>
        <v>0</v>
      </c>
      <c r="AP29" s="352">
        <f t="shared" si="105"/>
        <v>0</v>
      </c>
      <c r="AQ29" s="349">
        <f t="shared" si="105"/>
        <v>0</v>
      </c>
      <c r="AR29" s="352">
        <v>0</v>
      </c>
      <c r="AS29" s="352">
        <v>0</v>
      </c>
      <c r="AT29" s="352">
        <v>0</v>
      </c>
      <c r="AU29" s="349">
        <v>0</v>
      </c>
      <c r="AV29" s="352">
        <v>0</v>
      </c>
      <c r="AW29" s="352">
        <v>0</v>
      </c>
      <c r="AX29" s="352">
        <v>0</v>
      </c>
      <c r="AY29" s="349">
        <v>0</v>
      </c>
      <c r="AZ29" s="352">
        <v>0</v>
      </c>
      <c r="BA29" s="352">
        <v>0</v>
      </c>
      <c r="BB29" s="352">
        <v>0</v>
      </c>
      <c r="BC29" s="349">
        <v>0</v>
      </c>
      <c r="BD29" s="352">
        <v>0</v>
      </c>
      <c r="BE29" s="352">
        <f t="shared" ref="BE29:BG29" si="106">BD29</f>
        <v>0</v>
      </c>
      <c r="BF29" s="352">
        <f t="shared" si="106"/>
        <v>0</v>
      </c>
      <c r="BG29" s="352">
        <f t="shared" si="106"/>
        <v>0</v>
      </c>
      <c r="BH29" s="353">
        <f t="shared" ref="BH29" si="107">BG29</f>
        <v>0</v>
      </c>
      <c r="BI29" s="352">
        <f t="shared" ref="BI29" si="108">BH29</f>
        <v>0</v>
      </c>
      <c r="BJ29" s="352">
        <f t="shared" ref="BJ29" si="109">BI29</f>
        <v>0</v>
      </c>
      <c r="BK29" s="352">
        <f t="shared" ref="BK29" si="110">BJ29</f>
        <v>0</v>
      </c>
      <c r="BL29" s="353">
        <f t="shared" ref="BL29" si="111">BK29</f>
        <v>0</v>
      </c>
      <c r="BM29" s="352">
        <f t="shared" ref="BM29" si="112">BL29</f>
        <v>0</v>
      </c>
      <c r="BN29" s="352">
        <f t="shared" ref="BN29" si="113">BM29</f>
        <v>0</v>
      </c>
      <c r="BO29" s="352">
        <f t="shared" ref="BO29" si="114">BN29</f>
        <v>0</v>
      </c>
      <c r="BP29" s="371"/>
      <c r="BQ29" s="352">
        <f>SUM(D29:G29)</f>
        <v>0</v>
      </c>
      <c r="BR29" s="352">
        <f>SUM(H29:K29)</f>
        <v>0</v>
      </c>
      <c r="BS29" s="352">
        <f>SUM(L29:O29)</f>
        <v>0</v>
      </c>
      <c r="BT29" s="352">
        <f>SUM(P29:S29)</f>
        <v>0</v>
      </c>
      <c r="BU29" s="352">
        <f>SUM(T29:W29)</f>
        <v>0</v>
      </c>
      <c r="BV29" s="352">
        <f>SUM(X29:AA29)</f>
        <v>0</v>
      </c>
      <c r="BW29" s="352">
        <f>SUM(AB29:AE29)</f>
        <v>0</v>
      </c>
      <c r="BX29" s="352">
        <f>SUM(AF29:AI29)</f>
        <v>0</v>
      </c>
      <c r="BY29" s="352">
        <f>SUM(AJ29:AM29)</f>
        <v>0</v>
      </c>
      <c r="BZ29" s="352">
        <f>SUM(AN29:AQ29)</f>
        <v>0</v>
      </c>
      <c r="CA29" s="352">
        <f t="shared" ref="CA29:CF29" si="115">BZ29</f>
        <v>0</v>
      </c>
      <c r="CB29" s="352">
        <f t="shared" si="115"/>
        <v>0</v>
      </c>
      <c r="CC29" s="352">
        <f t="shared" si="115"/>
        <v>0</v>
      </c>
      <c r="CD29" s="352">
        <f t="shared" si="115"/>
        <v>0</v>
      </c>
      <c r="CE29" s="352">
        <f t="shared" si="115"/>
        <v>0</v>
      </c>
      <c r="CF29" s="354">
        <f t="shared" si="115"/>
        <v>0</v>
      </c>
      <c r="CG29" s="364"/>
      <c r="CV29" s="282"/>
      <c r="CW29" s="282"/>
    </row>
    <row r="30" spans="1:101" ht="14.25" customHeight="1">
      <c r="A30" s="8"/>
      <c r="B30" s="342" t="s">
        <v>97</v>
      </c>
      <c r="C30" s="21"/>
      <c r="D30" s="338">
        <f>D26-D29</f>
        <v>487</v>
      </c>
      <c r="E30" s="27">
        <f t="shared" ref="E30:CA30" si="116">E26-E29</f>
        <v>485</v>
      </c>
      <c r="F30" s="27">
        <f t="shared" si="116"/>
        <v>521</v>
      </c>
      <c r="G30" s="28">
        <f t="shared" si="116"/>
        <v>493</v>
      </c>
      <c r="H30" s="338">
        <f t="shared" si="116"/>
        <v>533</v>
      </c>
      <c r="I30" s="27">
        <f t="shared" si="116"/>
        <v>536</v>
      </c>
      <c r="J30" s="27">
        <f t="shared" si="116"/>
        <v>570</v>
      </c>
      <c r="K30" s="28">
        <f t="shared" si="116"/>
        <v>556</v>
      </c>
      <c r="L30" s="338">
        <f t="shared" si="116"/>
        <v>547</v>
      </c>
      <c r="M30" s="27">
        <f t="shared" si="116"/>
        <v>545</v>
      </c>
      <c r="N30" s="27">
        <f t="shared" si="116"/>
        <v>540</v>
      </c>
      <c r="O30" s="28">
        <f t="shared" si="116"/>
        <v>507</v>
      </c>
      <c r="P30" s="338">
        <f t="shared" si="116"/>
        <v>514</v>
      </c>
      <c r="Q30" s="27">
        <f t="shared" si="116"/>
        <v>488</v>
      </c>
      <c r="R30" s="27">
        <f t="shared" si="116"/>
        <v>507</v>
      </c>
      <c r="S30" s="28">
        <f t="shared" si="116"/>
        <v>431</v>
      </c>
      <c r="T30" s="338">
        <f t="shared" si="116"/>
        <v>386</v>
      </c>
      <c r="U30" s="27">
        <f t="shared" si="116"/>
        <v>369</v>
      </c>
      <c r="V30" s="27">
        <f t="shared" si="116"/>
        <v>368</v>
      </c>
      <c r="W30" s="28">
        <f t="shared" si="116"/>
        <v>353</v>
      </c>
      <c r="X30" s="27">
        <f t="shared" si="116"/>
        <v>370</v>
      </c>
      <c r="Y30" s="27">
        <f t="shared" si="116"/>
        <v>392</v>
      </c>
      <c r="Z30" s="27">
        <f t="shared" si="116"/>
        <v>417</v>
      </c>
      <c r="AA30" s="28">
        <f t="shared" si="116"/>
        <v>391</v>
      </c>
      <c r="AB30" s="27">
        <f t="shared" si="116"/>
        <v>422</v>
      </c>
      <c r="AC30" s="27">
        <f t="shared" si="116"/>
        <v>424</v>
      </c>
      <c r="AD30" s="27">
        <f t="shared" si="116"/>
        <v>395</v>
      </c>
      <c r="AE30" s="28">
        <f t="shared" si="116"/>
        <v>475</v>
      </c>
      <c r="AF30" s="27">
        <f t="shared" si="116"/>
        <v>509</v>
      </c>
      <c r="AG30" s="27">
        <f t="shared" si="116"/>
        <v>480</v>
      </c>
      <c r="AH30" s="27">
        <f t="shared" si="116"/>
        <v>463</v>
      </c>
      <c r="AI30" s="28">
        <f t="shared" si="116"/>
        <v>425</v>
      </c>
      <c r="AJ30" s="27">
        <f t="shared" si="116"/>
        <v>419</v>
      </c>
      <c r="AK30" s="27">
        <f t="shared" si="116"/>
        <v>389</v>
      </c>
      <c r="AL30" s="27">
        <f t="shared" si="116"/>
        <v>368</v>
      </c>
      <c r="AM30" s="28">
        <f t="shared" si="116"/>
        <v>346</v>
      </c>
      <c r="AN30" s="27">
        <f>AN26-AN29</f>
        <v>366</v>
      </c>
      <c r="AO30" s="27">
        <f>AO26-AO29</f>
        <v>349</v>
      </c>
      <c r="AP30" s="27">
        <f t="shared" si="116"/>
        <v>332</v>
      </c>
      <c r="AQ30" s="28">
        <f t="shared" si="116"/>
        <v>311</v>
      </c>
      <c r="AR30" s="27">
        <f t="shared" ref="AR30:AX30" si="117">AR26-AR29</f>
        <v>338</v>
      </c>
      <c r="AS30" s="27">
        <f t="shared" si="117"/>
        <v>320</v>
      </c>
      <c r="AT30" s="27">
        <f t="shared" si="117"/>
        <v>316</v>
      </c>
      <c r="AU30" s="28">
        <f t="shared" si="117"/>
        <v>306</v>
      </c>
      <c r="AV30" s="27">
        <f t="shared" si="117"/>
        <v>326</v>
      </c>
      <c r="AW30" s="27">
        <f t="shared" si="117"/>
        <v>345</v>
      </c>
      <c r="AX30" s="27">
        <f t="shared" si="117"/>
        <v>356</v>
      </c>
      <c r="AY30" s="28">
        <f t="shared" ref="AY30:BB30" si="118">AY26-AY29</f>
        <v>343</v>
      </c>
      <c r="AZ30" s="27">
        <f t="shared" si="118"/>
        <v>369</v>
      </c>
      <c r="BA30" s="27">
        <f t="shared" si="118"/>
        <v>378</v>
      </c>
      <c r="BB30" s="27">
        <f t="shared" si="118"/>
        <v>375</v>
      </c>
      <c r="BC30" s="28">
        <f t="shared" ref="BC30:BD30" si="119">BC26-BC29</f>
        <v>386</v>
      </c>
      <c r="BD30" s="27">
        <f t="shared" si="119"/>
        <v>385</v>
      </c>
      <c r="BE30" s="27">
        <f t="shared" ref="BE30:BG30" si="120">BE26-BE29</f>
        <v>402</v>
      </c>
      <c r="BF30" s="27">
        <f t="shared" si="120"/>
        <v>425</v>
      </c>
      <c r="BG30" s="27">
        <f t="shared" si="120"/>
        <v>400</v>
      </c>
      <c r="BH30" s="338">
        <f t="shared" ref="BH30:BK30" si="121">BH26-BH29</f>
        <v>415</v>
      </c>
      <c r="BI30" s="27">
        <f t="shared" si="121"/>
        <v>425</v>
      </c>
      <c r="BJ30" s="27">
        <f t="shared" si="121"/>
        <v>425</v>
      </c>
      <c r="BK30" s="27">
        <f t="shared" si="121"/>
        <v>420</v>
      </c>
      <c r="BL30" s="338">
        <f t="shared" ref="BL30:BO30" si="122">BL26-BL29</f>
        <v>395</v>
      </c>
      <c r="BM30" s="27">
        <f t="shared" si="122"/>
        <v>375</v>
      </c>
      <c r="BN30" s="27">
        <f t="shared" si="122"/>
        <v>385</v>
      </c>
      <c r="BO30" s="27">
        <f t="shared" si="122"/>
        <v>380</v>
      </c>
      <c r="BP30" s="152"/>
      <c r="BQ30" s="27">
        <f t="shared" si="116"/>
        <v>1986</v>
      </c>
      <c r="BR30" s="27">
        <f t="shared" si="116"/>
        <v>2195</v>
      </c>
      <c r="BS30" s="27">
        <f t="shared" si="116"/>
        <v>2139</v>
      </c>
      <c r="BT30" s="27">
        <f t="shared" si="116"/>
        <v>1940</v>
      </c>
      <c r="BU30" s="27">
        <f t="shared" si="116"/>
        <v>1476</v>
      </c>
      <c r="BV30" s="27">
        <f t="shared" si="116"/>
        <v>1570</v>
      </c>
      <c r="BW30" s="27">
        <f t="shared" si="116"/>
        <v>1716</v>
      </c>
      <c r="BX30" s="27">
        <f t="shared" si="116"/>
        <v>1877</v>
      </c>
      <c r="BY30" s="27">
        <f t="shared" si="116"/>
        <v>1522</v>
      </c>
      <c r="BZ30" s="27">
        <f t="shared" si="116"/>
        <v>1358</v>
      </c>
      <c r="CA30" s="27">
        <f t="shared" si="116"/>
        <v>1280</v>
      </c>
      <c r="CB30" s="27">
        <f>CB26-CB29</f>
        <v>1370</v>
      </c>
      <c r="CC30" s="27">
        <f>CC26-CC29</f>
        <v>1508</v>
      </c>
      <c r="CD30" s="27">
        <f>CD26-CD29</f>
        <v>1612</v>
      </c>
      <c r="CE30" s="27">
        <f>CE26-CE29</f>
        <v>1685</v>
      </c>
      <c r="CF30" s="28">
        <f>CF26-CF29</f>
        <v>1535</v>
      </c>
      <c r="CG30" s="364"/>
      <c r="CH30" s="8"/>
      <c r="CO30" s="8"/>
      <c r="CV30" s="282"/>
      <c r="CW30" s="282"/>
    </row>
    <row r="31" spans="1:101" ht="14.25" customHeight="1">
      <c r="A31" s="8"/>
      <c r="B31" s="332" t="s">
        <v>7</v>
      </c>
      <c r="C31" s="29"/>
      <c r="D31" s="339">
        <f t="shared" ref="D31:AQ31" si="123">D30/D10</f>
        <v>0.18023686158401184</v>
      </c>
      <c r="E31" s="30">
        <f t="shared" si="123"/>
        <v>0.16324469875462808</v>
      </c>
      <c r="F31" s="30">
        <f t="shared" si="123"/>
        <v>0.15603474094040132</v>
      </c>
      <c r="G31" s="31">
        <f t="shared" si="123"/>
        <v>0.14831528279181708</v>
      </c>
      <c r="H31" s="339">
        <f t="shared" si="123"/>
        <v>0.15986802639472106</v>
      </c>
      <c r="I31" s="30">
        <f t="shared" si="123"/>
        <v>0.14498241817690019</v>
      </c>
      <c r="J31" s="30">
        <f t="shared" si="123"/>
        <v>0.15155543738367455</v>
      </c>
      <c r="K31" s="31">
        <f t="shared" si="123"/>
        <v>0.16055443257291366</v>
      </c>
      <c r="L31" s="339">
        <f t="shared" si="123"/>
        <v>0.17141961767471012</v>
      </c>
      <c r="M31" s="30">
        <f t="shared" si="123"/>
        <v>0.15917056074766356</v>
      </c>
      <c r="N31" s="30">
        <f t="shared" si="123"/>
        <v>0.14742014742014742</v>
      </c>
      <c r="O31" s="31">
        <f t="shared" si="123"/>
        <v>0.14257592800899888</v>
      </c>
      <c r="P31" s="339">
        <f t="shared" si="123"/>
        <v>0.15709046454767725</v>
      </c>
      <c r="Q31" s="30">
        <f t="shared" si="123"/>
        <v>0.14562817069531483</v>
      </c>
      <c r="R31" s="30">
        <f t="shared" si="123"/>
        <v>0.14968999114260406</v>
      </c>
      <c r="S31" s="31">
        <f t="shared" si="123"/>
        <v>0.17302288237655561</v>
      </c>
      <c r="T31" s="339">
        <f t="shared" si="123"/>
        <v>0.18504314477468839</v>
      </c>
      <c r="U31" s="30">
        <f t="shared" si="123"/>
        <v>0.15018315018315018</v>
      </c>
      <c r="V31" s="30">
        <f t="shared" si="123"/>
        <v>0.12777777777777777</v>
      </c>
      <c r="W31" s="31">
        <f t="shared" si="123"/>
        <v>0.11750998668442077</v>
      </c>
      <c r="X31" s="30">
        <f t="shared" si="123"/>
        <v>0.11544461778471139</v>
      </c>
      <c r="Y31" s="30">
        <f t="shared" si="123"/>
        <v>0.11212814645308924</v>
      </c>
      <c r="Z31" s="30">
        <f t="shared" si="123"/>
        <v>0.11149732620320855</v>
      </c>
      <c r="AA31" s="31">
        <f t="shared" si="123"/>
        <v>0.11092198581560284</v>
      </c>
      <c r="AB31" s="30">
        <f t="shared" si="123"/>
        <v>0.12441037735849056</v>
      </c>
      <c r="AC31" s="30">
        <f t="shared" si="123"/>
        <v>0.12261422787738577</v>
      </c>
      <c r="AD31" s="30">
        <f t="shared" si="123"/>
        <v>0.11396422388920946</v>
      </c>
      <c r="AE31" s="31">
        <f t="shared" si="123"/>
        <v>0.1388888888888889</v>
      </c>
      <c r="AF31" s="30">
        <f t="shared" si="123"/>
        <v>0.16308875360461392</v>
      </c>
      <c r="AG31" s="30">
        <f t="shared" si="123"/>
        <v>0.14392803598200898</v>
      </c>
      <c r="AH31" s="30">
        <f t="shared" si="123"/>
        <v>0.13657817109144543</v>
      </c>
      <c r="AI31" s="31">
        <f t="shared" si="123"/>
        <v>0.14266532393420611</v>
      </c>
      <c r="AJ31" s="30">
        <f t="shared" si="123"/>
        <v>0.14523396880415945</v>
      </c>
      <c r="AK31" s="30">
        <f t="shared" si="123"/>
        <v>0.12766655726944537</v>
      </c>
      <c r="AL31" s="30">
        <f t="shared" si="123"/>
        <v>0.11344019728729964</v>
      </c>
      <c r="AM31" s="31">
        <f t="shared" si="123"/>
        <v>0.1142668428005284</v>
      </c>
      <c r="AN31" s="30">
        <f>AN30/AN10</f>
        <v>0.12269527321488434</v>
      </c>
      <c r="AO31" s="30">
        <f>AO30/AO10</f>
        <v>0.10601458080194411</v>
      </c>
      <c r="AP31" s="30">
        <f t="shared" si="123"/>
        <v>9.4830048557554988E-2</v>
      </c>
      <c r="AQ31" s="31">
        <f t="shared" si="123"/>
        <v>9.5136127256041605E-2</v>
      </c>
      <c r="AR31" s="30">
        <f t="shared" ref="AR31:AX31" si="124">AR30/AR10</f>
        <v>0.1073015873015873</v>
      </c>
      <c r="AS31" s="30">
        <f t="shared" si="124"/>
        <v>9.9009900990099015E-2</v>
      </c>
      <c r="AT31" s="30">
        <f t="shared" si="124"/>
        <v>9.2155147273257507E-2</v>
      </c>
      <c r="AU31" s="31">
        <f t="shared" si="124"/>
        <v>9.5954844778927559E-2</v>
      </c>
      <c r="AV31" s="30">
        <f t="shared" si="124"/>
        <v>0.10837765957446809</v>
      </c>
      <c r="AW31" s="30">
        <f t="shared" si="124"/>
        <v>0.10540788267644363</v>
      </c>
      <c r="AX31" s="30">
        <f t="shared" si="124"/>
        <v>9.6870748299319728E-2</v>
      </c>
      <c r="AY31" s="31">
        <f t="shared" ref="AY31:BB31" si="125">AY30/AY10</f>
        <v>0.10046865846514352</v>
      </c>
      <c r="AZ31" s="30">
        <f t="shared" si="125"/>
        <v>0.10846560846560846</v>
      </c>
      <c r="BA31" s="30">
        <f t="shared" si="125"/>
        <v>0.10235580828594638</v>
      </c>
      <c r="BB31" s="30">
        <f t="shared" si="125"/>
        <v>9.1107871720116612E-2</v>
      </c>
      <c r="BC31" s="31">
        <f t="shared" ref="BC31:BD31" si="126">BC30/BC10</f>
        <v>0.10293333333333334</v>
      </c>
      <c r="BD31" s="30">
        <f t="shared" si="126"/>
        <v>0.10160992346265506</v>
      </c>
      <c r="BE31" s="30">
        <f t="shared" ref="BE31:BG31" si="127">BE30/BE10</f>
        <v>0.10191724686766879</v>
      </c>
      <c r="BF31" s="30">
        <f t="shared" si="127"/>
        <v>0.10126250765431151</v>
      </c>
      <c r="BG31" s="30">
        <f t="shared" si="127"/>
        <v>0.1011469888852269</v>
      </c>
      <c r="BH31" s="339">
        <f t="shared" ref="BH31:BK31" si="128">BH30/BH10</f>
        <v>0.10777518368245431</v>
      </c>
      <c r="BI31" s="30">
        <f t="shared" si="128"/>
        <v>0.10392755587376634</v>
      </c>
      <c r="BJ31" s="30">
        <f t="shared" si="128"/>
        <v>9.7909713227273751E-2</v>
      </c>
      <c r="BK31" s="30">
        <f t="shared" si="128"/>
        <v>0.10302160266152231</v>
      </c>
      <c r="BL31" s="339">
        <f t="shared" ref="BL31:BO31" si="129">BL30/BL10</f>
        <v>9.9394681937184773E-2</v>
      </c>
      <c r="BM31" s="30">
        <f t="shared" si="129"/>
        <v>8.887857014890721E-2</v>
      </c>
      <c r="BN31" s="30">
        <f t="shared" si="129"/>
        <v>8.6014406882466726E-2</v>
      </c>
      <c r="BO31" s="30">
        <f t="shared" si="129"/>
        <v>9.0342350696783869E-2</v>
      </c>
      <c r="BP31" s="152"/>
      <c r="BQ31" s="30">
        <f t="shared" ref="BQ31:CA31" si="130">BQ30/BQ10</f>
        <v>0.1609922178988327</v>
      </c>
      <c r="BR31" s="30">
        <f t="shared" si="130"/>
        <v>0.15398105927744651</v>
      </c>
      <c r="BS31" s="30">
        <f t="shared" si="130"/>
        <v>0.15461905450339741</v>
      </c>
      <c r="BT31" s="30">
        <f t="shared" si="130"/>
        <v>0.15518758499320054</v>
      </c>
      <c r="BU31" s="30">
        <f t="shared" si="130"/>
        <v>0.1415555768677472</v>
      </c>
      <c r="BV31" s="30">
        <f t="shared" si="130"/>
        <v>0.11241586710582845</v>
      </c>
      <c r="BW31" s="30">
        <f t="shared" si="130"/>
        <v>0.12492719860221316</v>
      </c>
      <c r="BX31" s="30">
        <f t="shared" si="130"/>
        <v>0.14635477582846004</v>
      </c>
      <c r="BY31" s="30">
        <f t="shared" si="130"/>
        <v>0.12471320878400524</v>
      </c>
      <c r="BZ31" s="30">
        <f t="shared" si="130"/>
        <v>0.10410118819471062</v>
      </c>
      <c r="CA31" s="30">
        <f t="shared" si="130"/>
        <v>9.8461538461538461E-2</v>
      </c>
      <c r="CB31" s="30">
        <f>CB30/CB10</f>
        <v>0.10246821241585639</v>
      </c>
      <c r="CC31" s="30">
        <f>CC30/CC10</f>
        <v>0.10079540137691331</v>
      </c>
      <c r="CD31" s="30">
        <f>CD30/CD10</f>
        <v>0.10147919351203469</v>
      </c>
      <c r="CE31" s="30">
        <f>CE30/CE10</f>
        <v>0.10301057533041758</v>
      </c>
      <c r="CF31" s="31">
        <f>CF30/CF10</f>
        <v>9.0960203068164228E-2</v>
      </c>
      <c r="CG31" s="297"/>
      <c r="CH31" s="8"/>
      <c r="CO31" s="8"/>
      <c r="CV31" s="282"/>
      <c r="CW31" s="282"/>
    </row>
    <row r="32" spans="1:101" ht="8.25" customHeight="1">
      <c r="A32" s="8"/>
      <c r="B32" s="372"/>
      <c r="C32" s="42"/>
      <c r="D32" s="343"/>
      <c r="E32" s="34"/>
      <c r="F32" s="38"/>
      <c r="G32" s="35"/>
      <c r="H32" s="343"/>
      <c r="I32" s="34"/>
      <c r="J32" s="38"/>
      <c r="K32" s="35"/>
      <c r="L32" s="343"/>
      <c r="M32" s="34"/>
      <c r="N32" s="38"/>
      <c r="O32" s="35"/>
      <c r="P32" s="343"/>
      <c r="Q32" s="34"/>
      <c r="R32" s="38"/>
      <c r="S32" s="35"/>
      <c r="T32" s="343"/>
      <c r="U32" s="34"/>
      <c r="V32" s="38"/>
      <c r="W32" s="35"/>
      <c r="X32" s="34"/>
      <c r="Y32" s="34"/>
      <c r="Z32" s="34"/>
      <c r="AA32" s="35"/>
      <c r="AB32" s="34"/>
      <c r="AC32" s="34"/>
      <c r="AD32" s="34"/>
      <c r="AE32" s="35"/>
      <c r="AF32" s="34"/>
      <c r="AG32" s="34"/>
      <c r="AH32" s="34"/>
      <c r="AI32" s="35"/>
      <c r="AJ32" s="34"/>
      <c r="AK32" s="34"/>
      <c r="AL32" s="34"/>
      <c r="AM32" s="35"/>
      <c r="AN32" s="34"/>
      <c r="AO32" s="34"/>
      <c r="AP32" s="34"/>
      <c r="AQ32" s="35"/>
      <c r="AR32" s="34"/>
      <c r="AS32" s="34"/>
      <c r="AT32" s="34"/>
      <c r="AU32" s="35"/>
      <c r="AV32" s="34"/>
      <c r="AW32" s="34"/>
      <c r="AX32" s="34"/>
      <c r="AY32" s="35"/>
      <c r="AZ32" s="34"/>
      <c r="BA32" s="34"/>
      <c r="BB32" s="34"/>
      <c r="BC32" s="35"/>
      <c r="BD32" s="34"/>
      <c r="BE32" s="34"/>
      <c r="BF32" s="34"/>
      <c r="BG32" s="34"/>
      <c r="BH32" s="343"/>
      <c r="BI32" s="34"/>
      <c r="BJ32" s="34"/>
      <c r="BK32" s="34"/>
      <c r="BL32" s="343"/>
      <c r="BM32" s="34"/>
      <c r="BN32" s="34"/>
      <c r="BO32" s="34"/>
      <c r="BP32" s="152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7"/>
      <c r="CG32" s="297"/>
      <c r="CH32" s="8"/>
      <c r="CO32" s="8"/>
      <c r="CV32" s="282"/>
      <c r="CW32" s="282"/>
    </row>
    <row r="33" spans="1:101" ht="14.25" customHeight="1">
      <c r="A33" s="8"/>
      <c r="B33" s="342" t="s">
        <v>277</v>
      </c>
      <c r="C33" s="21"/>
      <c r="D33" s="337">
        <v>334</v>
      </c>
      <c r="E33" s="25">
        <v>339</v>
      </c>
      <c r="F33" s="25">
        <v>408</v>
      </c>
      <c r="G33" s="26">
        <v>404</v>
      </c>
      <c r="H33" s="337">
        <v>421</v>
      </c>
      <c r="I33" s="25">
        <v>418</v>
      </c>
      <c r="J33" s="25">
        <v>432</v>
      </c>
      <c r="K33" s="26">
        <v>425</v>
      </c>
      <c r="L33" s="337">
        <v>405</v>
      </c>
      <c r="M33" s="25">
        <v>424</v>
      </c>
      <c r="N33" s="25">
        <v>429</v>
      </c>
      <c r="O33" s="26">
        <v>422</v>
      </c>
      <c r="P33" s="337">
        <v>435</v>
      </c>
      <c r="Q33" s="25">
        <v>428</v>
      </c>
      <c r="R33" s="25">
        <v>390</v>
      </c>
      <c r="S33" s="355">
        <f>1614-R33-Q33-P33</f>
        <v>361</v>
      </c>
      <c r="T33" s="337">
        <v>305</v>
      </c>
      <c r="U33" s="25">
        <v>327</v>
      </c>
      <c r="V33" s="25">
        <v>340</v>
      </c>
      <c r="W33" s="355">
        <f>1320-V33-U33-T33</f>
        <v>348</v>
      </c>
      <c r="X33" s="25">
        <v>359</v>
      </c>
      <c r="Y33" s="25">
        <v>378</v>
      </c>
      <c r="Z33" s="25">
        <v>391</v>
      </c>
      <c r="AA33" s="355">
        <f>1519-Z33-Y33-X33</f>
        <v>391</v>
      </c>
      <c r="AB33" s="25">
        <v>396</v>
      </c>
      <c r="AC33" s="25">
        <v>411</v>
      </c>
      <c r="AD33" s="25">
        <v>388</v>
      </c>
      <c r="AE33" s="26">
        <v>443</v>
      </c>
      <c r="AF33" s="25">
        <v>462</v>
      </c>
      <c r="AG33" s="25">
        <v>456</v>
      </c>
      <c r="AH33" s="25">
        <v>453</v>
      </c>
      <c r="AI33" s="26">
        <v>430</v>
      </c>
      <c r="AJ33" s="25">
        <v>459</v>
      </c>
      <c r="AK33" s="25">
        <v>471</v>
      </c>
      <c r="AL33" s="25">
        <v>465</v>
      </c>
      <c r="AM33" s="26">
        <v>461</v>
      </c>
      <c r="AN33" s="25">
        <v>479</v>
      </c>
      <c r="AO33" s="25">
        <v>472</v>
      </c>
      <c r="AP33" s="25">
        <v>463</v>
      </c>
      <c r="AQ33" s="26">
        <v>429</v>
      </c>
      <c r="AR33" s="25">
        <v>439</v>
      </c>
      <c r="AS33" s="25">
        <v>470</v>
      </c>
      <c r="AT33" s="25">
        <v>434</v>
      </c>
      <c r="AU33" s="26">
        <v>405</v>
      </c>
      <c r="AV33" s="25">
        <v>448</v>
      </c>
      <c r="AW33" s="25">
        <v>460</v>
      </c>
      <c r="AX33" s="25">
        <v>448</v>
      </c>
      <c r="AY33" s="26">
        <v>411</v>
      </c>
      <c r="AZ33" s="25">
        <v>439</v>
      </c>
      <c r="BA33" s="25">
        <v>434</v>
      </c>
      <c r="BB33" s="25">
        <v>412</v>
      </c>
      <c r="BC33" s="26">
        <v>409</v>
      </c>
      <c r="BD33" s="25">
        <v>433</v>
      </c>
      <c r="BE33" s="366">
        <v>430</v>
      </c>
      <c r="BF33" s="366">
        <v>455</v>
      </c>
      <c r="BG33" s="366">
        <v>430</v>
      </c>
      <c r="BH33" s="367">
        <v>435</v>
      </c>
      <c r="BI33" s="366">
        <v>450</v>
      </c>
      <c r="BJ33" s="366">
        <v>455</v>
      </c>
      <c r="BK33" s="366">
        <v>455</v>
      </c>
      <c r="BL33" s="367">
        <v>460</v>
      </c>
      <c r="BM33" s="366">
        <v>470</v>
      </c>
      <c r="BN33" s="366">
        <v>470</v>
      </c>
      <c r="BO33" s="366">
        <f>BN33-10</f>
        <v>460</v>
      </c>
      <c r="BP33" s="152"/>
      <c r="BQ33" s="27">
        <f>SUM(D33:G33)</f>
        <v>1485</v>
      </c>
      <c r="BR33" s="27">
        <f>SUM(H33:K33)</f>
        <v>1696</v>
      </c>
      <c r="BS33" s="27">
        <f>SUM(L33:O33)</f>
        <v>1680</v>
      </c>
      <c r="BT33" s="27">
        <f>SUM(P33:S33)</f>
        <v>1614</v>
      </c>
      <c r="BU33" s="27">
        <f>SUM(T33:W33)</f>
        <v>1320</v>
      </c>
      <c r="BV33" s="27">
        <f>SUM(X33:AA33)</f>
        <v>1519</v>
      </c>
      <c r="BW33" s="27">
        <f>SUM(AB33:AE33)</f>
        <v>1638</v>
      </c>
      <c r="BX33" s="27">
        <f>SUM(AF33:AI33)</f>
        <v>1801</v>
      </c>
      <c r="BY33" s="27">
        <f>SUM(AJ33:AM33)</f>
        <v>1856</v>
      </c>
      <c r="BZ33" s="27">
        <f>+SUM(AN33:AQ33)</f>
        <v>1843</v>
      </c>
      <c r="CA33" s="27">
        <f>SUM(AR33:AU33)</f>
        <v>1748</v>
      </c>
      <c r="CB33" s="27">
        <f>SUM(AV33:AY33)</f>
        <v>1767</v>
      </c>
      <c r="CC33" s="27">
        <f>SUM(AZ33:BC33)</f>
        <v>1694</v>
      </c>
      <c r="CD33" s="27">
        <f>SUM(BD33:BG33)</f>
        <v>1748</v>
      </c>
      <c r="CE33" s="27">
        <f>SUM(BH33:BK33)</f>
        <v>1795</v>
      </c>
      <c r="CF33" s="28">
        <f>SUM(BL33:BO33)</f>
        <v>1860</v>
      </c>
      <c r="CG33" s="364"/>
      <c r="CH33" s="8"/>
      <c r="CO33" s="8"/>
      <c r="CV33" s="282"/>
      <c r="CW33" s="282"/>
    </row>
    <row r="34" spans="1:101" ht="14.25" customHeight="1">
      <c r="A34" s="8"/>
      <c r="B34" s="332" t="s">
        <v>7</v>
      </c>
      <c r="C34" s="29"/>
      <c r="D34" s="339">
        <f t="shared" ref="D34:AM34" si="131">D33/D7</f>
        <v>0.12361213915618061</v>
      </c>
      <c r="E34" s="30">
        <f t="shared" si="131"/>
        <v>0.1141029956243689</v>
      </c>
      <c r="F34" s="30">
        <f t="shared" si="131"/>
        <v>0.12219227313566937</v>
      </c>
      <c r="G34" s="31">
        <f t="shared" si="131"/>
        <v>0.12154031287605295</v>
      </c>
      <c r="H34" s="339">
        <f t="shared" si="131"/>
        <v>0.12627474505098979</v>
      </c>
      <c r="I34" s="30">
        <f t="shared" si="131"/>
        <v>0.11306464701109008</v>
      </c>
      <c r="J34" s="30">
        <f t="shared" si="131"/>
        <v>0.11486306833289019</v>
      </c>
      <c r="K34" s="31">
        <f t="shared" si="131"/>
        <v>0.12272596015015882</v>
      </c>
      <c r="L34" s="339">
        <f t="shared" si="131"/>
        <v>0.12691946098401755</v>
      </c>
      <c r="M34" s="30">
        <f t="shared" si="131"/>
        <v>0.12383177570093458</v>
      </c>
      <c r="N34" s="30">
        <f t="shared" si="131"/>
        <v>0.11711711711711711</v>
      </c>
      <c r="O34" s="31">
        <f t="shared" si="131"/>
        <v>0.1186726659167604</v>
      </c>
      <c r="P34" s="339">
        <f t="shared" si="131"/>
        <v>0.13294621026894865</v>
      </c>
      <c r="Q34" s="30">
        <f t="shared" si="131"/>
        <v>0.12772306774097283</v>
      </c>
      <c r="R34" s="30">
        <f t="shared" si="131"/>
        <v>0.11514614703277236</v>
      </c>
      <c r="S34" s="31">
        <f t="shared" si="131"/>
        <v>0.14492171818546767</v>
      </c>
      <c r="T34" s="339">
        <f t="shared" si="131"/>
        <v>0.14621284755512942</v>
      </c>
      <c r="U34" s="30">
        <f t="shared" si="131"/>
        <v>0.13308913308913309</v>
      </c>
      <c r="V34" s="30">
        <f t="shared" si="131"/>
        <v>0.11805555555555555</v>
      </c>
      <c r="W34" s="31">
        <f t="shared" si="131"/>
        <v>0.11584553928095873</v>
      </c>
      <c r="X34" s="30">
        <f t="shared" si="131"/>
        <v>0.11201248049921997</v>
      </c>
      <c r="Y34" s="30">
        <f t="shared" si="131"/>
        <v>0.10812356979405034</v>
      </c>
      <c r="Z34" s="30">
        <f t="shared" si="131"/>
        <v>0.10454545454545454</v>
      </c>
      <c r="AA34" s="31">
        <f t="shared" si="131"/>
        <v>0.11092198581560284</v>
      </c>
      <c r="AB34" s="30">
        <f t="shared" si="131"/>
        <v>0.11674528301886793</v>
      </c>
      <c r="AC34" s="30">
        <f t="shared" si="131"/>
        <v>0.11885482938114517</v>
      </c>
      <c r="AD34" s="30">
        <f t="shared" si="131"/>
        <v>0.11194460473167916</v>
      </c>
      <c r="AE34" s="31">
        <f t="shared" si="131"/>
        <v>0.12953216374269005</v>
      </c>
      <c r="AF34" s="30">
        <f t="shared" si="131"/>
        <v>0.14802947773149633</v>
      </c>
      <c r="AG34" s="30">
        <f t="shared" si="131"/>
        <v>0.13673163418290854</v>
      </c>
      <c r="AH34" s="30">
        <f t="shared" si="131"/>
        <v>0.13362831858407079</v>
      </c>
      <c r="AI34" s="31">
        <f t="shared" si="131"/>
        <v>0.14434373950990265</v>
      </c>
      <c r="AJ34" s="30">
        <f t="shared" si="131"/>
        <v>0.15909878682842288</v>
      </c>
      <c r="AK34" s="30">
        <f t="shared" si="131"/>
        <v>0.15457827371184771</v>
      </c>
      <c r="AL34" s="30">
        <f t="shared" si="131"/>
        <v>0.14334155363748458</v>
      </c>
      <c r="AM34" s="31">
        <f t="shared" si="131"/>
        <v>0.15224570673712021</v>
      </c>
      <c r="AN34" s="30">
        <f t="shared" ref="AN34:AU34" si="132">AN33/AN7</f>
        <v>0.16057660073751256</v>
      </c>
      <c r="AO34" s="30">
        <f t="shared" si="132"/>
        <v>0.1433778857837181</v>
      </c>
      <c r="AP34" s="30">
        <f t="shared" si="132"/>
        <v>0.13224792916309625</v>
      </c>
      <c r="AQ34" s="31">
        <f t="shared" si="132"/>
        <v>0.13123279290302844</v>
      </c>
      <c r="AR34" s="30">
        <f t="shared" si="132"/>
        <v>0.13936507936507936</v>
      </c>
      <c r="AS34" s="30">
        <f t="shared" si="132"/>
        <v>0.14542079207920791</v>
      </c>
      <c r="AT34" s="30">
        <f t="shared" si="132"/>
        <v>0.12656751239428404</v>
      </c>
      <c r="AU34" s="31">
        <f t="shared" si="132"/>
        <v>0.12699905926622765</v>
      </c>
      <c r="AV34" s="30">
        <f t="shared" ref="AV34:AY34" si="133">AV33/AV7</f>
        <v>0.14893617021276595</v>
      </c>
      <c r="AW34" s="30">
        <f t="shared" si="133"/>
        <v>0.14054384356859151</v>
      </c>
      <c r="AX34" s="30">
        <f t="shared" si="133"/>
        <v>0.1219047619047619</v>
      </c>
      <c r="AY34" s="31">
        <f t="shared" si="133"/>
        <v>0.12038664323374342</v>
      </c>
      <c r="AZ34" s="30">
        <f t="shared" ref="AZ34:BC34" si="134">AZ33/AZ7</f>
        <v>0.12904174015285128</v>
      </c>
      <c r="BA34" s="30">
        <f t="shared" si="134"/>
        <v>0.11751963173571622</v>
      </c>
      <c r="BB34" s="30">
        <f t="shared" si="134"/>
        <v>0.1000971817298348</v>
      </c>
      <c r="BC34" s="31">
        <f t="shared" si="134"/>
        <v>0.10906666666666667</v>
      </c>
      <c r="BD34" s="30">
        <f t="shared" ref="BD34" si="135">BD33/BD7</f>
        <v>0.11427817366059646</v>
      </c>
      <c r="BE34" s="30">
        <f t="shared" ref="BE34:BG34" si="136">BE33/BE7</f>
        <v>0.10901596057984472</v>
      </c>
      <c r="BF34" s="30">
        <f t="shared" si="136"/>
        <v>0.10841044937108643</v>
      </c>
      <c r="BG34" s="30">
        <f t="shared" si="136"/>
        <v>0.10873301305161891</v>
      </c>
      <c r="BH34" s="339">
        <f t="shared" ref="BH34:BK34" si="137">BH33/BH7</f>
        <v>0.11296916843823523</v>
      </c>
      <c r="BI34" s="30">
        <f t="shared" si="137"/>
        <v>0.11004094151339965</v>
      </c>
      <c r="BJ34" s="30">
        <f t="shared" si="137"/>
        <v>0.10482098710214013</v>
      </c>
      <c r="BK34" s="30">
        <f t="shared" si="137"/>
        <v>0.11160673621664917</v>
      </c>
      <c r="BL34" s="339">
        <f t="shared" ref="BL34:BO34" si="138">BL33/BL7</f>
        <v>0.11575076883824049</v>
      </c>
      <c r="BM34" s="30">
        <f t="shared" si="138"/>
        <v>0.11139447458663038</v>
      </c>
      <c r="BN34" s="30">
        <f t="shared" si="138"/>
        <v>0.10500460060976458</v>
      </c>
      <c r="BO34" s="30">
        <f t="shared" si="138"/>
        <v>0.10936179294873836</v>
      </c>
      <c r="BP34" s="152"/>
      <c r="BQ34" s="30">
        <f t="shared" ref="BQ34:BZ34" si="139">BQ33/BQ7</f>
        <v>0.12037937743190662</v>
      </c>
      <c r="BR34" s="30">
        <f t="shared" si="139"/>
        <v>0.1189757979656261</v>
      </c>
      <c r="BS34" s="30">
        <f t="shared" si="139"/>
        <v>0.12143993060575393</v>
      </c>
      <c r="BT34" s="30">
        <f t="shared" si="139"/>
        <v>0.1291096712263019</v>
      </c>
      <c r="BU34" s="30">
        <f t="shared" si="139"/>
        <v>0.12659441833700968</v>
      </c>
      <c r="BV34" s="30">
        <f t="shared" si="139"/>
        <v>0.10876414148646714</v>
      </c>
      <c r="BW34" s="30">
        <f t="shared" si="139"/>
        <v>0.11924868957483983</v>
      </c>
      <c r="BX34" s="30">
        <f t="shared" si="139"/>
        <v>0.14042884990253413</v>
      </c>
      <c r="BY34" s="30">
        <f t="shared" si="139"/>
        <v>0.15208128482464767</v>
      </c>
      <c r="BZ34" s="30">
        <f t="shared" si="139"/>
        <v>0.14128018397853584</v>
      </c>
      <c r="CA34" s="30">
        <f t="shared" ref="CA34:CF34" si="140">CA33/CA7</f>
        <v>0.13446153846153847</v>
      </c>
      <c r="CB34" s="30">
        <f t="shared" si="140"/>
        <v>0.13216155572176513</v>
      </c>
      <c r="CC34" s="30">
        <f t="shared" si="140"/>
        <v>0.11322772541942383</v>
      </c>
      <c r="CD34" s="30">
        <f t="shared" si="140"/>
        <v>0.11004071356019643</v>
      </c>
      <c r="CE34" s="30">
        <f t="shared" si="140"/>
        <v>0.10973530131637955</v>
      </c>
      <c r="CF34" s="31">
        <f t="shared" si="140"/>
        <v>0.11021887798487652</v>
      </c>
      <c r="CG34" s="297"/>
      <c r="CH34" s="8"/>
      <c r="CO34" s="8"/>
      <c r="CV34" s="282"/>
      <c r="CW34" s="282"/>
    </row>
    <row r="35" spans="1:101" ht="8.25" customHeight="1">
      <c r="A35" s="8"/>
      <c r="B35" s="336"/>
      <c r="C35" s="24"/>
      <c r="D35" s="337"/>
      <c r="E35" s="25"/>
      <c r="F35" s="25"/>
      <c r="G35" s="26"/>
      <c r="H35" s="337"/>
      <c r="I35" s="25"/>
      <c r="J35" s="25"/>
      <c r="K35" s="355"/>
      <c r="L35" s="337"/>
      <c r="M35" s="25"/>
      <c r="N35" s="25"/>
      <c r="O35" s="355"/>
      <c r="P35" s="337"/>
      <c r="Q35" s="25"/>
      <c r="R35" s="25"/>
      <c r="S35" s="355"/>
      <c r="T35" s="337"/>
      <c r="U35" s="25"/>
      <c r="V35" s="25"/>
      <c r="W35" s="355"/>
      <c r="X35" s="25"/>
      <c r="Y35" s="25"/>
      <c r="Z35" s="25"/>
      <c r="AA35" s="355"/>
      <c r="AB35" s="25"/>
      <c r="AC35" s="25"/>
      <c r="AD35" s="25"/>
      <c r="AE35" s="26"/>
      <c r="AF35" s="25"/>
      <c r="AG35" s="25"/>
      <c r="AH35" s="25"/>
      <c r="AI35" s="26"/>
      <c r="AJ35" s="25"/>
      <c r="AK35" s="25"/>
      <c r="AL35" s="25"/>
      <c r="AM35" s="26"/>
      <c r="AN35" s="25"/>
      <c r="AO35" s="25"/>
      <c r="AP35" s="25"/>
      <c r="AQ35" s="26"/>
      <c r="AR35" s="25"/>
      <c r="AS35" s="25"/>
      <c r="AT35" s="25"/>
      <c r="AU35" s="26"/>
      <c r="AV35" s="25"/>
      <c r="AW35" s="25"/>
      <c r="AX35" s="25"/>
      <c r="AY35" s="26"/>
      <c r="AZ35" s="25"/>
      <c r="BA35" s="25"/>
      <c r="BB35" s="25"/>
      <c r="BC35" s="26"/>
      <c r="BD35" s="25"/>
      <c r="BE35" s="25"/>
      <c r="BF35" s="25"/>
      <c r="BG35" s="25"/>
      <c r="BH35" s="337"/>
      <c r="BI35" s="25"/>
      <c r="BJ35" s="25"/>
      <c r="BK35" s="25"/>
      <c r="BL35" s="337"/>
      <c r="BM35" s="25"/>
      <c r="BN35" s="25"/>
      <c r="BO35" s="25"/>
      <c r="BP35" s="152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8"/>
      <c r="CG35" s="297"/>
      <c r="CH35" s="8"/>
      <c r="CO35" s="8"/>
      <c r="CV35" s="282"/>
      <c r="CW35" s="282"/>
    </row>
    <row r="36" spans="1:101" ht="14.25" customHeight="1">
      <c r="A36" s="368"/>
      <c r="B36" s="369" t="s">
        <v>3</v>
      </c>
      <c r="C36" s="370"/>
      <c r="D36" s="347">
        <v>0</v>
      </c>
      <c r="E36" s="348">
        <v>0</v>
      </c>
      <c r="F36" s="348">
        <v>0</v>
      </c>
      <c r="G36" s="349">
        <v>0</v>
      </c>
      <c r="H36" s="347">
        <v>0</v>
      </c>
      <c r="I36" s="348">
        <v>0</v>
      </c>
      <c r="J36" s="348">
        <v>0</v>
      </c>
      <c r="K36" s="349">
        <v>0</v>
      </c>
      <c r="L36" s="347">
        <v>0</v>
      </c>
      <c r="M36" s="348">
        <v>0</v>
      </c>
      <c r="N36" s="348">
        <v>0</v>
      </c>
      <c r="O36" s="349">
        <v>0</v>
      </c>
      <c r="P36" s="347">
        <v>0</v>
      </c>
      <c r="Q36" s="348">
        <v>0</v>
      </c>
      <c r="R36" s="348">
        <v>0</v>
      </c>
      <c r="S36" s="349">
        <v>0</v>
      </c>
      <c r="T36" s="347">
        <v>0</v>
      </c>
      <c r="U36" s="348">
        <v>0</v>
      </c>
      <c r="V36" s="348">
        <v>0</v>
      </c>
      <c r="W36" s="349">
        <v>0</v>
      </c>
      <c r="X36" s="348">
        <v>0</v>
      </c>
      <c r="Y36" s="348">
        <v>0</v>
      </c>
      <c r="Z36" s="348">
        <v>0</v>
      </c>
      <c r="AA36" s="349">
        <v>0</v>
      </c>
      <c r="AB36" s="348">
        <v>0</v>
      </c>
      <c r="AC36" s="348">
        <v>0</v>
      </c>
      <c r="AD36" s="348">
        <v>0</v>
      </c>
      <c r="AE36" s="349">
        <v>0</v>
      </c>
      <c r="AF36" s="348">
        <v>0</v>
      </c>
      <c r="AG36" s="352">
        <f t="shared" ref="AG36:AP36" si="141">AF36</f>
        <v>0</v>
      </c>
      <c r="AH36" s="352">
        <f t="shared" si="141"/>
        <v>0</v>
      </c>
      <c r="AI36" s="349">
        <v>0</v>
      </c>
      <c r="AJ36" s="352">
        <f t="shared" si="141"/>
        <v>0</v>
      </c>
      <c r="AK36" s="352">
        <f>AJ36</f>
        <v>0</v>
      </c>
      <c r="AL36" s="352">
        <f t="shared" si="141"/>
        <v>0</v>
      </c>
      <c r="AM36" s="349">
        <v>0</v>
      </c>
      <c r="AN36" s="352">
        <f t="shared" si="141"/>
        <v>0</v>
      </c>
      <c r="AO36" s="352">
        <f>AN36</f>
        <v>0</v>
      </c>
      <c r="AP36" s="352">
        <f t="shared" si="141"/>
        <v>0</v>
      </c>
      <c r="AQ36" s="349">
        <v>0</v>
      </c>
      <c r="AR36" s="352">
        <v>0</v>
      </c>
      <c r="AS36" s="352">
        <v>0</v>
      </c>
      <c r="AT36" s="352">
        <v>0</v>
      </c>
      <c r="AU36" s="349">
        <v>0</v>
      </c>
      <c r="AV36" s="352">
        <v>0</v>
      </c>
      <c r="AW36" s="352">
        <v>0</v>
      </c>
      <c r="AX36" s="352">
        <v>0</v>
      </c>
      <c r="AY36" s="349">
        <v>0</v>
      </c>
      <c r="AZ36" s="352">
        <v>0</v>
      </c>
      <c r="BA36" s="352">
        <v>0</v>
      </c>
      <c r="BB36" s="352">
        <v>0</v>
      </c>
      <c r="BC36" s="349">
        <v>0</v>
      </c>
      <c r="BD36" s="352">
        <v>0</v>
      </c>
      <c r="BE36" s="352">
        <f t="shared" ref="BE36:BG36" si="142">BD36</f>
        <v>0</v>
      </c>
      <c r="BF36" s="352">
        <f t="shared" si="142"/>
        <v>0</v>
      </c>
      <c r="BG36" s="352">
        <f t="shared" si="142"/>
        <v>0</v>
      </c>
      <c r="BH36" s="353">
        <f t="shared" ref="BH36" si="143">BG36</f>
        <v>0</v>
      </c>
      <c r="BI36" s="352">
        <f t="shared" ref="BI36" si="144">BH36</f>
        <v>0</v>
      </c>
      <c r="BJ36" s="352">
        <f t="shared" ref="BJ36" si="145">BI36</f>
        <v>0</v>
      </c>
      <c r="BK36" s="352">
        <f t="shared" ref="BK36" si="146">BJ36</f>
        <v>0</v>
      </c>
      <c r="BL36" s="353">
        <f t="shared" ref="BL36" si="147">BK36</f>
        <v>0</v>
      </c>
      <c r="BM36" s="352">
        <f t="shared" ref="BM36" si="148">BL36</f>
        <v>0</v>
      </c>
      <c r="BN36" s="352">
        <f t="shared" ref="BN36" si="149">BM36</f>
        <v>0</v>
      </c>
      <c r="BO36" s="352">
        <f t="shared" ref="BO36" si="150">BN36</f>
        <v>0</v>
      </c>
      <c r="BP36" s="371"/>
      <c r="BQ36" s="352">
        <f>SUM(D36:G36)</f>
        <v>0</v>
      </c>
      <c r="BR36" s="352">
        <f>SUM(H36:K36)</f>
        <v>0</v>
      </c>
      <c r="BS36" s="352">
        <f>SUM(L36:O36)</f>
        <v>0</v>
      </c>
      <c r="BT36" s="352">
        <f>SUM(P36:S36)</f>
        <v>0</v>
      </c>
      <c r="BU36" s="352">
        <f>SUM(T36:W36)</f>
        <v>0</v>
      </c>
      <c r="BV36" s="352">
        <f>SUM(X36:AA36)</f>
        <v>0</v>
      </c>
      <c r="BW36" s="352">
        <f>SUM(AB36:AE36)</f>
        <v>0</v>
      </c>
      <c r="BX36" s="352">
        <f>SUM(AF36:AI36)</f>
        <v>0</v>
      </c>
      <c r="BY36" s="352">
        <f>SUM(AJ36:AM36)</f>
        <v>0</v>
      </c>
      <c r="BZ36" s="352">
        <f>SUM(AN36:AQ36)</f>
        <v>0</v>
      </c>
      <c r="CA36" s="352">
        <f t="shared" ref="CA36:CF36" si="151">BZ36</f>
        <v>0</v>
      </c>
      <c r="CB36" s="352">
        <f t="shared" si="151"/>
        <v>0</v>
      </c>
      <c r="CC36" s="352">
        <f t="shared" si="151"/>
        <v>0</v>
      </c>
      <c r="CD36" s="352">
        <f t="shared" si="151"/>
        <v>0</v>
      </c>
      <c r="CE36" s="352">
        <f t="shared" si="151"/>
        <v>0</v>
      </c>
      <c r="CF36" s="354">
        <f t="shared" si="151"/>
        <v>0</v>
      </c>
      <c r="CG36" s="364"/>
      <c r="CV36" s="282"/>
      <c r="CW36" s="282"/>
    </row>
    <row r="37" spans="1:101" ht="14.25" customHeight="1">
      <c r="A37" s="8"/>
      <c r="B37" s="342" t="s">
        <v>6</v>
      </c>
      <c r="C37" s="21"/>
      <c r="D37" s="338">
        <f>D33-D36</f>
        <v>334</v>
      </c>
      <c r="E37" s="27">
        <f t="shared" ref="E37:AQ37" si="152">E33-E36</f>
        <v>339</v>
      </c>
      <c r="F37" s="27">
        <f t="shared" si="152"/>
        <v>408</v>
      </c>
      <c r="G37" s="28">
        <f t="shared" si="152"/>
        <v>404</v>
      </c>
      <c r="H37" s="338">
        <f t="shared" si="152"/>
        <v>421</v>
      </c>
      <c r="I37" s="27">
        <f t="shared" si="152"/>
        <v>418</v>
      </c>
      <c r="J37" s="27">
        <f t="shared" si="152"/>
        <v>432</v>
      </c>
      <c r="K37" s="28">
        <f t="shared" si="152"/>
        <v>425</v>
      </c>
      <c r="L37" s="338">
        <f t="shared" si="152"/>
        <v>405</v>
      </c>
      <c r="M37" s="27">
        <f t="shared" si="152"/>
        <v>424</v>
      </c>
      <c r="N37" s="27">
        <f t="shared" si="152"/>
        <v>429</v>
      </c>
      <c r="O37" s="28">
        <f t="shared" si="152"/>
        <v>422</v>
      </c>
      <c r="P37" s="338">
        <f t="shared" si="152"/>
        <v>435</v>
      </c>
      <c r="Q37" s="27">
        <f t="shared" si="152"/>
        <v>428</v>
      </c>
      <c r="R37" s="27">
        <f t="shared" si="152"/>
        <v>390</v>
      </c>
      <c r="S37" s="28">
        <f t="shared" si="152"/>
        <v>361</v>
      </c>
      <c r="T37" s="338">
        <f t="shared" si="152"/>
        <v>305</v>
      </c>
      <c r="U37" s="27">
        <f t="shared" si="152"/>
        <v>327</v>
      </c>
      <c r="V37" s="27">
        <f t="shared" si="152"/>
        <v>340</v>
      </c>
      <c r="W37" s="28">
        <f t="shared" si="152"/>
        <v>348</v>
      </c>
      <c r="X37" s="27">
        <f t="shared" si="152"/>
        <v>359</v>
      </c>
      <c r="Y37" s="27">
        <f t="shared" si="152"/>
        <v>378</v>
      </c>
      <c r="Z37" s="27">
        <f t="shared" si="152"/>
        <v>391</v>
      </c>
      <c r="AA37" s="28">
        <f t="shared" si="152"/>
        <v>391</v>
      </c>
      <c r="AB37" s="27">
        <f t="shared" si="152"/>
        <v>396</v>
      </c>
      <c r="AC37" s="27">
        <f t="shared" si="152"/>
        <v>411</v>
      </c>
      <c r="AD37" s="27">
        <f t="shared" si="152"/>
        <v>388</v>
      </c>
      <c r="AE37" s="28">
        <f t="shared" si="152"/>
        <v>443</v>
      </c>
      <c r="AF37" s="27">
        <f t="shared" si="152"/>
        <v>462</v>
      </c>
      <c r="AG37" s="27">
        <f t="shared" si="152"/>
        <v>456</v>
      </c>
      <c r="AH37" s="27">
        <f t="shared" si="152"/>
        <v>453</v>
      </c>
      <c r="AI37" s="28">
        <f t="shared" si="152"/>
        <v>430</v>
      </c>
      <c r="AJ37" s="27">
        <f t="shared" si="152"/>
        <v>459</v>
      </c>
      <c r="AK37" s="27">
        <f t="shared" si="152"/>
        <v>471</v>
      </c>
      <c r="AL37" s="27">
        <f t="shared" si="152"/>
        <v>465</v>
      </c>
      <c r="AM37" s="28">
        <f t="shared" si="152"/>
        <v>461</v>
      </c>
      <c r="AN37" s="27">
        <f>AN33-AN36</f>
        <v>479</v>
      </c>
      <c r="AO37" s="27">
        <f>AO33-AO36</f>
        <v>472</v>
      </c>
      <c r="AP37" s="27">
        <f t="shared" si="152"/>
        <v>463</v>
      </c>
      <c r="AQ37" s="28">
        <f t="shared" si="152"/>
        <v>429</v>
      </c>
      <c r="AR37" s="27">
        <f t="shared" ref="AR37:AX37" si="153">AR33-AR36</f>
        <v>439</v>
      </c>
      <c r="AS37" s="27">
        <f t="shared" si="153"/>
        <v>470</v>
      </c>
      <c r="AT37" s="27">
        <f t="shared" si="153"/>
        <v>434</v>
      </c>
      <c r="AU37" s="28">
        <f t="shared" si="153"/>
        <v>405</v>
      </c>
      <c r="AV37" s="27">
        <f t="shared" si="153"/>
        <v>448</v>
      </c>
      <c r="AW37" s="27">
        <f t="shared" si="153"/>
        <v>460</v>
      </c>
      <c r="AX37" s="27">
        <f t="shared" si="153"/>
        <v>448</v>
      </c>
      <c r="AY37" s="28">
        <f t="shared" ref="AY37:BB37" si="154">AY33-AY36</f>
        <v>411</v>
      </c>
      <c r="AZ37" s="27">
        <f t="shared" si="154"/>
        <v>439</v>
      </c>
      <c r="BA37" s="27">
        <f t="shared" si="154"/>
        <v>434</v>
      </c>
      <c r="BB37" s="27">
        <f t="shared" si="154"/>
        <v>412</v>
      </c>
      <c r="BC37" s="28">
        <f t="shared" ref="BC37:BD37" si="155">BC33-BC36</f>
        <v>409</v>
      </c>
      <c r="BD37" s="27">
        <f t="shared" si="155"/>
        <v>433</v>
      </c>
      <c r="BE37" s="27">
        <f t="shared" ref="BE37:BG37" si="156">BE33-BE36</f>
        <v>430</v>
      </c>
      <c r="BF37" s="27">
        <f t="shared" si="156"/>
        <v>455</v>
      </c>
      <c r="BG37" s="27">
        <f t="shared" si="156"/>
        <v>430</v>
      </c>
      <c r="BH37" s="338">
        <f t="shared" ref="BH37:BK37" si="157">BH33-BH36</f>
        <v>435</v>
      </c>
      <c r="BI37" s="27">
        <f t="shared" si="157"/>
        <v>450</v>
      </c>
      <c r="BJ37" s="27">
        <f t="shared" si="157"/>
        <v>455</v>
      </c>
      <c r="BK37" s="27">
        <f t="shared" si="157"/>
        <v>455</v>
      </c>
      <c r="BL37" s="338">
        <f t="shared" ref="BL37:BO37" si="158">BL33-BL36</f>
        <v>460</v>
      </c>
      <c r="BM37" s="27">
        <f t="shared" si="158"/>
        <v>470</v>
      </c>
      <c r="BN37" s="27">
        <f t="shared" si="158"/>
        <v>470</v>
      </c>
      <c r="BO37" s="27">
        <f t="shared" si="158"/>
        <v>460</v>
      </c>
      <c r="BP37" s="152"/>
      <c r="BQ37" s="27">
        <f t="shared" ref="BQ37:BZ37" si="159">BQ33-BQ36</f>
        <v>1485</v>
      </c>
      <c r="BR37" s="27">
        <f t="shared" si="159"/>
        <v>1696</v>
      </c>
      <c r="BS37" s="27">
        <f t="shared" si="159"/>
        <v>1680</v>
      </c>
      <c r="BT37" s="27">
        <f t="shared" si="159"/>
        <v>1614</v>
      </c>
      <c r="BU37" s="27">
        <f t="shared" si="159"/>
        <v>1320</v>
      </c>
      <c r="BV37" s="27">
        <f t="shared" si="159"/>
        <v>1519</v>
      </c>
      <c r="BW37" s="27">
        <f t="shared" si="159"/>
        <v>1638</v>
      </c>
      <c r="BX37" s="27">
        <f t="shared" si="159"/>
        <v>1801</v>
      </c>
      <c r="BY37" s="27">
        <f t="shared" si="159"/>
        <v>1856</v>
      </c>
      <c r="BZ37" s="27">
        <f t="shared" si="159"/>
        <v>1843</v>
      </c>
      <c r="CA37" s="27">
        <f>SUM(AR37:AU37)</f>
        <v>1748</v>
      </c>
      <c r="CB37" s="27">
        <f>SUM(AV37:AY37)</f>
        <v>1767</v>
      </c>
      <c r="CC37" s="27">
        <f>SUM(AZ37:BC37)</f>
        <v>1694</v>
      </c>
      <c r="CD37" s="27">
        <f>SUM(BD37:BG37)</f>
        <v>1748</v>
      </c>
      <c r="CE37" s="27">
        <f>SUM(BH37:BK37)</f>
        <v>1795</v>
      </c>
      <c r="CF37" s="28">
        <f>SUM(BL37:BO37)</f>
        <v>1860</v>
      </c>
      <c r="CG37" s="364"/>
      <c r="CH37" s="8"/>
      <c r="CO37" s="8"/>
      <c r="CV37" s="282"/>
      <c r="CW37" s="282"/>
    </row>
    <row r="38" spans="1:101" ht="14.25" customHeight="1">
      <c r="A38" s="8"/>
      <c r="B38" s="332" t="s">
        <v>7</v>
      </c>
      <c r="C38" s="29"/>
      <c r="D38" s="339">
        <f t="shared" ref="D38:AQ38" si="160">D37/D10</f>
        <v>0.12361213915618061</v>
      </c>
      <c r="E38" s="30">
        <f t="shared" si="160"/>
        <v>0.1141029956243689</v>
      </c>
      <c r="F38" s="30">
        <f t="shared" si="160"/>
        <v>0.12219227313566937</v>
      </c>
      <c r="G38" s="31">
        <f t="shared" si="160"/>
        <v>0.12154031287605295</v>
      </c>
      <c r="H38" s="339">
        <f t="shared" si="160"/>
        <v>0.12627474505098979</v>
      </c>
      <c r="I38" s="30">
        <f t="shared" si="160"/>
        <v>0.11306464701109008</v>
      </c>
      <c r="J38" s="30">
        <f t="shared" si="160"/>
        <v>0.11486306833289019</v>
      </c>
      <c r="K38" s="31">
        <f t="shared" si="160"/>
        <v>0.12272596015015882</v>
      </c>
      <c r="L38" s="339">
        <f t="shared" si="160"/>
        <v>0.12691946098401755</v>
      </c>
      <c r="M38" s="30">
        <f t="shared" si="160"/>
        <v>0.12383177570093458</v>
      </c>
      <c r="N38" s="30">
        <f t="shared" si="160"/>
        <v>0.11711711711711711</v>
      </c>
      <c r="O38" s="31">
        <f t="shared" si="160"/>
        <v>0.1186726659167604</v>
      </c>
      <c r="P38" s="339">
        <f t="shared" si="160"/>
        <v>0.13294621026894865</v>
      </c>
      <c r="Q38" s="30">
        <f t="shared" si="160"/>
        <v>0.12772306774097283</v>
      </c>
      <c r="R38" s="30">
        <f t="shared" si="160"/>
        <v>0.11514614703277236</v>
      </c>
      <c r="S38" s="31">
        <f t="shared" si="160"/>
        <v>0.14492171818546767</v>
      </c>
      <c r="T38" s="339">
        <f t="shared" si="160"/>
        <v>0.14621284755512942</v>
      </c>
      <c r="U38" s="30">
        <f t="shared" si="160"/>
        <v>0.13308913308913309</v>
      </c>
      <c r="V38" s="30">
        <f t="shared" si="160"/>
        <v>0.11805555555555555</v>
      </c>
      <c r="W38" s="31">
        <f t="shared" si="160"/>
        <v>0.11584553928095873</v>
      </c>
      <c r="X38" s="30">
        <f t="shared" si="160"/>
        <v>0.11201248049921997</v>
      </c>
      <c r="Y38" s="30">
        <f t="shared" si="160"/>
        <v>0.10812356979405034</v>
      </c>
      <c r="Z38" s="30">
        <f t="shared" si="160"/>
        <v>0.10454545454545454</v>
      </c>
      <c r="AA38" s="31">
        <f t="shared" si="160"/>
        <v>0.11092198581560284</v>
      </c>
      <c r="AB38" s="30">
        <f t="shared" si="160"/>
        <v>0.11674528301886793</v>
      </c>
      <c r="AC38" s="30">
        <f t="shared" si="160"/>
        <v>0.11885482938114517</v>
      </c>
      <c r="AD38" s="30">
        <f t="shared" si="160"/>
        <v>0.11194460473167916</v>
      </c>
      <c r="AE38" s="31">
        <f t="shared" si="160"/>
        <v>0.12953216374269005</v>
      </c>
      <c r="AF38" s="30">
        <f t="shared" si="160"/>
        <v>0.14802947773149633</v>
      </c>
      <c r="AG38" s="30">
        <f t="shared" si="160"/>
        <v>0.13673163418290854</v>
      </c>
      <c r="AH38" s="30">
        <f t="shared" si="160"/>
        <v>0.13362831858407079</v>
      </c>
      <c r="AI38" s="31">
        <f t="shared" si="160"/>
        <v>0.14434373950990265</v>
      </c>
      <c r="AJ38" s="30">
        <f t="shared" si="160"/>
        <v>0.15909878682842288</v>
      </c>
      <c r="AK38" s="30">
        <f t="shared" si="160"/>
        <v>0.15457827371184771</v>
      </c>
      <c r="AL38" s="30">
        <f t="shared" si="160"/>
        <v>0.14334155363748458</v>
      </c>
      <c r="AM38" s="31">
        <f t="shared" si="160"/>
        <v>0.15224570673712021</v>
      </c>
      <c r="AN38" s="30">
        <f>AN37/AN10</f>
        <v>0.16057660073751256</v>
      </c>
      <c r="AO38" s="30">
        <f>AO37/AO10</f>
        <v>0.1433778857837181</v>
      </c>
      <c r="AP38" s="30">
        <f t="shared" si="160"/>
        <v>0.13224792916309625</v>
      </c>
      <c r="AQ38" s="31">
        <f t="shared" si="160"/>
        <v>0.13123279290302844</v>
      </c>
      <c r="AR38" s="30">
        <f t="shared" ref="AR38:AX38" si="161">AR37/AR10</f>
        <v>0.13936507936507936</v>
      </c>
      <c r="AS38" s="30">
        <f t="shared" si="161"/>
        <v>0.14542079207920791</v>
      </c>
      <c r="AT38" s="30">
        <f t="shared" si="161"/>
        <v>0.12656751239428404</v>
      </c>
      <c r="AU38" s="31">
        <f t="shared" si="161"/>
        <v>0.12699905926622765</v>
      </c>
      <c r="AV38" s="30">
        <f t="shared" si="161"/>
        <v>0.14893617021276595</v>
      </c>
      <c r="AW38" s="30">
        <f t="shared" si="161"/>
        <v>0.14054384356859151</v>
      </c>
      <c r="AX38" s="30">
        <f t="shared" si="161"/>
        <v>0.1219047619047619</v>
      </c>
      <c r="AY38" s="31">
        <f t="shared" ref="AY38:BB38" si="162">AY37/AY10</f>
        <v>0.12038664323374342</v>
      </c>
      <c r="AZ38" s="30">
        <f t="shared" si="162"/>
        <v>0.12904174015285128</v>
      </c>
      <c r="BA38" s="30">
        <f t="shared" si="162"/>
        <v>0.11751963173571622</v>
      </c>
      <c r="BB38" s="30">
        <f t="shared" si="162"/>
        <v>0.1000971817298348</v>
      </c>
      <c r="BC38" s="31">
        <f t="shared" ref="BC38:BD38" si="163">BC37/BC10</f>
        <v>0.10906666666666667</v>
      </c>
      <c r="BD38" s="30">
        <f t="shared" si="163"/>
        <v>0.11427817366059646</v>
      </c>
      <c r="BE38" s="30">
        <f t="shared" ref="BE38:BG38" si="164">BE37/BE10</f>
        <v>0.10901596057984472</v>
      </c>
      <c r="BF38" s="30">
        <f t="shared" si="164"/>
        <v>0.10841044937108643</v>
      </c>
      <c r="BG38" s="30">
        <f t="shared" si="164"/>
        <v>0.10873301305161891</v>
      </c>
      <c r="BH38" s="339">
        <f t="shared" ref="BH38:BK38" si="165">BH37/BH10</f>
        <v>0.11296916843823523</v>
      </c>
      <c r="BI38" s="30">
        <f t="shared" si="165"/>
        <v>0.11004094151339965</v>
      </c>
      <c r="BJ38" s="30">
        <f t="shared" si="165"/>
        <v>0.10482098710214013</v>
      </c>
      <c r="BK38" s="30">
        <f t="shared" si="165"/>
        <v>0.11160673621664917</v>
      </c>
      <c r="BL38" s="339">
        <f t="shared" ref="BL38:BO38" si="166">BL37/BL10</f>
        <v>0.11575076883824049</v>
      </c>
      <c r="BM38" s="30">
        <f t="shared" si="166"/>
        <v>0.11139447458663038</v>
      </c>
      <c r="BN38" s="30">
        <f t="shared" si="166"/>
        <v>0.10500460060976458</v>
      </c>
      <c r="BO38" s="30">
        <f t="shared" si="166"/>
        <v>0.10936179294873836</v>
      </c>
      <c r="BP38" s="152"/>
      <c r="BQ38" s="30">
        <f t="shared" ref="BQ38:CA38" si="167">BQ37/BQ10</f>
        <v>0.12037937743190662</v>
      </c>
      <c r="BR38" s="30">
        <f t="shared" si="167"/>
        <v>0.1189757979656261</v>
      </c>
      <c r="BS38" s="30">
        <f t="shared" si="167"/>
        <v>0.12143993060575393</v>
      </c>
      <c r="BT38" s="30">
        <f t="shared" si="167"/>
        <v>0.1291096712263019</v>
      </c>
      <c r="BU38" s="30">
        <f t="shared" si="167"/>
        <v>0.12659441833700968</v>
      </c>
      <c r="BV38" s="30">
        <f t="shared" si="167"/>
        <v>0.10876414148646714</v>
      </c>
      <c r="BW38" s="30">
        <f t="shared" si="167"/>
        <v>0.11924868957483983</v>
      </c>
      <c r="BX38" s="30">
        <f t="shared" si="167"/>
        <v>0.14042884990253413</v>
      </c>
      <c r="BY38" s="30">
        <f t="shared" si="167"/>
        <v>0.15208128482464767</v>
      </c>
      <c r="BZ38" s="30">
        <f t="shared" si="167"/>
        <v>0.14128018397853584</v>
      </c>
      <c r="CA38" s="30">
        <f t="shared" si="167"/>
        <v>0.13446153846153847</v>
      </c>
      <c r="CB38" s="30">
        <f>CB37/CB10</f>
        <v>0.13216155572176513</v>
      </c>
      <c r="CC38" s="30">
        <f>CC37/CC10</f>
        <v>0.11322772541942383</v>
      </c>
      <c r="CD38" s="30">
        <f>CD37/CD10</f>
        <v>0.11004071356019643</v>
      </c>
      <c r="CE38" s="30">
        <f>CE37/CE10</f>
        <v>0.10973530131637955</v>
      </c>
      <c r="CF38" s="31">
        <f>CF37/CF10</f>
        <v>0.11021887798487652</v>
      </c>
      <c r="CG38" s="297"/>
      <c r="CH38" s="8"/>
      <c r="CO38" s="8"/>
      <c r="CV38" s="282"/>
      <c r="CW38" s="282"/>
    </row>
    <row r="39" spans="1:101" ht="8.25" customHeight="1">
      <c r="A39" s="8"/>
      <c r="B39" s="372"/>
      <c r="C39" s="42"/>
      <c r="D39" s="343"/>
      <c r="E39" s="34"/>
      <c r="F39" s="38"/>
      <c r="G39" s="35"/>
      <c r="H39" s="343"/>
      <c r="I39" s="34"/>
      <c r="J39" s="38"/>
      <c r="K39" s="35"/>
      <c r="L39" s="343"/>
      <c r="M39" s="34"/>
      <c r="N39" s="38"/>
      <c r="O39" s="35"/>
      <c r="P39" s="343"/>
      <c r="Q39" s="34"/>
      <c r="R39" s="38"/>
      <c r="S39" s="35"/>
      <c r="T39" s="343"/>
      <c r="U39" s="34"/>
      <c r="V39" s="38"/>
      <c r="W39" s="35"/>
      <c r="X39" s="34"/>
      <c r="Y39" s="34"/>
      <c r="Z39" s="38"/>
      <c r="AA39" s="35"/>
      <c r="AB39" s="34"/>
      <c r="AC39" s="34"/>
      <c r="AD39" s="34"/>
      <c r="AE39" s="35"/>
      <c r="AF39" s="34"/>
      <c r="AG39" s="34"/>
      <c r="AH39" s="34"/>
      <c r="AI39" s="35"/>
      <c r="AJ39" s="34"/>
      <c r="AK39" s="34"/>
      <c r="AL39" s="34"/>
      <c r="AM39" s="35"/>
      <c r="AN39" s="34"/>
      <c r="AO39" s="34"/>
      <c r="AP39" s="34"/>
      <c r="AQ39" s="35"/>
      <c r="AR39" s="34"/>
      <c r="AS39" s="34"/>
      <c r="AT39" s="34"/>
      <c r="AU39" s="35"/>
      <c r="AV39" s="34"/>
      <c r="AW39" s="34"/>
      <c r="AX39" s="34"/>
      <c r="AY39" s="35"/>
      <c r="AZ39" s="34"/>
      <c r="BA39" s="34"/>
      <c r="BB39" s="34"/>
      <c r="BC39" s="35"/>
      <c r="BD39" s="34"/>
      <c r="BE39" s="34"/>
      <c r="BF39" s="34"/>
      <c r="BG39" s="34"/>
      <c r="BH39" s="343"/>
      <c r="BI39" s="34"/>
      <c r="BJ39" s="34"/>
      <c r="BK39" s="34"/>
      <c r="BL39" s="343"/>
      <c r="BM39" s="34"/>
      <c r="BN39" s="34"/>
      <c r="BO39" s="34"/>
      <c r="BP39" s="152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7"/>
      <c r="CG39" s="297"/>
      <c r="CH39" s="8"/>
      <c r="CO39" s="8"/>
      <c r="CV39" s="282"/>
      <c r="CW39" s="282"/>
    </row>
    <row r="40" spans="1:101" ht="14.25" customHeight="1">
      <c r="A40" s="8"/>
      <c r="B40" s="342" t="s">
        <v>8</v>
      </c>
      <c r="C40" s="21"/>
      <c r="D40" s="338">
        <f t="shared" ref="D40:AQ40" si="168">SUM(D41:D43)</f>
        <v>-23</v>
      </c>
      <c r="E40" s="27">
        <f t="shared" si="168"/>
        <v>0</v>
      </c>
      <c r="F40" s="27">
        <f t="shared" si="168"/>
        <v>0</v>
      </c>
      <c r="G40" s="28">
        <f t="shared" si="168"/>
        <v>0</v>
      </c>
      <c r="H40" s="338">
        <f t="shared" si="168"/>
        <v>0</v>
      </c>
      <c r="I40" s="27">
        <f t="shared" si="168"/>
        <v>0</v>
      </c>
      <c r="J40" s="27">
        <f t="shared" si="168"/>
        <v>0</v>
      </c>
      <c r="K40" s="28">
        <f t="shared" si="168"/>
        <v>0</v>
      </c>
      <c r="L40" s="338">
        <f t="shared" si="168"/>
        <v>14</v>
      </c>
      <c r="M40" s="27">
        <f t="shared" si="168"/>
        <v>17</v>
      </c>
      <c r="N40" s="27">
        <f t="shared" si="168"/>
        <v>-24</v>
      </c>
      <c r="O40" s="28">
        <f t="shared" si="168"/>
        <v>6</v>
      </c>
      <c r="P40" s="338">
        <f t="shared" si="168"/>
        <v>0</v>
      </c>
      <c r="Q40" s="27">
        <f t="shared" si="168"/>
        <v>0</v>
      </c>
      <c r="R40" s="27">
        <f t="shared" si="168"/>
        <v>0</v>
      </c>
      <c r="S40" s="28">
        <f t="shared" si="168"/>
        <v>254</v>
      </c>
      <c r="T40" s="338">
        <f t="shared" si="168"/>
        <v>105</v>
      </c>
      <c r="U40" s="27">
        <f t="shared" si="168"/>
        <v>85</v>
      </c>
      <c r="V40" s="27">
        <f t="shared" si="168"/>
        <v>10</v>
      </c>
      <c r="W40" s="28">
        <f t="shared" si="168"/>
        <v>12</v>
      </c>
      <c r="X40" s="27">
        <f t="shared" si="168"/>
        <v>10</v>
      </c>
      <c r="Y40" s="27">
        <f t="shared" si="168"/>
        <v>17</v>
      </c>
      <c r="Z40" s="27">
        <f t="shared" si="168"/>
        <v>4</v>
      </c>
      <c r="AA40" s="28">
        <f t="shared" si="168"/>
        <v>-142</v>
      </c>
      <c r="AB40" s="27">
        <f t="shared" si="168"/>
        <v>2</v>
      </c>
      <c r="AC40" s="27">
        <f t="shared" si="168"/>
        <v>13</v>
      </c>
      <c r="AD40" s="27">
        <f t="shared" si="168"/>
        <v>147</v>
      </c>
      <c r="AE40" s="28">
        <f>SUM(AE41:AE43)</f>
        <v>265</v>
      </c>
      <c r="AF40" s="27">
        <f>SUM(AF41:AF43)</f>
        <v>163</v>
      </c>
      <c r="AG40" s="27">
        <f>SUM(AG41:AG43)</f>
        <v>117</v>
      </c>
      <c r="AH40" s="27">
        <f>SUM(AH41:AH43)</f>
        <v>-16</v>
      </c>
      <c r="AI40" s="28">
        <f>SUM(AI41:AI43)</f>
        <v>451</v>
      </c>
      <c r="AJ40" s="27">
        <f t="shared" si="168"/>
        <v>101</v>
      </c>
      <c r="AK40" s="27">
        <f>SUM(AK41:AK43)</f>
        <v>-196</v>
      </c>
      <c r="AL40" s="27">
        <f t="shared" si="168"/>
        <v>102</v>
      </c>
      <c r="AM40" s="28">
        <f>SUM(AM41:AM43)</f>
        <v>146</v>
      </c>
      <c r="AN40" s="27">
        <f>SUM(AN41:AN43)</f>
        <v>72</v>
      </c>
      <c r="AO40" s="27">
        <f>SUM(AO41:AO43)</f>
        <v>78</v>
      </c>
      <c r="AP40" s="27">
        <f t="shared" si="168"/>
        <v>74</v>
      </c>
      <c r="AQ40" s="28">
        <f t="shared" si="168"/>
        <v>55</v>
      </c>
      <c r="AR40" s="27">
        <f t="shared" ref="AR40:AX40" si="169">SUM(AR41:AR43)</f>
        <v>81</v>
      </c>
      <c r="AS40" s="27">
        <f t="shared" si="169"/>
        <v>81</v>
      </c>
      <c r="AT40" s="27">
        <f t="shared" si="169"/>
        <v>83</v>
      </c>
      <c r="AU40" s="28">
        <f t="shared" si="169"/>
        <v>13</v>
      </c>
      <c r="AV40" s="27">
        <f t="shared" si="169"/>
        <v>82</v>
      </c>
      <c r="AW40" s="27">
        <f t="shared" si="169"/>
        <v>81</v>
      </c>
      <c r="AX40" s="27">
        <f t="shared" si="169"/>
        <v>81</v>
      </c>
      <c r="AY40" s="28">
        <f t="shared" ref="AY40:BB40" si="170">SUM(AY41:AY43)</f>
        <v>60</v>
      </c>
      <c r="AZ40" s="27">
        <f t="shared" si="170"/>
        <v>84</v>
      </c>
      <c r="BA40" s="27">
        <f t="shared" si="170"/>
        <v>82</v>
      </c>
      <c r="BB40" s="27">
        <f t="shared" si="170"/>
        <v>81</v>
      </c>
      <c r="BC40" s="28">
        <f t="shared" ref="BC40:BD40" si="171">SUM(BC41:BC43)</f>
        <v>82</v>
      </c>
      <c r="BD40" s="27">
        <f t="shared" si="171"/>
        <v>81</v>
      </c>
      <c r="BE40" s="27">
        <f t="shared" ref="BE40:BG40" si="172">SUM(BE41:BE43)</f>
        <v>80</v>
      </c>
      <c r="BF40" s="27">
        <f t="shared" si="172"/>
        <v>80</v>
      </c>
      <c r="BG40" s="27">
        <f t="shared" si="172"/>
        <v>80</v>
      </c>
      <c r="BH40" s="338">
        <f t="shared" ref="BH40:BK40" si="173">SUM(BH41:BH43)</f>
        <v>80</v>
      </c>
      <c r="BI40" s="27">
        <f t="shared" si="173"/>
        <v>80</v>
      </c>
      <c r="BJ40" s="27">
        <f t="shared" si="173"/>
        <v>80</v>
      </c>
      <c r="BK40" s="27">
        <f t="shared" si="173"/>
        <v>50</v>
      </c>
      <c r="BL40" s="338">
        <f t="shared" ref="BL40:BO40" si="174">SUM(BL41:BL43)</f>
        <v>50</v>
      </c>
      <c r="BM40" s="27">
        <f t="shared" si="174"/>
        <v>50</v>
      </c>
      <c r="BN40" s="27">
        <f t="shared" si="174"/>
        <v>50</v>
      </c>
      <c r="BO40" s="27">
        <f t="shared" si="174"/>
        <v>50</v>
      </c>
      <c r="BP40" s="152"/>
      <c r="BQ40" s="27">
        <f t="shared" ref="BQ40:CA40" si="175">SUM(BQ41:BQ43)</f>
        <v>-23</v>
      </c>
      <c r="BR40" s="27">
        <f t="shared" si="175"/>
        <v>0</v>
      </c>
      <c r="BS40" s="27">
        <f t="shared" si="175"/>
        <v>13</v>
      </c>
      <c r="BT40" s="27">
        <f t="shared" si="175"/>
        <v>254</v>
      </c>
      <c r="BU40" s="27">
        <f t="shared" si="175"/>
        <v>212</v>
      </c>
      <c r="BV40" s="27">
        <f t="shared" si="175"/>
        <v>-111</v>
      </c>
      <c r="BW40" s="27">
        <f t="shared" si="175"/>
        <v>427</v>
      </c>
      <c r="BX40" s="27">
        <f t="shared" si="175"/>
        <v>715</v>
      </c>
      <c r="BY40" s="27">
        <f>SUM(BY41:BY43)</f>
        <v>153</v>
      </c>
      <c r="BZ40" s="27">
        <f>SUM(BZ41:BZ43)</f>
        <v>279</v>
      </c>
      <c r="CA40" s="27">
        <f t="shared" si="175"/>
        <v>258</v>
      </c>
      <c r="CB40" s="27">
        <f>SUM(CB41:CB43)</f>
        <v>304</v>
      </c>
      <c r="CC40" s="27">
        <f>SUM(CC41:CC43)</f>
        <v>329</v>
      </c>
      <c r="CD40" s="27">
        <f>SUM(CD41:CD43)</f>
        <v>321</v>
      </c>
      <c r="CE40" s="27">
        <f>SUM(CE41:CE43)</f>
        <v>290</v>
      </c>
      <c r="CF40" s="28">
        <f>SUM(CF41:CF43)</f>
        <v>200</v>
      </c>
      <c r="CG40" s="364"/>
      <c r="CO40" s="8"/>
      <c r="CV40" s="282"/>
      <c r="CW40" s="282"/>
    </row>
    <row r="41" spans="1:101" ht="14.25" customHeight="1" outlineLevel="1">
      <c r="A41" s="8"/>
      <c r="B41" s="336" t="s">
        <v>309</v>
      </c>
      <c r="C41" s="24"/>
      <c r="D41" s="337">
        <v>0</v>
      </c>
      <c r="E41" s="25">
        <v>0</v>
      </c>
      <c r="F41" s="25">
        <v>0</v>
      </c>
      <c r="G41" s="26">
        <v>0</v>
      </c>
      <c r="H41" s="337">
        <v>0</v>
      </c>
      <c r="I41" s="25">
        <v>0</v>
      </c>
      <c r="J41" s="25">
        <v>0</v>
      </c>
      <c r="K41" s="26">
        <v>0</v>
      </c>
      <c r="L41" s="337">
        <v>14</v>
      </c>
      <c r="M41" s="25">
        <v>17</v>
      </c>
      <c r="N41" s="25">
        <v>15</v>
      </c>
      <c r="O41" s="26">
        <v>6</v>
      </c>
      <c r="P41" s="337">
        <v>0</v>
      </c>
      <c r="Q41" s="25">
        <v>0</v>
      </c>
      <c r="R41" s="25">
        <v>0</v>
      </c>
      <c r="S41" s="26">
        <v>254</v>
      </c>
      <c r="T41" s="337">
        <v>105</v>
      </c>
      <c r="U41" s="25">
        <v>85</v>
      </c>
      <c r="V41" s="25">
        <v>10</v>
      </c>
      <c r="W41" s="355">
        <f>212-V41-U41-T41</f>
        <v>12</v>
      </c>
      <c r="X41" s="25">
        <v>10</v>
      </c>
      <c r="Y41" s="25">
        <v>17</v>
      </c>
      <c r="Z41" s="25">
        <v>4</v>
      </c>
      <c r="AA41" s="355">
        <f>33-Z41-Y41-X41</f>
        <v>2</v>
      </c>
      <c r="AB41" s="25">
        <v>0</v>
      </c>
      <c r="AC41" s="25">
        <v>0</v>
      </c>
      <c r="AD41" s="25">
        <v>0</v>
      </c>
      <c r="AE41" s="26">
        <v>112</v>
      </c>
      <c r="AF41" s="25">
        <v>10</v>
      </c>
      <c r="AG41" s="25">
        <v>13</v>
      </c>
      <c r="AH41" s="25">
        <v>-122</v>
      </c>
      <c r="AI41" s="26">
        <v>363</v>
      </c>
      <c r="AJ41" s="25">
        <v>15</v>
      </c>
      <c r="AK41" s="25">
        <v>-282</v>
      </c>
      <c r="AL41" s="25">
        <v>16</v>
      </c>
      <c r="AM41" s="26">
        <v>62</v>
      </c>
      <c r="AN41" s="25">
        <v>-11</v>
      </c>
      <c r="AO41" s="25">
        <v>-4</v>
      </c>
      <c r="AP41" s="25">
        <v>-9</v>
      </c>
      <c r="AQ41" s="26">
        <v>-27</v>
      </c>
      <c r="AR41" s="25">
        <v>-2</v>
      </c>
      <c r="AS41" s="25">
        <v>-1</v>
      </c>
      <c r="AT41" s="25">
        <v>0</v>
      </c>
      <c r="AU41" s="26">
        <v>-68</v>
      </c>
      <c r="AV41" s="25">
        <v>2</v>
      </c>
      <c r="AW41" s="25">
        <v>2</v>
      </c>
      <c r="AX41" s="25">
        <v>1</v>
      </c>
      <c r="AY41" s="26">
        <v>-20</v>
      </c>
      <c r="AZ41" s="25">
        <v>4</v>
      </c>
      <c r="BA41" s="25">
        <v>3</v>
      </c>
      <c r="BB41" s="25">
        <v>1</v>
      </c>
      <c r="BC41" s="26">
        <v>3</v>
      </c>
      <c r="BD41" s="25">
        <v>1</v>
      </c>
      <c r="BE41" s="25">
        <v>0</v>
      </c>
      <c r="BF41" s="25">
        <v>0</v>
      </c>
      <c r="BG41" s="25">
        <v>0</v>
      </c>
      <c r="BH41" s="337">
        <v>0</v>
      </c>
      <c r="BI41" s="25">
        <v>0</v>
      </c>
      <c r="BJ41" s="25">
        <v>0</v>
      </c>
      <c r="BK41" s="25">
        <v>0</v>
      </c>
      <c r="BL41" s="337">
        <v>0</v>
      </c>
      <c r="BM41" s="25">
        <v>0</v>
      </c>
      <c r="BN41" s="25">
        <v>0</v>
      </c>
      <c r="BO41" s="25">
        <v>0</v>
      </c>
      <c r="BP41" s="152"/>
      <c r="BQ41" s="27">
        <f>SUM(D41:G41)</f>
        <v>0</v>
      </c>
      <c r="BR41" s="27">
        <f>SUM(H41:K41)</f>
        <v>0</v>
      </c>
      <c r="BS41" s="27">
        <f>SUM(L41:O41)</f>
        <v>52</v>
      </c>
      <c r="BT41" s="27">
        <f>SUM(P41:S41)</f>
        <v>254</v>
      </c>
      <c r="BU41" s="27">
        <f>SUM(T41:W41)</f>
        <v>212</v>
      </c>
      <c r="BV41" s="27">
        <f>SUM(X41:AA41)</f>
        <v>33</v>
      </c>
      <c r="BW41" s="27">
        <f>SUM(AB41:AE41)</f>
        <v>112</v>
      </c>
      <c r="BX41" s="27">
        <f>SUM(AF41:AI41)</f>
        <v>264</v>
      </c>
      <c r="BY41" s="27">
        <f>SUM(AJ41:AM41)</f>
        <v>-189</v>
      </c>
      <c r="BZ41" s="27">
        <f>SUM(AN41:AQ41)</f>
        <v>-51</v>
      </c>
      <c r="CA41" s="27">
        <f>SUM(AR41:AU41)</f>
        <v>-71</v>
      </c>
      <c r="CB41" s="27">
        <f>SUM(AV41:AY41)</f>
        <v>-15</v>
      </c>
      <c r="CC41" s="27">
        <f>SUM(AZ41:BC41)</f>
        <v>11</v>
      </c>
      <c r="CD41" s="27">
        <f>SUM(BD41:BG41)</f>
        <v>1</v>
      </c>
      <c r="CE41" s="27">
        <f>SUM(BH41:BK41)</f>
        <v>0</v>
      </c>
      <c r="CF41" s="28">
        <f>SUM(BL41:BO41)</f>
        <v>0</v>
      </c>
      <c r="CG41" s="364"/>
      <c r="CH41" s="8"/>
      <c r="CO41" s="8"/>
      <c r="CV41" s="282"/>
      <c r="CW41" s="282"/>
    </row>
    <row r="42" spans="1:101" ht="14.25" customHeight="1" outlineLevel="1">
      <c r="A42" s="8"/>
      <c r="B42" s="336" t="s">
        <v>310</v>
      </c>
      <c r="C42" s="24"/>
      <c r="D42" s="337">
        <v>-23</v>
      </c>
      <c r="E42" s="25">
        <v>0</v>
      </c>
      <c r="F42" s="25">
        <v>0</v>
      </c>
      <c r="G42" s="26">
        <v>0</v>
      </c>
      <c r="H42" s="337">
        <v>0</v>
      </c>
      <c r="I42" s="25">
        <v>0</v>
      </c>
      <c r="J42" s="25">
        <v>0</v>
      </c>
      <c r="K42" s="26">
        <v>0</v>
      </c>
      <c r="L42" s="337">
        <v>0</v>
      </c>
      <c r="M42" s="25">
        <v>0</v>
      </c>
      <c r="N42" s="25">
        <v>-39</v>
      </c>
      <c r="O42" s="26">
        <v>0</v>
      </c>
      <c r="P42" s="337">
        <v>0</v>
      </c>
      <c r="Q42" s="25">
        <v>0</v>
      </c>
      <c r="R42" s="25">
        <v>0</v>
      </c>
      <c r="S42" s="26">
        <v>0</v>
      </c>
      <c r="T42" s="337">
        <v>0</v>
      </c>
      <c r="U42" s="25">
        <v>0</v>
      </c>
      <c r="V42" s="25">
        <v>0</v>
      </c>
      <c r="W42" s="26">
        <v>0</v>
      </c>
      <c r="X42" s="25">
        <v>0</v>
      </c>
      <c r="Y42" s="25">
        <v>0</v>
      </c>
      <c r="Z42" s="25">
        <v>0</v>
      </c>
      <c r="AA42" s="26">
        <v>0</v>
      </c>
      <c r="AB42" s="25">
        <v>2</v>
      </c>
      <c r="AC42" s="25">
        <v>13</v>
      </c>
      <c r="AD42" s="25">
        <v>147</v>
      </c>
      <c r="AE42" s="26">
        <v>153</v>
      </c>
      <c r="AF42" s="25">
        <v>153</v>
      </c>
      <c r="AG42" s="25">
        <v>104</v>
      </c>
      <c r="AH42" s="25">
        <v>106</v>
      </c>
      <c r="AI42" s="26">
        <v>88</v>
      </c>
      <c r="AJ42" s="25">
        <v>86</v>
      </c>
      <c r="AK42" s="25">
        <v>86</v>
      </c>
      <c r="AL42" s="25">
        <v>86</v>
      </c>
      <c r="AM42" s="26">
        <v>84</v>
      </c>
      <c r="AN42" s="25">
        <v>83</v>
      </c>
      <c r="AO42" s="25">
        <v>82</v>
      </c>
      <c r="AP42" s="25">
        <v>83</v>
      </c>
      <c r="AQ42" s="26">
        <v>82</v>
      </c>
      <c r="AR42" s="25">
        <v>83</v>
      </c>
      <c r="AS42" s="25">
        <v>82</v>
      </c>
      <c r="AT42" s="25">
        <v>83</v>
      </c>
      <c r="AU42" s="26">
        <v>81</v>
      </c>
      <c r="AV42" s="25">
        <v>80</v>
      </c>
      <c r="AW42" s="25">
        <v>79</v>
      </c>
      <c r="AX42" s="25">
        <v>80</v>
      </c>
      <c r="AY42" s="26">
        <v>80</v>
      </c>
      <c r="AZ42" s="25">
        <v>80</v>
      </c>
      <c r="BA42" s="25">
        <v>79</v>
      </c>
      <c r="BB42" s="25">
        <v>80</v>
      </c>
      <c r="BC42" s="26">
        <v>79</v>
      </c>
      <c r="BD42" s="25">
        <v>80</v>
      </c>
      <c r="BE42" s="25">
        <v>80</v>
      </c>
      <c r="BF42" s="25">
        <v>80</v>
      </c>
      <c r="BG42" s="25">
        <v>80</v>
      </c>
      <c r="BH42" s="25">
        <v>80</v>
      </c>
      <c r="BI42" s="25">
        <v>80</v>
      </c>
      <c r="BJ42" s="25">
        <v>80</v>
      </c>
      <c r="BK42" s="25">
        <v>50</v>
      </c>
      <c r="BL42" s="337">
        <f t="shared" ref="BL42:BO42" si="176">BK42</f>
        <v>50</v>
      </c>
      <c r="BM42" s="25">
        <f t="shared" si="176"/>
        <v>50</v>
      </c>
      <c r="BN42" s="25">
        <f t="shared" si="176"/>
        <v>50</v>
      </c>
      <c r="BO42" s="25">
        <f t="shared" si="176"/>
        <v>50</v>
      </c>
      <c r="BP42" s="152"/>
      <c r="BQ42" s="27">
        <f>SUM(D42:G42)</f>
        <v>-23</v>
      </c>
      <c r="BR42" s="27">
        <f>SUM(H42:K42)</f>
        <v>0</v>
      </c>
      <c r="BS42" s="27">
        <f>SUM(L42:O42)</f>
        <v>-39</v>
      </c>
      <c r="BT42" s="27">
        <f>SUM(P42:S42)</f>
        <v>0</v>
      </c>
      <c r="BU42" s="27">
        <f>SUM(T42:W42)</f>
        <v>0</v>
      </c>
      <c r="BV42" s="27">
        <f>SUM(X42:AA42)</f>
        <v>0</v>
      </c>
      <c r="BW42" s="27">
        <f>SUM(AB42:AE42)</f>
        <v>315</v>
      </c>
      <c r="BX42" s="27">
        <f>SUM(AF42:AI42)</f>
        <v>451</v>
      </c>
      <c r="BY42" s="27">
        <f>SUM(AJ42:AM42)</f>
        <v>342</v>
      </c>
      <c r="BZ42" s="27">
        <f>SUM(AN42:AQ42)</f>
        <v>330</v>
      </c>
      <c r="CA42" s="27">
        <f>SUM(AR42:AU42)</f>
        <v>329</v>
      </c>
      <c r="CB42" s="27">
        <f>SUM(AV42:AY42)</f>
        <v>319</v>
      </c>
      <c r="CC42" s="27">
        <f>SUM(AZ42:BC42)</f>
        <v>318</v>
      </c>
      <c r="CD42" s="27">
        <f>SUM(BD42:BG42)</f>
        <v>320</v>
      </c>
      <c r="CE42" s="27">
        <f>SUM(BH42:BK42)</f>
        <v>290</v>
      </c>
      <c r="CF42" s="28">
        <f>SUM(BL42:BO42)</f>
        <v>200</v>
      </c>
      <c r="CG42" s="364"/>
      <c r="CH42" s="8"/>
      <c r="CO42" s="8"/>
      <c r="CV42" s="282"/>
      <c r="CW42" s="282"/>
    </row>
    <row r="43" spans="1:101" ht="14.25" customHeight="1" outlineLevel="1">
      <c r="A43" s="8"/>
      <c r="B43" s="336" t="s">
        <v>311</v>
      </c>
      <c r="C43" s="24"/>
      <c r="D43" s="337">
        <v>0</v>
      </c>
      <c r="E43" s="25">
        <v>0</v>
      </c>
      <c r="F43" s="25">
        <v>0</v>
      </c>
      <c r="G43" s="26">
        <v>0</v>
      </c>
      <c r="H43" s="337">
        <v>0</v>
      </c>
      <c r="I43" s="25">
        <v>0</v>
      </c>
      <c r="J43" s="25">
        <v>0</v>
      </c>
      <c r="K43" s="26">
        <v>0</v>
      </c>
      <c r="L43" s="337">
        <v>0</v>
      </c>
      <c r="M43" s="25">
        <v>0</v>
      </c>
      <c r="N43" s="25">
        <v>0</v>
      </c>
      <c r="O43" s="26">
        <v>0</v>
      </c>
      <c r="P43" s="337">
        <v>0</v>
      </c>
      <c r="Q43" s="25">
        <v>0</v>
      </c>
      <c r="R43" s="25">
        <v>0</v>
      </c>
      <c r="S43" s="26">
        <v>0</v>
      </c>
      <c r="T43" s="337">
        <v>0</v>
      </c>
      <c r="U43" s="25">
        <v>0</v>
      </c>
      <c r="V43" s="25">
        <v>0</v>
      </c>
      <c r="W43" s="26">
        <v>0</v>
      </c>
      <c r="X43" s="25">
        <v>0</v>
      </c>
      <c r="Y43" s="25">
        <v>0</v>
      </c>
      <c r="Z43" s="25">
        <v>0</v>
      </c>
      <c r="AA43" s="26">
        <v>-144</v>
      </c>
      <c r="AB43" s="25">
        <v>0</v>
      </c>
      <c r="AC43" s="25">
        <v>0</v>
      </c>
      <c r="AD43" s="25">
        <v>0</v>
      </c>
      <c r="AE43" s="26">
        <v>0</v>
      </c>
      <c r="AF43" s="25">
        <v>0</v>
      </c>
      <c r="AG43" s="25">
        <v>0</v>
      </c>
      <c r="AH43" s="25">
        <v>0</v>
      </c>
      <c r="AI43" s="26">
        <v>0</v>
      </c>
      <c r="AJ43" s="25">
        <v>0</v>
      </c>
      <c r="AK43" s="25">
        <v>0</v>
      </c>
      <c r="AL43" s="25">
        <v>0</v>
      </c>
      <c r="AM43" s="26">
        <v>0</v>
      </c>
      <c r="AN43" s="25">
        <v>0</v>
      </c>
      <c r="AO43" s="25">
        <v>0</v>
      </c>
      <c r="AP43" s="25">
        <v>0</v>
      </c>
      <c r="AQ43" s="26">
        <v>0</v>
      </c>
      <c r="AR43" s="25">
        <v>0</v>
      </c>
      <c r="AS43" s="25">
        <v>0</v>
      </c>
      <c r="AT43" s="25">
        <v>0</v>
      </c>
      <c r="AU43" s="26">
        <v>0</v>
      </c>
      <c r="AV43" s="25">
        <v>0</v>
      </c>
      <c r="AW43" s="25">
        <v>0</v>
      </c>
      <c r="AX43" s="25">
        <v>0</v>
      </c>
      <c r="AY43" s="26">
        <v>0</v>
      </c>
      <c r="AZ43" s="25">
        <v>0</v>
      </c>
      <c r="BA43" s="25">
        <v>0</v>
      </c>
      <c r="BB43" s="25">
        <v>0</v>
      </c>
      <c r="BC43" s="26">
        <v>0</v>
      </c>
      <c r="BD43" s="25">
        <v>0</v>
      </c>
      <c r="BE43" s="25">
        <v>0</v>
      </c>
      <c r="BF43" s="25">
        <v>0</v>
      </c>
      <c r="BG43" s="25">
        <v>0</v>
      </c>
      <c r="BH43" s="337">
        <v>0</v>
      </c>
      <c r="BI43" s="25">
        <v>0</v>
      </c>
      <c r="BJ43" s="25">
        <v>0</v>
      </c>
      <c r="BK43" s="25">
        <v>0</v>
      </c>
      <c r="BL43" s="337">
        <v>0</v>
      </c>
      <c r="BM43" s="25">
        <v>0</v>
      </c>
      <c r="BN43" s="25">
        <v>0</v>
      </c>
      <c r="BO43" s="25">
        <v>0</v>
      </c>
      <c r="BP43" s="152"/>
      <c r="BQ43" s="27">
        <f>SUM(D43:G43)</f>
        <v>0</v>
      </c>
      <c r="BR43" s="27">
        <f>SUM(H43:K43)</f>
        <v>0</v>
      </c>
      <c r="BS43" s="27">
        <f>SUM(L43:O43)</f>
        <v>0</v>
      </c>
      <c r="BT43" s="27">
        <f>SUM(P43:S43)</f>
        <v>0</v>
      </c>
      <c r="BU43" s="27">
        <f>SUM(T43:W43)</f>
        <v>0</v>
      </c>
      <c r="BV43" s="27">
        <f>SUM(X43:AA43)</f>
        <v>-144</v>
      </c>
      <c r="BW43" s="27">
        <f>SUM(AB43:AE43)</f>
        <v>0</v>
      </c>
      <c r="BX43" s="27">
        <f>SUM(AF43:AI43)</f>
        <v>0</v>
      </c>
      <c r="BY43" s="27">
        <f>SUM(AJ43:AM43)</f>
        <v>0</v>
      </c>
      <c r="BZ43" s="27">
        <f>SUM(AN43:AQ43)</f>
        <v>0</v>
      </c>
      <c r="CA43" s="27">
        <f t="shared" ref="CA43:CF43" si="177">BZ43</f>
        <v>0</v>
      </c>
      <c r="CB43" s="27">
        <f t="shared" si="177"/>
        <v>0</v>
      </c>
      <c r="CC43" s="27">
        <f t="shared" si="177"/>
        <v>0</v>
      </c>
      <c r="CD43" s="27">
        <f t="shared" si="177"/>
        <v>0</v>
      </c>
      <c r="CE43" s="27">
        <f t="shared" si="177"/>
        <v>0</v>
      </c>
      <c r="CF43" s="28">
        <f t="shared" si="177"/>
        <v>0</v>
      </c>
      <c r="CG43" s="297"/>
      <c r="CH43" s="8"/>
      <c r="CO43" s="8"/>
      <c r="CV43" s="282"/>
      <c r="CW43" s="282"/>
    </row>
    <row r="44" spans="1:101" ht="14.25" customHeight="1" outlineLevel="1">
      <c r="A44" s="8"/>
      <c r="B44" s="336" t="s">
        <v>4</v>
      </c>
      <c r="C44" s="24"/>
      <c r="D44" s="337">
        <v>0</v>
      </c>
      <c r="E44" s="25">
        <v>0</v>
      </c>
      <c r="F44" s="25">
        <v>0</v>
      </c>
      <c r="G44" s="26">
        <v>0</v>
      </c>
      <c r="H44" s="337">
        <v>0</v>
      </c>
      <c r="I44" s="25">
        <v>0</v>
      </c>
      <c r="J44" s="25">
        <v>0</v>
      </c>
      <c r="K44" s="26">
        <v>0</v>
      </c>
      <c r="L44" s="337">
        <v>0</v>
      </c>
      <c r="M44" s="25">
        <v>0</v>
      </c>
      <c r="N44" s="25">
        <v>0</v>
      </c>
      <c r="O44" s="26">
        <v>0</v>
      </c>
      <c r="P44" s="337">
        <v>0</v>
      </c>
      <c r="Q44" s="25">
        <v>0</v>
      </c>
      <c r="R44" s="25">
        <v>0</v>
      </c>
      <c r="S44" s="26">
        <v>0</v>
      </c>
      <c r="T44" s="337">
        <v>0</v>
      </c>
      <c r="U44" s="25">
        <v>0</v>
      </c>
      <c r="V44" s="25">
        <v>0</v>
      </c>
      <c r="W44" s="26">
        <v>0</v>
      </c>
      <c r="X44" s="25">
        <v>0</v>
      </c>
      <c r="Y44" s="25">
        <v>0</v>
      </c>
      <c r="Z44" s="25">
        <v>0</v>
      </c>
      <c r="AA44" s="26">
        <v>0</v>
      </c>
      <c r="AB44" s="25">
        <v>0</v>
      </c>
      <c r="AC44" s="25">
        <v>0</v>
      </c>
      <c r="AD44" s="25">
        <v>0</v>
      </c>
      <c r="AE44" s="26">
        <v>0</v>
      </c>
      <c r="AF44" s="25">
        <v>0</v>
      </c>
      <c r="AG44" s="25">
        <v>0</v>
      </c>
      <c r="AH44" s="25">
        <v>0</v>
      </c>
      <c r="AI44" s="26">
        <v>0</v>
      </c>
      <c r="AJ44" s="25">
        <v>0</v>
      </c>
      <c r="AK44" s="25">
        <v>0</v>
      </c>
      <c r="AL44" s="25">
        <v>0</v>
      </c>
      <c r="AM44" s="26">
        <v>0</v>
      </c>
      <c r="AN44" s="25">
        <v>0</v>
      </c>
      <c r="AO44" s="25">
        <v>0</v>
      </c>
      <c r="AP44" s="25">
        <v>0</v>
      </c>
      <c r="AQ44" s="26">
        <v>0</v>
      </c>
      <c r="AR44" s="25">
        <v>0</v>
      </c>
      <c r="AS44" s="25">
        <v>0</v>
      </c>
      <c r="AT44" s="25">
        <v>0</v>
      </c>
      <c r="AU44" s="26">
        <v>0</v>
      </c>
      <c r="AV44" s="25">
        <v>0</v>
      </c>
      <c r="AW44" s="25">
        <v>0</v>
      </c>
      <c r="AX44" s="25">
        <v>0</v>
      </c>
      <c r="AY44" s="26">
        <v>0</v>
      </c>
      <c r="AZ44" s="25">
        <v>0</v>
      </c>
      <c r="BA44" s="25">
        <v>0</v>
      </c>
      <c r="BB44" s="25">
        <v>0</v>
      </c>
      <c r="BC44" s="26">
        <v>0</v>
      </c>
      <c r="BD44" s="25">
        <v>0</v>
      </c>
      <c r="BE44" s="25">
        <v>0</v>
      </c>
      <c r="BF44" s="25">
        <v>0</v>
      </c>
      <c r="BG44" s="25">
        <v>0</v>
      </c>
      <c r="BH44" s="337">
        <v>0</v>
      </c>
      <c r="BI44" s="25">
        <v>0</v>
      </c>
      <c r="BJ44" s="25">
        <v>0</v>
      </c>
      <c r="BK44" s="25">
        <v>0</v>
      </c>
      <c r="BL44" s="337">
        <v>0</v>
      </c>
      <c r="BM44" s="25">
        <v>0</v>
      </c>
      <c r="BN44" s="25">
        <v>0</v>
      </c>
      <c r="BO44" s="25">
        <v>0</v>
      </c>
      <c r="BP44" s="152"/>
      <c r="BQ44" s="27">
        <f>SUM(D44:G44)</f>
        <v>0</v>
      </c>
      <c r="BR44" s="27">
        <f>SUM(H44:K44)</f>
        <v>0</v>
      </c>
      <c r="BS44" s="27">
        <f>SUM(L44:O44)</f>
        <v>0</v>
      </c>
      <c r="BT44" s="27">
        <f>SUM(P44:S44)</f>
        <v>0</v>
      </c>
      <c r="BU44" s="27">
        <f>SUM(T44:W44)</f>
        <v>0</v>
      </c>
      <c r="BV44" s="27">
        <f>SUM(X44:AA44)</f>
        <v>0</v>
      </c>
      <c r="BW44" s="27">
        <f>SUM(AB44:AE44)</f>
        <v>0</v>
      </c>
      <c r="BX44" s="27">
        <f>SUM(AF44:AI44)</f>
        <v>0</v>
      </c>
      <c r="BY44" s="27">
        <f>SUM(AJ44:AM44)</f>
        <v>0</v>
      </c>
      <c r="BZ44" s="27">
        <f>SUM(AN44:AQ44)</f>
        <v>0</v>
      </c>
      <c r="CA44" s="27">
        <f t="shared" ref="CA44:CF44" si="178">BZ44</f>
        <v>0</v>
      </c>
      <c r="CB44" s="27">
        <f t="shared" si="178"/>
        <v>0</v>
      </c>
      <c r="CC44" s="27">
        <f t="shared" si="178"/>
        <v>0</v>
      </c>
      <c r="CD44" s="27">
        <f t="shared" si="178"/>
        <v>0</v>
      </c>
      <c r="CE44" s="27">
        <f t="shared" si="178"/>
        <v>0</v>
      </c>
      <c r="CF44" s="28">
        <f t="shared" si="178"/>
        <v>0</v>
      </c>
      <c r="CG44" s="297"/>
      <c r="CH44" s="8"/>
      <c r="CO44" s="8"/>
      <c r="CV44" s="282"/>
      <c r="CW44" s="282"/>
    </row>
    <row r="45" spans="1:101" ht="14.25" customHeight="1" outlineLevel="1">
      <c r="A45" s="8"/>
      <c r="B45" s="342" t="s">
        <v>98</v>
      </c>
      <c r="C45" s="21"/>
      <c r="D45" s="338">
        <f t="shared" ref="D45:AQ45" si="179">+D40-SUM(D41:D44)</f>
        <v>0</v>
      </c>
      <c r="E45" s="27">
        <f t="shared" si="179"/>
        <v>0</v>
      </c>
      <c r="F45" s="27">
        <f t="shared" si="179"/>
        <v>0</v>
      </c>
      <c r="G45" s="28">
        <f t="shared" si="179"/>
        <v>0</v>
      </c>
      <c r="H45" s="338">
        <f t="shared" si="179"/>
        <v>0</v>
      </c>
      <c r="I45" s="27">
        <f t="shared" si="179"/>
        <v>0</v>
      </c>
      <c r="J45" s="27">
        <f t="shared" si="179"/>
        <v>0</v>
      </c>
      <c r="K45" s="28">
        <f t="shared" si="179"/>
        <v>0</v>
      </c>
      <c r="L45" s="338">
        <f t="shared" si="179"/>
        <v>0</v>
      </c>
      <c r="M45" s="27">
        <f t="shared" si="179"/>
        <v>0</v>
      </c>
      <c r="N45" s="27">
        <f t="shared" si="179"/>
        <v>0</v>
      </c>
      <c r="O45" s="28">
        <f t="shared" si="179"/>
        <v>0</v>
      </c>
      <c r="P45" s="338">
        <f t="shared" si="179"/>
        <v>0</v>
      </c>
      <c r="Q45" s="27">
        <f t="shared" si="179"/>
        <v>0</v>
      </c>
      <c r="R45" s="27">
        <f t="shared" si="179"/>
        <v>0</v>
      </c>
      <c r="S45" s="28">
        <f t="shared" si="179"/>
        <v>0</v>
      </c>
      <c r="T45" s="338">
        <f t="shared" si="179"/>
        <v>0</v>
      </c>
      <c r="U45" s="27">
        <f t="shared" si="179"/>
        <v>0</v>
      </c>
      <c r="V45" s="27">
        <f t="shared" si="179"/>
        <v>0</v>
      </c>
      <c r="W45" s="28">
        <f t="shared" si="179"/>
        <v>0</v>
      </c>
      <c r="X45" s="27">
        <f t="shared" si="179"/>
        <v>0</v>
      </c>
      <c r="Y45" s="27">
        <f t="shared" si="179"/>
        <v>0</v>
      </c>
      <c r="Z45" s="27">
        <f t="shared" si="179"/>
        <v>0</v>
      </c>
      <c r="AA45" s="28">
        <f t="shared" si="179"/>
        <v>0</v>
      </c>
      <c r="AB45" s="27">
        <f t="shared" si="179"/>
        <v>0</v>
      </c>
      <c r="AC45" s="27">
        <f t="shared" si="179"/>
        <v>0</v>
      </c>
      <c r="AD45" s="27">
        <f t="shared" si="179"/>
        <v>0</v>
      </c>
      <c r="AE45" s="28">
        <f t="shared" si="179"/>
        <v>0</v>
      </c>
      <c r="AF45" s="27">
        <f t="shared" si="179"/>
        <v>0</v>
      </c>
      <c r="AG45" s="27">
        <f t="shared" si="179"/>
        <v>0</v>
      </c>
      <c r="AH45" s="25">
        <f t="shared" si="179"/>
        <v>0</v>
      </c>
      <c r="AI45" s="28">
        <v>0</v>
      </c>
      <c r="AJ45" s="25">
        <f t="shared" si="179"/>
        <v>0</v>
      </c>
      <c r="AK45" s="27">
        <f t="shared" si="179"/>
        <v>0</v>
      </c>
      <c r="AL45" s="27">
        <f t="shared" si="179"/>
        <v>0</v>
      </c>
      <c r="AM45" s="28">
        <v>0</v>
      </c>
      <c r="AN45" s="25">
        <f>+AN40-SUM(AN41:AN44)</f>
        <v>0</v>
      </c>
      <c r="AO45" s="27">
        <f>+AO40-SUM(AO41:AO44)</f>
        <v>0</v>
      </c>
      <c r="AP45" s="25">
        <f t="shared" si="179"/>
        <v>0</v>
      </c>
      <c r="AQ45" s="28">
        <f t="shared" si="179"/>
        <v>0</v>
      </c>
      <c r="AR45" s="25">
        <f t="shared" ref="AR45:AX45" si="180">+AR40-SUM(AR41:AR44)</f>
        <v>0</v>
      </c>
      <c r="AS45" s="27">
        <f t="shared" si="180"/>
        <v>0</v>
      </c>
      <c r="AT45" s="25">
        <f t="shared" si="180"/>
        <v>0</v>
      </c>
      <c r="AU45" s="28">
        <f t="shared" si="180"/>
        <v>0</v>
      </c>
      <c r="AV45" s="25">
        <f t="shared" si="180"/>
        <v>0</v>
      </c>
      <c r="AW45" s="27">
        <f t="shared" si="180"/>
        <v>0</v>
      </c>
      <c r="AX45" s="25">
        <f t="shared" si="180"/>
        <v>0</v>
      </c>
      <c r="AY45" s="28">
        <f t="shared" ref="AY45:BB45" si="181">+AY40-SUM(AY41:AY44)</f>
        <v>0</v>
      </c>
      <c r="AZ45" s="25">
        <f t="shared" si="181"/>
        <v>0</v>
      </c>
      <c r="BA45" s="27">
        <f t="shared" si="181"/>
        <v>0</v>
      </c>
      <c r="BB45" s="25">
        <f t="shared" si="181"/>
        <v>0</v>
      </c>
      <c r="BC45" s="28">
        <f t="shared" ref="BC45:BD45" si="182">+BC40-SUM(BC41:BC44)</f>
        <v>0</v>
      </c>
      <c r="BD45" s="25">
        <f t="shared" si="182"/>
        <v>0</v>
      </c>
      <c r="BE45" s="25">
        <f t="shared" ref="BE45:BG45" si="183">+BE40-SUM(BE41:BE44)</f>
        <v>0</v>
      </c>
      <c r="BF45" s="25">
        <f t="shared" si="183"/>
        <v>0</v>
      </c>
      <c r="BG45" s="25">
        <f t="shared" si="183"/>
        <v>0</v>
      </c>
      <c r="BH45" s="337">
        <f t="shared" ref="BH45:BK45" si="184">+BH40-SUM(BH41:BH44)</f>
        <v>0</v>
      </c>
      <c r="BI45" s="25">
        <f t="shared" si="184"/>
        <v>0</v>
      </c>
      <c r="BJ45" s="25">
        <f t="shared" si="184"/>
        <v>0</v>
      </c>
      <c r="BK45" s="25">
        <f t="shared" si="184"/>
        <v>0</v>
      </c>
      <c r="BL45" s="337">
        <f t="shared" ref="BL45:BO45" si="185">+BL40-SUM(BL41:BL44)</f>
        <v>0</v>
      </c>
      <c r="BM45" s="25">
        <f t="shared" si="185"/>
        <v>0</v>
      </c>
      <c r="BN45" s="25">
        <f t="shared" si="185"/>
        <v>0</v>
      </c>
      <c r="BO45" s="25">
        <f t="shared" si="185"/>
        <v>0</v>
      </c>
      <c r="BP45" s="152"/>
      <c r="BQ45" s="27">
        <f t="shared" ref="BQ45:CA45" si="186">+BQ40-SUM(BQ41:BQ44)</f>
        <v>0</v>
      </c>
      <c r="BR45" s="27">
        <f t="shared" si="186"/>
        <v>0</v>
      </c>
      <c r="BS45" s="27">
        <f t="shared" si="186"/>
        <v>0</v>
      </c>
      <c r="BT45" s="27">
        <f t="shared" si="186"/>
        <v>0</v>
      </c>
      <c r="BU45" s="27">
        <f t="shared" si="186"/>
        <v>0</v>
      </c>
      <c r="BV45" s="27">
        <f t="shared" si="186"/>
        <v>0</v>
      </c>
      <c r="BW45" s="27">
        <f t="shared" si="186"/>
        <v>0</v>
      </c>
      <c r="BX45" s="27">
        <f t="shared" si="186"/>
        <v>0</v>
      </c>
      <c r="BY45" s="27">
        <f t="shared" si="186"/>
        <v>0</v>
      </c>
      <c r="BZ45" s="27">
        <f t="shared" si="186"/>
        <v>0</v>
      </c>
      <c r="CA45" s="27">
        <f t="shared" si="186"/>
        <v>0</v>
      </c>
      <c r="CB45" s="27">
        <f>+CB40-SUM(CB41:CB44)</f>
        <v>0</v>
      </c>
      <c r="CC45" s="27">
        <f>+CC40-SUM(CC41:CC44)</f>
        <v>0</v>
      </c>
      <c r="CD45" s="27">
        <f>+CD40-SUM(CD41:CD44)</f>
        <v>0</v>
      </c>
      <c r="CE45" s="27">
        <f>+CE40-SUM(CE41:CE44)</f>
        <v>0</v>
      </c>
      <c r="CF45" s="28">
        <f>+CF40-SUM(CF41:CF44)</f>
        <v>0</v>
      </c>
      <c r="CG45" s="297"/>
      <c r="CH45" s="8"/>
      <c r="CO45" s="8"/>
      <c r="CV45" s="282"/>
      <c r="CW45" s="282"/>
    </row>
    <row r="46" spans="1:101" ht="8.25" customHeight="1">
      <c r="A46" s="8"/>
      <c r="B46" s="332"/>
      <c r="C46" s="29"/>
      <c r="D46" s="339"/>
      <c r="E46" s="30"/>
      <c r="F46" s="30"/>
      <c r="G46" s="31"/>
      <c r="H46" s="339"/>
      <c r="I46" s="30"/>
      <c r="J46" s="30"/>
      <c r="K46" s="31"/>
      <c r="L46" s="339"/>
      <c r="M46" s="30"/>
      <c r="N46" s="30"/>
      <c r="O46" s="31"/>
      <c r="P46" s="339"/>
      <c r="Q46" s="30"/>
      <c r="R46" s="30"/>
      <c r="S46" s="31"/>
      <c r="T46" s="339"/>
      <c r="U46" s="30"/>
      <c r="V46" s="30"/>
      <c r="W46" s="31"/>
      <c r="X46" s="30"/>
      <c r="Y46" s="30"/>
      <c r="Z46" s="30"/>
      <c r="AA46" s="31"/>
      <c r="AB46" s="30"/>
      <c r="AC46" s="30"/>
      <c r="AD46" s="30"/>
      <c r="AE46" s="31"/>
      <c r="AF46" s="30"/>
      <c r="AG46" s="30"/>
      <c r="AH46" s="30"/>
      <c r="AI46" s="31"/>
      <c r="AJ46" s="30"/>
      <c r="AK46" s="30"/>
      <c r="AL46" s="30"/>
      <c r="AM46" s="31"/>
      <c r="AN46" s="30"/>
      <c r="AO46" s="30"/>
      <c r="AP46" s="30"/>
      <c r="AQ46" s="31"/>
      <c r="AR46" s="30"/>
      <c r="AS46" s="30"/>
      <c r="AT46" s="30"/>
      <c r="AU46" s="31"/>
      <c r="AV46" s="30"/>
      <c r="AW46" s="30"/>
      <c r="AX46" s="30"/>
      <c r="AY46" s="31"/>
      <c r="AZ46" s="30"/>
      <c r="BA46" s="30"/>
      <c r="BB46" s="30"/>
      <c r="BC46" s="31"/>
      <c r="BD46" s="30"/>
      <c r="BE46" s="30"/>
      <c r="BF46" s="30"/>
      <c r="BG46" s="30"/>
      <c r="BH46" s="339"/>
      <c r="BI46" s="30"/>
      <c r="BJ46" s="30"/>
      <c r="BK46" s="30"/>
      <c r="BL46" s="339"/>
      <c r="BM46" s="30"/>
      <c r="BN46" s="30"/>
      <c r="BO46" s="30"/>
      <c r="BP46" s="152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1"/>
      <c r="CG46" s="364"/>
      <c r="CH46" s="8"/>
      <c r="CO46" s="8"/>
      <c r="CV46" s="282"/>
      <c r="CW46" s="282"/>
    </row>
    <row r="47" spans="1:101" ht="14.25" customHeight="1">
      <c r="A47" s="8"/>
      <c r="B47" s="320" t="s">
        <v>123</v>
      </c>
      <c r="C47" s="39"/>
      <c r="D47" s="357">
        <f t="shared" ref="D47:AJ47" si="187">D26+D33+D40</f>
        <v>798</v>
      </c>
      <c r="E47" s="40">
        <f t="shared" si="187"/>
        <v>824</v>
      </c>
      <c r="F47" s="40">
        <f t="shared" si="187"/>
        <v>929</v>
      </c>
      <c r="G47" s="41">
        <f t="shared" si="187"/>
        <v>897</v>
      </c>
      <c r="H47" s="357">
        <f t="shared" si="187"/>
        <v>954</v>
      </c>
      <c r="I47" s="40">
        <f t="shared" si="187"/>
        <v>954</v>
      </c>
      <c r="J47" s="40">
        <f t="shared" si="187"/>
        <v>1002</v>
      </c>
      <c r="K47" s="41">
        <f t="shared" si="187"/>
        <v>981</v>
      </c>
      <c r="L47" s="357">
        <f t="shared" si="187"/>
        <v>966</v>
      </c>
      <c r="M47" s="40">
        <f t="shared" si="187"/>
        <v>986</v>
      </c>
      <c r="N47" s="40">
        <f t="shared" si="187"/>
        <v>945</v>
      </c>
      <c r="O47" s="41">
        <f t="shared" si="187"/>
        <v>935</v>
      </c>
      <c r="P47" s="357">
        <f t="shared" si="187"/>
        <v>949</v>
      </c>
      <c r="Q47" s="40">
        <f t="shared" si="187"/>
        <v>916</v>
      </c>
      <c r="R47" s="40">
        <f t="shared" si="187"/>
        <v>897</v>
      </c>
      <c r="S47" s="41">
        <f t="shared" si="187"/>
        <v>1046</v>
      </c>
      <c r="T47" s="357">
        <f t="shared" si="187"/>
        <v>796</v>
      </c>
      <c r="U47" s="40">
        <f t="shared" si="187"/>
        <v>781</v>
      </c>
      <c r="V47" s="40">
        <f t="shared" si="187"/>
        <v>718</v>
      </c>
      <c r="W47" s="41">
        <f t="shared" si="187"/>
        <v>713</v>
      </c>
      <c r="X47" s="40">
        <f t="shared" si="187"/>
        <v>739</v>
      </c>
      <c r="Y47" s="40">
        <f t="shared" si="187"/>
        <v>787</v>
      </c>
      <c r="Z47" s="40">
        <f t="shared" si="187"/>
        <v>812</v>
      </c>
      <c r="AA47" s="41">
        <f t="shared" si="187"/>
        <v>640</v>
      </c>
      <c r="AB47" s="40">
        <f t="shared" si="187"/>
        <v>820</v>
      </c>
      <c r="AC47" s="40">
        <f t="shared" si="187"/>
        <v>848</v>
      </c>
      <c r="AD47" s="40">
        <f t="shared" si="187"/>
        <v>930</v>
      </c>
      <c r="AE47" s="41">
        <f t="shared" si="187"/>
        <v>1183</v>
      </c>
      <c r="AF47" s="40">
        <f t="shared" si="187"/>
        <v>1134</v>
      </c>
      <c r="AG47" s="40">
        <f t="shared" si="187"/>
        <v>1053</v>
      </c>
      <c r="AH47" s="40">
        <f t="shared" si="187"/>
        <v>900</v>
      </c>
      <c r="AI47" s="41">
        <f>AI26+AI33+AI40</f>
        <v>1306</v>
      </c>
      <c r="AJ47" s="40">
        <f t="shared" si="187"/>
        <v>979</v>
      </c>
      <c r="AK47" s="40">
        <f t="shared" ref="AK47:AQ47" si="188">AK26+AK33+AK40</f>
        <v>664</v>
      </c>
      <c r="AL47" s="40">
        <f t="shared" si="188"/>
        <v>935</v>
      </c>
      <c r="AM47" s="41">
        <f>AM26+AM33+AM40</f>
        <v>953</v>
      </c>
      <c r="AN47" s="40">
        <f>AN26+AN33+AN40</f>
        <v>917</v>
      </c>
      <c r="AO47" s="40">
        <f>AO26+AO33+AO40</f>
        <v>899</v>
      </c>
      <c r="AP47" s="40">
        <f t="shared" si="188"/>
        <v>869</v>
      </c>
      <c r="AQ47" s="41">
        <f t="shared" si="188"/>
        <v>795</v>
      </c>
      <c r="AR47" s="40">
        <f t="shared" ref="AR47:AV47" si="189">AR26+AR33+AR40</f>
        <v>858</v>
      </c>
      <c r="AS47" s="40">
        <f t="shared" si="189"/>
        <v>871</v>
      </c>
      <c r="AT47" s="40">
        <f t="shared" si="189"/>
        <v>833</v>
      </c>
      <c r="AU47" s="41">
        <f t="shared" si="189"/>
        <v>724</v>
      </c>
      <c r="AV47" s="40">
        <f t="shared" si="189"/>
        <v>856</v>
      </c>
      <c r="AW47" s="40">
        <f>AW26+AW33+AW40</f>
        <v>886</v>
      </c>
      <c r="AX47" s="40">
        <f>AX26+AX33+AX40</f>
        <v>885</v>
      </c>
      <c r="AY47" s="41">
        <f>AY26+AY33+AY40</f>
        <v>814</v>
      </c>
      <c r="AZ47" s="40">
        <f t="shared" ref="AZ47" si="190">AZ26+AZ33+AZ40</f>
        <v>892</v>
      </c>
      <c r="BA47" s="40">
        <f>BA26+BA33+BA40</f>
        <v>894</v>
      </c>
      <c r="BB47" s="40">
        <f>BB26+BB33+BB40</f>
        <v>868</v>
      </c>
      <c r="BC47" s="41">
        <f>BC26+BC33+BC40</f>
        <v>877</v>
      </c>
      <c r="BD47" s="40">
        <f t="shared" ref="BD47" si="191">BD26+BD33+BD40</f>
        <v>899</v>
      </c>
      <c r="BE47" s="40">
        <f t="shared" ref="BE47:BG47" si="192">BE26+BE33+BE40</f>
        <v>912</v>
      </c>
      <c r="BF47" s="40">
        <f t="shared" si="192"/>
        <v>960</v>
      </c>
      <c r="BG47" s="40">
        <f t="shared" si="192"/>
        <v>910</v>
      </c>
      <c r="BH47" s="357">
        <f t="shared" ref="BH47:BK47" si="193">BH26+BH33+BH40</f>
        <v>930</v>
      </c>
      <c r="BI47" s="40">
        <f t="shared" si="193"/>
        <v>955</v>
      </c>
      <c r="BJ47" s="40">
        <f t="shared" si="193"/>
        <v>960</v>
      </c>
      <c r="BK47" s="40">
        <f t="shared" si="193"/>
        <v>925</v>
      </c>
      <c r="BL47" s="357">
        <f t="shared" ref="BL47:BO47" si="194">BL26+BL33+BL40</f>
        <v>905</v>
      </c>
      <c r="BM47" s="40">
        <f t="shared" si="194"/>
        <v>895</v>
      </c>
      <c r="BN47" s="40">
        <f t="shared" si="194"/>
        <v>905</v>
      </c>
      <c r="BO47" s="40">
        <f t="shared" si="194"/>
        <v>890</v>
      </c>
      <c r="BP47" s="152"/>
      <c r="BQ47" s="27">
        <f t="shared" ref="BQ47:CA47" si="195">BQ26+BQ33+BQ40</f>
        <v>3448</v>
      </c>
      <c r="BR47" s="27">
        <f t="shared" si="195"/>
        <v>3891</v>
      </c>
      <c r="BS47" s="27">
        <f t="shared" si="195"/>
        <v>3832</v>
      </c>
      <c r="BT47" s="27">
        <f t="shared" si="195"/>
        <v>3808</v>
      </c>
      <c r="BU47" s="27">
        <f t="shared" si="195"/>
        <v>3008</v>
      </c>
      <c r="BV47" s="27">
        <f t="shared" si="195"/>
        <v>2978</v>
      </c>
      <c r="BW47" s="27">
        <f>BW26+BW33+BW40</f>
        <v>3781</v>
      </c>
      <c r="BX47" s="27">
        <f>BX26+BX33+BX40</f>
        <v>4393</v>
      </c>
      <c r="BY47" s="27">
        <f>BY26+BY33+BY40</f>
        <v>3531</v>
      </c>
      <c r="BZ47" s="27">
        <f>BZ26+BZ33+BZ40</f>
        <v>3480</v>
      </c>
      <c r="CA47" s="40">
        <f t="shared" si="195"/>
        <v>3286</v>
      </c>
      <c r="CB47" s="40">
        <f>CB26+CB33+CB40</f>
        <v>3441</v>
      </c>
      <c r="CC47" s="40">
        <f>CC26+CC33+CC40</f>
        <v>3531</v>
      </c>
      <c r="CD47" s="40">
        <f>CD26+CD33+CD40</f>
        <v>3681</v>
      </c>
      <c r="CE47" s="40">
        <f>CE26+CE33+CE40</f>
        <v>3770</v>
      </c>
      <c r="CF47" s="41">
        <f>CF26+CF33+CF40</f>
        <v>3595</v>
      </c>
      <c r="CG47" s="364"/>
      <c r="CO47" s="8"/>
      <c r="CV47" s="282"/>
      <c r="CW47" s="282"/>
    </row>
    <row r="48" spans="1:101" ht="14.25" customHeight="1">
      <c r="A48" s="8"/>
      <c r="B48" s="332" t="s">
        <v>7</v>
      </c>
      <c r="C48" s="29"/>
      <c r="D48" s="339">
        <f t="shared" ref="D48:AI48" si="196">D47/D7</f>
        <v>0.29533678756476683</v>
      </c>
      <c r="E48" s="30">
        <f t="shared" si="196"/>
        <v>0.27734769437899698</v>
      </c>
      <c r="F48" s="30">
        <f t="shared" si="196"/>
        <v>0.2782270140760707</v>
      </c>
      <c r="G48" s="31">
        <f t="shared" si="196"/>
        <v>0.26985559566787004</v>
      </c>
      <c r="H48" s="339">
        <f t="shared" si="196"/>
        <v>0.28614277144571088</v>
      </c>
      <c r="I48" s="30">
        <f t="shared" si="196"/>
        <v>0.25804706518799025</v>
      </c>
      <c r="J48" s="30">
        <f t="shared" si="196"/>
        <v>0.26641850571656472</v>
      </c>
      <c r="K48" s="31">
        <f t="shared" si="196"/>
        <v>0.28328039272307248</v>
      </c>
      <c r="L48" s="339">
        <f t="shared" si="196"/>
        <v>0.30272641805076778</v>
      </c>
      <c r="M48" s="30">
        <f t="shared" si="196"/>
        <v>0.28796728971962615</v>
      </c>
      <c r="N48" s="30">
        <f t="shared" si="196"/>
        <v>0.25798525798525801</v>
      </c>
      <c r="O48" s="31">
        <f t="shared" si="196"/>
        <v>0.26293588301462317</v>
      </c>
      <c r="P48" s="339">
        <f t="shared" si="196"/>
        <v>0.29003667481662593</v>
      </c>
      <c r="Q48" s="30">
        <f t="shared" si="196"/>
        <v>0.27335123843628767</v>
      </c>
      <c r="R48" s="30">
        <f t="shared" si="196"/>
        <v>0.26483613817537643</v>
      </c>
      <c r="S48" s="31">
        <f t="shared" si="196"/>
        <v>0.41991168205539942</v>
      </c>
      <c r="T48" s="339">
        <f t="shared" si="196"/>
        <v>0.38159156279961648</v>
      </c>
      <c r="U48" s="30">
        <f t="shared" si="196"/>
        <v>0.31786731786731787</v>
      </c>
      <c r="V48" s="30">
        <f t="shared" si="196"/>
        <v>0.24930555555555556</v>
      </c>
      <c r="W48" s="31">
        <f t="shared" si="196"/>
        <v>0.23735019973368843</v>
      </c>
      <c r="X48" s="30">
        <f t="shared" si="196"/>
        <v>0.23057722308892356</v>
      </c>
      <c r="Y48" s="30">
        <f t="shared" si="196"/>
        <v>0.22511441647597255</v>
      </c>
      <c r="Z48" s="30">
        <f t="shared" si="196"/>
        <v>0.21711229946524063</v>
      </c>
      <c r="AA48" s="31">
        <f t="shared" si="196"/>
        <v>0.18156028368794327</v>
      </c>
      <c r="AB48" s="30">
        <f t="shared" si="196"/>
        <v>0.24174528301886791</v>
      </c>
      <c r="AC48" s="30">
        <f t="shared" si="196"/>
        <v>0.24522845575477153</v>
      </c>
      <c r="AD48" s="30">
        <f t="shared" si="196"/>
        <v>0.26832083092902481</v>
      </c>
      <c r="AE48" s="31">
        <f t="shared" si="196"/>
        <v>0.345906432748538</v>
      </c>
      <c r="AF48" s="30">
        <f t="shared" si="196"/>
        <v>0.36334508170458185</v>
      </c>
      <c r="AG48" s="30">
        <f t="shared" si="196"/>
        <v>0.31574212893553222</v>
      </c>
      <c r="AH48" s="30">
        <f t="shared" si="196"/>
        <v>0.26548672566371684</v>
      </c>
      <c r="AI48" s="31">
        <f t="shared" si="196"/>
        <v>0.43840214837193692</v>
      </c>
      <c r="AJ48" s="30">
        <f t="shared" ref="AJ48:AV48" si="197">AJ47/AJ7</f>
        <v>0.33934142114384747</v>
      </c>
      <c r="AK48" s="30">
        <f t="shared" si="197"/>
        <v>0.21791926485067278</v>
      </c>
      <c r="AL48" s="30">
        <f t="shared" si="197"/>
        <v>0.28822441430332923</v>
      </c>
      <c r="AM48" s="31">
        <f t="shared" si="197"/>
        <v>0.31472919418758255</v>
      </c>
      <c r="AN48" s="30">
        <f t="shared" si="197"/>
        <v>0.30740864901106268</v>
      </c>
      <c r="AO48" s="30">
        <f t="shared" si="197"/>
        <v>0.27308626974483596</v>
      </c>
      <c r="AP48" s="30">
        <f t="shared" si="197"/>
        <v>0.24821479577263639</v>
      </c>
      <c r="AQ48" s="31">
        <f t="shared" si="197"/>
        <v>0.24319363719791987</v>
      </c>
      <c r="AR48" s="30">
        <f t="shared" si="197"/>
        <v>0.27238095238095239</v>
      </c>
      <c r="AS48" s="30">
        <f t="shared" si="197"/>
        <v>0.26949257425742573</v>
      </c>
      <c r="AT48" s="30">
        <f t="shared" si="197"/>
        <v>0.24292796733741615</v>
      </c>
      <c r="AU48" s="31">
        <f t="shared" si="197"/>
        <v>0.22703041705863908</v>
      </c>
      <c r="AV48" s="30">
        <f t="shared" si="197"/>
        <v>0.28457446808510639</v>
      </c>
      <c r="AW48" s="30">
        <f>AW47/AW7</f>
        <v>0.27069966391689582</v>
      </c>
      <c r="AX48" s="30">
        <f>AX47/AX7</f>
        <v>0.24081632653061225</v>
      </c>
      <c r="AY48" s="31">
        <f t="shared" ref="AY48:AZ48" si="198">AY47/AY7</f>
        <v>0.23842999414176919</v>
      </c>
      <c r="AZ48" s="30">
        <f t="shared" si="198"/>
        <v>0.26219870664315109</v>
      </c>
      <c r="BA48" s="30">
        <f>BA47/BA7</f>
        <v>0.2420796100731113</v>
      </c>
      <c r="BB48" s="30">
        <f>BB47/BB7</f>
        <v>0.21088435374149661</v>
      </c>
      <c r="BC48" s="31">
        <f t="shared" ref="BC48:BD48" si="199">BC47/BC7</f>
        <v>0.23386666666666667</v>
      </c>
      <c r="BD48" s="30">
        <f t="shared" si="199"/>
        <v>0.23726576933227764</v>
      </c>
      <c r="BE48" s="30">
        <f t="shared" ref="BE48:CB48" si="200">BE47/BE7</f>
        <v>0.23121524662515902</v>
      </c>
      <c r="BF48" s="30">
        <f t="shared" si="200"/>
        <v>0.22873413493679776</v>
      </c>
      <c r="BG48" s="30">
        <f t="shared" ref="BG48:BJ48" si="201">BG47/BG7</f>
        <v>0.23010939971389119</v>
      </c>
      <c r="BH48" s="339">
        <f t="shared" si="201"/>
        <v>0.24152029114381326</v>
      </c>
      <c r="BI48" s="30">
        <f t="shared" si="201"/>
        <v>0.2335313314339926</v>
      </c>
      <c r="BJ48" s="30">
        <f t="shared" si="201"/>
        <v>0.22116076399572424</v>
      </c>
      <c r="BK48" s="30">
        <f t="shared" ref="BK48:BN48" si="202">BK47/BK7</f>
        <v>0.22689281538549558</v>
      </c>
      <c r="BL48" s="339">
        <f t="shared" si="202"/>
        <v>0.22772705608392968</v>
      </c>
      <c r="BM48" s="30">
        <f t="shared" si="202"/>
        <v>0.2121235207553919</v>
      </c>
      <c r="BN48" s="30">
        <f t="shared" si="202"/>
        <v>0.20218970968475944</v>
      </c>
      <c r="BO48" s="30">
        <f t="shared" ref="BO48" si="203">BO47/BO7</f>
        <v>0.21159129505299379</v>
      </c>
      <c r="BP48" s="152"/>
      <c r="BQ48" s="30">
        <f t="shared" si="200"/>
        <v>0.27950713359273671</v>
      </c>
      <c r="BR48" s="30">
        <f t="shared" si="200"/>
        <v>0.27295685724307261</v>
      </c>
      <c r="BS48" s="30">
        <f t="shared" si="200"/>
        <v>0.27699869885788636</v>
      </c>
      <c r="BT48" s="30">
        <f t="shared" si="200"/>
        <v>0.30461563074954001</v>
      </c>
      <c r="BU48" s="30">
        <f t="shared" si="200"/>
        <v>0.28848182602857964</v>
      </c>
      <c r="BV48" s="30">
        <f t="shared" si="200"/>
        <v>0.21323213518545037</v>
      </c>
      <c r="BW48" s="30">
        <f t="shared" si="200"/>
        <v>0.27526208503203259</v>
      </c>
      <c r="BX48" s="30">
        <f t="shared" si="200"/>
        <v>0.34253411306042886</v>
      </c>
      <c r="BY48" s="30">
        <f t="shared" si="200"/>
        <v>0.2893313667649951</v>
      </c>
      <c r="BZ48" s="30">
        <f t="shared" si="200"/>
        <v>0.26676887696435414</v>
      </c>
      <c r="CA48" s="30">
        <f t="shared" si="200"/>
        <v>0.25276923076923075</v>
      </c>
      <c r="CB48" s="30">
        <f t="shared" si="200"/>
        <v>0.2573672400897532</v>
      </c>
      <c r="CC48" s="30">
        <f>CC47/CC7</f>
        <v>0.23601363545217566</v>
      </c>
      <c r="CD48" s="30">
        <f>CD47/CD7</f>
        <v>0.23172761248002463</v>
      </c>
      <c r="CE48" s="30">
        <f>CE47/CE7</f>
        <v>0.23047469970069689</v>
      </c>
      <c r="CF48" s="31">
        <f>CF47/CF7</f>
        <v>0.21303057330947908</v>
      </c>
      <c r="CG48" s="297"/>
      <c r="CH48" s="8"/>
      <c r="CO48" s="8"/>
      <c r="CV48" s="282"/>
      <c r="CW48" s="282"/>
    </row>
    <row r="49" spans="1:101" ht="14.25" customHeight="1">
      <c r="A49" s="8"/>
      <c r="B49" s="342" t="s">
        <v>99</v>
      </c>
      <c r="C49" s="21"/>
      <c r="D49" s="338">
        <f t="shared" ref="D49:AQ49" si="204">D30+D37+D45</f>
        <v>821</v>
      </c>
      <c r="E49" s="27">
        <f t="shared" si="204"/>
        <v>824</v>
      </c>
      <c r="F49" s="27">
        <f t="shared" si="204"/>
        <v>929</v>
      </c>
      <c r="G49" s="28">
        <f t="shared" si="204"/>
        <v>897</v>
      </c>
      <c r="H49" s="338">
        <f t="shared" si="204"/>
        <v>954</v>
      </c>
      <c r="I49" s="27">
        <f t="shared" si="204"/>
        <v>954</v>
      </c>
      <c r="J49" s="27">
        <f t="shared" si="204"/>
        <v>1002</v>
      </c>
      <c r="K49" s="28">
        <f t="shared" si="204"/>
        <v>981</v>
      </c>
      <c r="L49" s="338">
        <f t="shared" si="204"/>
        <v>952</v>
      </c>
      <c r="M49" s="27">
        <f t="shared" si="204"/>
        <v>969</v>
      </c>
      <c r="N49" s="27">
        <f t="shared" si="204"/>
        <v>969</v>
      </c>
      <c r="O49" s="28">
        <f t="shared" si="204"/>
        <v>929</v>
      </c>
      <c r="P49" s="338">
        <f t="shared" si="204"/>
        <v>949</v>
      </c>
      <c r="Q49" s="27">
        <f t="shared" si="204"/>
        <v>916</v>
      </c>
      <c r="R49" s="27">
        <f t="shared" si="204"/>
        <v>897</v>
      </c>
      <c r="S49" s="28">
        <f t="shared" si="204"/>
        <v>792</v>
      </c>
      <c r="T49" s="338">
        <f t="shared" si="204"/>
        <v>691</v>
      </c>
      <c r="U49" s="27">
        <f t="shared" si="204"/>
        <v>696</v>
      </c>
      <c r="V49" s="27">
        <f t="shared" si="204"/>
        <v>708</v>
      </c>
      <c r="W49" s="28">
        <f t="shared" si="204"/>
        <v>701</v>
      </c>
      <c r="X49" s="27">
        <f t="shared" si="204"/>
        <v>729</v>
      </c>
      <c r="Y49" s="27">
        <f t="shared" si="204"/>
        <v>770</v>
      </c>
      <c r="Z49" s="27">
        <f t="shared" si="204"/>
        <v>808</v>
      </c>
      <c r="AA49" s="28">
        <f t="shared" si="204"/>
        <v>782</v>
      </c>
      <c r="AB49" s="27">
        <f t="shared" si="204"/>
        <v>818</v>
      </c>
      <c r="AC49" s="27">
        <f t="shared" si="204"/>
        <v>835</v>
      </c>
      <c r="AD49" s="27">
        <f t="shared" si="204"/>
        <v>783</v>
      </c>
      <c r="AE49" s="28">
        <f t="shared" si="204"/>
        <v>918</v>
      </c>
      <c r="AF49" s="27">
        <f t="shared" si="204"/>
        <v>971</v>
      </c>
      <c r="AG49" s="27">
        <f t="shared" si="204"/>
        <v>936</v>
      </c>
      <c r="AH49" s="27">
        <f t="shared" si="204"/>
        <v>916</v>
      </c>
      <c r="AI49" s="28">
        <f>AI30+AI37+AI45</f>
        <v>855</v>
      </c>
      <c r="AJ49" s="27">
        <f t="shared" si="204"/>
        <v>878</v>
      </c>
      <c r="AK49" s="27">
        <f>AK30+AK37+AK45</f>
        <v>860</v>
      </c>
      <c r="AL49" s="27">
        <f>AL30+AL37+AL45</f>
        <v>833</v>
      </c>
      <c r="AM49" s="28">
        <f>AM30+AM37+AM45</f>
        <v>807</v>
      </c>
      <c r="AN49" s="27">
        <f>AN30+AN37+AN45</f>
        <v>845</v>
      </c>
      <c r="AO49" s="27">
        <f>AO30+AO37+AO45</f>
        <v>821</v>
      </c>
      <c r="AP49" s="27">
        <f t="shared" si="204"/>
        <v>795</v>
      </c>
      <c r="AQ49" s="28">
        <f t="shared" si="204"/>
        <v>740</v>
      </c>
      <c r="AR49" s="27">
        <f t="shared" ref="AR49:AX49" si="205">AR30+AR37+AR45</f>
        <v>777</v>
      </c>
      <c r="AS49" s="27">
        <f t="shared" si="205"/>
        <v>790</v>
      </c>
      <c r="AT49" s="27">
        <f t="shared" si="205"/>
        <v>750</v>
      </c>
      <c r="AU49" s="28">
        <f t="shared" si="205"/>
        <v>711</v>
      </c>
      <c r="AV49" s="27">
        <f t="shared" si="205"/>
        <v>774</v>
      </c>
      <c r="AW49" s="27">
        <f t="shared" si="205"/>
        <v>805</v>
      </c>
      <c r="AX49" s="27">
        <f t="shared" si="205"/>
        <v>804</v>
      </c>
      <c r="AY49" s="28">
        <f t="shared" ref="AY49:BB49" si="206">AY30+AY37+AY45</f>
        <v>754</v>
      </c>
      <c r="AZ49" s="27">
        <f t="shared" si="206"/>
        <v>808</v>
      </c>
      <c r="BA49" s="27">
        <f t="shared" si="206"/>
        <v>812</v>
      </c>
      <c r="BB49" s="27">
        <f t="shared" si="206"/>
        <v>787</v>
      </c>
      <c r="BC49" s="28">
        <f t="shared" ref="BC49:BD49" si="207">BC30+BC37+BC45</f>
        <v>795</v>
      </c>
      <c r="BD49" s="27">
        <f t="shared" si="207"/>
        <v>818</v>
      </c>
      <c r="BE49" s="27">
        <f t="shared" ref="BE49:BG49" si="208">BE30+BE37+BE45</f>
        <v>832</v>
      </c>
      <c r="BF49" s="27">
        <f t="shared" si="208"/>
        <v>880</v>
      </c>
      <c r="BG49" s="27">
        <f t="shared" si="208"/>
        <v>830</v>
      </c>
      <c r="BH49" s="338">
        <f t="shared" ref="BH49:BK49" si="209">BH30+BH37+BH45</f>
        <v>850</v>
      </c>
      <c r="BI49" s="27">
        <f t="shared" si="209"/>
        <v>875</v>
      </c>
      <c r="BJ49" s="27">
        <f t="shared" si="209"/>
        <v>880</v>
      </c>
      <c r="BK49" s="27">
        <f t="shared" si="209"/>
        <v>875</v>
      </c>
      <c r="BL49" s="27">
        <f t="shared" ref="BL49:BO49" si="210">BL30+BL37+BL45</f>
        <v>855</v>
      </c>
      <c r="BM49" s="27">
        <f t="shared" si="210"/>
        <v>845</v>
      </c>
      <c r="BN49" s="27">
        <f t="shared" si="210"/>
        <v>855</v>
      </c>
      <c r="BO49" s="27">
        <f t="shared" si="210"/>
        <v>840</v>
      </c>
      <c r="BP49" s="152"/>
      <c r="BQ49" s="27">
        <f t="shared" ref="BQ49:CA49" si="211">BQ30+BQ37+BQ45</f>
        <v>3471</v>
      </c>
      <c r="BR49" s="27">
        <f t="shared" si="211"/>
        <v>3891</v>
      </c>
      <c r="BS49" s="27">
        <f t="shared" si="211"/>
        <v>3819</v>
      </c>
      <c r="BT49" s="27">
        <f t="shared" si="211"/>
        <v>3554</v>
      </c>
      <c r="BU49" s="27">
        <f t="shared" si="211"/>
        <v>2796</v>
      </c>
      <c r="BV49" s="27">
        <f t="shared" si="211"/>
        <v>3089</v>
      </c>
      <c r="BW49" s="27">
        <f t="shared" si="211"/>
        <v>3354</v>
      </c>
      <c r="BX49" s="27">
        <f t="shared" si="211"/>
        <v>3678</v>
      </c>
      <c r="BY49" s="27">
        <f t="shared" si="211"/>
        <v>3378</v>
      </c>
      <c r="BZ49" s="27">
        <f t="shared" si="211"/>
        <v>3201</v>
      </c>
      <c r="CA49" s="27">
        <f t="shared" si="211"/>
        <v>3028</v>
      </c>
      <c r="CB49" s="27">
        <f>CB30+CB37+CB45</f>
        <v>3137</v>
      </c>
      <c r="CC49" s="27">
        <f>CC30+CC37+CC45</f>
        <v>3202</v>
      </c>
      <c r="CD49" s="27">
        <f>CD30+CD37+CD45</f>
        <v>3360</v>
      </c>
      <c r="CE49" s="27">
        <f>CE30+CE37+CE45</f>
        <v>3480</v>
      </c>
      <c r="CF49" s="28">
        <f>CF30+CF37+CF45</f>
        <v>3395</v>
      </c>
      <c r="CG49" s="364"/>
      <c r="CH49" s="8"/>
      <c r="CO49" s="8"/>
      <c r="CV49" s="282"/>
      <c r="CW49" s="282"/>
    </row>
    <row r="50" spans="1:101" s="283" customFormat="1" ht="14.25" customHeight="1">
      <c r="A50" s="8"/>
      <c r="B50" s="332" t="s">
        <v>7</v>
      </c>
      <c r="C50" s="29"/>
      <c r="D50" s="339"/>
      <c r="E50" s="30"/>
      <c r="F50" s="30"/>
      <c r="G50" s="31"/>
      <c r="H50" s="339"/>
      <c r="I50" s="30"/>
      <c r="J50" s="30"/>
      <c r="K50" s="31"/>
      <c r="L50" s="339"/>
      <c r="M50" s="30"/>
      <c r="N50" s="30"/>
      <c r="O50" s="31"/>
      <c r="P50" s="339"/>
      <c r="Q50" s="30"/>
      <c r="R50" s="30"/>
      <c r="S50" s="31"/>
      <c r="T50" s="339"/>
      <c r="U50" s="30"/>
      <c r="V50" s="30"/>
      <c r="W50" s="31"/>
      <c r="X50" s="30"/>
      <c r="Y50" s="30"/>
      <c r="Z50" s="30"/>
      <c r="AA50" s="31"/>
      <c r="AB50" s="30"/>
      <c r="AC50" s="30"/>
      <c r="AD50" s="30"/>
      <c r="AE50" s="31"/>
      <c r="AF50" s="30"/>
      <c r="AG50" s="30"/>
      <c r="AH50" s="30"/>
      <c r="AI50" s="31"/>
      <c r="AJ50" s="30"/>
      <c r="AK50" s="30"/>
      <c r="AL50" s="30"/>
      <c r="AM50" s="31"/>
      <c r="AN50" s="30"/>
      <c r="AO50" s="30"/>
      <c r="AP50" s="30"/>
      <c r="AQ50" s="31"/>
      <c r="AR50" s="30">
        <f>AR49/AR7</f>
        <v>0.24666666666666667</v>
      </c>
      <c r="AS50" s="30">
        <f t="shared" ref="AS50" si="212">AS49/AS7</f>
        <v>0.24443069306930693</v>
      </c>
      <c r="AT50" s="30">
        <f t="shared" ref="AT50" si="213">AT49/AT7</f>
        <v>0.21872265966754156</v>
      </c>
      <c r="AU50" s="31">
        <f t="shared" ref="AU50" si="214">AU49/AU7</f>
        <v>0.22295390404515522</v>
      </c>
      <c r="AV50" s="30">
        <f t="shared" ref="AV50" si="215">AV49/AV7</f>
        <v>0.25731382978723405</v>
      </c>
      <c r="AW50" s="30">
        <f t="shared" ref="AW50" si="216">AW49/AW7</f>
        <v>0.24595172624503514</v>
      </c>
      <c r="AX50" s="30">
        <f t="shared" ref="AX50" si="217">AX49/AX7</f>
        <v>0.21877551020408162</v>
      </c>
      <c r="AY50" s="31">
        <f t="shared" ref="AY50:BB50" si="218">AY49/AY7</f>
        <v>0.22085530169888692</v>
      </c>
      <c r="AZ50" s="30">
        <f t="shared" si="218"/>
        <v>0.23750734861845973</v>
      </c>
      <c r="BA50" s="30">
        <f t="shared" si="218"/>
        <v>0.21987544002166259</v>
      </c>
      <c r="BB50" s="30">
        <f t="shared" si="218"/>
        <v>0.1912050534499514</v>
      </c>
      <c r="BC50" s="31">
        <f t="shared" ref="BC50:BD50" si="219">BC49/BC7</f>
        <v>0.21199999999999999</v>
      </c>
      <c r="BD50" s="30">
        <f t="shared" si="219"/>
        <v>0.21588809712325152</v>
      </c>
      <c r="BE50" s="30">
        <f t="shared" ref="BE50:BG50" si="220">BE49/BE7</f>
        <v>0.21093320744751351</v>
      </c>
      <c r="BF50" s="30">
        <f t="shared" si="220"/>
        <v>0.20967295702539795</v>
      </c>
      <c r="BG50" s="30">
        <f t="shared" si="220"/>
        <v>0.20988000193684581</v>
      </c>
      <c r="BH50" s="339">
        <f t="shared" ref="BH50:BK50" si="221">BH49/BH7</f>
        <v>0.22074435212068955</v>
      </c>
      <c r="BI50" s="30">
        <f t="shared" si="221"/>
        <v>0.213968497387166</v>
      </c>
      <c r="BJ50" s="30">
        <f t="shared" si="221"/>
        <v>0.20273070032941387</v>
      </c>
      <c r="BK50" s="30">
        <f t="shared" si="221"/>
        <v>0.21462833887817148</v>
      </c>
      <c r="BL50" s="339">
        <f t="shared" ref="BL50:BO50" si="222">BL49/BL7</f>
        <v>0.21514545077542527</v>
      </c>
      <c r="BM50" s="30">
        <f t="shared" si="222"/>
        <v>0.20027304473553759</v>
      </c>
      <c r="BN50" s="30">
        <f t="shared" si="222"/>
        <v>0.1910190074922313</v>
      </c>
      <c r="BO50" s="30">
        <f t="shared" si="222"/>
        <v>0.19970414364552222</v>
      </c>
      <c r="BP50" s="152"/>
      <c r="BQ50" s="30"/>
      <c r="BR50" s="30"/>
      <c r="BS50" s="30"/>
      <c r="BT50" s="30"/>
      <c r="BU50" s="30"/>
      <c r="BV50" s="30"/>
      <c r="BW50" s="30"/>
      <c r="BX50" s="30"/>
      <c r="BY50" s="30"/>
      <c r="BZ50" s="30">
        <f t="shared" ref="BZ50" si="223">BZ49/BZ7</f>
        <v>0.24538137217324646</v>
      </c>
      <c r="CA50" s="30">
        <f t="shared" ref="CA50" si="224">CA49/CA7</f>
        <v>0.23292307692307693</v>
      </c>
      <c r="CB50" s="30">
        <f t="shared" ref="CB50" si="225">CB49/CB7</f>
        <v>0.23462976813762154</v>
      </c>
      <c r="CC50" s="30">
        <f t="shared" ref="CC50" si="226">CC49/CC7</f>
        <v>0.21402312679633714</v>
      </c>
      <c r="CD50" s="30">
        <f t="shared" ref="CD50:CE50" si="227">CD49/CD7</f>
        <v>0.21151990707223112</v>
      </c>
      <c r="CE50" s="30">
        <f t="shared" si="227"/>
        <v>0.21274587664679714</v>
      </c>
      <c r="CF50" s="31">
        <f t="shared" ref="CF50" si="228">CF49/CF7</f>
        <v>0.20117908105304075</v>
      </c>
      <c r="CG50" s="297"/>
      <c r="CH50" s="8"/>
      <c r="CI50"/>
      <c r="CJ50"/>
      <c r="CK50"/>
      <c r="CL50"/>
      <c r="CM50"/>
      <c r="CN50"/>
      <c r="CO50" s="8"/>
      <c r="CV50" s="282"/>
      <c r="CW50" s="282"/>
    </row>
    <row r="51" spans="1:101" ht="14.25" customHeight="1">
      <c r="A51" s="8"/>
      <c r="B51" s="342"/>
      <c r="C51" s="21"/>
      <c r="D51" s="343"/>
      <c r="E51" s="34"/>
      <c r="F51" s="43"/>
      <c r="G51" s="35"/>
      <c r="H51" s="343"/>
      <c r="I51" s="34"/>
      <c r="J51" s="43"/>
      <c r="K51" s="35"/>
      <c r="L51" s="343"/>
      <c r="M51" s="34"/>
      <c r="N51" s="43"/>
      <c r="O51" s="35"/>
      <c r="P51" s="343"/>
      <c r="Q51" s="34"/>
      <c r="R51" s="43"/>
      <c r="S51" s="35"/>
      <c r="T51" s="343"/>
      <c r="U51" s="34"/>
      <c r="V51" s="43"/>
      <c r="W51" s="35"/>
      <c r="X51" s="34"/>
      <c r="Y51" s="34"/>
      <c r="Z51" s="34"/>
      <c r="AA51" s="35"/>
      <c r="AB51" s="34"/>
      <c r="AC51" s="34"/>
      <c r="AD51" s="373"/>
      <c r="AE51" s="35"/>
      <c r="AF51" s="34"/>
      <c r="AG51" s="34"/>
      <c r="AH51" s="34"/>
      <c r="AI51" s="35"/>
      <c r="AJ51" s="34"/>
      <c r="AK51" s="34"/>
      <c r="AL51" s="34"/>
      <c r="AM51" s="35"/>
      <c r="AN51" s="34"/>
      <c r="AO51" s="34"/>
      <c r="AP51" s="34"/>
      <c r="AQ51" s="35"/>
      <c r="AR51" s="374"/>
      <c r="AS51" s="374"/>
      <c r="AT51" s="374"/>
      <c r="AU51" s="375"/>
      <c r="AV51" s="374"/>
      <c r="AW51" s="374"/>
      <c r="AX51" s="374"/>
      <c r="AY51" s="31"/>
      <c r="AZ51" s="374"/>
      <c r="BA51" s="374"/>
      <c r="BB51" s="374"/>
      <c r="BC51" s="31"/>
      <c r="BD51" s="374"/>
      <c r="BE51" s="374"/>
      <c r="BF51" s="374"/>
      <c r="BG51" s="34"/>
      <c r="BH51" s="1180"/>
      <c r="BI51" s="374"/>
      <c r="BJ51" s="374"/>
      <c r="BK51" s="34"/>
      <c r="BL51" s="374"/>
      <c r="BM51" s="374"/>
      <c r="BN51" s="374"/>
      <c r="BO51" s="34"/>
      <c r="BP51" s="152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45"/>
      <c r="CC51" s="45"/>
      <c r="CD51" s="45"/>
      <c r="CE51" s="45"/>
      <c r="CF51" s="1137"/>
      <c r="CG51" s="297"/>
      <c r="CH51" s="8"/>
      <c r="CO51" s="8"/>
      <c r="CV51" s="282"/>
      <c r="CW51" s="282"/>
    </row>
    <row r="52" spans="1:101" ht="14.25" customHeight="1">
      <c r="A52" s="12"/>
      <c r="B52" s="320" t="s">
        <v>278</v>
      </c>
      <c r="C52" s="39"/>
      <c r="D52" s="357">
        <f t="shared" ref="D52:AQ52" si="229">D19-D47</f>
        <v>436</v>
      </c>
      <c r="E52" s="40">
        <f t="shared" si="229"/>
        <v>602</v>
      </c>
      <c r="F52" s="40">
        <f t="shared" si="229"/>
        <v>761</v>
      </c>
      <c r="G52" s="41">
        <f t="shared" si="229"/>
        <v>760</v>
      </c>
      <c r="H52" s="357">
        <f t="shared" si="229"/>
        <v>718</v>
      </c>
      <c r="I52" s="40">
        <f t="shared" si="229"/>
        <v>953</v>
      </c>
      <c r="J52" s="40">
        <f t="shared" si="229"/>
        <v>930</v>
      </c>
      <c r="K52" s="41">
        <f t="shared" si="229"/>
        <v>767</v>
      </c>
      <c r="L52" s="357">
        <f t="shared" si="229"/>
        <v>680</v>
      </c>
      <c r="M52" s="40">
        <f t="shared" si="229"/>
        <v>809</v>
      </c>
      <c r="N52" s="40">
        <f t="shared" si="229"/>
        <v>1013</v>
      </c>
      <c r="O52" s="41">
        <f t="shared" si="229"/>
        <v>996</v>
      </c>
      <c r="P52" s="357">
        <f t="shared" si="229"/>
        <v>807</v>
      </c>
      <c r="Q52" s="40">
        <f t="shared" si="229"/>
        <v>833</v>
      </c>
      <c r="R52" s="40">
        <f t="shared" si="229"/>
        <v>746</v>
      </c>
      <c r="S52" s="41">
        <f t="shared" si="229"/>
        <v>51</v>
      </c>
      <c r="T52" s="357">
        <f t="shared" si="229"/>
        <v>10</v>
      </c>
      <c r="U52" s="40">
        <f t="shared" si="229"/>
        <v>343</v>
      </c>
      <c r="V52" s="40">
        <f t="shared" si="229"/>
        <v>763</v>
      </c>
      <c r="W52" s="41">
        <f t="shared" si="229"/>
        <v>875</v>
      </c>
      <c r="X52" s="40">
        <f t="shared" si="229"/>
        <v>950</v>
      </c>
      <c r="Y52" s="40">
        <f t="shared" si="229"/>
        <v>1107</v>
      </c>
      <c r="Z52" s="40">
        <f t="shared" si="229"/>
        <v>1227</v>
      </c>
      <c r="AA52" s="41">
        <f t="shared" si="229"/>
        <v>1230</v>
      </c>
      <c r="AB52" s="40">
        <f t="shared" si="229"/>
        <v>908</v>
      </c>
      <c r="AC52" s="40">
        <f t="shared" si="229"/>
        <v>905</v>
      </c>
      <c r="AD52" s="40">
        <f t="shared" si="229"/>
        <v>814</v>
      </c>
      <c r="AE52" s="41">
        <f t="shared" si="229"/>
        <v>365</v>
      </c>
      <c r="AF52" s="40">
        <f t="shared" si="229"/>
        <v>397</v>
      </c>
      <c r="AG52" s="40">
        <f t="shared" si="229"/>
        <v>598</v>
      </c>
      <c r="AH52" s="40">
        <f t="shared" si="229"/>
        <v>840</v>
      </c>
      <c r="AI52" s="41">
        <f>AI19-AI47</f>
        <v>139</v>
      </c>
      <c r="AJ52" s="40">
        <f t="shared" si="229"/>
        <v>395</v>
      </c>
      <c r="AK52" s="40">
        <f>AK19-AK47</f>
        <v>906</v>
      </c>
      <c r="AL52" s="40">
        <f t="shared" si="229"/>
        <v>844</v>
      </c>
      <c r="AM52" s="41">
        <f>AM19-AM47</f>
        <v>687</v>
      </c>
      <c r="AN52" s="40">
        <f>AN19-AN47</f>
        <v>690</v>
      </c>
      <c r="AO52" s="40">
        <f>AO19-AO47</f>
        <v>982</v>
      </c>
      <c r="AP52" s="40">
        <f t="shared" si="229"/>
        <v>1175</v>
      </c>
      <c r="AQ52" s="41">
        <f t="shared" si="229"/>
        <v>1100</v>
      </c>
      <c r="AR52" s="40">
        <f t="shared" ref="AR52:AV52" si="230">AR19-AR47</f>
        <v>958</v>
      </c>
      <c r="AS52" s="40">
        <f t="shared" si="230"/>
        <v>1010</v>
      </c>
      <c r="AT52" s="40">
        <f t="shared" si="230"/>
        <v>1164</v>
      </c>
      <c r="AU52" s="41">
        <f>AU19-AU47</f>
        <v>1142</v>
      </c>
      <c r="AV52" s="40">
        <f t="shared" si="230"/>
        <v>968</v>
      </c>
      <c r="AW52" s="40">
        <f>AW19-AW47</f>
        <v>1117</v>
      </c>
      <c r="AX52" s="40">
        <f>AX19-AX47</f>
        <v>1395</v>
      </c>
      <c r="AY52" s="41">
        <f>AY19-AY47</f>
        <v>1319</v>
      </c>
      <c r="AZ52" s="40">
        <f t="shared" ref="AZ52" si="231">AZ19-AZ47</f>
        <v>1252</v>
      </c>
      <c r="BA52" s="40">
        <f>BA19-BA47</f>
        <v>1480</v>
      </c>
      <c r="BB52" s="40">
        <f>BB19-BB47</f>
        <v>1788</v>
      </c>
      <c r="BC52" s="41">
        <f>BC19-BC47</f>
        <v>1563</v>
      </c>
      <c r="BD52" s="40">
        <f t="shared" ref="BD52" si="232">BD19-BD47</f>
        <v>1548</v>
      </c>
      <c r="BE52" s="40">
        <f t="shared" ref="BE52:BG52" si="233">BE19-BE47</f>
        <v>1635.3088283849929</v>
      </c>
      <c r="BF52" s="40">
        <f t="shared" si="233"/>
        <v>1777.2890869628154</v>
      </c>
      <c r="BG52" s="40">
        <f t="shared" si="233"/>
        <v>1665.7390896439028</v>
      </c>
      <c r="BH52" s="357">
        <f t="shared" ref="BH52:BK52" si="234">BH19-BH47</f>
        <v>1553.4463659019398</v>
      </c>
      <c r="BI52" s="40">
        <f t="shared" si="234"/>
        <v>1708.8030484253441</v>
      </c>
      <c r="BJ52" s="40">
        <f t="shared" si="234"/>
        <v>1894.9660626155401</v>
      </c>
      <c r="BK52" s="40">
        <f t="shared" si="234"/>
        <v>1744.1532227068838</v>
      </c>
      <c r="BL52" s="357">
        <f t="shared" ref="BL52:BO52" si="235">BL19-BL47</f>
        <v>1679.6619513585783</v>
      </c>
      <c r="BM52" s="40">
        <f t="shared" si="235"/>
        <v>1872.981662475775</v>
      </c>
      <c r="BN52" s="40">
        <f t="shared" si="235"/>
        <v>2058.0643045267007</v>
      </c>
      <c r="BO52" s="40">
        <f t="shared" si="235"/>
        <v>1882.1522894034983</v>
      </c>
      <c r="BP52" s="152"/>
      <c r="BQ52" s="40">
        <f t="shared" ref="BQ52:CA52" si="236">BQ19-BQ47</f>
        <v>2559</v>
      </c>
      <c r="BR52" s="40">
        <f t="shared" si="236"/>
        <v>3368</v>
      </c>
      <c r="BS52" s="40">
        <f t="shared" si="236"/>
        <v>3498</v>
      </c>
      <c r="BT52" s="40">
        <f t="shared" si="236"/>
        <v>2437</v>
      </c>
      <c r="BU52" s="40">
        <f t="shared" si="236"/>
        <v>1991</v>
      </c>
      <c r="BV52" s="40">
        <f t="shared" si="236"/>
        <v>4514</v>
      </c>
      <c r="BW52" s="40">
        <f t="shared" si="236"/>
        <v>2992</v>
      </c>
      <c r="BX52" s="40">
        <f t="shared" si="236"/>
        <v>1974</v>
      </c>
      <c r="BY52" s="40">
        <f t="shared" si="236"/>
        <v>2832</v>
      </c>
      <c r="BZ52" s="40">
        <f>BZ19-BZ47</f>
        <v>3947</v>
      </c>
      <c r="CA52" s="40">
        <f t="shared" si="236"/>
        <v>4274</v>
      </c>
      <c r="CB52" s="40">
        <f>CB19-CB47</f>
        <v>4799</v>
      </c>
      <c r="CC52" s="40">
        <f>CC19-CC47</f>
        <v>6083</v>
      </c>
      <c r="CD52" s="40">
        <f>CD19-CD47</f>
        <v>6626.3370049917121</v>
      </c>
      <c r="CE52" s="40">
        <f>CE19-CE47</f>
        <v>6901.3686996497054</v>
      </c>
      <c r="CF52" s="41">
        <f>CF19-CF47</f>
        <v>7492.8602077645537</v>
      </c>
      <c r="CG52" s="364"/>
      <c r="CH52" s="12"/>
      <c r="CO52" s="12"/>
      <c r="CV52" s="282"/>
      <c r="CW52" s="282"/>
    </row>
    <row r="53" spans="1:101" ht="14.25" customHeight="1">
      <c r="A53" s="8"/>
      <c r="B53" s="332" t="s">
        <v>279</v>
      </c>
      <c r="C53" s="29"/>
      <c r="D53" s="339">
        <f t="shared" ref="D53:AQ53" si="237">D52/D7</f>
        <v>0.16136195410806808</v>
      </c>
      <c r="E53" s="30">
        <f t="shared" si="237"/>
        <v>0.20262537866038371</v>
      </c>
      <c r="F53" s="30">
        <f t="shared" si="237"/>
        <v>0.22791254866726565</v>
      </c>
      <c r="G53" s="31">
        <f t="shared" si="237"/>
        <v>0.2286401925391095</v>
      </c>
      <c r="H53" s="339">
        <f t="shared" si="237"/>
        <v>0.21535692861427713</v>
      </c>
      <c r="I53" s="30">
        <f t="shared" si="237"/>
        <v>0.25777657560183931</v>
      </c>
      <c r="J53" s="30">
        <f t="shared" si="237"/>
        <v>0.24727466099441639</v>
      </c>
      <c r="K53" s="31">
        <f t="shared" si="237"/>
        <v>0.22148426220040426</v>
      </c>
      <c r="L53" s="339">
        <f t="shared" si="237"/>
        <v>0.21309934189909119</v>
      </c>
      <c r="M53" s="30">
        <f t="shared" si="237"/>
        <v>0.2362733644859813</v>
      </c>
      <c r="N53" s="30">
        <f t="shared" si="237"/>
        <v>0.27654927654927652</v>
      </c>
      <c r="O53" s="31">
        <f t="shared" si="237"/>
        <v>0.28008998875140606</v>
      </c>
      <c r="P53" s="339">
        <f t="shared" si="237"/>
        <v>0.24663814180929094</v>
      </c>
      <c r="Q53" s="30">
        <f t="shared" si="237"/>
        <v>0.24858251268278125</v>
      </c>
      <c r="R53" s="30">
        <f t="shared" si="237"/>
        <v>0.2202539120165338</v>
      </c>
      <c r="S53" s="31">
        <f t="shared" si="237"/>
        <v>2.0473705339221198E-2</v>
      </c>
      <c r="T53" s="339">
        <f t="shared" si="237"/>
        <v>4.7938638542665392E-3</v>
      </c>
      <c r="U53" s="30">
        <f t="shared" si="237"/>
        <v>0.1396011396011396</v>
      </c>
      <c r="V53" s="30">
        <f t="shared" si="237"/>
        <v>0.26493055555555556</v>
      </c>
      <c r="W53" s="31">
        <f t="shared" si="237"/>
        <v>0.29127829560585883</v>
      </c>
      <c r="X53" s="30">
        <f t="shared" si="237"/>
        <v>0.29641185647425899</v>
      </c>
      <c r="Y53" s="30">
        <f t="shared" si="237"/>
        <v>0.3166475972540046</v>
      </c>
      <c r="Z53" s="30">
        <f t="shared" si="237"/>
        <v>0.32807486631016042</v>
      </c>
      <c r="AA53" s="31">
        <f t="shared" si="237"/>
        <v>0.34893617021276596</v>
      </c>
      <c r="AB53" s="30">
        <f t="shared" si="237"/>
        <v>0.267688679245283</v>
      </c>
      <c r="AC53" s="30">
        <f t="shared" si="237"/>
        <v>0.26171197223828802</v>
      </c>
      <c r="AD53" s="30">
        <f t="shared" si="237"/>
        <v>0.23485285631852279</v>
      </c>
      <c r="AE53" s="31">
        <f t="shared" si="237"/>
        <v>0.1067251461988304</v>
      </c>
      <c r="AF53" s="30">
        <f t="shared" si="237"/>
        <v>0.12720281960909965</v>
      </c>
      <c r="AG53" s="30">
        <f t="shared" si="237"/>
        <v>0.1793103448275862</v>
      </c>
      <c r="AH53" s="30">
        <f t="shared" si="237"/>
        <v>0.24778761061946902</v>
      </c>
      <c r="AI53" s="31">
        <f t="shared" si="237"/>
        <v>4.6659953004363881E-2</v>
      </c>
      <c r="AJ53" s="30">
        <f t="shared" si="237"/>
        <v>0.1369150779896014</v>
      </c>
      <c r="AK53" s="30">
        <f t="shared" si="237"/>
        <v>0.29734164752215292</v>
      </c>
      <c r="AL53" s="30">
        <f t="shared" si="237"/>
        <v>0.26017262638717631</v>
      </c>
      <c r="AM53" s="31">
        <f t="shared" si="237"/>
        <v>0.22688243064729194</v>
      </c>
      <c r="AN53" s="30">
        <f>AN52/AN7</f>
        <v>0.23131076097888031</v>
      </c>
      <c r="AO53" s="30">
        <f>AO52/AO7</f>
        <v>0.29829890643985418</v>
      </c>
      <c r="AP53" s="30">
        <f t="shared" si="237"/>
        <v>0.33561839474435873</v>
      </c>
      <c r="AQ53" s="31">
        <f t="shared" si="237"/>
        <v>0.33649434077699603</v>
      </c>
      <c r="AR53" s="30">
        <f t="shared" ref="AR53:AX53" si="238">AR52/AR7</f>
        <v>0.30412698412698413</v>
      </c>
      <c r="AS53" s="30">
        <f t="shared" si="238"/>
        <v>0.3125</v>
      </c>
      <c r="AT53" s="30">
        <f t="shared" si="238"/>
        <v>0.33945756780402447</v>
      </c>
      <c r="AU53" s="31">
        <f t="shared" si="238"/>
        <v>0.35810598933835058</v>
      </c>
      <c r="AV53" s="30">
        <f t="shared" si="238"/>
        <v>0.32180851063829785</v>
      </c>
      <c r="AW53" s="30">
        <f t="shared" si="238"/>
        <v>0.34127711579590592</v>
      </c>
      <c r="AX53" s="30">
        <f t="shared" si="238"/>
        <v>0.37959183673469388</v>
      </c>
      <c r="AY53" s="31">
        <f t="shared" ref="AY53:BB53" si="239">AY52/AY7</f>
        <v>0.38635032220269477</v>
      </c>
      <c r="AZ53" s="30">
        <f t="shared" si="239"/>
        <v>0.36801881246325691</v>
      </c>
      <c r="BA53" s="30">
        <f t="shared" si="239"/>
        <v>0.40075819117248851</v>
      </c>
      <c r="BB53" s="30">
        <f t="shared" si="239"/>
        <v>0.43440233236151604</v>
      </c>
      <c r="BC53" s="31">
        <f t="shared" ref="BC53:BD53" si="240">BC52/BC7</f>
        <v>0.4168</v>
      </c>
      <c r="BD53" s="30">
        <f t="shared" si="240"/>
        <v>0.40855106888361042</v>
      </c>
      <c r="BE53" s="30">
        <f t="shared" ref="BE53:BG53" si="241">BE52/BE7</f>
        <v>0.41459247156067547</v>
      </c>
      <c r="BF53" s="30">
        <f t="shared" si="241"/>
        <v>0.42346529358234447</v>
      </c>
      <c r="BG53" s="30">
        <f t="shared" si="241"/>
        <v>0.42121123296474949</v>
      </c>
      <c r="BH53" s="339">
        <f t="shared" ref="BH53:BK53" si="242">BH52/BH7</f>
        <v>0.40342883717089806</v>
      </c>
      <c r="BI53" s="30">
        <f t="shared" si="242"/>
        <v>0.41786288068820515</v>
      </c>
      <c r="BJ53" s="30">
        <f t="shared" si="242"/>
        <v>0.43655431474377315</v>
      </c>
      <c r="BK53" s="30">
        <f t="shared" si="242"/>
        <v>0.42782252450124336</v>
      </c>
      <c r="BL53" s="339">
        <f t="shared" ref="BL53:BO53" si="243">BL52/BL7</f>
        <v>0.42265687447411904</v>
      </c>
      <c r="BM53" s="30">
        <f t="shared" si="243"/>
        <v>0.44391448553592006</v>
      </c>
      <c r="BN53" s="30">
        <f t="shared" si="243"/>
        <v>0.45980046877880659</v>
      </c>
      <c r="BO53" s="30">
        <f t="shared" si="243"/>
        <v>0.44746858472117235</v>
      </c>
      <c r="BP53" s="152"/>
      <c r="BQ53" s="30">
        <f t="shared" ref="BQ53:CA53" si="244">BQ52/BQ7</f>
        <v>0.20744163424124515</v>
      </c>
      <c r="BR53" s="30">
        <f t="shared" si="244"/>
        <v>0.23626797614871975</v>
      </c>
      <c r="BS53" s="30">
        <f t="shared" si="244"/>
        <v>0.25285528408269481</v>
      </c>
      <c r="BT53" s="30">
        <f t="shared" si="244"/>
        <v>0.19494440444764419</v>
      </c>
      <c r="BU53" s="30">
        <f t="shared" si="244"/>
        <v>0.19094658099165629</v>
      </c>
      <c r="BV53" s="30">
        <f t="shared" si="244"/>
        <v>0.32321351854503794</v>
      </c>
      <c r="BW53" s="30">
        <f t="shared" si="244"/>
        <v>0.21782178217821782</v>
      </c>
      <c r="BX53" s="30">
        <f t="shared" si="244"/>
        <v>0.15391812865497076</v>
      </c>
      <c r="BY53" s="30">
        <f t="shared" si="244"/>
        <v>0.232055063913471</v>
      </c>
      <c r="BZ53" s="30">
        <f t="shared" si="244"/>
        <v>0.30256803372939822</v>
      </c>
      <c r="CA53" s="30">
        <f t="shared" si="244"/>
        <v>0.32876923076923076</v>
      </c>
      <c r="CB53" s="30">
        <f>CB52/CB7</f>
        <v>0.35893792071802544</v>
      </c>
      <c r="CC53" s="30">
        <f>CC52/CC7</f>
        <v>0.40659046855156739</v>
      </c>
      <c r="CD53" s="30">
        <f>CD52/CD7</f>
        <v>0.41714350819200391</v>
      </c>
      <c r="CE53" s="30">
        <f>CE52/CE7</f>
        <v>0.42190739484762729</v>
      </c>
      <c r="CF53" s="31">
        <f>CF52/CF7</f>
        <v>0.44400787365448274</v>
      </c>
      <c r="CG53" s="297"/>
      <c r="CH53" s="8"/>
      <c r="CO53" s="8"/>
      <c r="CV53" s="282"/>
      <c r="CW53" s="282"/>
    </row>
    <row r="54" spans="1:101" ht="14.25" customHeight="1">
      <c r="A54" s="8"/>
      <c r="B54" s="320"/>
      <c r="C54" s="39"/>
      <c r="D54" s="357"/>
      <c r="E54" s="40"/>
      <c r="F54" s="40"/>
      <c r="G54" s="41"/>
      <c r="H54" s="357"/>
      <c r="I54" s="40"/>
      <c r="J54" s="40"/>
      <c r="K54" s="41"/>
      <c r="L54" s="357"/>
      <c r="M54" s="40"/>
      <c r="N54" s="40"/>
      <c r="O54" s="41"/>
      <c r="P54" s="357"/>
      <c r="Q54" s="40"/>
      <c r="R54" s="40"/>
      <c r="S54" s="41"/>
      <c r="T54" s="357"/>
      <c r="U54" s="40"/>
      <c r="V54" s="40"/>
      <c r="W54" s="41"/>
      <c r="X54" s="40"/>
      <c r="Y54" s="40"/>
      <c r="Z54" s="40"/>
      <c r="AA54" s="41"/>
      <c r="AB54" s="40"/>
      <c r="AC54" s="40"/>
      <c r="AD54" s="40"/>
      <c r="AE54" s="41"/>
      <c r="AF54" s="40"/>
      <c r="AG54" s="40"/>
      <c r="AH54" s="40"/>
      <c r="AI54" s="41"/>
      <c r="AJ54" s="40"/>
      <c r="AK54" s="40"/>
      <c r="AL54" s="40"/>
      <c r="AM54" s="41"/>
      <c r="AN54" s="40"/>
      <c r="AO54" s="40"/>
      <c r="AP54" s="40"/>
      <c r="AQ54" s="41"/>
      <c r="AR54" s="40"/>
      <c r="AS54" s="40"/>
      <c r="AT54" s="40"/>
      <c r="AU54" s="41"/>
      <c r="AV54" s="40"/>
      <c r="AW54" s="40"/>
      <c r="AX54" s="40"/>
      <c r="AY54" s="41"/>
      <c r="AZ54" s="40"/>
      <c r="BA54" s="40"/>
      <c r="BB54" s="40"/>
      <c r="BC54" s="41"/>
      <c r="BD54" s="40"/>
      <c r="BE54" s="40"/>
      <c r="BF54" s="40"/>
      <c r="BG54" s="40"/>
      <c r="BH54" s="357"/>
      <c r="BI54" s="40"/>
      <c r="BJ54" s="40"/>
      <c r="BK54" s="40"/>
      <c r="BL54" s="357"/>
      <c r="BM54" s="40"/>
      <c r="BN54" s="40"/>
      <c r="BO54" s="40"/>
      <c r="BP54" s="152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1"/>
      <c r="CG54" s="297"/>
      <c r="CH54" s="8"/>
      <c r="CO54" s="8"/>
      <c r="CV54" s="282"/>
      <c r="CW54" s="282"/>
    </row>
    <row r="55" spans="1:101" ht="14.25" customHeight="1" outlineLevel="1">
      <c r="A55" s="8"/>
      <c r="B55" s="320" t="s">
        <v>100</v>
      </c>
      <c r="C55" s="39"/>
      <c r="D55" s="357">
        <f t="shared" ref="D55:AQ55" si="245">D23-D49</f>
        <v>413</v>
      </c>
      <c r="E55" s="40">
        <f t="shared" si="245"/>
        <v>602</v>
      </c>
      <c r="F55" s="40">
        <f t="shared" si="245"/>
        <v>761</v>
      </c>
      <c r="G55" s="41">
        <f t="shared" si="245"/>
        <v>760</v>
      </c>
      <c r="H55" s="357">
        <f t="shared" si="245"/>
        <v>718</v>
      </c>
      <c r="I55" s="40">
        <f t="shared" si="245"/>
        <v>953</v>
      </c>
      <c r="J55" s="40">
        <f t="shared" si="245"/>
        <v>930</v>
      </c>
      <c r="K55" s="41">
        <f t="shared" si="245"/>
        <v>767</v>
      </c>
      <c r="L55" s="357">
        <f t="shared" si="245"/>
        <v>694</v>
      </c>
      <c r="M55" s="40">
        <f t="shared" si="245"/>
        <v>826</v>
      </c>
      <c r="N55" s="40">
        <f t="shared" si="245"/>
        <v>989</v>
      </c>
      <c r="O55" s="41">
        <f t="shared" si="245"/>
        <v>1002</v>
      </c>
      <c r="P55" s="357">
        <f t="shared" si="245"/>
        <v>807</v>
      </c>
      <c r="Q55" s="40">
        <f t="shared" si="245"/>
        <v>833</v>
      </c>
      <c r="R55" s="40">
        <f t="shared" si="245"/>
        <v>746</v>
      </c>
      <c r="S55" s="41">
        <f t="shared" si="245"/>
        <v>305</v>
      </c>
      <c r="T55" s="357">
        <f t="shared" si="245"/>
        <v>115</v>
      </c>
      <c r="U55" s="40">
        <f t="shared" si="245"/>
        <v>428</v>
      </c>
      <c r="V55" s="40">
        <f t="shared" si="245"/>
        <v>773</v>
      </c>
      <c r="W55" s="41">
        <f t="shared" si="245"/>
        <v>887</v>
      </c>
      <c r="X55" s="40">
        <f t="shared" si="245"/>
        <v>960</v>
      </c>
      <c r="Y55" s="40">
        <f t="shared" si="245"/>
        <v>1124</v>
      </c>
      <c r="Z55" s="40">
        <f t="shared" si="245"/>
        <v>1231</v>
      </c>
      <c r="AA55" s="41">
        <f t="shared" si="245"/>
        <v>1088</v>
      </c>
      <c r="AB55" s="40">
        <f t="shared" si="245"/>
        <v>910</v>
      </c>
      <c r="AC55" s="40">
        <f t="shared" si="245"/>
        <v>918</v>
      </c>
      <c r="AD55" s="40">
        <f t="shared" si="245"/>
        <v>961</v>
      </c>
      <c r="AE55" s="41">
        <f t="shared" si="245"/>
        <v>733</v>
      </c>
      <c r="AF55" s="40">
        <f t="shared" si="245"/>
        <v>581</v>
      </c>
      <c r="AG55" s="40">
        <f t="shared" si="245"/>
        <v>715</v>
      </c>
      <c r="AH55" s="40">
        <f t="shared" si="245"/>
        <v>824</v>
      </c>
      <c r="AI55" s="41">
        <f>AI23-AI49</f>
        <v>590</v>
      </c>
      <c r="AJ55" s="40">
        <f t="shared" si="245"/>
        <v>496</v>
      </c>
      <c r="AK55" s="40">
        <f>AK23-AK49</f>
        <v>710</v>
      </c>
      <c r="AL55" s="40">
        <f t="shared" si="245"/>
        <v>946</v>
      </c>
      <c r="AM55" s="41">
        <f>AM23-AM49</f>
        <v>833</v>
      </c>
      <c r="AN55" s="40">
        <f>AN23-AN49</f>
        <v>762</v>
      </c>
      <c r="AO55" s="40">
        <f>AO23-AO49</f>
        <v>1060</v>
      </c>
      <c r="AP55" s="40">
        <f t="shared" si="245"/>
        <v>1249</v>
      </c>
      <c r="AQ55" s="41">
        <f t="shared" si="245"/>
        <v>1155</v>
      </c>
      <c r="AR55" s="40">
        <f t="shared" ref="AR55:AX55" si="246">AR23-AR49</f>
        <v>1039</v>
      </c>
      <c r="AS55" s="40">
        <f t="shared" si="246"/>
        <v>1091</v>
      </c>
      <c r="AT55" s="40">
        <f t="shared" si="246"/>
        <v>1247</v>
      </c>
      <c r="AU55" s="41">
        <f t="shared" si="246"/>
        <v>1155</v>
      </c>
      <c r="AV55" s="40">
        <f t="shared" si="246"/>
        <v>1050</v>
      </c>
      <c r="AW55" s="40">
        <f t="shared" si="246"/>
        <v>1198</v>
      </c>
      <c r="AX55" s="40">
        <f t="shared" si="246"/>
        <v>1476</v>
      </c>
      <c r="AY55" s="41">
        <f t="shared" ref="AY55:BB55" si="247">AY23-AY49</f>
        <v>1379</v>
      </c>
      <c r="AZ55" s="40">
        <f t="shared" si="247"/>
        <v>1336</v>
      </c>
      <c r="BA55" s="40">
        <f t="shared" si="247"/>
        <v>1562</v>
      </c>
      <c r="BB55" s="40">
        <f t="shared" si="247"/>
        <v>1869</v>
      </c>
      <c r="BC55" s="41">
        <f t="shared" ref="BC55:BD55" si="248">BC23-BC49</f>
        <v>1645</v>
      </c>
      <c r="BD55" s="40">
        <f t="shared" si="248"/>
        <v>1629</v>
      </c>
      <c r="BE55" s="40">
        <f t="shared" ref="BE55:BG55" si="249">BE23-BE49</f>
        <v>1715.3088283849929</v>
      </c>
      <c r="BF55" s="40">
        <f t="shared" si="249"/>
        <v>1857.2890869628154</v>
      </c>
      <c r="BG55" s="40">
        <f t="shared" si="249"/>
        <v>1745.7390896439028</v>
      </c>
      <c r="BH55" s="357">
        <f t="shared" ref="BH55:BK55" si="250">BH23-BH49</f>
        <v>1633.4463659019398</v>
      </c>
      <c r="BI55" s="40">
        <f t="shared" si="250"/>
        <v>1788.8030484253441</v>
      </c>
      <c r="BJ55" s="40">
        <f t="shared" si="250"/>
        <v>1974.9660626155401</v>
      </c>
      <c r="BK55" s="40">
        <f t="shared" si="250"/>
        <v>1794.1532227068838</v>
      </c>
      <c r="BL55" s="357">
        <f t="shared" ref="BL55:BO55" si="251">BL23-BL49</f>
        <v>1729.6619513585783</v>
      </c>
      <c r="BM55" s="40">
        <f t="shared" si="251"/>
        <v>1922.981662475775</v>
      </c>
      <c r="BN55" s="40">
        <f t="shared" si="251"/>
        <v>2108.0643045267007</v>
      </c>
      <c r="BO55" s="40">
        <f t="shared" si="251"/>
        <v>1932.1522894034983</v>
      </c>
      <c r="BP55" s="152"/>
      <c r="BQ55" s="40">
        <f t="shared" ref="BQ55:CA55" si="252">BQ23-BQ49</f>
        <v>2536</v>
      </c>
      <c r="BR55" s="40">
        <f t="shared" si="252"/>
        <v>3368</v>
      </c>
      <c r="BS55" s="40">
        <f t="shared" si="252"/>
        <v>3511</v>
      </c>
      <c r="BT55" s="40">
        <f t="shared" si="252"/>
        <v>2691</v>
      </c>
      <c r="BU55" s="40">
        <f t="shared" si="252"/>
        <v>2203</v>
      </c>
      <c r="BV55" s="40">
        <f t="shared" si="252"/>
        <v>4403</v>
      </c>
      <c r="BW55" s="40">
        <f t="shared" si="252"/>
        <v>3522</v>
      </c>
      <c r="BX55" s="40">
        <f t="shared" si="252"/>
        <v>2710</v>
      </c>
      <c r="BY55" s="40">
        <f t="shared" si="252"/>
        <v>2985</v>
      </c>
      <c r="BZ55" s="40">
        <f t="shared" si="252"/>
        <v>4226</v>
      </c>
      <c r="CA55" s="40">
        <f t="shared" si="252"/>
        <v>4532</v>
      </c>
      <c r="CB55" s="40">
        <f>CB23-CB49</f>
        <v>5103</v>
      </c>
      <c r="CC55" s="40">
        <f>CC23-CC49</f>
        <v>6412</v>
      </c>
      <c r="CD55" s="40">
        <f>CD23-CD49</f>
        <v>6947.3370049917121</v>
      </c>
      <c r="CE55" s="40">
        <f>CE23-CE49</f>
        <v>7191.3686996497054</v>
      </c>
      <c r="CF55" s="41">
        <f>CF23-CF49</f>
        <v>7692.8602077645537</v>
      </c>
      <c r="CG55" s="364"/>
      <c r="CH55" s="8"/>
      <c r="CO55" s="8"/>
      <c r="CV55" s="282"/>
      <c r="CW55" s="282"/>
    </row>
    <row r="56" spans="1:101" ht="14.25" customHeight="1" outlineLevel="1">
      <c r="A56" s="8"/>
      <c r="B56" s="332" t="s">
        <v>101</v>
      </c>
      <c r="C56" s="29"/>
      <c r="D56" s="339">
        <f t="shared" ref="D56:AQ56" si="253">D55/D10</f>
        <v>0.15284974093264247</v>
      </c>
      <c r="E56" s="30">
        <f t="shared" si="253"/>
        <v>0.20262537866038371</v>
      </c>
      <c r="F56" s="30">
        <f t="shared" si="253"/>
        <v>0.22791254866726565</v>
      </c>
      <c r="G56" s="31">
        <f t="shared" si="253"/>
        <v>0.2286401925391095</v>
      </c>
      <c r="H56" s="339">
        <f t="shared" si="253"/>
        <v>0.21535692861427713</v>
      </c>
      <c r="I56" s="30">
        <f t="shared" si="253"/>
        <v>0.25777657560183931</v>
      </c>
      <c r="J56" s="30">
        <f t="shared" si="253"/>
        <v>0.24727466099441639</v>
      </c>
      <c r="K56" s="31">
        <f t="shared" si="253"/>
        <v>0.22148426220040426</v>
      </c>
      <c r="L56" s="339">
        <f t="shared" si="253"/>
        <v>0.2174866812911313</v>
      </c>
      <c r="M56" s="30">
        <f t="shared" si="253"/>
        <v>0.24123831775700935</v>
      </c>
      <c r="N56" s="30">
        <f t="shared" si="253"/>
        <v>0.26999726999726997</v>
      </c>
      <c r="O56" s="31">
        <f t="shared" si="253"/>
        <v>0.28177727784026996</v>
      </c>
      <c r="P56" s="339">
        <f t="shared" si="253"/>
        <v>0.24663814180929094</v>
      </c>
      <c r="Q56" s="30">
        <f t="shared" si="253"/>
        <v>0.24858251268278125</v>
      </c>
      <c r="R56" s="30">
        <f t="shared" si="253"/>
        <v>0.2202539120165338</v>
      </c>
      <c r="S56" s="31">
        <f t="shared" si="253"/>
        <v>0.12244078683259735</v>
      </c>
      <c r="T56" s="339">
        <f t="shared" si="253"/>
        <v>5.5129434324065196E-2</v>
      </c>
      <c r="U56" s="30">
        <f t="shared" si="253"/>
        <v>0.1741961741961742</v>
      </c>
      <c r="V56" s="30">
        <f t="shared" si="253"/>
        <v>0.26840277777777777</v>
      </c>
      <c r="W56" s="31">
        <f t="shared" si="253"/>
        <v>0.29527296937416775</v>
      </c>
      <c r="X56" s="30">
        <f t="shared" si="253"/>
        <v>0.29953198127925118</v>
      </c>
      <c r="Y56" s="30">
        <f t="shared" si="253"/>
        <v>0.32151029748283755</v>
      </c>
      <c r="Z56" s="30">
        <f t="shared" si="253"/>
        <v>0.32914438502673798</v>
      </c>
      <c r="AA56" s="31">
        <f t="shared" si="253"/>
        <v>0.30865248226950354</v>
      </c>
      <c r="AB56" s="30">
        <f t="shared" si="253"/>
        <v>0.26827830188679247</v>
      </c>
      <c r="AC56" s="30">
        <f t="shared" si="253"/>
        <v>0.26547137073452864</v>
      </c>
      <c r="AD56" s="30">
        <f t="shared" si="253"/>
        <v>0.27726485862665895</v>
      </c>
      <c r="AE56" s="31">
        <f t="shared" si="253"/>
        <v>0.21432748538011695</v>
      </c>
      <c r="AF56" s="30">
        <f t="shared" si="253"/>
        <v>0.1861582826017302</v>
      </c>
      <c r="AG56" s="30">
        <f t="shared" si="253"/>
        <v>0.2143928035982009</v>
      </c>
      <c r="AH56" s="30">
        <f t="shared" si="253"/>
        <v>0.24306784660766961</v>
      </c>
      <c r="AI56" s="31">
        <f t="shared" si="253"/>
        <v>0.19805303793219201</v>
      </c>
      <c r="AJ56" s="30">
        <f t="shared" si="253"/>
        <v>0.17192374350086656</v>
      </c>
      <c r="AK56" s="30">
        <f t="shared" si="253"/>
        <v>0.23301608139153265</v>
      </c>
      <c r="AL56" s="30">
        <f t="shared" si="253"/>
        <v>0.29161528976572132</v>
      </c>
      <c r="AM56" s="31">
        <f t="shared" si="253"/>
        <v>0.27509907529722588</v>
      </c>
      <c r="AN56" s="30">
        <f>AN55/AN10</f>
        <v>0.25544753603754611</v>
      </c>
      <c r="AO56" s="30">
        <f>AO55/AO10</f>
        <v>0.32199270959902793</v>
      </c>
      <c r="AP56" s="30">
        <f t="shared" si="253"/>
        <v>0.35675521279634392</v>
      </c>
      <c r="AQ56" s="31">
        <f t="shared" si="253"/>
        <v>0.35331905781584583</v>
      </c>
      <c r="AR56" s="30">
        <f t="shared" ref="AR56:AX56" si="254">AR55/AR10</f>
        <v>0.32984126984126982</v>
      </c>
      <c r="AS56" s="30">
        <f t="shared" si="254"/>
        <v>0.33756188118811881</v>
      </c>
      <c r="AT56" s="30">
        <f t="shared" si="254"/>
        <v>0.36366287547389908</v>
      </c>
      <c r="AU56" s="31">
        <f t="shared" si="254"/>
        <v>0.36218250235183441</v>
      </c>
      <c r="AV56" s="30">
        <f t="shared" si="254"/>
        <v>0.34906914893617019</v>
      </c>
      <c r="AW56" s="30">
        <f t="shared" si="254"/>
        <v>0.36602505346776659</v>
      </c>
      <c r="AX56" s="30">
        <f t="shared" si="254"/>
        <v>0.40163265306122448</v>
      </c>
      <c r="AY56" s="31">
        <f t="shared" ref="AY56:BB56" si="255">AY55/AY10</f>
        <v>0.40392501464557706</v>
      </c>
      <c r="AZ56" s="30">
        <f t="shared" si="255"/>
        <v>0.39271017048794826</v>
      </c>
      <c r="BA56" s="30">
        <f t="shared" si="255"/>
        <v>0.42296236122393716</v>
      </c>
      <c r="BB56" s="30">
        <f t="shared" si="255"/>
        <v>0.45408163265306123</v>
      </c>
      <c r="BC56" s="31">
        <f t="shared" ref="BC56:BD56" si="256">BC55/BC10</f>
        <v>0.43866666666666665</v>
      </c>
      <c r="BD56" s="30">
        <f t="shared" si="256"/>
        <v>0.42992874109263657</v>
      </c>
      <c r="BE56" s="30">
        <f t="shared" ref="BE56:BG56" si="257">BE55/BE10</f>
        <v>0.43487451073832095</v>
      </c>
      <c r="BF56" s="30">
        <f t="shared" si="257"/>
        <v>0.4425264714937443</v>
      </c>
      <c r="BG56" s="30">
        <f t="shared" si="257"/>
        <v>0.4414406307417949</v>
      </c>
      <c r="BH56" s="339">
        <f t="shared" ref="BH56:BK56" si="258">BH55/BH10</f>
        <v>0.42420477619402175</v>
      </c>
      <c r="BI56" s="30">
        <f t="shared" si="258"/>
        <v>0.43742571473503178</v>
      </c>
      <c r="BJ56" s="30">
        <f t="shared" si="258"/>
        <v>0.45498437841008349</v>
      </c>
      <c r="BK56" s="30">
        <f t="shared" si="258"/>
        <v>0.44008700100856746</v>
      </c>
      <c r="BL56" s="339">
        <f t="shared" ref="BL56:BO56" si="259">BL55/BL10</f>
        <v>0.43523847978262342</v>
      </c>
      <c r="BM56" s="30">
        <f t="shared" si="259"/>
        <v>0.45576496155577434</v>
      </c>
      <c r="BN56" s="30">
        <f t="shared" si="259"/>
        <v>0.47097117097133473</v>
      </c>
      <c r="BO56" s="30">
        <f t="shared" si="259"/>
        <v>0.45935573612864389</v>
      </c>
      <c r="BP56" s="152"/>
      <c r="BQ56" s="30">
        <f t="shared" ref="BQ56:CA56" si="260">BQ55/BQ10</f>
        <v>0.20557717250324253</v>
      </c>
      <c r="BR56" s="30">
        <f t="shared" si="260"/>
        <v>0.23626797614871975</v>
      </c>
      <c r="BS56" s="30">
        <f t="shared" si="260"/>
        <v>0.25379499783142984</v>
      </c>
      <c r="BT56" s="30">
        <f t="shared" si="260"/>
        <v>0.21526277897768178</v>
      </c>
      <c r="BU56" s="30">
        <f t="shared" si="260"/>
        <v>0.21127841181547904</v>
      </c>
      <c r="BV56" s="30">
        <f t="shared" si="260"/>
        <v>0.31526564513819277</v>
      </c>
      <c r="BW56" s="30">
        <f t="shared" si="260"/>
        <v>0.25640652300524169</v>
      </c>
      <c r="BX56" s="30">
        <f t="shared" si="260"/>
        <v>0.21130604288499025</v>
      </c>
      <c r="BY56" s="30">
        <f t="shared" si="260"/>
        <v>0.24459193706981316</v>
      </c>
      <c r="BZ56" s="30">
        <f t="shared" si="260"/>
        <v>0.32395553852050596</v>
      </c>
      <c r="CA56" s="30">
        <f t="shared" si="260"/>
        <v>0.3486153846153846</v>
      </c>
      <c r="CB56" s="30">
        <f>CB55/CB10</f>
        <v>0.38167539267015704</v>
      </c>
      <c r="CC56" s="30">
        <f>CC55/CC10</f>
        <v>0.4285809772074059</v>
      </c>
      <c r="CD56" s="30">
        <f>CD55/CD10</f>
        <v>0.43735121359979745</v>
      </c>
      <c r="CE56" s="30">
        <f>CE55/CE10</f>
        <v>0.43963621790152707</v>
      </c>
      <c r="CF56" s="31">
        <f>CF55/CF10</f>
        <v>0.45585936591092108</v>
      </c>
      <c r="CG56" s="297"/>
      <c r="CH56" s="8"/>
      <c r="CO56" s="8"/>
      <c r="CV56" s="282"/>
      <c r="CW56" s="282"/>
    </row>
    <row r="57" spans="1:101" ht="8.25" customHeight="1">
      <c r="A57" s="8"/>
      <c r="B57" s="342"/>
      <c r="C57" s="21"/>
      <c r="D57" s="343"/>
      <c r="E57" s="34"/>
      <c r="F57" s="38"/>
      <c r="G57" s="35"/>
      <c r="H57" s="343"/>
      <c r="I57" s="34"/>
      <c r="J57" s="38"/>
      <c r="K57" s="35"/>
      <c r="L57" s="343"/>
      <c r="M57" s="34"/>
      <c r="N57" s="38"/>
      <c r="O57" s="35"/>
      <c r="P57" s="343"/>
      <c r="Q57" s="34"/>
      <c r="R57" s="38"/>
      <c r="S57" s="35"/>
      <c r="T57" s="343"/>
      <c r="U57" s="34"/>
      <c r="V57" s="38"/>
      <c r="W57" s="35"/>
      <c r="X57" s="34"/>
      <c r="Y57" s="34"/>
      <c r="Z57" s="34"/>
      <c r="AA57" s="35"/>
      <c r="AB57" s="34"/>
      <c r="AC57" s="34"/>
      <c r="AD57" s="376"/>
      <c r="AE57" s="35"/>
      <c r="AF57" s="34"/>
      <c r="AG57" s="376"/>
      <c r="AH57" s="376"/>
      <c r="AI57" s="35"/>
      <c r="AJ57" s="376"/>
      <c r="AK57" s="376"/>
      <c r="AL57" s="376"/>
      <c r="AM57" s="35"/>
      <c r="AN57" s="376"/>
      <c r="AO57" s="376"/>
      <c r="AP57" s="34"/>
      <c r="AQ57" s="35"/>
      <c r="AR57" s="376"/>
      <c r="AS57" s="376"/>
      <c r="AT57" s="34"/>
      <c r="AU57" s="35"/>
      <c r="AV57" s="376"/>
      <c r="AW57" s="376"/>
      <c r="AX57" s="34"/>
      <c r="AY57" s="35"/>
      <c r="AZ57" s="376"/>
      <c r="BA57" s="376"/>
      <c r="BB57" s="34"/>
      <c r="BC57" s="35"/>
      <c r="BD57" s="376"/>
      <c r="BE57" s="34"/>
      <c r="BF57" s="34"/>
      <c r="BG57" s="34"/>
      <c r="BH57" s="343"/>
      <c r="BI57" s="34"/>
      <c r="BJ57" s="34"/>
      <c r="BK57" s="34"/>
      <c r="BL57" s="343"/>
      <c r="BM57" s="34"/>
      <c r="BN57" s="34"/>
      <c r="BO57" s="34"/>
      <c r="BP57" s="152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0"/>
      <c r="CB57" s="34"/>
      <c r="CC57" s="34"/>
      <c r="CD57" s="34"/>
      <c r="CE57" s="34"/>
      <c r="CF57" s="35"/>
      <c r="CG57" s="297"/>
      <c r="CH57" s="8"/>
      <c r="CO57" s="8"/>
      <c r="CV57" s="282"/>
      <c r="CW57" s="282"/>
    </row>
    <row r="58" spans="1:101" ht="14.25" customHeight="1">
      <c r="A58" s="368"/>
      <c r="B58" s="345" t="s">
        <v>13</v>
      </c>
      <c r="C58" s="346"/>
      <c r="D58" s="353">
        <f t="shared" ref="D58:AQ58" si="261">D59+D60</f>
        <v>46</v>
      </c>
      <c r="E58" s="352">
        <f t="shared" si="261"/>
        <v>54</v>
      </c>
      <c r="F58" s="352">
        <f t="shared" si="261"/>
        <v>47</v>
      </c>
      <c r="G58" s="354">
        <f t="shared" si="261"/>
        <v>49</v>
      </c>
      <c r="H58" s="353">
        <f t="shared" si="261"/>
        <v>49</v>
      </c>
      <c r="I58" s="352">
        <f t="shared" si="261"/>
        <v>86</v>
      </c>
      <c r="J58" s="352">
        <f t="shared" si="261"/>
        <v>54</v>
      </c>
      <c r="K58" s="354">
        <f t="shared" si="261"/>
        <v>69</v>
      </c>
      <c r="L58" s="353">
        <f t="shared" si="261"/>
        <v>39</v>
      </c>
      <c r="M58" s="352">
        <f t="shared" si="261"/>
        <v>56</v>
      </c>
      <c r="N58" s="352">
        <f t="shared" si="261"/>
        <v>53</v>
      </c>
      <c r="O58" s="354">
        <f t="shared" si="261"/>
        <v>46</v>
      </c>
      <c r="P58" s="353">
        <f t="shared" si="261"/>
        <v>33</v>
      </c>
      <c r="Q58" s="352">
        <f t="shared" si="261"/>
        <v>17</v>
      </c>
      <c r="R58" s="352">
        <f t="shared" si="261"/>
        <v>10</v>
      </c>
      <c r="S58" s="354">
        <f t="shared" si="261"/>
        <v>-16</v>
      </c>
      <c r="T58" s="353">
        <f t="shared" si="261"/>
        <v>5</v>
      </c>
      <c r="U58" s="352">
        <f t="shared" si="261"/>
        <v>13</v>
      </c>
      <c r="V58" s="352">
        <f t="shared" si="261"/>
        <v>2</v>
      </c>
      <c r="W58" s="354">
        <f t="shared" si="261"/>
        <v>6</v>
      </c>
      <c r="X58" s="352">
        <f t="shared" si="261"/>
        <v>7</v>
      </c>
      <c r="Y58" s="352">
        <f t="shared" si="261"/>
        <v>4</v>
      </c>
      <c r="Z58" s="352">
        <f t="shared" si="261"/>
        <v>8</v>
      </c>
      <c r="AA58" s="354">
        <f t="shared" si="261"/>
        <v>18</v>
      </c>
      <c r="AB58" s="352">
        <f t="shared" si="261"/>
        <v>10</v>
      </c>
      <c r="AC58" s="352">
        <f t="shared" si="261"/>
        <v>4</v>
      </c>
      <c r="AD58" s="352">
        <f t="shared" si="261"/>
        <v>-34</v>
      </c>
      <c r="AE58" s="354">
        <f t="shared" si="261"/>
        <v>-16</v>
      </c>
      <c r="AF58" s="352">
        <f t="shared" si="261"/>
        <v>-35</v>
      </c>
      <c r="AG58" s="352">
        <f>AG59+AG60</f>
        <v>-22</v>
      </c>
      <c r="AH58" s="352">
        <f>AH59+AH60</f>
        <v>3</v>
      </c>
      <c r="AI58" s="354">
        <f>AI59+AI60</f>
        <v>16</v>
      </c>
      <c r="AJ58" s="352">
        <f t="shared" si="261"/>
        <v>-21</v>
      </c>
      <c r="AK58" s="352">
        <f>AK59+AK60</f>
        <v>-24</v>
      </c>
      <c r="AL58" s="352">
        <f t="shared" si="261"/>
        <v>-28</v>
      </c>
      <c r="AM58" s="354">
        <f>AM59+AM60</f>
        <v>-5</v>
      </c>
      <c r="AN58" s="352">
        <f>AN59+AN60</f>
        <v>-19</v>
      </c>
      <c r="AO58" s="352">
        <f>AO59+AO60</f>
        <v>-21</v>
      </c>
      <c r="AP58" s="352">
        <f t="shared" si="261"/>
        <v>-20</v>
      </c>
      <c r="AQ58" s="354">
        <f t="shared" si="261"/>
        <v>-13</v>
      </c>
      <c r="AR58" s="352">
        <f t="shared" ref="AR58:AX58" si="262">AR59+AR60</f>
        <v>-18</v>
      </c>
      <c r="AS58" s="352">
        <f t="shared" si="262"/>
        <v>-21</v>
      </c>
      <c r="AT58" s="352">
        <f t="shared" si="262"/>
        <v>-16</v>
      </c>
      <c r="AU58" s="354">
        <f t="shared" si="262"/>
        <v>-3</v>
      </c>
      <c r="AV58" s="352">
        <f t="shared" si="262"/>
        <v>-18</v>
      </c>
      <c r="AW58" s="352">
        <f t="shared" si="262"/>
        <v>-15</v>
      </c>
      <c r="AX58" s="352">
        <f t="shared" si="262"/>
        <v>-14</v>
      </c>
      <c r="AY58" s="354">
        <f t="shared" ref="AY58:BB58" si="263">AY59+AY60</f>
        <v>178</v>
      </c>
      <c r="AZ58" s="352">
        <f t="shared" si="263"/>
        <v>3</v>
      </c>
      <c r="BA58" s="352">
        <f t="shared" si="263"/>
        <v>6</v>
      </c>
      <c r="BB58" s="352">
        <f t="shared" si="263"/>
        <v>1</v>
      </c>
      <c r="BC58" s="354">
        <f t="shared" ref="BC58:BD58" si="264">BC59+BC60</f>
        <v>-13</v>
      </c>
      <c r="BD58" s="352">
        <f t="shared" si="264"/>
        <v>5</v>
      </c>
      <c r="BE58" s="352">
        <f t="shared" ref="BE58:BG58" si="265">BE59+BE60</f>
        <v>-0.953125</v>
      </c>
      <c r="BF58" s="352">
        <f t="shared" si="265"/>
        <v>-0.953125</v>
      </c>
      <c r="BG58" s="352">
        <f t="shared" si="265"/>
        <v>-0.953125</v>
      </c>
      <c r="BH58" s="353">
        <f t="shared" ref="BH58:BK58" si="266">BH59+BH60</f>
        <v>-1</v>
      </c>
      <c r="BI58" s="352">
        <f t="shared" si="266"/>
        <v>-0.953125</v>
      </c>
      <c r="BJ58" s="352">
        <f t="shared" si="266"/>
        <v>-0.953125</v>
      </c>
      <c r="BK58" s="352">
        <f t="shared" si="266"/>
        <v>-0.953125</v>
      </c>
      <c r="BL58" s="353">
        <f t="shared" ref="BL58:BO58" si="267">BL59+BL60</f>
        <v>-1</v>
      </c>
      <c r="BM58" s="352">
        <f t="shared" si="267"/>
        <v>-0.953125</v>
      </c>
      <c r="BN58" s="352">
        <f t="shared" si="267"/>
        <v>-0.953125</v>
      </c>
      <c r="BO58" s="352">
        <f t="shared" si="267"/>
        <v>-0.953125</v>
      </c>
      <c r="BP58" s="371"/>
      <c r="BQ58" s="352">
        <f t="shared" ref="BQ58:CA58" si="268">BQ59+BQ60</f>
        <v>196</v>
      </c>
      <c r="BR58" s="352">
        <f t="shared" si="268"/>
        <v>258</v>
      </c>
      <c r="BS58" s="352">
        <f t="shared" si="268"/>
        <v>194</v>
      </c>
      <c r="BT58" s="352">
        <f t="shared" si="268"/>
        <v>44</v>
      </c>
      <c r="BU58" s="352">
        <f t="shared" si="268"/>
        <v>26</v>
      </c>
      <c r="BV58" s="352">
        <f t="shared" si="268"/>
        <v>37</v>
      </c>
      <c r="BW58" s="352">
        <f t="shared" si="268"/>
        <v>-36</v>
      </c>
      <c r="BX58" s="352">
        <f t="shared" si="268"/>
        <v>-38</v>
      </c>
      <c r="BY58" s="352">
        <f t="shared" si="268"/>
        <v>-78</v>
      </c>
      <c r="BZ58" s="352">
        <f t="shared" si="268"/>
        <v>-73</v>
      </c>
      <c r="CA58" s="352">
        <f t="shared" si="268"/>
        <v>-58</v>
      </c>
      <c r="CB58" s="352">
        <f>CB59+CB60</f>
        <v>131</v>
      </c>
      <c r="CC58" s="352">
        <f>CC59+CC60</f>
        <v>-3</v>
      </c>
      <c r="CD58" s="352">
        <f>CD59+CD60</f>
        <v>2.140625</v>
      </c>
      <c r="CE58" s="352">
        <f>CE59+CE60</f>
        <v>-3.859375</v>
      </c>
      <c r="CF58" s="354">
        <f>CF59+CF60</f>
        <v>-3.859375</v>
      </c>
      <c r="CG58" s="364"/>
      <c r="CV58" s="282"/>
      <c r="CW58" s="282"/>
    </row>
    <row r="59" spans="1:101" ht="14.25" customHeight="1" outlineLevel="1">
      <c r="A59" s="8"/>
      <c r="B59" s="336" t="s">
        <v>102</v>
      </c>
      <c r="C59" s="24"/>
      <c r="D59" s="337">
        <v>-2</v>
      </c>
      <c r="E59" s="25">
        <v>-2</v>
      </c>
      <c r="F59" s="25">
        <v>-2</v>
      </c>
      <c r="G59" s="26">
        <v>-2</v>
      </c>
      <c r="H59" s="337">
        <v>-3</v>
      </c>
      <c r="I59" s="25">
        <v>-2</v>
      </c>
      <c r="J59" s="25">
        <v>0</v>
      </c>
      <c r="K59" s="26">
        <v>-1</v>
      </c>
      <c r="L59" s="337">
        <v>-1</v>
      </c>
      <c r="M59" s="25">
        <v>0</v>
      </c>
      <c r="N59" s="25">
        <v>0</v>
      </c>
      <c r="O59" s="26">
        <v>0</v>
      </c>
      <c r="P59" s="337">
        <v>0</v>
      </c>
      <c r="Q59" s="25">
        <v>0</v>
      </c>
      <c r="R59" s="25">
        <v>0</v>
      </c>
      <c r="S59" s="26">
        <v>0</v>
      </c>
      <c r="T59" s="337">
        <v>0</v>
      </c>
      <c r="U59" s="25">
        <v>0</v>
      </c>
      <c r="V59" s="25">
        <v>0</v>
      </c>
      <c r="W59" s="26">
        <v>0</v>
      </c>
      <c r="X59" s="25">
        <v>0</v>
      </c>
      <c r="Y59" s="25">
        <v>0</v>
      </c>
      <c r="Z59" s="25">
        <v>0</v>
      </c>
      <c r="AA59" s="44">
        <v>0</v>
      </c>
      <c r="AB59" s="377">
        <v>0</v>
      </c>
      <c r="AC59" s="25">
        <v>-6</v>
      </c>
      <c r="AD59" s="25">
        <v>-15</v>
      </c>
      <c r="AE59" s="26">
        <v>-21</v>
      </c>
      <c r="AF59" s="25">
        <v>-21</v>
      </c>
      <c r="AG59" s="25">
        <v>-20</v>
      </c>
      <c r="AH59" s="25">
        <v>-21</v>
      </c>
      <c r="AI59" s="26">
        <v>-23</v>
      </c>
      <c r="AJ59" s="25">
        <v>-23</v>
      </c>
      <c r="AK59" s="25">
        <v>-24</v>
      </c>
      <c r="AL59" s="25">
        <v>-24</v>
      </c>
      <c r="AM59" s="26">
        <v>-24</v>
      </c>
      <c r="AN59" s="25">
        <v>-25</v>
      </c>
      <c r="AO59" s="25">
        <v>-24</v>
      </c>
      <c r="AP59" s="25">
        <v>-23</v>
      </c>
      <c r="AQ59" s="26">
        <v>-22</v>
      </c>
      <c r="AR59" s="25">
        <v>-22</v>
      </c>
      <c r="AS59" s="25">
        <v>-24</v>
      </c>
      <c r="AT59" s="25">
        <v>-22</v>
      </c>
      <c r="AU59" s="26">
        <v>-22</v>
      </c>
      <c r="AV59" s="25">
        <v>-22</v>
      </c>
      <c r="AW59" s="25">
        <v>-21</v>
      </c>
      <c r="AX59" s="25">
        <v>-18</v>
      </c>
      <c r="AY59" s="26">
        <v>-19</v>
      </c>
      <c r="AZ59" s="25">
        <v>-18</v>
      </c>
      <c r="BA59" s="25">
        <v>-20</v>
      </c>
      <c r="BB59" s="25">
        <v>-19</v>
      </c>
      <c r="BC59" s="26">
        <v>-21</v>
      </c>
      <c r="BD59" s="25">
        <v>-23</v>
      </c>
      <c r="BE59" s="378">
        <v>-20.953125</v>
      </c>
      <c r="BF59" s="378">
        <v>-20.953125</v>
      </c>
      <c r="BG59" s="378">
        <v>-20.953125</v>
      </c>
      <c r="BH59" s="379">
        <v>-21</v>
      </c>
      <c r="BI59" s="378">
        <v>-20.953125</v>
      </c>
      <c r="BJ59" s="378">
        <v>-20.953125</v>
      </c>
      <c r="BK59" s="378">
        <v>-20.953125</v>
      </c>
      <c r="BL59" s="379">
        <v>-21</v>
      </c>
      <c r="BM59" s="378">
        <v>-20.953125</v>
      </c>
      <c r="BN59" s="378">
        <v>-20.953125</v>
      </c>
      <c r="BO59" s="378">
        <v>-20.953125</v>
      </c>
      <c r="BP59" s="152"/>
      <c r="BQ59" s="27">
        <f>SUM(D59:G59)</f>
        <v>-8</v>
      </c>
      <c r="BR59" s="27">
        <f>SUM(H59:K59)</f>
        <v>-6</v>
      </c>
      <c r="BS59" s="27">
        <f>SUM(L59:O59)</f>
        <v>-1</v>
      </c>
      <c r="BT59" s="27">
        <f>SUM(P59:S59)</f>
        <v>0</v>
      </c>
      <c r="BU59" s="27">
        <f>SUM(T59:W59)</f>
        <v>0</v>
      </c>
      <c r="BV59" s="27">
        <f>SUM(X59:AA59)</f>
        <v>0</v>
      </c>
      <c r="BW59" s="27">
        <f>SUM(AB59:AE59)</f>
        <v>-42</v>
      </c>
      <c r="BX59" s="27">
        <f>SUM(AF59:AI59)</f>
        <v>-85</v>
      </c>
      <c r="BY59" s="27">
        <f>SUM(AJ59:AM59)</f>
        <v>-95</v>
      </c>
      <c r="BZ59" s="27">
        <f>SUM(AN59:AQ59)</f>
        <v>-94</v>
      </c>
      <c r="CA59" s="27">
        <f>SUM(AR59:AU59)</f>
        <v>-90</v>
      </c>
      <c r="CB59" s="27">
        <f>SUM(AV59:AY59)</f>
        <v>-80</v>
      </c>
      <c r="CC59" s="27">
        <f>SUM(AZ59:BC59)</f>
        <v>-78</v>
      </c>
      <c r="CD59" s="27">
        <f>SUM(BD59:BG59)</f>
        <v>-85.859375</v>
      </c>
      <c r="CE59" s="27">
        <f>SUM(BH59:BK59)</f>
        <v>-83.859375</v>
      </c>
      <c r="CF59" s="28">
        <f>SUM(BL59:BO59)</f>
        <v>-83.859375</v>
      </c>
      <c r="CG59" s="364"/>
      <c r="CH59" s="8"/>
      <c r="CO59" s="8"/>
      <c r="CP59" s="8"/>
      <c r="CQ59" s="8"/>
      <c r="CR59" s="8"/>
      <c r="CS59" s="8"/>
      <c r="CT59" s="8"/>
      <c r="CU59" s="8"/>
      <c r="CV59" s="282"/>
      <c r="CW59" s="282"/>
    </row>
    <row r="60" spans="1:101" ht="14.25" customHeight="1" outlineLevel="1">
      <c r="A60" s="8"/>
      <c r="B60" s="336" t="s">
        <v>103</v>
      </c>
      <c r="C60" s="24"/>
      <c r="D60" s="337">
        <v>48</v>
      </c>
      <c r="E60" s="25">
        <v>56</v>
      </c>
      <c r="F60" s="25">
        <v>49</v>
      </c>
      <c r="G60" s="26">
        <v>51</v>
      </c>
      <c r="H60" s="337">
        <v>52</v>
      </c>
      <c r="I60" s="25">
        <v>88</v>
      </c>
      <c r="J60" s="25">
        <v>54</v>
      </c>
      <c r="K60" s="26">
        <v>70</v>
      </c>
      <c r="L60" s="337">
        <v>40</v>
      </c>
      <c r="M60" s="25">
        <v>56</v>
      </c>
      <c r="N60" s="25">
        <v>53</v>
      </c>
      <c r="O60" s="26">
        <v>46</v>
      </c>
      <c r="P60" s="337">
        <v>33</v>
      </c>
      <c r="Q60" s="25">
        <v>17</v>
      </c>
      <c r="R60" s="25">
        <v>10</v>
      </c>
      <c r="S60" s="355">
        <f>44-R60-Q60-P60</f>
        <v>-16</v>
      </c>
      <c r="T60" s="337">
        <v>5</v>
      </c>
      <c r="U60" s="25">
        <v>13</v>
      </c>
      <c r="V60" s="25">
        <v>2</v>
      </c>
      <c r="W60" s="355">
        <f>26-V60-U60-T60</f>
        <v>6</v>
      </c>
      <c r="X60" s="25">
        <v>7</v>
      </c>
      <c r="Y60" s="25">
        <v>4</v>
      </c>
      <c r="Z60" s="25">
        <v>8</v>
      </c>
      <c r="AA60" s="355">
        <f>37-Z60-Y60-X60</f>
        <v>18</v>
      </c>
      <c r="AB60" s="25">
        <v>10</v>
      </c>
      <c r="AC60" s="25">
        <v>10</v>
      </c>
      <c r="AD60" s="25">
        <v>-19</v>
      </c>
      <c r="AE60" s="26">
        <v>5</v>
      </c>
      <c r="AF60" s="25">
        <v>-14</v>
      </c>
      <c r="AG60" s="25">
        <v>-2</v>
      </c>
      <c r="AH60" s="25">
        <v>24</v>
      </c>
      <c r="AI60" s="26">
        <v>39</v>
      </c>
      <c r="AJ60" s="25">
        <v>2</v>
      </c>
      <c r="AK60" s="25">
        <v>0</v>
      </c>
      <c r="AL60" s="25">
        <v>-4</v>
      </c>
      <c r="AM60" s="26">
        <v>19</v>
      </c>
      <c r="AN60" s="25">
        <v>6</v>
      </c>
      <c r="AO60" s="25">
        <v>3</v>
      </c>
      <c r="AP60" s="25">
        <v>3</v>
      </c>
      <c r="AQ60" s="26">
        <v>9</v>
      </c>
      <c r="AR60" s="25">
        <v>4</v>
      </c>
      <c r="AS60" s="25">
        <v>3</v>
      </c>
      <c r="AT60" s="25">
        <v>6</v>
      </c>
      <c r="AU60" s="26">
        <v>19</v>
      </c>
      <c r="AV60" s="25">
        <v>4</v>
      </c>
      <c r="AW60" s="25">
        <v>6</v>
      </c>
      <c r="AX60" s="25">
        <v>4</v>
      </c>
      <c r="AY60" s="26">
        <v>197</v>
      </c>
      <c r="AZ60" s="25">
        <v>21</v>
      </c>
      <c r="BA60" s="25">
        <v>26</v>
      </c>
      <c r="BB60" s="25">
        <v>20</v>
      </c>
      <c r="BC60" s="26">
        <v>8</v>
      </c>
      <c r="BD60" s="25">
        <v>28</v>
      </c>
      <c r="BE60" s="378">
        <v>20</v>
      </c>
      <c r="BF60" s="378">
        <v>20</v>
      </c>
      <c r="BG60" s="378">
        <v>20</v>
      </c>
      <c r="BH60" s="379">
        <v>20</v>
      </c>
      <c r="BI60" s="378">
        <v>20</v>
      </c>
      <c r="BJ60" s="378">
        <v>20</v>
      </c>
      <c r="BK60" s="378">
        <v>20</v>
      </c>
      <c r="BL60" s="379">
        <v>20</v>
      </c>
      <c r="BM60" s="378">
        <v>20</v>
      </c>
      <c r="BN60" s="378">
        <v>20</v>
      </c>
      <c r="BO60" s="378">
        <v>20</v>
      </c>
      <c r="BP60" s="152"/>
      <c r="BQ60" s="27">
        <f>SUM(D60:G60)</f>
        <v>204</v>
      </c>
      <c r="BR60" s="27">
        <f>SUM(H60:K60)</f>
        <v>264</v>
      </c>
      <c r="BS60" s="27">
        <f>SUM(L60:O60)</f>
        <v>195</v>
      </c>
      <c r="BT60" s="27">
        <f>SUM(P60:S60)</f>
        <v>44</v>
      </c>
      <c r="BU60" s="27">
        <f>SUM(T60:W60)</f>
        <v>26</v>
      </c>
      <c r="BV60" s="27">
        <f>SUM(X60:AA60)</f>
        <v>37</v>
      </c>
      <c r="BW60" s="27">
        <f>SUM(AB60:AE60)</f>
        <v>6</v>
      </c>
      <c r="BX60" s="27">
        <f>SUM(AF60:AI60)</f>
        <v>47</v>
      </c>
      <c r="BY60" s="27">
        <f>SUM(AJ60:AM60)</f>
        <v>17</v>
      </c>
      <c r="BZ60" s="27">
        <f>SUM(AN60:AQ60)</f>
        <v>21</v>
      </c>
      <c r="CA60" s="27">
        <f>SUM(AR60:AU60)</f>
        <v>32</v>
      </c>
      <c r="CB60" s="27">
        <f>SUM(AV60:AY60)</f>
        <v>211</v>
      </c>
      <c r="CC60" s="27">
        <f>SUM(AZ60:BC60)</f>
        <v>75</v>
      </c>
      <c r="CD60" s="27">
        <f>SUM(BD60:BG60)</f>
        <v>88</v>
      </c>
      <c r="CE60" s="27">
        <f>SUM(BH60:BK60)</f>
        <v>80</v>
      </c>
      <c r="CF60" s="28">
        <f>SUM(BL60:BO60)</f>
        <v>80</v>
      </c>
      <c r="CG60" s="364"/>
      <c r="CH60" s="8"/>
      <c r="CO60" s="8"/>
      <c r="CP60" s="8"/>
      <c r="CQ60" s="8"/>
      <c r="CR60" s="8"/>
      <c r="CS60" s="8"/>
      <c r="CT60" s="8"/>
      <c r="CU60" s="8"/>
      <c r="CV60" s="282"/>
      <c r="CW60" s="282"/>
    </row>
    <row r="61" spans="1:101" ht="14.25" customHeight="1" outlineLevel="1">
      <c r="A61" s="8"/>
      <c r="B61" s="336" t="s">
        <v>104</v>
      </c>
      <c r="C61" s="24"/>
      <c r="D61" s="337">
        <v>0</v>
      </c>
      <c r="E61" s="25">
        <v>0</v>
      </c>
      <c r="F61" s="25">
        <v>0</v>
      </c>
      <c r="G61" s="26">
        <v>0</v>
      </c>
      <c r="H61" s="337">
        <v>0</v>
      </c>
      <c r="I61" s="25">
        <v>0</v>
      </c>
      <c r="J61" s="25">
        <v>0</v>
      </c>
      <c r="K61" s="26">
        <v>0</v>
      </c>
      <c r="L61" s="337">
        <v>0</v>
      </c>
      <c r="M61" s="25">
        <v>0</v>
      </c>
      <c r="N61" s="25">
        <v>0</v>
      </c>
      <c r="O61" s="26">
        <v>0</v>
      </c>
      <c r="P61" s="337">
        <v>0</v>
      </c>
      <c r="Q61" s="25">
        <v>0</v>
      </c>
      <c r="R61" s="25">
        <v>0</v>
      </c>
      <c r="S61" s="26">
        <v>0</v>
      </c>
      <c r="T61" s="337">
        <v>0</v>
      </c>
      <c r="U61" s="25">
        <v>0</v>
      </c>
      <c r="V61" s="25">
        <v>0</v>
      </c>
      <c r="W61" s="26">
        <v>0</v>
      </c>
      <c r="X61" s="25">
        <v>0</v>
      </c>
      <c r="Y61" s="25">
        <v>0</v>
      </c>
      <c r="Z61" s="25">
        <v>0</v>
      </c>
      <c r="AA61" s="26">
        <v>0</v>
      </c>
      <c r="AB61" s="25">
        <v>0</v>
      </c>
      <c r="AC61" s="25">
        <v>0</v>
      </c>
      <c r="AD61" s="25">
        <v>0</v>
      </c>
      <c r="AE61" s="26">
        <v>0</v>
      </c>
      <c r="AF61" s="25">
        <v>0</v>
      </c>
      <c r="AG61" s="25">
        <v>0</v>
      </c>
      <c r="AH61" s="25">
        <v>0</v>
      </c>
      <c r="AI61" s="26">
        <v>0</v>
      </c>
      <c r="AJ61" s="25">
        <v>0</v>
      </c>
      <c r="AK61" s="25">
        <v>0</v>
      </c>
      <c r="AL61" s="25">
        <v>0</v>
      </c>
      <c r="AM61" s="26">
        <v>0</v>
      </c>
      <c r="AN61" s="25">
        <v>0</v>
      </c>
      <c r="AO61" s="25">
        <v>0</v>
      </c>
      <c r="AP61" s="25">
        <v>0</v>
      </c>
      <c r="AQ61" s="26">
        <v>0</v>
      </c>
      <c r="AR61" s="25">
        <v>0</v>
      </c>
      <c r="AS61" s="25">
        <v>0</v>
      </c>
      <c r="AT61" s="25">
        <v>0</v>
      </c>
      <c r="AU61" s="26">
        <v>0</v>
      </c>
      <c r="AV61" s="25">
        <v>0</v>
      </c>
      <c r="AW61" s="25">
        <v>0</v>
      </c>
      <c r="AX61" s="25">
        <v>0</v>
      </c>
      <c r="AY61" s="26">
        <v>0</v>
      </c>
      <c r="AZ61" s="25">
        <v>0</v>
      </c>
      <c r="BA61" s="25">
        <v>0</v>
      </c>
      <c r="BB61" s="25">
        <v>0</v>
      </c>
      <c r="BC61" s="26">
        <v>0</v>
      </c>
      <c r="BD61" s="25">
        <v>0</v>
      </c>
      <c r="BE61" s="25">
        <v>0</v>
      </c>
      <c r="BF61" s="25">
        <v>0</v>
      </c>
      <c r="BG61" s="25">
        <v>0</v>
      </c>
      <c r="BH61" s="337">
        <v>0</v>
      </c>
      <c r="BI61" s="25">
        <v>0</v>
      </c>
      <c r="BJ61" s="25">
        <v>0</v>
      </c>
      <c r="BK61" s="25">
        <v>0</v>
      </c>
      <c r="BL61" s="337">
        <v>0</v>
      </c>
      <c r="BM61" s="25">
        <v>0</v>
      </c>
      <c r="BN61" s="25">
        <v>0</v>
      </c>
      <c r="BO61" s="25">
        <v>0</v>
      </c>
      <c r="BP61" s="152"/>
      <c r="BQ61" s="27">
        <f>SUM(D61:G61)</f>
        <v>0</v>
      </c>
      <c r="BR61" s="27">
        <f>SUM(H61:K61)</f>
        <v>0</v>
      </c>
      <c r="BS61" s="27">
        <f>SUM(L61:O61)</f>
        <v>0</v>
      </c>
      <c r="BT61" s="27">
        <f>SUM(P61:S61)</f>
        <v>0</v>
      </c>
      <c r="BU61" s="27">
        <f>SUM(T61:W61)</f>
        <v>0</v>
      </c>
      <c r="BV61" s="27">
        <f>SUM(X61:AA61)</f>
        <v>0</v>
      </c>
      <c r="BW61" s="27">
        <f>SUM(AB61:AE61)</f>
        <v>0</v>
      </c>
      <c r="BX61" s="27">
        <f>SUM(AF61:AI61)</f>
        <v>0</v>
      </c>
      <c r="BY61" s="27">
        <f>SUM(AJ61:AM61)</f>
        <v>0</v>
      </c>
      <c r="BZ61" s="27">
        <f>SUM(AN61:AQ61)</f>
        <v>0</v>
      </c>
      <c r="CA61" s="27">
        <v>0</v>
      </c>
      <c r="CB61" s="27">
        <v>0</v>
      </c>
      <c r="CC61" s="27">
        <v>0</v>
      </c>
      <c r="CD61" s="27">
        <v>0</v>
      </c>
      <c r="CE61" s="27">
        <v>0</v>
      </c>
      <c r="CF61" s="28">
        <v>0</v>
      </c>
      <c r="CG61" s="297"/>
      <c r="CH61" s="8"/>
      <c r="CO61" s="8"/>
      <c r="CP61" s="8"/>
      <c r="CQ61" s="8"/>
      <c r="CR61" s="8"/>
      <c r="CS61" s="8"/>
      <c r="CT61" s="8"/>
      <c r="CU61" s="8"/>
      <c r="CV61" s="282"/>
      <c r="CW61" s="282"/>
    </row>
    <row r="62" spans="1:101" ht="14.25" customHeight="1" outlineLevel="1">
      <c r="A62" s="8"/>
      <c r="B62" s="342"/>
      <c r="C62" s="21"/>
      <c r="D62" s="338"/>
      <c r="E62" s="27"/>
      <c r="F62" s="27"/>
      <c r="G62" s="28"/>
      <c r="H62" s="338"/>
      <c r="I62" s="27"/>
      <c r="J62" s="27"/>
      <c r="K62" s="28"/>
      <c r="L62" s="338"/>
      <c r="M62" s="27"/>
      <c r="N62" s="27"/>
      <c r="O62" s="28"/>
      <c r="P62" s="338"/>
      <c r="Q62" s="27"/>
      <c r="R62" s="27"/>
      <c r="S62" s="28"/>
      <c r="T62" s="338"/>
      <c r="U62" s="27"/>
      <c r="V62" s="27"/>
      <c r="W62" s="28"/>
      <c r="X62" s="27"/>
      <c r="Y62" s="27"/>
      <c r="Z62" s="27"/>
      <c r="AA62" s="28"/>
      <c r="AB62" s="27"/>
      <c r="AC62" s="27"/>
      <c r="AD62" s="27"/>
      <c r="AE62" s="28"/>
      <c r="AF62" s="27"/>
      <c r="AG62" s="27"/>
      <c r="AH62" s="27"/>
      <c r="AI62" s="28"/>
      <c r="AJ62" s="27"/>
      <c r="AK62" s="27"/>
      <c r="AL62" s="27"/>
      <c r="AM62" s="28"/>
      <c r="AN62" s="27"/>
      <c r="AO62" s="27"/>
      <c r="AP62" s="27"/>
      <c r="AQ62" s="28"/>
      <c r="AR62" s="27"/>
      <c r="AS62" s="27"/>
      <c r="AT62" s="27"/>
      <c r="AU62" s="28"/>
      <c r="AV62" s="27"/>
      <c r="AW62" s="27"/>
      <c r="AX62" s="27"/>
      <c r="AY62" s="28"/>
      <c r="AZ62" s="27"/>
      <c r="BA62" s="27"/>
      <c r="BB62" s="27"/>
      <c r="BC62" s="28"/>
      <c r="BD62" s="27"/>
      <c r="BE62" s="27"/>
      <c r="BF62" s="27"/>
      <c r="BG62" s="27"/>
      <c r="BH62" s="338"/>
      <c r="BI62" s="27"/>
      <c r="BJ62" s="27"/>
      <c r="BK62" s="27"/>
      <c r="BL62" s="338"/>
      <c r="BM62" s="27"/>
      <c r="BN62" s="27"/>
      <c r="BO62" s="27"/>
      <c r="BP62" s="152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8"/>
      <c r="CG62" s="297"/>
      <c r="CH62" s="8"/>
      <c r="CO62" s="8"/>
      <c r="CP62" s="8"/>
      <c r="CQ62" s="8"/>
      <c r="CR62" s="8"/>
      <c r="CS62" s="8"/>
      <c r="CT62" s="8"/>
      <c r="CU62" s="8"/>
      <c r="CV62" s="282"/>
      <c r="CW62" s="282"/>
    </row>
    <row r="63" spans="1:101" ht="14.25" customHeight="1" outlineLevel="1">
      <c r="A63" s="8"/>
      <c r="B63" s="342" t="s">
        <v>105</v>
      </c>
      <c r="C63" s="21"/>
      <c r="D63" s="338">
        <f t="shared" ref="D63:AQ63" si="269">D58+D61</f>
        <v>46</v>
      </c>
      <c r="E63" s="27">
        <f t="shared" si="269"/>
        <v>54</v>
      </c>
      <c r="F63" s="27">
        <f t="shared" si="269"/>
        <v>47</v>
      </c>
      <c r="G63" s="28">
        <f t="shared" si="269"/>
        <v>49</v>
      </c>
      <c r="H63" s="338">
        <f t="shared" si="269"/>
        <v>49</v>
      </c>
      <c r="I63" s="27">
        <f>I58+I61</f>
        <v>86</v>
      </c>
      <c r="J63" s="27">
        <f t="shared" si="269"/>
        <v>54</v>
      </c>
      <c r="K63" s="28">
        <f t="shared" si="269"/>
        <v>69</v>
      </c>
      <c r="L63" s="338">
        <f t="shared" si="269"/>
        <v>39</v>
      </c>
      <c r="M63" s="27">
        <f t="shared" si="269"/>
        <v>56</v>
      </c>
      <c r="N63" s="27">
        <f t="shared" si="269"/>
        <v>53</v>
      </c>
      <c r="O63" s="28">
        <f t="shared" si="269"/>
        <v>46</v>
      </c>
      <c r="P63" s="338">
        <f t="shared" si="269"/>
        <v>33</v>
      </c>
      <c r="Q63" s="27">
        <f t="shared" si="269"/>
        <v>17</v>
      </c>
      <c r="R63" s="27">
        <f t="shared" si="269"/>
        <v>10</v>
      </c>
      <c r="S63" s="28">
        <f t="shared" si="269"/>
        <v>-16</v>
      </c>
      <c r="T63" s="338">
        <f t="shared" si="269"/>
        <v>5</v>
      </c>
      <c r="U63" s="27">
        <f t="shared" si="269"/>
        <v>13</v>
      </c>
      <c r="V63" s="27">
        <f t="shared" si="269"/>
        <v>2</v>
      </c>
      <c r="W63" s="28">
        <f t="shared" si="269"/>
        <v>6</v>
      </c>
      <c r="X63" s="27">
        <f t="shared" si="269"/>
        <v>7</v>
      </c>
      <c r="Y63" s="27">
        <f t="shared" si="269"/>
        <v>4</v>
      </c>
      <c r="Z63" s="27">
        <f t="shared" si="269"/>
        <v>8</v>
      </c>
      <c r="AA63" s="28">
        <f t="shared" si="269"/>
        <v>18</v>
      </c>
      <c r="AB63" s="27">
        <f t="shared" si="269"/>
        <v>10</v>
      </c>
      <c r="AC63" s="27">
        <f t="shared" si="269"/>
        <v>4</v>
      </c>
      <c r="AD63" s="27">
        <f t="shared" ref="AD63:AI63" si="270">AD58+AD61</f>
        <v>-34</v>
      </c>
      <c r="AE63" s="28">
        <f t="shared" si="270"/>
        <v>-16</v>
      </c>
      <c r="AF63" s="27">
        <f t="shared" si="270"/>
        <v>-35</v>
      </c>
      <c r="AG63" s="27">
        <f t="shared" si="270"/>
        <v>-22</v>
      </c>
      <c r="AH63" s="27">
        <f t="shared" si="270"/>
        <v>3</v>
      </c>
      <c r="AI63" s="28">
        <f t="shared" si="270"/>
        <v>16</v>
      </c>
      <c r="AJ63" s="27">
        <f t="shared" si="269"/>
        <v>-21</v>
      </c>
      <c r="AK63" s="27">
        <f t="shared" si="269"/>
        <v>-24</v>
      </c>
      <c r="AL63" s="27">
        <f t="shared" si="269"/>
        <v>-28</v>
      </c>
      <c r="AM63" s="28">
        <f t="shared" si="269"/>
        <v>-5</v>
      </c>
      <c r="AN63" s="27">
        <f>AN58+AN61</f>
        <v>-19</v>
      </c>
      <c r="AO63" s="27">
        <f>AO58+AO61</f>
        <v>-21</v>
      </c>
      <c r="AP63" s="27">
        <f t="shared" si="269"/>
        <v>-20</v>
      </c>
      <c r="AQ63" s="28">
        <f t="shared" si="269"/>
        <v>-13</v>
      </c>
      <c r="AR63" s="27">
        <f t="shared" ref="AR63:AX63" si="271">AR58+AR61</f>
        <v>-18</v>
      </c>
      <c r="AS63" s="27">
        <f t="shared" si="271"/>
        <v>-21</v>
      </c>
      <c r="AT63" s="27">
        <f t="shared" si="271"/>
        <v>-16</v>
      </c>
      <c r="AU63" s="28">
        <f t="shared" si="271"/>
        <v>-3</v>
      </c>
      <c r="AV63" s="27">
        <f t="shared" si="271"/>
        <v>-18</v>
      </c>
      <c r="AW63" s="27">
        <f t="shared" si="271"/>
        <v>-15</v>
      </c>
      <c r="AX63" s="27">
        <f t="shared" si="271"/>
        <v>-14</v>
      </c>
      <c r="AY63" s="28">
        <f t="shared" ref="AY63:BB63" si="272">AY58+AY61</f>
        <v>178</v>
      </c>
      <c r="AZ63" s="27">
        <f t="shared" si="272"/>
        <v>3</v>
      </c>
      <c r="BA63" s="27">
        <f t="shared" si="272"/>
        <v>6</v>
      </c>
      <c r="BB63" s="27">
        <f t="shared" si="272"/>
        <v>1</v>
      </c>
      <c r="BC63" s="28">
        <f t="shared" ref="BC63:BD63" si="273">BC58+BC61</f>
        <v>-13</v>
      </c>
      <c r="BD63" s="27">
        <f t="shared" si="273"/>
        <v>5</v>
      </c>
      <c r="BE63" s="27">
        <f t="shared" ref="BE63:BG63" si="274">BE58+BE61</f>
        <v>-0.953125</v>
      </c>
      <c r="BF63" s="27">
        <f t="shared" si="274"/>
        <v>-0.953125</v>
      </c>
      <c r="BG63" s="27">
        <f t="shared" si="274"/>
        <v>-0.953125</v>
      </c>
      <c r="BH63" s="338">
        <f t="shared" ref="BH63:BK63" si="275">BH58+BH61</f>
        <v>-1</v>
      </c>
      <c r="BI63" s="27">
        <f t="shared" si="275"/>
        <v>-0.953125</v>
      </c>
      <c r="BJ63" s="27">
        <f t="shared" si="275"/>
        <v>-0.953125</v>
      </c>
      <c r="BK63" s="27">
        <f t="shared" si="275"/>
        <v>-0.953125</v>
      </c>
      <c r="BL63" s="338">
        <f t="shared" ref="BL63:BO63" si="276">BL58+BL61</f>
        <v>-1</v>
      </c>
      <c r="BM63" s="27">
        <f t="shared" si="276"/>
        <v>-0.953125</v>
      </c>
      <c r="BN63" s="27">
        <f t="shared" si="276"/>
        <v>-0.953125</v>
      </c>
      <c r="BO63" s="27">
        <f t="shared" si="276"/>
        <v>-0.953125</v>
      </c>
      <c r="BP63" s="152"/>
      <c r="BQ63" s="27">
        <f t="shared" ref="BQ63:CA63" si="277">BQ58+BQ61</f>
        <v>196</v>
      </c>
      <c r="BR63" s="27">
        <f t="shared" si="277"/>
        <v>258</v>
      </c>
      <c r="BS63" s="27">
        <f t="shared" si="277"/>
        <v>194</v>
      </c>
      <c r="BT63" s="27">
        <f t="shared" si="277"/>
        <v>44</v>
      </c>
      <c r="BU63" s="27">
        <f t="shared" si="277"/>
        <v>26</v>
      </c>
      <c r="BV63" s="27">
        <f t="shared" si="277"/>
        <v>37</v>
      </c>
      <c r="BW63" s="27">
        <f t="shared" si="277"/>
        <v>-36</v>
      </c>
      <c r="BX63" s="27">
        <f t="shared" si="277"/>
        <v>-38</v>
      </c>
      <c r="BY63" s="27">
        <f t="shared" si="277"/>
        <v>-78</v>
      </c>
      <c r="BZ63" s="27">
        <f t="shared" si="277"/>
        <v>-73</v>
      </c>
      <c r="CA63" s="27">
        <f t="shared" si="277"/>
        <v>-58</v>
      </c>
      <c r="CB63" s="27">
        <f>CB58+CB61</f>
        <v>131</v>
      </c>
      <c r="CC63" s="27">
        <f>CC58+CC61</f>
        <v>-3</v>
      </c>
      <c r="CD63" s="27">
        <f>CD58+CD61</f>
        <v>2.140625</v>
      </c>
      <c r="CE63" s="27">
        <f>CE58+CE61</f>
        <v>-3.859375</v>
      </c>
      <c r="CF63" s="28">
        <f>CF58+CF61</f>
        <v>-3.859375</v>
      </c>
      <c r="CG63" s="364"/>
      <c r="CH63" s="8"/>
      <c r="CO63" s="8"/>
      <c r="CP63" s="8"/>
      <c r="CQ63" s="8"/>
      <c r="CR63" s="8"/>
      <c r="CS63" s="8"/>
      <c r="CT63" s="8"/>
      <c r="CU63" s="8"/>
      <c r="CV63" s="282"/>
      <c r="CW63" s="282"/>
    </row>
    <row r="64" spans="1:101" ht="8.25" customHeight="1">
      <c r="A64" s="8"/>
      <c r="B64" s="336"/>
      <c r="C64" s="24"/>
      <c r="D64" s="343"/>
      <c r="E64" s="34"/>
      <c r="F64" s="38"/>
      <c r="G64" s="35"/>
      <c r="H64" s="343"/>
      <c r="I64" s="34"/>
      <c r="J64" s="38"/>
      <c r="K64" s="35"/>
      <c r="L64" s="343"/>
      <c r="M64" s="34"/>
      <c r="N64" s="38"/>
      <c r="O64" s="35"/>
      <c r="P64" s="343"/>
      <c r="Q64" s="34"/>
      <c r="R64" s="38"/>
      <c r="S64" s="35"/>
      <c r="T64" s="343"/>
      <c r="U64" s="34"/>
      <c r="V64" s="38"/>
      <c r="W64" s="35"/>
      <c r="X64" s="34"/>
      <c r="Y64" s="34"/>
      <c r="Z64" s="38"/>
      <c r="AA64" s="380"/>
      <c r="AB64" s="34"/>
      <c r="AC64" s="34"/>
      <c r="AD64" s="376"/>
      <c r="AE64" s="380"/>
      <c r="AF64" s="34"/>
      <c r="AG64" s="376"/>
      <c r="AH64" s="376"/>
      <c r="AI64" s="380"/>
      <c r="AJ64" s="376"/>
      <c r="AK64" s="376"/>
      <c r="AL64" s="376"/>
      <c r="AM64" s="380"/>
      <c r="AN64" s="376"/>
      <c r="AO64" s="376"/>
      <c r="AP64" s="45"/>
      <c r="AQ64" s="380"/>
      <c r="AR64" s="376"/>
      <c r="AS64" s="376"/>
      <c r="AT64" s="45"/>
      <c r="AU64" s="380"/>
      <c r="AV64" s="376"/>
      <c r="AW64" s="376"/>
      <c r="AX64" s="45"/>
      <c r="AY64" s="380"/>
      <c r="AZ64" s="376"/>
      <c r="BA64" s="376"/>
      <c r="BB64" s="45"/>
      <c r="BC64" s="380"/>
      <c r="BD64" s="376"/>
      <c r="BE64" s="45"/>
      <c r="BF64" s="45"/>
      <c r="BG64" s="45"/>
      <c r="BH64" s="381"/>
      <c r="BI64" s="45"/>
      <c r="BJ64" s="45"/>
      <c r="BK64" s="45"/>
      <c r="BL64" s="381"/>
      <c r="BM64" s="45"/>
      <c r="BN64" s="45"/>
      <c r="BO64" s="45"/>
      <c r="BP64" s="152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0"/>
      <c r="CB64" s="34"/>
      <c r="CC64" s="34"/>
      <c r="CD64" s="34"/>
      <c r="CE64" s="34"/>
      <c r="CF64" s="35"/>
      <c r="CG64" s="297"/>
      <c r="CH64" s="8"/>
      <c r="CO64" s="8"/>
      <c r="CP64" s="8"/>
      <c r="CQ64" s="8"/>
      <c r="CR64" s="8"/>
      <c r="CS64" s="8"/>
      <c r="CT64" s="8"/>
      <c r="CU64" s="8"/>
      <c r="CV64" s="282"/>
      <c r="CW64" s="282"/>
    </row>
    <row r="65" spans="1:101" ht="14.25" customHeight="1">
      <c r="A65" s="12"/>
      <c r="B65" s="320" t="s">
        <v>11</v>
      </c>
      <c r="C65" s="39"/>
      <c r="D65" s="357">
        <f t="shared" ref="D65:AQ65" si="278">D52+D58</f>
        <v>482</v>
      </c>
      <c r="E65" s="40">
        <f t="shared" si="278"/>
        <v>656</v>
      </c>
      <c r="F65" s="40">
        <f t="shared" si="278"/>
        <v>808</v>
      </c>
      <c r="G65" s="41">
        <f t="shared" si="278"/>
        <v>809</v>
      </c>
      <c r="H65" s="357">
        <f t="shared" si="278"/>
        <v>767</v>
      </c>
      <c r="I65" s="40">
        <f t="shared" si="278"/>
        <v>1039</v>
      </c>
      <c r="J65" s="40">
        <f t="shared" si="278"/>
        <v>984</v>
      </c>
      <c r="K65" s="41">
        <f t="shared" si="278"/>
        <v>836</v>
      </c>
      <c r="L65" s="357">
        <f t="shared" si="278"/>
        <v>719</v>
      </c>
      <c r="M65" s="40">
        <f t="shared" si="278"/>
        <v>865</v>
      </c>
      <c r="N65" s="40">
        <f t="shared" si="278"/>
        <v>1066</v>
      </c>
      <c r="O65" s="41">
        <f t="shared" si="278"/>
        <v>1042</v>
      </c>
      <c r="P65" s="357">
        <f t="shared" si="278"/>
        <v>840</v>
      </c>
      <c r="Q65" s="40">
        <f t="shared" si="278"/>
        <v>850</v>
      </c>
      <c r="R65" s="40">
        <f t="shared" si="278"/>
        <v>756</v>
      </c>
      <c r="S65" s="41">
        <f t="shared" si="278"/>
        <v>35</v>
      </c>
      <c r="T65" s="357">
        <f t="shared" si="278"/>
        <v>15</v>
      </c>
      <c r="U65" s="40">
        <f t="shared" si="278"/>
        <v>356</v>
      </c>
      <c r="V65" s="40">
        <f t="shared" si="278"/>
        <v>765</v>
      </c>
      <c r="W65" s="41">
        <f t="shared" si="278"/>
        <v>881</v>
      </c>
      <c r="X65" s="40">
        <f t="shared" si="278"/>
        <v>957</v>
      </c>
      <c r="Y65" s="40">
        <f t="shared" si="278"/>
        <v>1111</v>
      </c>
      <c r="Z65" s="40">
        <f t="shared" si="278"/>
        <v>1235</v>
      </c>
      <c r="AA65" s="41">
        <f t="shared" si="278"/>
        <v>1248</v>
      </c>
      <c r="AB65" s="40">
        <f t="shared" si="278"/>
        <v>918</v>
      </c>
      <c r="AC65" s="40">
        <f t="shared" si="278"/>
        <v>909</v>
      </c>
      <c r="AD65" s="40">
        <f t="shared" si="278"/>
        <v>780</v>
      </c>
      <c r="AE65" s="41">
        <f t="shared" si="278"/>
        <v>349</v>
      </c>
      <c r="AF65" s="40">
        <f t="shared" si="278"/>
        <v>362</v>
      </c>
      <c r="AG65" s="40">
        <f t="shared" si="278"/>
        <v>576</v>
      </c>
      <c r="AH65" s="40">
        <f t="shared" si="278"/>
        <v>843</v>
      </c>
      <c r="AI65" s="41">
        <f>AI52+AI58</f>
        <v>155</v>
      </c>
      <c r="AJ65" s="40">
        <f t="shared" si="278"/>
        <v>374</v>
      </c>
      <c r="AK65" s="40">
        <f>AK52+AK58</f>
        <v>882</v>
      </c>
      <c r="AL65" s="40">
        <f t="shared" si="278"/>
        <v>816</v>
      </c>
      <c r="AM65" s="41">
        <f>AM52+AM58</f>
        <v>682</v>
      </c>
      <c r="AN65" s="40">
        <f>AN52+AN58</f>
        <v>671</v>
      </c>
      <c r="AO65" s="40">
        <f>AO52+AO58</f>
        <v>961</v>
      </c>
      <c r="AP65" s="40">
        <f t="shared" si="278"/>
        <v>1155</v>
      </c>
      <c r="AQ65" s="41">
        <f t="shared" si="278"/>
        <v>1087</v>
      </c>
      <c r="AR65" s="40">
        <f t="shared" ref="AR65:AX65" si="279">AR52+AR58</f>
        <v>940</v>
      </c>
      <c r="AS65" s="40">
        <f t="shared" si="279"/>
        <v>989</v>
      </c>
      <c r="AT65" s="40">
        <f t="shared" si="279"/>
        <v>1148</v>
      </c>
      <c r="AU65" s="41">
        <f t="shared" si="279"/>
        <v>1139</v>
      </c>
      <c r="AV65" s="40">
        <f t="shared" si="279"/>
        <v>950</v>
      </c>
      <c r="AW65" s="40">
        <f t="shared" si="279"/>
        <v>1102</v>
      </c>
      <c r="AX65" s="40">
        <f t="shared" si="279"/>
        <v>1381</v>
      </c>
      <c r="AY65" s="41">
        <f t="shared" ref="AY65:BB65" si="280">AY52+AY58</f>
        <v>1497</v>
      </c>
      <c r="AZ65" s="40">
        <f t="shared" si="280"/>
        <v>1255</v>
      </c>
      <c r="BA65" s="40">
        <f t="shared" si="280"/>
        <v>1486</v>
      </c>
      <c r="BB65" s="40">
        <f t="shared" si="280"/>
        <v>1789</v>
      </c>
      <c r="BC65" s="41">
        <f t="shared" ref="BC65:BD65" si="281">BC52+BC58</f>
        <v>1550</v>
      </c>
      <c r="BD65" s="40">
        <f t="shared" si="281"/>
        <v>1553</v>
      </c>
      <c r="BE65" s="40">
        <f t="shared" ref="BE65:BG65" si="282">BE52+BE58</f>
        <v>1634.3557033849929</v>
      </c>
      <c r="BF65" s="40">
        <f t="shared" si="282"/>
        <v>1776.3359619628154</v>
      </c>
      <c r="BG65" s="40">
        <f t="shared" si="282"/>
        <v>1664.7859646439028</v>
      </c>
      <c r="BH65" s="357">
        <f t="shared" ref="BH65:BK65" si="283">BH52+BH58</f>
        <v>1552.4463659019398</v>
      </c>
      <c r="BI65" s="40">
        <f t="shared" si="283"/>
        <v>1707.8499234253441</v>
      </c>
      <c r="BJ65" s="40">
        <f t="shared" si="283"/>
        <v>1894.0129376155401</v>
      </c>
      <c r="BK65" s="40">
        <f t="shared" si="283"/>
        <v>1743.2000977068838</v>
      </c>
      <c r="BL65" s="357">
        <f t="shared" ref="BL65:BO65" si="284">BL52+BL58</f>
        <v>1678.6619513585783</v>
      </c>
      <c r="BM65" s="40">
        <f t="shared" si="284"/>
        <v>1872.028537475775</v>
      </c>
      <c r="BN65" s="40">
        <f t="shared" si="284"/>
        <v>2057.1111795267007</v>
      </c>
      <c r="BO65" s="40">
        <f t="shared" si="284"/>
        <v>1881.1991644034983</v>
      </c>
      <c r="BP65" s="152"/>
      <c r="BQ65" s="40">
        <f t="shared" ref="BQ65:CA65" si="285">BQ52+BQ58</f>
        <v>2755</v>
      </c>
      <c r="BR65" s="40">
        <f t="shared" si="285"/>
        <v>3626</v>
      </c>
      <c r="BS65" s="40">
        <f t="shared" si="285"/>
        <v>3692</v>
      </c>
      <c r="BT65" s="40">
        <f t="shared" si="285"/>
        <v>2481</v>
      </c>
      <c r="BU65" s="40">
        <f t="shared" si="285"/>
        <v>2017</v>
      </c>
      <c r="BV65" s="40">
        <f t="shared" si="285"/>
        <v>4551</v>
      </c>
      <c r="BW65" s="40">
        <f t="shared" si="285"/>
        <v>2956</v>
      </c>
      <c r="BX65" s="40">
        <f t="shared" si="285"/>
        <v>1936</v>
      </c>
      <c r="BY65" s="40">
        <f t="shared" si="285"/>
        <v>2754</v>
      </c>
      <c r="BZ65" s="40">
        <f t="shared" si="285"/>
        <v>3874</v>
      </c>
      <c r="CA65" s="40">
        <f t="shared" si="285"/>
        <v>4216</v>
      </c>
      <c r="CB65" s="40">
        <f>CB52+CB58</f>
        <v>4930</v>
      </c>
      <c r="CC65" s="40">
        <f>CC52+CC58</f>
        <v>6080</v>
      </c>
      <c r="CD65" s="40">
        <f>CD52+CD58</f>
        <v>6628.4776299917121</v>
      </c>
      <c r="CE65" s="40">
        <f>CE52+CE58</f>
        <v>6897.5093246497054</v>
      </c>
      <c r="CF65" s="41">
        <f>CF52+CF58</f>
        <v>7489.0008327645537</v>
      </c>
      <c r="CG65" s="364"/>
      <c r="CH65" s="12"/>
      <c r="CO65" s="12"/>
      <c r="CP65" s="12"/>
      <c r="CQ65" s="12"/>
      <c r="CR65" s="12"/>
      <c r="CS65" s="12"/>
      <c r="CT65" s="12"/>
      <c r="CU65" s="12"/>
      <c r="CV65" s="282"/>
      <c r="CW65" s="282"/>
    </row>
    <row r="66" spans="1:101" ht="14.25" customHeight="1">
      <c r="A66" s="8"/>
      <c r="B66" s="332" t="s">
        <v>12</v>
      </c>
      <c r="C66" s="29"/>
      <c r="D66" s="339">
        <f t="shared" ref="D66:AQ66" si="286">D65/D7</f>
        <v>0.17838638045891933</v>
      </c>
      <c r="E66" s="30">
        <f t="shared" si="286"/>
        <v>0.22080107707842478</v>
      </c>
      <c r="F66" s="30">
        <f t="shared" si="286"/>
        <v>0.24198861934710991</v>
      </c>
      <c r="G66" s="31">
        <f t="shared" si="286"/>
        <v>0.24338146811070999</v>
      </c>
      <c r="H66" s="339">
        <f t="shared" si="286"/>
        <v>0.23005398920215958</v>
      </c>
      <c r="I66" s="30">
        <f t="shared" si="286"/>
        <v>0.28103868001081961</v>
      </c>
      <c r="J66" s="30">
        <f t="shared" si="286"/>
        <v>0.26163254453602763</v>
      </c>
      <c r="K66" s="31">
        <f t="shared" si="286"/>
        <v>0.24140918278948889</v>
      </c>
      <c r="L66" s="339">
        <f t="shared" si="286"/>
        <v>0.22532121591977436</v>
      </c>
      <c r="M66" s="30">
        <f t="shared" si="286"/>
        <v>0.25262850467289721</v>
      </c>
      <c r="N66" s="30">
        <f t="shared" si="286"/>
        <v>0.29101829101829102</v>
      </c>
      <c r="O66" s="31">
        <f t="shared" si="286"/>
        <v>0.29302587176602923</v>
      </c>
      <c r="P66" s="339">
        <f t="shared" si="286"/>
        <v>0.25672371638141811</v>
      </c>
      <c r="Q66" s="30">
        <f t="shared" si="286"/>
        <v>0.25365562518651147</v>
      </c>
      <c r="R66" s="30">
        <f t="shared" si="286"/>
        <v>0.22320637732506643</v>
      </c>
      <c r="S66" s="31">
        <f t="shared" si="286"/>
        <v>1.4050582095543959E-2</v>
      </c>
      <c r="T66" s="339">
        <f t="shared" si="286"/>
        <v>7.1907957813998084E-3</v>
      </c>
      <c r="U66" s="30">
        <f t="shared" si="286"/>
        <v>0.14489214489214489</v>
      </c>
      <c r="V66" s="30">
        <f t="shared" si="286"/>
        <v>0.265625</v>
      </c>
      <c r="W66" s="31">
        <f t="shared" si="286"/>
        <v>0.29327563249001332</v>
      </c>
      <c r="X66" s="30">
        <f t="shared" si="286"/>
        <v>0.29859594383775351</v>
      </c>
      <c r="Y66" s="30">
        <f t="shared" si="286"/>
        <v>0.31779176201372999</v>
      </c>
      <c r="Z66" s="30">
        <f t="shared" si="286"/>
        <v>0.3302139037433155</v>
      </c>
      <c r="AA66" s="31">
        <f t="shared" si="286"/>
        <v>0.35404255319148936</v>
      </c>
      <c r="AB66" s="30">
        <f t="shared" si="286"/>
        <v>0.27063679245283018</v>
      </c>
      <c r="AC66" s="30">
        <f t="shared" si="286"/>
        <v>0.26286871023713126</v>
      </c>
      <c r="AD66" s="30">
        <f t="shared" si="286"/>
        <v>0.22504327755337564</v>
      </c>
      <c r="AE66" s="31">
        <f t="shared" si="286"/>
        <v>0.102046783625731</v>
      </c>
      <c r="AF66" s="30">
        <f t="shared" si="286"/>
        <v>0.11598846523550144</v>
      </c>
      <c r="AG66" s="30">
        <f t="shared" si="286"/>
        <v>0.17271364317841079</v>
      </c>
      <c r="AH66" s="30">
        <f t="shared" si="286"/>
        <v>0.24867256637168142</v>
      </c>
      <c r="AI66" s="31">
        <f t="shared" si="286"/>
        <v>5.2030882846592817E-2</v>
      </c>
      <c r="AJ66" s="30">
        <f t="shared" si="286"/>
        <v>0.12963604852686308</v>
      </c>
      <c r="AK66" s="30">
        <f t="shared" si="286"/>
        <v>0.28946504758779129</v>
      </c>
      <c r="AL66" s="30">
        <f t="shared" si="286"/>
        <v>0.25154130702836003</v>
      </c>
      <c r="AM66" s="31">
        <f t="shared" si="286"/>
        <v>0.22523117569352707</v>
      </c>
      <c r="AN66" s="30">
        <f>AN65/AN7</f>
        <v>0.22494133422728796</v>
      </c>
      <c r="AO66" s="30">
        <f>AO65/AO7</f>
        <v>0.29191980558930741</v>
      </c>
      <c r="AP66" s="30">
        <f t="shared" si="286"/>
        <v>0.32990574121679522</v>
      </c>
      <c r="AQ66" s="31">
        <f t="shared" si="286"/>
        <v>0.33251758947690424</v>
      </c>
      <c r="AR66" s="30">
        <f t="shared" ref="AR66:AX66" si="287">AR65/AR7</f>
        <v>0.29841269841269841</v>
      </c>
      <c r="AS66" s="30">
        <f t="shared" si="287"/>
        <v>0.30600247524752477</v>
      </c>
      <c r="AT66" s="30">
        <f t="shared" si="287"/>
        <v>0.33479148439778361</v>
      </c>
      <c r="AU66" s="31">
        <f t="shared" si="287"/>
        <v>0.35716525556600814</v>
      </c>
      <c r="AV66" s="30">
        <f t="shared" si="287"/>
        <v>0.31582446808510639</v>
      </c>
      <c r="AW66" s="30">
        <f t="shared" si="287"/>
        <v>0.33669416437519095</v>
      </c>
      <c r="AX66" s="30">
        <f t="shared" si="287"/>
        <v>0.37578231292517006</v>
      </c>
      <c r="AY66" s="31">
        <f t="shared" ref="AY66:BB66" si="288">AY65/AY7</f>
        <v>0.43848857644991213</v>
      </c>
      <c r="AZ66" s="30">
        <f t="shared" si="288"/>
        <v>0.36890064667842448</v>
      </c>
      <c r="BA66" s="30">
        <f t="shared" si="288"/>
        <v>0.40238288654210669</v>
      </c>
      <c r="BB66" s="30">
        <f t="shared" si="288"/>
        <v>0.43464528668610303</v>
      </c>
      <c r="BC66" s="31">
        <f t="shared" ref="BC66:BD66" si="289">BC65/BC7</f>
        <v>0.41333333333333333</v>
      </c>
      <c r="BD66" s="30">
        <f t="shared" si="289"/>
        <v>0.40987067827922935</v>
      </c>
      <c r="BE66" s="30">
        <f t="shared" ref="BE66:BG66" si="290">BE65/BE7</f>
        <v>0.41435083007828555</v>
      </c>
      <c r="BF66" s="30">
        <f t="shared" si="290"/>
        <v>0.42323819751738445</v>
      </c>
      <c r="BG66" s="30">
        <f t="shared" si="290"/>
        <v>0.42097021865529644</v>
      </c>
      <c r="BH66" s="339">
        <f t="shared" ref="BH66:BK66" si="291">BH65/BH7</f>
        <v>0.40316913793310899</v>
      </c>
      <c r="BI66" s="30">
        <f t="shared" si="291"/>
        <v>0.41762980786069415</v>
      </c>
      <c r="BJ66" s="30">
        <f t="shared" si="291"/>
        <v>0.43633473781337373</v>
      </c>
      <c r="BK66" s="30">
        <f t="shared" si="291"/>
        <v>0.42758873291782251</v>
      </c>
      <c r="BL66" s="339">
        <f t="shared" ref="BL66:BO66" si="292">BL65/BL7</f>
        <v>0.42240524236794896</v>
      </c>
      <c r="BM66" s="30">
        <f t="shared" si="292"/>
        <v>0.4436885858367916</v>
      </c>
      <c r="BN66" s="30">
        <f t="shared" si="292"/>
        <v>0.45958752726826152</v>
      </c>
      <c r="BO66" s="30">
        <f t="shared" si="292"/>
        <v>0.44724198589746739</v>
      </c>
      <c r="BP66" s="152"/>
      <c r="BQ66" s="30">
        <f t="shared" ref="BQ66:CA66" si="293">BQ65/BQ7</f>
        <v>0.2233300907911803</v>
      </c>
      <c r="BR66" s="30">
        <f t="shared" si="293"/>
        <v>0.25436688881094355</v>
      </c>
      <c r="BS66" s="30">
        <f t="shared" si="293"/>
        <v>0.26687870464074021</v>
      </c>
      <c r="BT66" s="30">
        <f t="shared" si="293"/>
        <v>0.19846412287017037</v>
      </c>
      <c r="BU66" s="30">
        <f t="shared" si="293"/>
        <v>0.19344010741344586</v>
      </c>
      <c r="BV66" s="30">
        <f t="shared" si="293"/>
        <v>0.32586280968065301</v>
      </c>
      <c r="BW66" s="30">
        <f t="shared" si="293"/>
        <v>0.21520093185789166</v>
      </c>
      <c r="BX66" s="30">
        <f t="shared" si="293"/>
        <v>0.15095516569200779</v>
      </c>
      <c r="BY66" s="30">
        <f t="shared" si="293"/>
        <v>0.22566371681415928</v>
      </c>
      <c r="BZ66" s="30">
        <f t="shared" si="293"/>
        <v>0.29697201993100802</v>
      </c>
      <c r="CA66" s="30">
        <f t="shared" si="293"/>
        <v>0.3243076923076923</v>
      </c>
      <c r="CB66" s="30">
        <f>CB65/CB7</f>
        <v>0.36873597606581898</v>
      </c>
      <c r="CC66" s="30">
        <f>CC65/CC7</f>
        <v>0.40638994719604304</v>
      </c>
      <c r="CD66" s="30">
        <f>CD65/CD7</f>
        <v>0.41727826557327669</v>
      </c>
      <c r="CE66" s="30">
        <f>CE65/CE7</f>
        <v>0.42167145630806302</v>
      </c>
      <c r="CF66" s="31">
        <f>CF65/CF7</f>
        <v>0.4437791768898468</v>
      </c>
      <c r="CG66" s="297"/>
      <c r="CH66" s="8"/>
      <c r="CO66" s="8"/>
      <c r="CP66" s="8"/>
      <c r="CQ66" s="8"/>
      <c r="CR66" s="8"/>
      <c r="CS66" s="8"/>
      <c r="CT66" s="8"/>
      <c r="CU66" s="8"/>
      <c r="CV66" s="282"/>
      <c r="CW66" s="282"/>
    </row>
    <row r="67" spans="1:101" ht="8.25" customHeight="1">
      <c r="A67" s="8"/>
      <c r="B67" s="320"/>
      <c r="C67" s="39"/>
      <c r="D67" s="357"/>
      <c r="E67" s="40"/>
      <c r="F67" s="40"/>
      <c r="G67" s="41"/>
      <c r="H67" s="357"/>
      <c r="I67" s="40"/>
      <c r="J67" s="40"/>
      <c r="K67" s="41"/>
      <c r="L67" s="357"/>
      <c r="M67" s="40"/>
      <c r="N67" s="40"/>
      <c r="O67" s="41"/>
      <c r="P67" s="357"/>
      <c r="Q67" s="40"/>
      <c r="R67" s="40"/>
      <c r="S67" s="41"/>
      <c r="T67" s="357"/>
      <c r="U67" s="40"/>
      <c r="V67" s="40"/>
      <c r="W67" s="41"/>
      <c r="X67" s="40"/>
      <c r="Y67" s="40"/>
      <c r="Z67" s="40"/>
      <c r="AA67" s="41"/>
      <c r="AB67" s="40"/>
      <c r="AC67" s="40"/>
      <c r="AD67" s="40"/>
      <c r="AE67" s="41"/>
      <c r="AF67" s="40"/>
      <c r="AG67" s="40"/>
      <c r="AH67" s="40"/>
      <c r="AI67" s="41"/>
      <c r="AJ67" s="40"/>
      <c r="AK67" s="40"/>
      <c r="AL67" s="40"/>
      <c r="AM67" s="41"/>
      <c r="AN67" s="40"/>
      <c r="AO67" s="40"/>
      <c r="AP67" s="40"/>
      <c r="AQ67" s="41"/>
      <c r="AR67" s="40"/>
      <c r="AS67" s="40"/>
      <c r="AT67" s="40"/>
      <c r="AU67" s="41"/>
      <c r="AV67" s="40"/>
      <c r="AW67" s="40"/>
      <c r="AX67" s="40"/>
      <c r="AY67" s="41"/>
      <c r="AZ67" s="40"/>
      <c r="BA67" s="40"/>
      <c r="BB67" s="40"/>
      <c r="BC67" s="41"/>
      <c r="BD67" s="40"/>
      <c r="BE67" s="40"/>
      <c r="BF67" s="40"/>
      <c r="BG67" s="40"/>
      <c r="BH67" s="357"/>
      <c r="BI67" s="40"/>
      <c r="BJ67" s="40"/>
      <c r="BK67" s="40"/>
      <c r="BL67" s="357"/>
      <c r="BM67" s="40"/>
      <c r="BN67" s="40"/>
      <c r="BO67" s="40"/>
      <c r="BP67" s="152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1"/>
      <c r="CG67" s="297"/>
      <c r="CH67" s="8"/>
      <c r="CO67" s="8"/>
      <c r="CP67" s="8"/>
      <c r="CQ67" s="8"/>
      <c r="CR67" s="8"/>
      <c r="CS67" s="8"/>
      <c r="CT67" s="8"/>
      <c r="CU67" s="8"/>
      <c r="CV67" s="282"/>
      <c r="CW67" s="282"/>
    </row>
    <row r="68" spans="1:101" ht="14.25" customHeight="1">
      <c r="A68" s="8"/>
      <c r="B68" s="320" t="s">
        <v>106</v>
      </c>
      <c r="C68" s="39"/>
      <c r="D68" s="357">
        <f t="shared" ref="D68:AQ68" si="294">D55+D63</f>
        <v>459</v>
      </c>
      <c r="E68" s="40">
        <f t="shared" si="294"/>
        <v>656</v>
      </c>
      <c r="F68" s="40">
        <f t="shared" si="294"/>
        <v>808</v>
      </c>
      <c r="G68" s="41">
        <f t="shared" si="294"/>
        <v>809</v>
      </c>
      <c r="H68" s="357">
        <f t="shared" si="294"/>
        <v>767</v>
      </c>
      <c r="I68" s="40">
        <f t="shared" si="294"/>
        <v>1039</v>
      </c>
      <c r="J68" s="40">
        <f t="shared" si="294"/>
        <v>984</v>
      </c>
      <c r="K68" s="41">
        <f t="shared" si="294"/>
        <v>836</v>
      </c>
      <c r="L68" s="357">
        <f t="shared" si="294"/>
        <v>733</v>
      </c>
      <c r="M68" s="40">
        <f t="shared" si="294"/>
        <v>882</v>
      </c>
      <c r="N68" s="40">
        <f t="shared" si="294"/>
        <v>1042</v>
      </c>
      <c r="O68" s="41">
        <f t="shared" si="294"/>
        <v>1048</v>
      </c>
      <c r="P68" s="357">
        <f t="shared" si="294"/>
        <v>840</v>
      </c>
      <c r="Q68" s="40">
        <f t="shared" si="294"/>
        <v>850</v>
      </c>
      <c r="R68" s="40">
        <f t="shared" si="294"/>
        <v>756</v>
      </c>
      <c r="S68" s="41">
        <f t="shared" si="294"/>
        <v>289</v>
      </c>
      <c r="T68" s="357">
        <f t="shared" si="294"/>
        <v>120</v>
      </c>
      <c r="U68" s="40">
        <f t="shared" si="294"/>
        <v>441</v>
      </c>
      <c r="V68" s="40">
        <f t="shared" si="294"/>
        <v>775</v>
      </c>
      <c r="W68" s="41">
        <f t="shared" si="294"/>
        <v>893</v>
      </c>
      <c r="X68" s="40">
        <f t="shared" si="294"/>
        <v>967</v>
      </c>
      <c r="Y68" s="40">
        <f t="shared" si="294"/>
        <v>1128</v>
      </c>
      <c r="Z68" s="40">
        <f t="shared" si="294"/>
        <v>1239</v>
      </c>
      <c r="AA68" s="41">
        <f t="shared" si="294"/>
        <v>1106</v>
      </c>
      <c r="AB68" s="40">
        <f t="shared" si="294"/>
        <v>920</v>
      </c>
      <c r="AC68" s="40">
        <f t="shared" si="294"/>
        <v>922</v>
      </c>
      <c r="AD68" s="40">
        <f t="shared" si="294"/>
        <v>927</v>
      </c>
      <c r="AE68" s="41">
        <f t="shared" si="294"/>
        <v>717</v>
      </c>
      <c r="AF68" s="40">
        <f>AF55+AF63</f>
        <v>546</v>
      </c>
      <c r="AG68" s="40">
        <f>AG55+AG63</f>
        <v>693</v>
      </c>
      <c r="AH68" s="40">
        <f>AH55+AH63</f>
        <v>827</v>
      </c>
      <c r="AI68" s="41">
        <f>AI55+AI63</f>
        <v>606</v>
      </c>
      <c r="AJ68" s="40">
        <f t="shared" si="294"/>
        <v>475</v>
      </c>
      <c r="AK68" s="40">
        <f>AK55+AK63</f>
        <v>686</v>
      </c>
      <c r="AL68" s="40">
        <f t="shared" si="294"/>
        <v>918</v>
      </c>
      <c r="AM68" s="41">
        <f>AM55+AM63</f>
        <v>828</v>
      </c>
      <c r="AN68" s="40">
        <f>AN55+AN63</f>
        <v>743</v>
      </c>
      <c r="AO68" s="40">
        <f>AO55+AO63</f>
        <v>1039</v>
      </c>
      <c r="AP68" s="40">
        <f t="shared" si="294"/>
        <v>1229</v>
      </c>
      <c r="AQ68" s="41">
        <f t="shared" si="294"/>
        <v>1142</v>
      </c>
      <c r="AR68" s="40">
        <f t="shared" ref="AR68:AX68" si="295">AR55+AR63</f>
        <v>1021</v>
      </c>
      <c r="AS68" s="40">
        <f t="shared" si="295"/>
        <v>1070</v>
      </c>
      <c r="AT68" s="40">
        <f t="shared" si="295"/>
        <v>1231</v>
      </c>
      <c r="AU68" s="41">
        <f t="shared" si="295"/>
        <v>1152</v>
      </c>
      <c r="AV68" s="40">
        <f t="shared" si="295"/>
        <v>1032</v>
      </c>
      <c r="AW68" s="40">
        <f t="shared" si="295"/>
        <v>1183</v>
      </c>
      <c r="AX68" s="40">
        <f t="shared" si="295"/>
        <v>1462</v>
      </c>
      <c r="AY68" s="41">
        <f t="shared" ref="AY68:BB68" si="296">AY55+AY63</f>
        <v>1557</v>
      </c>
      <c r="AZ68" s="40">
        <f t="shared" si="296"/>
        <v>1339</v>
      </c>
      <c r="BA68" s="40">
        <f t="shared" si="296"/>
        <v>1568</v>
      </c>
      <c r="BB68" s="40">
        <f t="shared" si="296"/>
        <v>1870</v>
      </c>
      <c r="BC68" s="41">
        <f t="shared" ref="BC68:BD68" si="297">BC55+BC63</f>
        <v>1632</v>
      </c>
      <c r="BD68" s="40">
        <f t="shared" si="297"/>
        <v>1634</v>
      </c>
      <c r="BE68" s="40">
        <f t="shared" ref="BE68:BG68" si="298">BE55+BE63</f>
        <v>1714.3557033849929</v>
      </c>
      <c r="BF68" s="40">
        <f t="shared" si="298"/>
        <v>1856.3359619628154</v>
      </c>
      <c r="BG68" s="40">
        <f t="shared" si="298"/>
        <v>1744.7859646439028</v>
      </c>
      <c r="BH68" s="357">
        <f t="shared" ref="BH68:BK68" si="299">BH55+BH63</f>
        <v>1632.4463659019398</v>
      </c>
      <c r="BI68" s="40">
        <f t="shared" si="299"/>
        <v>1787.8499234253441</v>
      </c>
      <c r="BJ68" s="40">
        <f t="shared" si="299"/>
        <v>1974.0129376155401</v>
      </c>
      <c r="BK68" s="40">
        <f t="shared" si="299"/>
        <v>1793.2000977068838</v>
      </c>
      <c r="BL68" s="357">
        <f t="shared" ref="BL68:BO68" si="300">BL55+BL63</f>
        <v>1728.6619513585783</v>
      </c>
      <c r="BM68" s="40">
        <f t="shared" si="300"/>
        <v>1922.028537475775</v>
      </c>
      <c r="BN68" s="40">
        <f t="shared" si="300"/>
        <v>2107.1111795267007</v>
      </c>
      <c r="BO68" s="40">
        <f t="shared" si="300"/>
        <v>1931.1991644034983</v>
      </c>
      <c r="BP68" s="152"/>
      <c r="BQ68" s="40">
        <f t="shared" ref="BQ68:CA68" si="301">BQ55+BQ63</f>
        <v>2732</v>
      </c>
      <c r="BR68" s="40">
        <f t="shared" si="301"/>
        <v>3626</v>
      </c>
      <c r="BS68" s="40">
        <f t="shared" si="301"/>
        <v>3705</v>
      </c>
      <c r="BT68" s="40">
        <f t="shared" si="301"/>
        <v>2735</v>
      </c>
      <c r="BU68" s="40">
        <f t="shared" si="301"/>
        <v>2229</v>
      </c>
      <c r="BV68" s="40">
        <f t="shared" si="301"/>
        <v>4440</v>
      </c>
      <c r="BW68" s="40">
        <f t="shared" si="301"/>
        <v>3486</v>
      </c>
      <c r="BX68" s="40">
        <f t="shared" si="301"/>
        <v>2672</v>
      </c>
      <c r="BY68" s="40">
        <f t="shared" si="301"/>
        <v>2907</v>
      </c>
      <c r="BZ68" s="40">
        <f t="shared" si="301"/>
        <v>4153</v>
      </c>
      <c r="CA68" s="40">
        <f t="shared" si="301"/>
        <v>4474</v>
      </c>
      <c r="CB68" s="40">
        <f>CB55+CB63</f>
        <v>5234</v>
      </c>
      <c r="CC68" s="40">
        <f>CC55+CC63</f>
        <v>6409</v>
      </c>
      <c r="CD68" s="40">
        <f>CD55+CD63</f>
        <v>6949.4776299917121</v>
      </c>
      <c r="CE68" s="40">
        <f>CE55+CE63</f>
        <v>7187.5093246497054</v>
      </c>
      <c r="CF68" s="41">
        <f>CF55+CF63</f>
        <v>7689.0008327645537</v>
      </c>
      <c r="CG68" s="364"/>
      <c r="CH68" s="8"/>
      <c r="CO68" s="8"/>
      <c r="CP68" s="8"/>
      <c r="CQ68" s="8"/>
      <c r="CR68" s="8"/>
      <c r="CS68" s="8"/>
      <c r="CT68" s="8"/>
      <c r="CU68" s="8"/>
      <c r="CV68" s="282"/>
      <c r="CW68" s="282"/>
    </row>
    <row r="69" spans="1:101" ht="14.25" customHeight="1">
      <c r="A69" s="8"/>
      <c r="B69" s="332" t="s">
        <v>107</v>
      </c>
      <c r="C69" s="29"/>
      <c r="D69" s="339">
        <f t="shared" ref="D69:AQ69" si="302">D68/D10</f>
        <v>0.16987416728349372</v>
      </c>
      <c r="E69" s="30">
        <f t="shared" si="302"/>
        <v>0.22080107707842478</v>
      </c>
      <c r="F69" s="30">
        <f t="shared" si="302"/>
        <v>0.24198861934710991</v>
      </c>
      <c r="G69" s="31">
        <f t="shared" si="302"/>
        <v>0.24338146811070999</v>
      </c>
      <c r="H69" s="339">
        <f t="shared" si="302"/>
        <v>0.23005398920215958</v>
      </c>
      <c r="I69" s="30">
        <f t="shared" si="302"/>
        <v>0.28103868001081961</v>
      </c>
      <c r="J69" s="30">
        <f t="shared" si="302"/>
        <v>0.26163254453602763</v>
      </c>
      <c r="K69" s="31">
        <f t="shared" si="302"/>
        <v>0.24140918278948889</v>
      </c>
      <c r="L69" s="339">
        <f t="shared" si="302"/>
        <v>0.22970855531181447</v>
      </c>
      <c r="M69" s="30">
        <f t="shared" si="302"/>
        <v>0.25759345794392524</v>
      </c>
      <c r="N69" s="30">
        <f t="shared" si="302"/>
        <v>0.28446628446628447</v>
      </c>
      <c r="O69" s="31">
        <f t="shared" si="302"/>
        <v>0.29471316085489313</v>
      </c>
      <c r="P69" s="339">
        <f t="shared" si="302"/>
        <v>0.25672371638141811</v>
      </c>
      <c r="Q69" s="30">
        <f t="shared" si="302"/>
        <v>0.25365562518651147</v>
      </c>
      <c r="R69" s="30">
        <f t="shared" si="302"/>
        <v>0.22320637732506643</v>
      </c>
      <c r="S69" s="31">
        <f t="shared" si="302"/>
        <v>0.11601766358892011</v>
      </c>
      <c r="T69" s="339">
        <f t="shared" si="302"/>
        <v>5.7526366251198467E-2</v>
      </c>
      <c r="U69" s="30">
        <f t="shared" si="302"/>
        <v>0.17948717948717949</v>
      </c>
      <c r="V69" s="30">
        <f t="shared" si="302"/>
        <v>0.26909722222222221</v>
      </c>
      <c r="W69" s="31">
        <f t="shared" si="302"/>
        <v>0.29727030625832224</v>
      </c>
      <c r="X69" s="30">
        <f t="shared" si="302"/>
        <v>0.30171606864274569</v>
      </c>
      <c r="Y69" s="30">
        <f t="shared" si="302"/>
        <v>0.32265446224256294</v>
      </c>
      <c r="Z69" s="30">
        <f t="shared" si="302"/>
        <v>0.33128342245989306</v>
      </c>
      <c r="AA69" s="31">
        <f t="shared" si="302"/>
        <v>0.31375886524822694</v>
      </c>
      <c r="AB69" s="30">
        <f t="shared" si="302"/>
        <v>0.27122641509433965</v>
      </c>
      <c r="AC69" s="30">
        <f t="shared" si="302"/>
        <v>0.26662810873337189</v>
      </c>
      <c r="AD69" s="30">
        <f t="shared" si="302"/>
        <v>0.26745527986151185</v>
      </c>
      <c r="AE69" s="31">
        <f t="shared" si="302"/>
        <v>0.20964912280701756</v>
      </c>
      <c r="AF69" s="30">
        <f t="shared" si="302"/>
        <v>0.17494392822813201</v>
      </c>
      <c r="AG69" s="30">
        <f t="shared" si="302"/>
        <v>0.20779610194902548</v>
      </c>
      <c r="AH69" s="30">
        <f t="shared" si="302"/>
        <v>0.24395280235988201</v>
      </c>
      <c r="AI69" s="31">
        <f t="shared" si="302"/>
        <v>0.20342396777442096</v>
      </c>
      <c r="AJ69" s="30">
        <f t="shared" si="302"/>
        <v>0.16464471403812825</v>
      </c>
      <c r="AK69" s="30">
        <f t="shared" si="302"/>
        <v>0.225139481457171</v>
      </c>
      <c r="AL69" s="30">
        <f t="shared" si="302"/>
        <v>0.28298397040690504</v>
      </c>
      <c r="AM69" s="31">
        <f t="shared" si="302"/>
        <v>0.27344782034346105</v>
      </c>
      <c r="AN69" s="30">
        <f>AN68/AN10</f>
        <v>0.24907810928595372</v>
      </c>
      <c r="AO69" s="30">
        <f>AO68/AO10</f>
        <v>0.31561360874848116</v>
      </c>
      <c r="AP69" s="30">
        <f t="shared" si="302"/>
        <v>0.35104255926878036</v>
      </c>
      <c r="AQ69" s="31">
        <f t="shared" si="302"/>
        <v>0.34934230651575404</v>
      </c>
      <c r="AR69" s="30">
        <f t="shared" ref="AR69:AX69" si="303">AR68/AR10</f>
        <v>0.32412698412698415</v>
      </c>
      <c r="AS69" s="30">
        <f t="shared" si="303"/>
        <v>0.33106435643564358</v>
      </c>
      <c r="AT69" s="30">
        <f t="shared" si="303"/>
        <v>0.35899679206765822</v>
      </c>
      <c r="AU69" s="31">
        <f t="shared" si="303"/>
        <v>0.36124176857949203</v>
      </c>
      <c r="AV69" s="30">
        <f t="shared" si="303"/>
        <v>0.34308510638297873</v>
      </c>
      <c r="AW69" s="30">
        <f t="shared" si="303"/>
        <v>0.36144210204705163</v>
      </c>
      <c r="AX69" s="30">
        <f t="shared" si="303"/>
        <v>0.39782312925170066</v>
      </c>
      <c r="AY69" s="31">
        <f t="shared" ref="AY69:BB69" si="304">AY68/AY10</f>
        <v>0.45606326889279436</v>
      </c>
      <c r="AZ69" s="30">
        <f t="shared" si="304"/>
        <v>0.39359200470311584</v>
      </c>
      <c r="BA69" s="30">
        <f t="shared" si="304"/>
        <v>0.42458705659355539</v>
      </c>
      <c r="BB69" s="30">
        <f t="shared" si="304"/>
        <v>0.45432458697764821</v>
      </c>
      <c r="BC69" s="31">
        <f t="shared" ref="BC69:BD69" si="305">BC68/BC10</f>
        <v>0.43519999999999998</v>
      </c>
      <c r="BD69" s="30">
        <f t="shared" si="305"/>
        <v>0.43124835048825549</v>
      </c>
      <c r="BE69" s="30">
        <f t="shared" ref="BE69:BG69" si="306">BE68/BE10</f>
        <v>0.43463286925593103</v>
      </c>
      <c r="BF69" s="30">
        <f t="shared" si="306"/>
        <v>0.44229937542878428</v>
      </c>
      <c r="BG69" s="30">
        <f t="shared" si="306"/>
        <v>0.44119961643234185</v>
      </c>
      <c r="BH69" s="339">
        <f t="shared" ref="BH69:BK69" si="307">BH68/BH10</f>
        <v>0.42394507695623268</v>
      </c>
      <c r="BI69" s="30">
        <f t="shared" si="307"/>
        <v>0.43719264190752072</v>
      </c>
      <c r="BJ69" s="30">
        <f t="shared" si="307"/>
        <v>0.45476480147968412</v>
      </c>
      <c r="BK69" s="30">
        <f t="shared" si="307"/>
        <v>0.43985320942514655</v>
      </c>
      <c r="BL69" s="339">
        <f t="shared" ref="BL69:BO69" si="308">BL68/BL10</f>
        <v>0.43498684767645335</v>
      </c>
      <c r="BM69" s="30">
        <f t="shared" si="308"/>
        <v>0.45553906185664589</v>
      </c>
      <c r="BN69" s="30">
        <f t="shared" si="308"/>
        <v>0.47075822946078966</v>
      </c>
      <c r="BO69" s="30">
        <f t="shared" si="308"/>
        <v>0.45912913730493898</v>
      </c>
      <c r="BP69" s="152"/>
      <c r="BQ69" s="30">
        <f t="shared" ref="BQ69:CA69" si="309">BQ68/BQ10</f>
        <v>0.22146562905317768</v>
      </c>
      <c r="BR69" s="30">
        <f t="shared" si="309"/>
        <v>0.25436688881094355</v>
      </c>
      <c r="BS69" s="30">
        <f t="shared" si="309"/>
        <v>0.26781841838947523</v>
      </c>
      <c r="BT69" s="30">
        <f t="shared" si="309"/>
        <v>0.21878249740020797</v>
      </c>
      <c r="BU69" s="30">
        <f t="shared" si="309"/>
        <v>0.21377193823726862</v>
      </c>
      <c r="BV69" s="30">
        <f t="shared" si="309"/>
        <v>0.31791493627380785</v>
      </c>
      <c r="BW69" s="30">
        <f t="shared" si="309"/>
        <v>0.25378567268491553</v>
      </c>
      <c r="BX69" s="30">
        <f t="shared" si="309"/>
        <v>0.2083430799220273</v>
      </c>
      <c r="BY69" s="30">
        <f t="shared" si="309"/>
        <v>0.23820058997050148</v>
      </c>
      <c r="BZ69" s="30">
        <f t="shared" si="309"/>
        <v>0.31835952472211576</v>
      </c>
      <c r="CA69" s="30">
        <f t="shared" si="309"/>
        <v>0.34415384615384614</v>
      </c>
      <c r="CB69" s="30">
        <f>CB68/CB10</f>
        <v>0.39147344801795064</v>
      </c>
      <c r="CC69" s="30">
        <f>CC68/CC10</f>
        <v>0.42838045585188156</v>
      </c>
      <c r="CD69" s="30">
        <f>CD68/CD10</f>
        <v>0.43748597098107023</v>
      </c>
      <c r="CE69" s="30">
        <f>CE68/CE10</f>
        <v>0.43940027936196274</v>
      </c>
      <c r="CF69" s="31">
        <f>CF68/CF10</f>
        <v>0.45563066914628514</v>
      </c>
      <c r="CG69" s="297"/>
      <c r="CH69" s="8"/>
      <c r="CO69" s="8"/>
      <c r="CP69" s="8"/>
      <c r="CQ69" s="8"/>
      <c r="CR69" s="8"/>
      <c r="CS69" s="8"/>
      <c r="CT69" s="8"/>
      <c r="CU69" s="8"/>
      <c r="CV69" s="282"/>
      <c r="CW69" s="282"/>
    </row>
    <row r="70" spans="1:101" ht="8.25" customHeight="1">
      <c r="A70" s="8"/>
      <c r="B70" s="342"/>
      <c r="C70" s="21"/>
      <c r="D70" s="343"/>
      <c r="E70" s="34"/>
      <c r="F70" s="38"/>
      <c r="G70" s="35"/>
      <c r="H70" s="343"/>
      <c r="I70" s="34"/>
      <c r="J70" s="38"/>
      <c r="K70" s="35"/>
      <c r="L70" s="343"/>
      <c r="M70" s="34"/>
      <c r="N70" s="38"/>
      <c r="O70" s="35"/>
      <c r="P70" s="343"/>
      <c r="Q70" s="34"/>
      <c r="R70" s="38"/>
      <c r="S70" s="35"/>
      <c r="T70" s="343"/>
      <c r="U70" s="34"/>
      <c r="V70" s="38"/>
      <c r="W70" s="35"/>
      <c r="X70" s="34"/>
      <c r="Y70" s="34"/>
      <c r="Z70" s="34"/>
      <c r="AA70" s="35"/>
      <c r="AB70" s="34"/>
      <c r="AC70" s="34"/>
      <c r="AD70" s="34"/>
      <c r="AE70" s="35"/>
      <c r="AF70" s="34"/>
      <c r="AG70" s="34"/>
      <c r="AH70" s="34"/>
      <c r="AI70" s="35"/>
      <c r="AJ70" s="34"/>
      <c r="AK70" s="34"/>
      <c r="AL70" s="34"/>
      <c r="AM70" s="35"/>
      <c r="AN70" s="34"/>
      <c r="AO70" s="34"/>
      <c r="AP70" s="34"/>
      <c r="AQ70" s="35"/>
      <c r="AR70" s="34"/>
      <c r="AS70" s="34"/>
      <c r="AT70" s="34"/>
      <c r="AU70" s="35"/>
      <c r="AV70" s="34"/>
      <c r="AW70" s="34"/>
      <c r="AX70" s="34"/>
      <c r="AY70" s="35"/>
      <c r="AZ70" s="34"/>
      <c r="BA70" s="34"/>
      <c r="BB70" s="34"/>
      <c r="BC70" s="35"/>
      <c r="BD70" s="34"/>
      <c r="BE70" s="34"/>
      <c r="BF70" s="34"/>
      <c r="BG70" s="34"/>
      <c r="BH70" s="343"/>
      <c r="BI70" s="34"/>
      <c r="BJ70" s="34"/>
      <c r="BK70" s="34"/>
      <c r="BL70" s="343"/>
      <c r="BM70" s="34"/>
      <c r="BN70" s="34"/>
      <c r="BO70" s="34"/>
      <c r="BP70" s="152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0"/>
      <c r="CB70" s="36"/>
      <c r="CC70" s="36"/>
      <c r="CD70" s="36"/>
      <c r="CE70" s="36"/>
      <c r="CF70" s="37"/>
      <c r="CG70" s="297"/>
      <c r="CH70" s="8"/>
      <c r="CO70" s="8"/>
      <c r="CP70" s="8"/>
      <c r="CQ70" s="8"/>
      <c r="CR70" s="8"/>
      <c r="CS70" s="8"/>
      <c r="CT70" s="8"/>
      <c r="CU70" s="8"/>
      <c r="CV70" s="282"/>
      <c r="CW70" s="282"/>
    </row>
    <row r="71" spans="1:101" ht="14.25" customHeight="1">
      <c r="A71" s="368"/>
      <c r="B71" s="345" t="s">
        <v>14</v>
      </c>
      <c r="C71" s="346"/>
      <c r="D71" s="347">
        <v>111</v>
      </c>
      <c r="E71" s="348">
        <v>72</v>
      </c>
      <c r="F71" s="348">
        <v>212</v>
      </c>
      <c r="G71" s="349">
        <v>187</v>
      </c>
      <c r="H71" s="347">
        <v>225</v>
      </c>
      <c r="I71" s="348">
        <v>300</v>
      </c>
      <c r="J71" s="348">
        <v>298</v>
      </c>
      <c r="K71" s="349">
        <v>165</v>
      </c>
      <c r="L71" s="347">
        <v>203</v>
      </c>
      <c r="M71" s="348">
        <v>251</v>
      </c>
      <c r="N71" s="348">
        <v>308</v>
      </c>
      <c r="O71" s="349">
        <v>289</v>
      </c>
      <c r="P71" s="347">
        <v>178</v>
      </c>
      <c r="Q71" s="348">
        <v>262</v>
      </c>
      <c r="R71" s="348">
        <v>193</v>
      </c>
      <c r="S71" s="350">
        <f>561-R71-Q71-P71</f>
        <v>-72</v>
      </c>
      <c r="T71" s="347">
        <v>-2</v>
      </c>
      <c r="U71" s="348">
        <v>96</v>
      </c>
      <c r="V71" s="348">
        <v>227</v>
      </c>
      <c r="W71" s="350">
        <f>547-V71-U71-T71</f>
        <v>226</v>
      </c>
      <c r="X71" s="348">
        <v>299</v>
      </c>
      <c r="Y71" s="348">
        <v>342</v>
      </c>
      <c r="Z71" s="348">
        <v>376</v>
      </c>
      <c r="AA71" s="350">
        <f>1323-Z71-Y71-X71</f>
        <v>306</v>
      </c>
      <c r="AB71" s="348">
        <v>252</v>
      </c>
      <c r="AC71" s="348">
        <v>237</v>
      </c>
      <c r="AD71" s="348">
        <v>179</v>
      </c>
      <c r="AE71" s="349">
        <v>51</v>
      </c>
      <c r="AF71" s="348">
        <v>97</v>
      </c>
      <c r="AG71" s="348">
        <v>130</v>
      </c>
      <c r="AH71" s="348">
        <f>59</f>
        <v>59</v>
      </c>
      <c r="AI71" s="349">
        <v>-109</v>
      </c>
      <c r="AJ71" s="348">
        <v>12</v>
      </c>
      <c r="AK71" s="348">
        <v>222</v>
      </c>
      <c r="AL71" s="348">
        <v>187</v>
      </c>
      <c r="AM71" s="349">
        <v>171</v>
      </c>
      <c r="AN71" s="348">
        <v>184</v>
      </c>
      <c r="AO71" s="348">
        <v>278</v>
      </c>
      <c r="AP71" s="348">
        <v>329</v>
      </c>
      <c r="AQ71" s="349">
        <v>262</v>
      </c>
      <c r="AR71" s="348">
        <v>284</v>
      </c>
      <c r="AS71" s="348">
        <v>293</v>
      </c>
      <c r="AT71" s="348">
        <v>350</v>
      </c>
      <c r="AU71" s="349">
        <v>303</v>
      </c>
      <c r="AV71" s="348">
        <v>239</v>
      </c>
      <c r="AW71" s="348">
        <v>283</v>
      </c>
      <c r="AX71" s="348">
        <v>363</v>
      </c>
      <c r="AY71" s="349">
        <v>450</v>
      </c>
      <c r="AZ71" s="348">
        <v>258</v>
      </c>
      <c r="BA71" s="348">
        <v>430</v>
      </c>
      <c r="BB71" s="348">
        <v>504</v>
      </c>
      <c r="BC71" s="349">
        <v>1206</v>
      </c>
      <c r="BD71" s="348">
        <v>187</v>
      </c>
      <c r="BE71" s="352">
        <f t="shared" ref="BE71:BG71" si="310">BE72*BE65</f>
        <v>326.87114067699861</v>
      </c>
      <c r="BF71" s="352">
        <f t="shared" si="310"/>
        <v>355.26719239256312</v>
      </c>
      <c r="BG71" s="352">
        <f t="shared" si="310"/>
        <v>332.95719292878061</v>
      </c>
      <c r="BH71" s="353">
        <f t="shared" ref="BH71:BK71" si="311">BH72*BH65</f>
        <v>248.39141854431037</v>
      </c>
      <c r="BI71" s="352">
        <f t="shared" si="311"/>
        <v>273.25598774805508</v>
      </c>
      <c r="BJ71" s="352">
        <f t="shared" si="311"/>
        <v>303.04207001848641</v>
      </c>
      <c r="BK71" s="352">
        <f t="shared" si="311"/>
        <v>278.91201563310142</v>
      </c>
      <c r="BL71" s="353">
        <f t="shared" ref="BL71:BO71" si="312">BL72*BL65</f>
        <v>268.58591221737254</v>
      </c>
      <c r="BM71" s="352">
        <f t="shared" si="312"/>
        <v>299.52456599612401</v>
      </c>
      <c r="BN71" s="352">
        <f t="shared" si="312"/>
        <v>329.13778872427213</v>
      </c>
      <c r="BO71" s="352">
        <f t="shared" si="312"/>
        <v>300.99186630455972</v>
      </c>
      <c r="BP71" s="371"/>
      <c r="BQ71" s="352">
        <f>SUM(D71:G71)</f>
        <v>582</v>
      </c>
      <c r="BR71" s="352">
        <f>SUM(H71:K71)</f>
        <v>988</v>
      </c>
      <c r="BS71" s="352">
        <f>SUM(L71:O71)</f>
        <v>1051</v>
      </c>
      <c r="BT71" s="352">
        <f>SUM(P71:S71)</f>
        <v>561</v>
      </c>
      <c r="BU71" s="352">
        <f>SUM(T71:W71)</f>
        <v>547</v>
      </c>
      <c r="BV71" s="352">
        <f>SUM(X71:AA71)</f>
        <v>1323</v>
      </c>
      <c r="BW71" s="352">
        <f>SUM(AB71:AE71)</f>
        <v>719</v>
      </c>
      <c r="BX71" s="352">
        <f>SUM(AF71:AI71)</f>
        <v>177</v>
      </c>
      <c r="BY71" s="352">
        <f>SUM(AJ71:AM71)</f>
        <v>592</v>
      </c>
      <c r="BZ71" s="352">
        <f>SUM(AN71:AQ71)</f>
        <v>1053</v>
      </c>
      <c r="CA71" s="352">
        <f>SUM(AR71:AU71)</f>
        <v>1230</v>
      </c>
      <c r="CB71" s="352">
        <f>SUM(AV71:AY71)</f>
        <v>1335</v>
      </c>
      <c r="CC71" s="352">
        <f>SUM(AZ71:BC71)</f>
        <v>2398</v>
      </c>
      <c r="CD71" s="352">
        <f>SUM(BD71:BG71)</f>
        <v>1202.0955259983423</v>
      </c>
      <c r="CE71" s="352">
        <f>SUM(BH71:BK71)</f>
        <v>1103.6014919439533</v>
      </c>
      <c r="CF71" s="354">
        <f>SUM(BL71:BO71)</f>
        <v>1198.2401332423283</v>
      </c>
      <c r="CG71" s="364"/>
      <c r="CV71" s="282"/>
      <c r="CW71" s="282"/>
    </row>
    <row r="72" spans="1:101" ht="14.25" customHeight="1" outlineLevel="1">
      <c r="A72" s="8"/>
      <c r="B72" s="332" t="s">
        <v>15</v>
      </c>
      <c r="C72" s="29"/>
      <c r="D72" s="339">
        <f t="shared" ref="D72:AM72" si="313">D71/D65</f>
        <v>0.23029045643153526</v>
      </c>
      <c r="E72" s="30">
        <f t="shared" si="313"/>
        <v>0.10975609756097561</v>
      </c>
      <c r="F72" s="30">
        <f t="shared" si="313"/>
        <v>0.26237623762376239</v>
      </c>
      <c r="G72" s="31">
        <f t="shared" si="313"/>
        <v>0.23114956736711989</v>
      </c>
      <c r="H72" s="339">
        <f t="shared" si="313"/>
        <v>0.29335071707953064</v>
      </c>
      <c r="I72" s="30">
        <f t="shared" si="313"/>
        <v>0.28873917228103946</v>
      </c>
      <c r="J72" s="30">
        <f t="shared" si="313"/>
        <v>0.30284552845528456</v>
      </c>
      <c r="K72" s="31">
        <f t="shared" si="313"/>
        <v>0.19736842105263158</v>
      </c>
      <c r="L72" s="339">
        <f t="shared" si="313"/>
        <v>0.28233657858136302</v>
      </c>
      <c r="M72" s="30">
        <f t="shared" si="313"/>
        <v>0.2901734104046243</v>
      </c>
      <c r="N72" s="30">
        <f t="shared" si="313"/>
        <v>0.28893058161350843</v>
      </c>
      <c r="O72" s="31">
        <f t="shared" si="313"/>
        <v>0.27735124760076774</v>
      </c>
      <c r="P72" s="339">
        <f t="shared" si="313"/>
        <v>0.2119047619047619</v>
      </c>
      <c r="Q72" s="30">
        <f t="shared" si="313"/>
        <v>0.30823529411764705</v>
      </c>
      <c r="R72" s="30">
        <f t="shared" si="313"/>
        <v>0.25529100529100529</v>
      </c>
      <c r="S72" s="31">
        <f t="shared" si="313"/>
        <v>-2.0571428571428569</v>
      </c>
      <c r="T72" s="339">
        <f t="shared" si="313"/>
        <v>-0.13333333333333333</v>
      </c>
      <c r="U72" s="30">
        <f t="shared" si="313"/>
        <v>0.2696629213483146</v>
      </c>
      <c r="V72" s="30">
        <f t="shared" si="313"/>
        <v>0.29673202614379085</v>
      </c>
      <c r="W72" s="31">
        <f t="shared" si="313"/>
        <v>0.25652667423382519</v>
      </c>
      <c r="X72" s="46">
        <f t="shared" si="313"/>
        <v>0.31243469174503657</v>
      </c>
      <c r="Y72" s="30">
        <f t="shared" si="313"/>
        <v>0.30783078307830786</v>
      </c>
      <c r="Z72" s="30">
        <f t="shared" si="313"/>
        <v>0.30445344129554658</v>
      </c>
      <c r="AA72" s="31">
        <f t="shared" si="313"/>
        <v>0.24519230769230768</v>
      </c>
      <c r="AB72" s="30">
        <f t="shared" si="313"/>
        <v>0.27450980392156865</v>
      </c>
      <c r="AC72" s="30">
        <f t="shared" si="313"/>
        <v>0.26072607260726072</v>
      </c>
      <c r="AD72" s="30">
        <f t="shared" si="313"/>
        <v>0.22948717948717948</v>
      </c>
      <c r="AE72" s="31">
        <f t="shared" si="313"/>
        <v>0.14613180515759314</v>
      </c>
      <c r="AF72" s="30">
        <f t="shared" si="313"/>
        <v>0.26795580110497236</v>
      </c>
      <c r="AG72" s="30">
        <f t="shared" si="313"/>
        <v>0.22569444444444445</v>
      </c>
      <c r="AH72" s="30">
        <f t="shared" si="313"/>
        <v>6.9988137603795963E-2</v>
      </c>
      <c r="AI72" s="31">
        <f t="shared" si="313"/>
        <v>-0.70322580645161292</v>
      </c>
      <c r="AJ72" s="30">
        <f>AJ71/AJ65</f>
        <v>3.2085561497326207E-2</v>
      </c>
      <c r="AK72" s="30">
        <f t="shared" si="313"/>
        <v>0.25170068027210885</v>
      </c>
      <c r="AL72" s="30">
        <f t="shared" si="313"/>
        <v>0.22916666666666666</v>
      </c>
      <c r="AM72" s="31">
        <f t="shared" si="313"/>
        <v>0.25073313782991202</v>
      </c>
      <c r="AN72" s="30">
        <f t="shared" ref="AN72:AS72" si="314">AN71/AN65</f>
        <v>0.27421758569299554</v>
      </c>
      <c r="AO72" s="30">
        <f t="shared" si="314"/>
        <v>0.28928199791883452</v>
      </c>
      <c r="AP72" s="30">
        <f t="shared" si="314"/>
        <v>0.28484848484848485</v>
      </c>
      <c r="AQ72" s="31">
        <f t="shared" si="314"/>
        <v>0.24103035878564857</v>
      </c>
      <c r="AR72" s="30">
        <f>AR71/AR65</f>
        <v>0.30212765957446808</v>
      </c>
      <c r="AS72" s="30">
        <f t="shared" si="314"/>
        <v>0.29625884732052576</v>
      </c>
      <c r="AT72" s="30">
        <f t="shared" ref="AT72:AY72" si="315">AT71/AT65</f>
        <v>0.3048780487804878</v>
      </c>
      <c r="AU72" s="31">
        <f t="shared" si="315"/>
        <v>0.26602282704126429</v>
      </c>
      <c r="AV72" s="30">
        <f t="shared" si="315"/>
        <v>0.25157894736842107</v>
      </c>
      <c r="AW72" s="30">
        <f t="shared" si="315"/>
        <v>0.25680580762250454</v>
      </c>
      <c r="AX72" s="30">
        <f t="shared" si="315"/>
        <v>0.26285300506879072</v>
      </c>
      <c r="AY72" s="31">
        <f t="shared" si="315"/>
        <v>0.30060120240480964</v>
      </c>
      <c r="AZ72" s="30">
        <f t="shared" ref="AZ72:BC72" si="316">AZ71/AZ65</f>
        <v>0.20557768924302788</v>
      </c>
      <c r="BA72" s="30">
        <f t="shared" si="316"/>
        <v>0.28936742934051146</v>
      </c>
      <c r="BB72" s="30">
        <f t="shared" si="316"/>
        <v>0.28172163219675794</v>
      </c>
      <c r="BC72" s="31">
        <f t="shared" si="316"/>
        <v>0.77806451612903227</v>
      </c>
      <c r="BD72" s="30">
        <f t="shared" ref="BD72" si="317">BD71/BD65</f>
        <v>0.12041210560206053</v>
      </c>
      <c r="BE72" s="32">
        <v>0.2</v>
      </c>
      <c r="BF72" s="32">
        <v>0.2</v>
      </c>
      <c r="BG72" s="32">
        <v>0.2</v>
      </c>
      <c r="BH72" s="382">
        <v>0.16</v>
      </c>
      <c r="BI72" s="32">
        <f>BH72</f>
        <v>0.16</v>
      </c>
      <c r="BJ72" s="32">
        <f t="shared" ref="BJ72:BO72" si="318">BI72</f>
        <v>0.16</v>
      </c>
      <c r="BK72" s="32">
        <f t="shared" si="318"/>
        <v>0.16</v>
      </c>
      <c r="BL72" s="382">
        <f t="shared" si="318"/>
        <v>0.16</v>
      </c>
      <c r="BM72" s="32">
        <f t="shared" si="318"/>
        <v>0.16</v>
      </c>
      <c r="BN72" s="32">
        <f t="shared" si="318"/>
        <v>0.16</v>
      </c>
      <c r="BO72" s="32">
        <f t="shared" si="318"/>
        <v>0.16</v>
      </c>
      <c r="BP72" s="152"/>
      <c r="BQ72" s="30">
        <f t="shared" ref="BQ72:BY72" si="319">BQ71/BQ65</f>
        <v>0.21125226860254084</v>
      </c>
      <c r="BR72" s="30">
        <f t="shared" si="319"/>
        <v>0.27247655819084393</v>
      </c>
      <c r="BS72" s="30">
        <f t="shared" si="319"/>
        <v>0.28466955579631636</v>
      </c>
      <c r="BT72" s="30">
        <f t="shared" si="319"/>
        <v>0.22611850060459493</v>
      </c>
      <c r="BU72" s="30">
        <f t="shared" si="319"/>
        <v>0.27119484382746656</v>
      </c>
      <c r="BV72" s="30">
        <f t="shared" si="319"/>
        <v>0.29070533948582727</v>
      </c>
      <c r="BW72" s="30">
        <f t="shared" si="319"/>
        <v>0.24323410013531799</v>
      </c>
      <c r="BX72" s="30">
        <f t="shared" si="319"/>
        <v>9.1425619834710745E-2</v>
      </c>
      <c r="BY72" s="30">
        <f t="shared" si="319"/>
        <v>0.214960058097313</v>
      </c>
      <c r="BZ72" s="30">
        <f t="shared" ref="BZ72:CE72" si="320">BZ71/BZ65</f>
        <v>0.27181208053691275</v>
      </c>
      <c r="CA72" s="30">
        <f t="shared" si="320"/>
        <v>0.29174573055028463</v>
      </c>
      <c r="CB72" s="30">
        <f t="shared" si="320"/>
        <v>0.27079107505070993</v>
      </c>
      <c r="CC72" s="30">
        <f t="shared" si="320"/>
        <v>0.39440789473684212</v>
      </c>
      <c r="CD72" s="30">
        <f t="shared" si="320"/>
        <v>0.18135318441134202</v>
      </c>
      <c r="CE72" s="30">
        <f t="shared" si="320"/>
        <v>0.16000000000000006</v>
      </c>
      <c r="CF72" s="31">
        <f t="shared" ref="CF72" si="321">CF71/CF65</f>
        <v>0.15999999999999995</v>
      </c>
      <c r="CG72" s="297"/>
      <c r="CH72" s="8"/>
      <c r="CO72" s="8"/>
      <c r="CP72" s="8"/>
      <c r="CQ72" s="8"/>
      <c r="CR72" s="8"/>
      <c r="CS72" s="8"/>
      <c r="CT72" s="8"/>
      <c r="CU72" s="8"/>
      <c r="CV72" s="282"/>
      <c r="CW72" s="282"/>
    </row>
    <row r="73" spans="1:101" ht="14.25" customHeight="1" outlineLevel="1">
      <c r="A73" s="8"/>
      <c r="B73" s="336"/>
      <c r="C73" s="24"/>
      <c r="D73" s="337"/>
      <c r="E73" s="25"/>
      <c r="F73" s="25"/>
      <c r="G73" s="26"/>
      <c r="H73" s="337"/>
      <c r="I73" s="25"/>
      <c r="J73" s="25"/>
      <c r="K73" s="26"/>
      <c r="L73" s="337"/>
      <c r="M73" s="25"/>
      <c r="N73" s="25"/>
      <c r="O73" s="26"/>
      <c r="P73" s="337"/>
      <c r="Q73" s="25"/>
      <c r="R73" s="25"/>
      <c r="S73" s="26"/>
      <c r="T73" s="337"/>
      <c r="U73" s="25"/>
      <c r="V73" s="25"/>
      <c r="W73" s="26"/>
      <c r="X73" s="25"/>
      <c r="Y73" s="25"/>
      <c r="Z73" s="25"/>
      <c r="AA73" s="26"/>
      <c r="AB73" s="25"/>
      <c r="AC73" s="25"/>
      <c r="AD73" s="25"/>
      <c r="AE73" s="26"/>
      <c r="AF73" s="25"/>
      <c r="AG73" s="27"/>
      <c r="AH73" s="27"/>
      <c r="AI73" s="26"/>
      <c r="AJ73" s="27"/>
      <c r="AK73" s="27"/>
      <c r="AL73" s="27"/>
      <c r="AM73" s="26"/>
      <c r="AN73" s="27"/>
      <c r="AO73" s="27"/>
      <c r="AP73" s="27"/>
      <c r="AQ73" s="26"/>
      <c r="AR73" s="27"/>
      <c r="AS73" s="27"/>
      <c r="AT73" s="27"/>
      <c r="AU73" s="26"/>
      <c r="AV73" s="27"/>
      <c r="AW73" s="27"/>
      <c r="AX73" s="27"/>
      <c r="AY73" s="26"/>
      <c r="AZ73" s="27"/>
      <c r="BA73" s="27"/>
      <c r="BB73" s="27"/>
      <c r="BC73" s="26"/>
      <c r="BD73" s="27"/>
      <c r="BE73" s="27"/>
      <c r="BF73" s="27"/>
      <c r="BG73" s="27"/>
      <c r="BH73" s="338"/>
      <c r="BI73" s="27"/>
      <c r="BJ73" s="27"/>
      <c r="BK73" s="27"/>
      <c r="BL73" s="338"/>
      <c r="BM73" s="27"/>
      <c r="BN73" s="27"/>
      <c r="BO73" s="27"/>
      <c r="BP73" s="152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8"/>
      <c r="CG73" s="297"/>
      <c r="CH73" s="8"/>
      <c r="CO73" s="8"/>
      <c r="CP73" s="8"/>
      <c r="CQ73" s="8"/>
      <c r="CR73" s="8"/>
      <c r="CS73" s="8"/>
      <c r="CT73" s="8"/>
      <c r="CU73" s="8"/>
      <c r="CV73" s="282"/>
      <c r="CW73" s="282"/>
    </row>
    <row r="74" spans="1:101" ht="14.25" customHeight="1" outlineLevel="1">
      <c r="A74" s="12"/>
      <c r="B74" s="336" t="s">
        <v>108</v>
      </c>
      <c r="C74" s="24"/>
      <c r="D74" s="337">
        <v>0</v>
      </c>
      <c r="E74" s="25">
        <v>0</v>
      </c>
      <c r="F74" s="25">
        <v>0</v>
      </c>
      <c r="G74" s="26">
        <v>0</v>
      </c>
      <c r="H74" s="337">
        <v>0</v>
      </c>
      <c r="I74" s="25">
        <v>0</v>
      </c>
      <c r="J74" s="25">
        <v>0</v>
      </c>
      <c r="K74" s="26">
        <v>0</v>
      </c>
      <c r="L74" s="337">
        <v>0</v>
      </c>
      <c r="M74" s="25">
        <v>0</v>
      </c>
      <c r="N74" s="25">
        <v>0</v>
      </c>
      <c r="O74" s="26">
        <v>0</v>
      </c>
      <c r="P74" s="337">
        <v>0</v>
      </c>
      <c r="Q74" s="25">
        <v>0</v>
      </c>
      <c r="R74" s="25">
        <v>0</v>
      </c>
      <c r="S74" s="26">
        <v>0</v>
      </c>
      <c r="T74" s="337">
        <v>0</v>
      </c>
      <c r="U74" s="25">
        <v>0</v>
      </c>
      <c r="V74" s="25">
        <v>0</v>
      </c>
      <c r="W74" s="26">
        <v>0</v>
      </c>
      <c r="X74" s="25">
        <v>0</v>
      </c>
      <c r="Y74" s="25">
        <v>0</v>
      </c>
      <c r="Z74" s="25">
        <v>0</v>
      </c>
      <c r="AA74" s="26">
        <v>0</v>
      </c>
      <c r="AB74" s="352">
        <f>(-AB9+AB16+AB29+AB36+AB40+AB61)*(AB72)</f>
        <v>0.5490196078431373</v>
      </c>
      <c r="AC74" s="25">
        <f>(-AC9+AC16+AC29+AC36+AC40+AC61)*(AC72)</f>
        <v>3.3894389438943895</v>
      </c>
      <c r="AD74" s="25">
        <f>(-AD9+AD16+AD29+AD36+AD40+AD61)*(AD72)</f>
        <v>33.734615384615381</v>
      </c>
      <c r="AE74" s="26">
        <f>(-AE9+AE16+AE29+AE36+AE40+AE61)*(0.28)</f>
        <v>103.04</v>
      </c>
      <c r="AF74" s="25">
        <f>(-AF9+AF16+AF29+AF36+AF40+AF61)*(AF72)</f>
        <v>49.303867403314911</v>
      </c>
      <c r="AG74" s="27">
        <f>(-AG9+AG16+AG29+AG36+AG40+AG61)*(AG72)</f>
        <v>26.40625</v>
      </c>
      <c r="AH74" s="27">
        <f>(-AH9+AH16+AH29+AH36+AH40+AH61)*(0.22)</f>
        <v>-3.52</v>
      </c>
      <c r="AI74" s="26">
        <f>38+147+(323-210)</f>
        <v>298</v>
      </c>
      <c r="AJ74" s="383">
        <f>(-AJ9+AJ16+AJ29+AJ36+AJ40+AJ61)*(AJ72)+65</f>
        <v>68.240641711229941</v>
      </c>
      <c r="AK74" s="383">
        <f>(-AK9+AK16+AK29+AK36+AK40+AK61)*(AK72)</f>
        <v>-49.333333333333336</v>
      </c>
      <c r="AL74" s="383">
        <f t="shared" ref="AL74:AQ74" si="322">(-AL9+AL16+AL29+AL36+AL40+AL61)*(AL72)</f>
        <v>23.375</v>
      </c>
      <c r="AM74" s="384">
        <f>38+147+(323-210)</f>
        <v>298</v>
      </c>
      <c r="AN74" s="383">
        <f t="shared" si="322"/>
        <v>19.743666169895679</v>
      </c>
      <c r="AO74" s="383">
        <f>(-AO9+AO16+AO29+AO36+AO40+AO61)*(AO72)</f>
        <v>22.563995837669093</v>
      </c>
      <c r="AP74" s="383">
        <f t="shared" si="322"/>
        <v>21.078787878787878</v>
      </c>
      <c r="AQ74" s="384">
        <f t="shared" si="322"/>
        <v>13.256669733210671</v>
      </c>
      <c r="AR74" s="383">
        <f t="shared" ref="AR74:AV74" si="323">(-AR9+AR16+AR29+AR36+AR40+AR61)*(AR72)</f>
        <v>24.472340425531915</v>
      </c>
      <c r="AS74" s="383">
        <f t="shared" si="323"/>
        <v>23.996966632962586</v>
      </c>
      <c r="AT74" s="383">
        <f t="shared" si="323"/>
        <v>25.304878048780488</v>
      </c>
      <c r="AU74" s="384">
        <f t="shared" si="323"/>
        <v>3.4582967515364356</v>
      </c>
      <c r="AV74" s="383">
        <f t="shared" si="323"/>
        <v>20.629473684210527</v>
      </c>
      <c r="AW74" s="383">
        <f>(-AW9+AW16+AW29+AW36+AW40+AW61)*(AW72)</f>
        <v>20.801270417422867</v>
      </c>
      <c r="AX74" s="383">
        <f>(-AX9+AX16+AX29+AX36+AX40+AX61)*(AX72)</f>
        <v>21.291093410572049</v>
      </c>
      <c r="AY74" s="384">
        <f t="shared" ref="AY74:AZ74" si="324">(-AY9+AY16+AY29+AY36+AY40+AY61)*(AY72)</f>
        <v>18.036072144288578</v>
      </c>
      <c r="AZ74" s="383">
        <f t="shared" si="324"/>
        <v>17.268525896414342</v>
      </c>
      <c r="BA74" s="383">
        <f>(-BA9+BA16+BA29+BA36+BA40+BA61)*(BA72)</f>
        <v>23.728129205921938</v>
      </c>
      <c r="BB74" s="383">
        <f>(-BB9+BB16+BB29+BB36+BB40+BB61)*(BB72)</f>
        <v>22.819452207937392</v>
      </c>
      <c r="BC74" s="384">
        <f>(-BC9+BC16+BC29+BC36+BC40+BC61)*(BC72)-800</f>
        <v>-736.1987096774194</v>
      </c>
      <c r="BD74" s="383">
        <f t="shared" ref="BD74" si="325">(-BD9+BD16+BD29+BD36+BD40+BD61)*(BD72)</f>
        <v>9.7533805537669025</v>
      </c>
      <c r="BE74" s="27">
        <f>(-BE9+BE16+BE29+BE36+BE40+BE61)*(BE72)+10</f>
        <v>26</v>
      </c>
      <c r="BF74" s="27">
        <f>(-BF9+BF16+BF29+BF36+BF40+BF61)*(BF72)+10</f>
        <v>26</v>
      </c>
      <c r="BG74" s="27">
        <f>(-BG9+BG16+BG29+BG36+BG40+BG61)*(BG72)+5</f>
        <v>21</v>
      </c>
      <c r="BH74" s="338">
        <f t="shared" ref="BH74:BK74" si="326">(-BH9+BH16+BH29+BH36+BH40+BH61)*(BH72)</f>
        <v>12.8</v>
      </c>
      <c r="BI74" s="27">
        <f t="shared" si="326"/>
        <v>12.8</v>
      </c>
      <c r="BJ74" s="27">
        <f t="shared" si="326"/>
        <v>12.8</v>
      </c>
      <c r="BK74" s="27">
        <f t="shared" si="326"/>
        <v>8</v>
      </c>
      <c r="BL74" s="338">
        <f t="shared" ref="BL74:BO74" si="327">(-BL9+BL16+BL29+BL36+BL40+BL61)*(BL72)</f>
        <v>8</v>
      </c>
      <c r="BM74" s="27">
        <f t="shared" si="327"/>
        <v>8</v>
      </c>
      <c r="BN74" s="27">
        <f t="shared" si="327"/>
        <v>8</v>
      </c>
      <c r="BO74" s="27">
        <f t="shared" si="327"/>
        <v>8</v>
      </c>
      <c r="BP74" s="152"/>
      <c r="BQ74" s="27">
        <f>SUM(D74:G74)</f>
        <v>0</v>
      </c>
      <c r="BR74" s="27">
        <f>SUM(H74:K74)</f>
        <v>0</v>
      </c>
      <c r="BS74" s="27">
        <f>SUM(L74:O74)</f>
        <v>0</v>
      </c>
      <c r="BT74" s="27">
        <f>SUM(P74:S74)</f>
        <v>0</v>
      </c>
      <c r="BU74" s="27">
        <f>SUM(T74:W74)</f>
        <v>0</v>
      </c>
      <c r="BV74" s="27">
        <f>SUM(X74:AA74)</f>
        <v>0</v>
      </c>
      <c r="BW74" s="27">
        <f>SUM(AB74:AE74)</f>
        <v>140.71307393635291</v>
      </c>
      <c r="BX74" s="27">
        <f>SUM(AF74:AI74)</f>
        <v>370.1901174033149</v>
      </c>
      <c r="BY74" s="27">
        <f>SUM(AJ74:AM74)</f>
        <v>340.28230837789658</v>
      </c>
      <c r="BZ74" s="27">
        <f>SUM(AN74:AQ74)</f>
        <v>76.643119619563322</v>
      </c>
      <c r="CA74" s="27">
        <f>SUM(AR74:AU74)</f>
        <v>77.232481858811425</v>
      </c>
      <c r="CB74" s="27">
        <f>SUM(AV74:AY74)</f>
        <v>80.757909656494022</v>
      </c>
      <c r="CC74" s="27">
        <f>SUM(AZ74:BC74)</f>
        <v>-672.38260236714575</v>
      </c>
      <c r="CD74" s="27">
        <f>SUM(BD74:BG74)</f>
        <v>82.753380553766902</v>
      </c>
      <c r="CE74" s="27">
        <f>SUM(BH74:BK74)</f>
        <v>46.400000000000006</v>
      </c>
      <c r="CF74" s="28">
        <f>SUM(BL74:BO74)</f>
        <v>32</v>
      </c>
      <c r="CG74" s="364"/>
      <c r="CH74" s="12"/>
      <c r="CO74" s="12"/>
      <c r="CP74" s="12"/>
      <c r="CQ74" s="12"/>
      <c r="CR74" s="12"/>
      <c r="CS74" s="12"/>
      <c r="CT74" s="12"/>
      <c r="CU74" s="12"/>
      <c r="CV74" s="282"/>
      <c r="CW74" s="282"/>
    </row>
    <row r="75" spans="1:101" ht="14.25" customHeight="1" outlineLevel="1">
      <c r="A75" s="8"/>
      <c r="B75" s="336"/>
      <c r="C75" s="24"/>
      <c r="D75" s="337"/>
      <c r="E75" s="25"/>
      <c r="F75" s="25"/>
      <c r="G75" s="26"/>
      <c r="H75" s="337"/>
      <c r="I75" s="25"/>
      <c r="J75" s="25"/>
      <c r="K75" s="26"/>
      <c r="L75" s="337"/>
      <c r="M75" s="25"/>
      <c r="N75" s="25"/>
      <c r="O75" s="26"/>
      <c r="P75" s="337"/>
      <c r="Q75" s="25"/>
      <c r="R75" s="25"/>
      <c r="S75" s="26"/>
      <c r="T75" s="337"/>
      <c r="U75" s="25"/>
      <c r="V75" s="25"/>
      <c r="W75" s="26"/>
      <c r="X75" s="25"/>
      <c r="Y75" s="25"/>
      <c r="Z75" s="25"/>
      <c r="AA75" s="26"/>
      <c r="AB75" s="25"/>
      <c r="AC75" s="25"/>
      <c r="AD75" s="25"/>
      <c r="AE75" s="26"/>
      <c r="AF75" s="25"/>
      <c r="AG75" s="27"/>
      <c r="AH75" s="27"/>
      <c r="AI75" s="26"/>
      <c r="AJ75" s="27"/>
      <c r="AK75" s="27"/>
      <c r="AL75" s="27"/>
      <c r="AM75" s="26"/>
      <c r="AN75" s="27"/>
      <c r="AO75" s="27"/>
      <c r="AP75" s="27"/>
      <c r="AQ75" s="26"/>
      <c r="AR75" s="27"/>
      <c r="AS75" s="27"/>
      <c r="AT75" s="27"/>
      <c r="AU75" s="26"/>
      <c r="AV75" s="27"/>
      <c r="AW75" s="27"/>
      <c r="AX75" s="27"/>
      <c r="AY75" s="26"/>
      <c r="AZ75" s="27"/>
      <c r="BA75" s="27"/>
      <c r="BB75" s="27"/>
      <c r="BC75" s="26"/>
      <c r="BD75" s="27"/>
      <c r="BE75" s="27"/>
      <c r="BF75" s="27"/>
      <c r="BG75" s="27"/>
      <c r="BH75" s="338"/>
      <c r="BI75" s="27"/>
      <c r="BJ75" s="27"/>
      <c r="BK75" s="27"/>
      <c r="BL75" s="338"/>
      <c r="BM75" s="27"/>
      <c r="BN75" s="27"/>
      <c r="BO75" s="27"/>
      <c r="BP75" s="152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8"/>
      <c r="CG75" s="364"/>
      <c r="CH75" s="8"/>
      <c r="CO75" s="8"/>
      <c r="CP75" s="8"/>
      <c r="CQ75" s="8"/>
      <c r="CR75" s="8"/>
      <c r="CS75" s="8"/>
      <c r="CT75" s="8"/>
      <c r="CU75" s="8"/>
      <c r="CV75" s="282"/>
      <c r="CW75" s="282"/>
    </row>
    <row r="76" spans="1:101" ht="14.25" customHeight="1" outlineLevel="1">
      <c r="A76" s="8"/>
      <c r="B76" s="342" t="s">
        <v>109</v>
      </c>
      <c r="C76" s="21"/>
      <c r="D76" s="338">
        <f t="shared" ref="D76:AQ76" si="328">D71+D74+D75</f>
        <v>111</v>
      </c>
      <c r="E76" s="27">
        <f t="shared" si="328"/>
        <v>72</v>
      </c>
      <c r="F76" s="27">
        <f t="shared" si="328"/>
        <v>212</v>
      </c>
      <c r="G76" s="28">
        <f t="shared" si="328"/>
        <v>187</v>
      </c>
      <c r="H76" s="338">
        <f t="shared" si="328"/>
        <v>225</v>
      </c>
      <c r="I76" s="27">
        <f t="shared" si="328"/>
        <v>300</v>
      </c>
      <c r="J76" s="27">
        <f t="shared" si="328"/>
        <v>298</v>
      </c>
      <c r="K76" s="28">
        <f t="shared" si="328"/>
        <v>165</v>
      </c>
      <c r="L76" s="338">
        <f t="shared" si="328"/>
        <v>203</v>
      </c>
      <c r="M76" s="27">
        <f t="shared" si="328"/>
        <v>251</v>
      </c>
      <c r="N76" s="27">
        <f t="shared" si="328"/>
        <v>308</v>
      </c>
      <c r="O76" s="28">
        <f t="shared" si="328"/>
        <v>289</v>
      </c>
      <c r="P76" s="338">
        <f t="shared" si="328"/>
        <v>178</v>
      </c>
      <c r="Q76" s="27">
        <f t="shared" si="328"/>
        <v>262</v>
      </c>
      <c r="R76" s="27">
        <f t="shared" si="328"/>
        <v>193</v>
      </c>
      <c r="S76" s="28">
        <f t="shared" si="328"/>
        <v>-72</v>
      </c>
      <c r="T76" s="338">
        <f t="shared" si="328"/>
        <v>-2</v>
      </c>
      <c r="U76" s="27">
        <f t="shared" si="328"/>
        <v>96</v>
      </c>
      <c r="V76" s="27">
        <f t="shared" si="328"/>
        <v>227</v>
      </c>
      <c r="W76" s="28">
        <f t="shared" si="328"/>
        <v>226</v>
      </c>
      <c r="X76" s="27">
        <f t="shared" si="328"/>
        <v>299</v>
      </c>
      <c r="Y76" s="27">
        <f t="shared" si="328"/>
        <v>342</v>
      </c>
      <c r="Z76" s="27">
        <f t="shared" si="328"/>
        <v>376</v>
      </c>
      <c r="AA76" s="28">
        <f t="shared" si="328"/>
        <v>306</v>
      </c>
      <c r="AB76" s="27">
        <f t="shared" si="328"/>
        <v>252.54901960784315</v>
      </c>
      <c r="AC76" s="27">
        <f>AC71+AC74+AC75</f>
        <v>240.38943894389439</v>
      </c>
      <c r="AD76" s="27">
        <f t="shared" si="328"/>
        <v>212.73461538461538</v>
      </c>
      <c r="AE76" s="28">
        <f>AE71+AE74+AE75</f>
        <v>154.04000000000002</v>
      </c>
      <c r="AF76" s="27">
        <f>AF71+AF74+AF75</f>
        <v>146.30386740331491</v>
      </c>
      <c r="AG76" s="27">
        <f>AG71+AG74+AG75</f>
        <v>156.40625</v>
      </c>
      <c r="AH76" s="27">
        <f>AH71+AH74+AH75</f>
        <v>55.48</v>
      </c>
      <c r="AI76" s="28">
        <f>AI71+AI74+AI75</f>
        <v>189</v>
      </c>
      <c r="AJ76" s="27">
        <f t="shared" si="328"/>
        <v>80.240641711229941</v>
      </c>
      <c r="AK76" s="27">
        <f>AK71+AK74+AK75</f>
        <v>172.66666666666666</v>
      </c>
      <c r="AL76" s="27">
        <f t="shared" si="328"/>
        <v>210.375</v>
      </c>
      <c r="AM76" s="28">
        <f>AM71+AM74+AM75</f>
        <v>469</v>
      </c>
      <c r="AN76" s="27">
        <f>AN71+AN74+AN75</f>
        <v>203.74366616989568</v>
      </c>
      <c r="AO76" s="27">
        <f>AO71+AO74+AO75</f>
        <v>300.5639958376691</v>
      </c>
      <c r="AP76" s="27">
        <f t="shared" si="328"/>
        <v>350.07878787878786</v>
      </c>
      <c r="AQ76" s="28">
        <f t="shared" si="328"/>
        <v>275.25666973321069</v>
      </c>
      <c r="AR76" s="27">
        <f t="shared" ref="AR76:AX76" si="329">AR71+AR74+AR75</f>
        <v>308.47234042553191</v>
      </c>
      <c r="AS76" s="27">
        <f t="shared" si="329"/>
        <v>316.9969666329626</v>
      </c>
      <c r="AT76" s="27">
        <f t="shared" si="329"/>
        <v>375.30487804878049</v>
      </c>
      <c r="AU76" s="28">
        <f t="shared" si="329"/>
        <v>306.45829675153641</v>
      </c>
      <c r="AV76" s="27">
        <f t="shared" si="329"/>
        <v>259.62947368421055</v>
      </c>
      <c r="AW76" s="27">
        <f t="shared" si="329"/>
        <v>303.80127041742287</v>
      </c>
      <c r="AX76" s="27">
        <f t="shared" si="329"/>
        <v>384.29109341057205</v>
      </c>
      <c r="AY76" s="28">
        <f t="shared" ref="AY76:BC76" si="330">AY71+AY74+AY75</f>
        <v>468.0360721442886</v>
      </c>
      <c r="AZ76" s="27">
        <f t="shared" si="330"/>
        <v>275.26852589641436</v>
      </c>
      <c r="BA76" s="27">
        <f t="shared" si="330"/>
        <v>453.72812920592196</v>
      </c>
      <c r="BB76" s="27">
        <f t="shared" si="330"/>
        <v>526.81945220793739</v>
      </c>
      <c r="BC76" s="27">
        <f t="shared" si="330"/>
        <v>469.8012903225806</v>
      </c>
      <c r="BD76" s="338">
        <f t="shared" ref="BD76" si="331">BD71+BD74+BD75</f>
        <v>196.7533805537669</v>
      </c>
      <c r="BE76" s="27">
        <f t="shared" ref="BE76:BG76" si="332">BE71+BE74+BE75</f>
        <v>352.87114067699861</v>
      </c>
      <c r="BF76" s="27">
        <f t="shared" si="332"/>
        <v>381.26719239256312</v>
      </c>
      <c r="BG76" s="27">
        <f t="shared" si="332"/>
        <v>353.95719292878061</v>
      </c>
      <c r="BH76" s="338">
        <f t="shared" ref="BH76:BK76" si="333">BH71+BH74+BH75</f>
        <v>261.19141854431035</v>
      </c>
      <c r="BI76" s="27">
        <f t="shared" si="333"/>
        <v>286.05598774805509</v>
      </c>
      <c r="BJ76" s="27">
        <f t="shared" si="333"/>
        <v>315.84207001848642</v>
      </c>
      <c r="BK76" s="27">
        <f t="shared" si="333"/>
        <v>286.91201563310142</v>
      </c>
      <c r="BL76" s="338">
        <f t="shared" ref="BL76:BO76" si="334">BL71+BL74+BL75</f>
        <v>276.58591221737254</v>
      </c>
      <c r="BM76" s="27">
        <f t="shared" si="334"/>
        <v>307.52456599612401</v>
      </c>
      <c r="BN76" s="27">
        <f t="shared" si="334"/>
        <v>337.13778872427213</v>
      </c>
      <c r="BO76" s="27">
        <f t="shared" si="334"/>
        <v>308.99186630455972</v>
      </c>
      <c r="BP76" s="152"/>
      <c r="BQ76" s="27">
        <f>BQ71+BQ74+BQ75</f>
        <v>582</v>
      </c>
      <c r="BR76" s="27">
        <f>BR71+BR74+BR75</f>
        <v>988</v>
      </c>
      <c r="BS76" s="27">
        <f>BS71+BS74+BS75</f>
        <v>1051</v>
      </c>
      <c r="BT76" s="27">
        <f>BT71+BT74+BT75</f>
        <v>561</v>
      </c>
      <c r="BU76" s="27">
        <f t="shared" ref="BU76:CA76" si="335">BU71+BU74+BU75</f>
        <v>547</v>
      </c>
      <c r="BV76" s="27">
        <f t="shared" si="335"/>
        <v>1323</v>
      </c>
      <c r="BW76" s="27">
        <f t="shared" si="335"/>
        <v>859.71307393635288</v>
      </c>
      <c r="BX76" s="27">
        <f t="shared" si="335"/>
        <v>547.19011740331484</v>
      </c>
      <c r="BY76" s="27">
        <f t="shared" si="335"/>
        <v>932.28230837789658</v>
      </c>
      <c r="BZ76" s="27">
        <f t="shared" si="335"/>
        <v>1129.6431196195633</v>
      </c>
      <c r="CA76" s="27">
        <f t="shared" si="335"/>
        <v>1307.2324818588115</v>
      </c>
      <c r="CB76" s="27">
        <f>CB71+CB74+CB75</f>
        <v>1415.7579096564941</v>
      </c>
      <c r="CC76" s="27">
        <f>CC71+CC74+CC75</f>
        <v>1725.6173976328541</v>
      </c>
      <c r="CD76" s="27">
        <f>CD71+CD74+CD75</f>
        <v>1284.8489065521092</v>
      </c>
      <c r="CE76" s="27">
        <f>CE71+CE74+CE75</f>
        <v>1150.0014919439534</v>
      </c>
      <c r="CF76" s="28">
        <f>CF71+CF74+CF75</f>
        <v>1230.2401332423283</v>
      </c>
      <c r="CG76" s="364"/>
      <c r="CH76" s="8"/>
      <c r="CO76" s="8"/>
      <c r="CP76" s="8"/>
      <c r="CQ76" s="8"/>
      <c r="CR76" s="8"/>
      <c r="CS76" s="8"/>
      <c r="CT76" s="8"/>
      <c r="CU76" s="8"/>
      <c r="CV76" s="282"/>
      <c r="CW76" s="282"/>
    </row>
    <row r="77" spans="1:101" ht="14.25" customHeight="1" outlineLevel="1">
      <c r="A77" s="8"/>
      <c r="B77" s="332" t="s">
        <v>110</v>
      </c>
      <c r="C77" s="29"/>
      <c r="D77" s="339">
        <f t="shared" ref="D77:AM77" si="336">D76/D68</f>
        <v>0.24183006535947713</v>
      </c>
      <c r="E77" s="30">
        <f t="shared" si="336"/>
        <v>0.10975609756097561</v>
      </c>
      <c r="F77" s="30">
        <f t="shared" si="336"/>
        <v>0.26237623762376239</v>
      </c>
      <c r="G77" s="31">
        <f t="shared" si="336"/>
        <v>0.23114956736711989</v>
      </c>
      <c r="H77" s="339">
        <f t="shared" si="336"/>
        <v>0.29335071707953064</v>
      </c>
      <c r="I77" s="30">
        <f t="shared" si="336"/>
        <v>0.28873917228103946</v>
      </c>
      <c r="J77" s="30">
        <f t="shared" si="336"/>
        <v>0.30284552845528456</v>
      </c>
      <c r="K77" s="31">
        <f t="shared" si="336"/>
        <v>0.19736842105263158</v>
      </c>
      <c r="L77" s="339">
        <f t="shared" si="336"/>
        <v>0.27694406548431105</v>
      </c>
      <c r="M77" s="30">
        <f t="shared" si="336"/>
        <v>0.28458049886621317</v>
      </c>
      <c r="N77" s="30">
        <f t="shared" si="336"/>
        <v>0.29558541266794625</v>
      </c>
      <c r="O77" s="31">
        <f t="shared" si="336"/>
        <v>0.27576335877862596</v>
      </c>
      <c r="P77" s="339">
        <f t="shared" si="336"/>
        <v>0.2119047619047619</v>
      </c>
      <c r="Q77" s="30">
        <f t="shared" si="336"/>
        <v>0.30823529411764705</v>
      </c>
      <c r="R77" s="30">
        <f t="shared" si="336"/>
        <v>0.25529100529100529</v>
      </c>
      <c r="S77" s="31">
        <f t="shared" si="336"/>
        <v>-0.2491349480968858</v>
      </c>
      <c r="T77" s="339">
        <f t="shared" si="336"/>
        <v>-1.6666666666666666E-2</v>
      </c>
      <c r="U77" s="30">
        <f t="shared" si="336"/>
        <v>0.21768707482993196</v>
      </c>
      <c r="V77" s="30">
        <f t="shared" si="336"/>
        <v>0.29290322580645162</v>
      </c>
      <c r="W77" s="31">
        <f t="shared" si="336"/>
        <v>0.25307950727883538</v>
      </c>
      <c r="X77" s="30">
        <f t="shared" si="336"/>
        <v>0.30920372285418823</v>
      </c>
      <c r="Y77" s="30">
        <f t="shared" si="336"/>
        <v>0.30319148936170215</v>
      </c>
      <c r="Z77" s="30">
        <f t="shared" si="336"/>
        <v>0.30347054075867635</v>
      </c>
      <c r="AA77" s="31">
        <f t="shared" si="336"/>
        <v>0.27667269439421338</v>
      </c>
      <c r="AB77" s="30">
        <f t="shared" si="336"/>
        <v>0.27450980392156865</v>
      </c>
      <c r="AC77" s="30">
        <f t="shared" si="336"/>
        <v>0.26072607260726072</v>
      </c>
      <c r="AD77" s="30">
        <f t="shared" si="336"/>
        <v>0.22948717948717948</v>
      </c>
      <c r="AE77" s="31">
        <f t="shared" si="336"/>
        <v>0.21483960948396097</v>
      </c>
      <c r="AF77" s="30">
        <f t="shared" si="336"/>
        <v>0.26795580110497236</v>
      </c>
      <c r="AG77" s="30">
        <f t="shared" si="336"/>
        <v>0.22569444444444445</v>
      </c>
      <c r="AH77" s="30">
        <f t="shared" si="336"/>
        <v>6.7085852478839178E-2</v>
      </c>
      <c r="AI77" s="31">
        <f t="shared" si="336"/>
        <v>0.31188118811881188</v>
      </c>
      <c r="AJ77" s="30">
        <f t="shared" si="336"/>
        <v>0.1689276667604841</v>
      </c>
      <c r="AK77" s="30">
        <f t="shared" si="336"/>
        <v>0.25170068027210885</v>
      </c>
      <c r="AL77" s="30">
        <f t="shared" si="336"/>
        <v>0.22916666666666666</v>
      </c>
      <c r="AM77" s="31">
        <f t="shared" si="336"/>
        <v>0.56642512077294682</v>
      </c>
      <c r="AN77" s="30">
        <f t="shared" ref="AN77:AX77" si="337">AN76/AN68</f>
        <v>0.27421758569299554</v>
      </c>
      <c r="AO77" s="30">
        <f t="shared" si="337"/>
        <v>0.28928199791883458</v>
      </c>
      <c r="AP77" s="30">
        <f t="shared" si="337"/>
        <v>0.28484848484848485</v>
      </c>
      <c r="AQ77" s="31">
        <f t="shared" si="337"/>
        <v>0.24103035878564857</v>
      </c>
      <c r="AR77" s="30">
        <f t="shared" si="337"/>
        <v>0.30212765957446808</v>
      </c>
      <c r="AS77" s="30">
        <f t="shared" si="337"/>
        <v>0.29625884732052576</v>
      </c>
      <c r="AT77" s="30">
        <f t="shared" si="337"/>
        <v>0.3048780487804878</v>
      </c>
      <c r="AU77" s="31">
        <f t="shared" si="337"/>
        <v>0.26602282704126423</v>
      </c>
      <c r="AV77" s="30">
        <f t="shared" si="337"/>
        <v>0.25157894736842107</v>
      </c>
      <c r="AW77" s="30">
        <f t="shared" si="337"/>
        <v>0.25680580762250454</v>
      </c>
      <c r="AX77" s="30">
        <f t="shared" si="337"/>
        <v>0.26285300506879072</v>
      </c>
      <c r="AY77" s="31">
        <f t="shared" ref="AY77:BB77" si="338">AY76/AY68</f>
        <v>0.30060120240480964</v>
      </c>
      <c r="AZ77" s="30">
        <f t="shared" si="338"/>
        <v>0.20557768924302791</v>
      </c>
      <c r="BA77" s="30">
        <f t="shared" si="338"/>
        <v>0.28936742934051146</v>
      </c>
      <c r="BB77" s="30">
        <f t="shared" si="338"/>
        <v>0.28172163219675794</v>
      </c>
      <c r="BC77" s="31">
        <f t="shared" ref="BC77:BD77" si="339">BC76/BC68</f>
        <v>0.28786843769765968</v>
      </c>
      <c r="BD77" s="30">
        <f t="shared" si="339"/>
        <v>0.12041210560206053</v>
      </c>
      <c r="BE77" s="30">
        <f t="shared" ref="BE77:BG77" si="340">BE76/BE68</f>
        <v>0.20583309518570447</v>
      </c>
      <c r="BF77" s="30">
        <f t="shared" si="340"/>
        <v>0.20538695592010534</v>
      </c>
      <c r="BG77" s="30">
        <f t="shared" si="340"/>
        <v>0.20286568100690822</v>
      </c>
      <c r="BH77" s="339">
        <f t="shared" ref="BH77:BK77" si="341">BH76/BH68</f>
        <v>0.16</v>
      </c>
      <c r="BI77" s="30">
        <f t="shared" si="341"/>
        <v>0.16000000000000003</v>
      </c>
      <c r="BJ77" s="30">
        <f t="shared" si="341"/>
        <v>0.16</v>
      </c>
      <c r="BK77" s="30">
        <f t="shared" si="341"/>
        <v>0.16</v>
      </c>
      <c r="BL77" s="339">
        <f t="shared" ref="BL77:BO77" si="342">BL76/BL68</f>
        <v>0.16</v>
      </c>
      <c r="BM77" s="30">
        <f t="shared" si="342"/>
        <v>0.16</v>
      </c>
      <c r="BN77" s="30">
        <f t="shared" si="342"/>
        <v>0.16</v>
      </c>
      <c r="BO77" s="30">
        <f t="shared" si="342"/>
        <v>0.16</v>
      </c>
      <c r="BP77" s="152"/>
      <c r="BQ77" s="30">
        <f t="shared" ref="BQ77:CA77" si="343">BQ76/BQ68</f>
        <v>0.21303074670571009</v>
      </c>
      <c r="BR77" s="30">
        <f t="shared" si="343"/>
        <v>0.27247655819084393</v>
      </c>
      <c r="BS77" s="30">
        <f t="shared" si="343"/>
        <v>0.28367071524966264</v>
      </c>
      <c r="BT77" s="30">
        <f t="shared" si="343"/>
        <v>0.20511882998171846</v>
      </c>
      <c r="BU77" s="30">
        <f t="shared" si="343"/>
        <v>0.24540152534768955</v>
      </c>
      <c r="BV77" s="30">
        <f t="shared" si="343"/>
        <v>0.29797297297297298</v>
      </c>
      <c r="BW77" s="30">
        <f t="shared" si="343"/>
        <v>0.24661878196682527</v>
      </c>
      <c r="BX77" s="30">
        <f t="shared" si="343"/>
        <v>0.20478672058507291</v>
      </c>
      <c r="BY77" s="30">
        <f t="shared" si="343"/>
        <v>0.32070254846160873</v>
      </c>
      <c r="BZ77" s="30">
        <f t="shared" si="343"/>
        <v>0.27200653012751347</v>
      </c>
      <c r="CA77" s="30">
        <f t="shared" si="343"/>
        <v>0.29218428293670351</v>
      </c>
      <c r="CB77" s="30">
        <f>CB76/CB68</f>
        <v>0.27049253145901686</v>
      </c>
      <c r="CC77" s="30">
        <f>CC76/CC68</f>
        <v>0.2692490868517482</v>
      </c>
      <c r="CD77" s="30">
        <f>CD76/CD68</f>
        <v>0.1848842423791846</v>
      </c>
      <c r="CE77" s="30">
        <f>CE76/CE68</f>
        <v>0.16000000000000009</v>
      </c>
      <c r="CF77" s="31">
        <f>CF76/CF68</f>
        <v>0.15999999999999995</v>
      </c>
      <c r="CG77" s="297"/>
      <c r="CH77" s="8"/>
      <c r="CO77" s="8"/>
      <c r="CP77" s="8"/>
      <c r="CQ77" s="8"/>
      <c r="CR77" s="8"/>
      <c r="CS77" s="8"/>
      <c r="CT77" s="8"/>
      <c r="CU77" s="8"/>
      <c r="CV77" s="282"/>
      <c r="CW77" s="282"/>
    </row>
    <row r="78" spans="1:101" ht="8.25" customHeight="1">
      <c r="A78" s="8"/>
      <c r="B78" s="342"/>
      <c r="C78" s="21"/>
      <c r="D78" s="343"/>
      <c r="E78" s="34"/>
      <c r="F78" s="34"/>
      <c r="G78" s="35"/>
      <c r="H78" s="343"/>
      <c r="I78" s="34"/>
      <c r="J78" s="34"/>
      <c r="K78" s="35"/>
      <c r="L78" s="343"/>
      <c r="M78" s="34"/>
      <c r="N78" s="34"/>
      <c r="O78" s="35"/>
      <c r="P78" s="343"/>
      <c r="Q78" s="34"/>
      <c r="R78" s="34"/>
      <c r="S78" s="35"/>
      <c r="T78" s="343"/>
      <c r="U78" s="34"/>
      <c r="V78" s="34"/>
      <c r="W78" s="35"/>
      <c r="X78" s="34"/>
      <c r="Y78" s="34"/>
      <c r="Z78" s="47"/>
      <c r="AA78" s="380"/>
      <c r="AB78" s="373"/>
      <c r="AC78" s="34"/>
      <c r="AD78" s="385"/>
      <c r="AE78" s="380"/>
      <c r="AF78" s="373"/>
      <c r="AG78" s="373"/>
      <c r="AH78" s="373"/>
      <c r="AI78" s="380"/>
      <c r="AJ78" s="385"/>
      <c r="AK78" s="373"/>
      <c r="AL78" s="373"/>
      <c r="AM78" s="380"/>
      <c r="AN78" s="385"/>
      <c r="AO78" s="373"/>
      <c r="AP78" s="34"/>
      <c r="AQ78" s="380"/>
      <c r="AR78" s="385"/>
      <c r="AS78" s="373"/>
      <c r="AT78" s="34"/>
      <c r="AU78" s="380"/>
      <c r="AV78" s="385"/>
      <c r="AW78" s="373"/>
      <c r="AX78" s="34"/>
      <c r="AY78" s="380"/>
      <c r="AZ78" s="385"/>
      <c r="BA78" s="373"/>
      <c r="BB78" s="34"/>
      <c r="BC78" s="380"/>
      <c r="BD78" s="385"/>
      <c r="BE78" s="34"/>
      <c r="BF78" s="34"/>
      <c r="BG78" s="47"/>
      <c r="BH78" s="386"/>
      <c r="BI78" s="34"/>
      <c r="BJ78" s="34"/>
      <c r="BK78" s="47"/>
      <c r="BL78" s="386"/>
      <c r="BM78" s="34"/>
      <c r="BN78" s="34"/>
      <c r="BO78" s="47"/>
      <c r="BP78" s="152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5"/>
      <c r="CG78" s="297"/>
      <c r="CH78" s="8"/>
      <c r="CO78" s="8"/>
      <c r="CP78" s="8"/>
      <c r="CQ78" s="8"/>
      <c r="CR78" s="8"/>
      <c r="CS78" s="8"/>
      <c r="CT78" s="8"/>
      <c r="CU78" s="8"/>
      <c r="CV78" s="282"/>
      <c r="CW78" s="282"/>
    </row>
    <row r="79" spans="1:101" ht="14.25" customHeight="1">
      <c r="A79" s="12"/>
      <c r="B79" s="320" t="s">
        <v>10</v>
      </c>
      <c r="C79" s="39"/>
      <c r="D79" s="357">
        <f t="shared" ref="D79:AQ79" si="344">D65-D71</f>
        <v>371</v>
      </c>
      <c r="E79" s="40">
        <f t="shared" si="344"/>
        <v>584</v>
      </c>
      <c r="F79" s="40">
        <f t="shared" si="344"/>
        <v>596</v>
      </c>
      <c r="G79" s="41">
        <f t="shared" si="344"/>
        <v>622</v>
      </c>
      <c r="H79" s="357">
        <f t="shared" si="344"/>
        <v>542</v>
      </c>
      <c r="I79" s="40">
        <f t="shared" si="344"/>
        <v>739</v>
      </c>
      <c r="J79" s="40">
        <f t="shared" si="344"/>
        <v>686</v>
      </c>
      <c r="K79" s="41">
        <f t="shared" si="344"/>
        <v>671</v>
      </c>
      <c r="L79" s="357">
        <f t="shared" si="344"/>
        <v>516</v>
      </c>
      <c r="M79" s="40">
        <f t="shared" si="344"/>
        <v>614</v>
      </c>
      <c r="N79" s="40">
        <f t="shared" si="344"/>
        <v>758</v>
      </c>
      <c r="O79" s="41">
        <f t="shared" si="344"/>
        <v>753</v>
      </c>
      <c r="P79" s="357">
        <f t="shared" si="344"/>
        <v>662</v>
      </c>
      <c r="Q79" s="40">
        <f t="shared" si="344"/>
        <v>588</v>
      </c>
      <c r="R79" s="40">
        <f t="shared" si="344"/>
        <v>563</v>
      </c>
      <c r="S79" s="41">
        <f t="shared" si="344"/>
        <v>107</v>
      </c>
      <c r="T79" s="357">
        <f t="shared" si="344"/>
        <v>17</v>
      </c>
      <c r="U79" s="40">
        <f t="shared" si="344"/>
        <v>260</v>
      </c>
      <c r="V79" s="40">
        <f t="shared" si="344"/>
        <v>538</v>
      </c>
      <c r="W79" s="41">
        <f t="shared" si="344"/>
        <v>655</v>
      </c>
      <c r="X79" s="40">
        <f t="shared" si="344"/>
        <v>658</v>
      </c>
      <c r="Y79" s="40">
        <f t="shared" si="344"/>
        <v>769</v>
      </c>
      <c r="Z79" s="40">
        <f t="shared" si="344"/>
        <v>859</v>
      </c>
      <c r="AA79" s="41">
        <f t="shared" si="344"/>
        <v>942</v>
      </c>
      <c r="AB79" s="40">
        <f t="shared" si="344"/>
        <v>666</v>
      </c>
      <c r="AC79" s="40">
        <f t="shared" si="344"/>
        <v>672</v>
      </c>
      <c r="AD79" s="40">
        <f t="shared" si="344"/>
        <v>601</v>
      </c>
      <c r="AE79" s="41">
        <f t="shared" si="344"/>
        <v>298</v>
      </c>
      <c r="AF79" s="40">
        <f t="shared" si="344"/>
        <v>265</v>
      </c>
      <c r="AG79" s="40">
        <f t="shared" si="344"/>
        <v>446</v>
      </c>
      <c r="AH79" s="40">
        <f t="shared" si="344"/>
        <v>784</v>
      </c>
      <c r="AI79" s="41">
        <f>AI65-AI71</f>
        <v>264</v>
      </c>
      <c r="AJ79" s="40">
        <f t="shared" si="344"/>
        <v>362</v>
      </c>
      <c r="AK79" s="40">
        <f>AK65-AK71</f>
        <v>660</v>
      </c>
      <c r="AL79" s="40">
        <f t="shared" si="344"/>
        <v>629</v>
      </c>
      <c r="AM79" s="41">
        <f>AM65-AM71</f>
        <v>511</v>
      </c>
      <c r="AN79" s="40">
        <f>AN65-AN71</f>
        <v>487</v>
      </c>
      <c r="AO79" s="40">
        <f>AO65-AO71</f>
        <v>683</v>
      </c>
      <c r="AP79" s="40">
        <f t="shared" si="344"/>
        <v>826</v>
      </c>
      <c r="AQ79" s="41">
        <f t="shared" si="344"/>
        <v>825</v>
      </c>
      <c r="AR79" s="40">
        <f t="shared" ref="AR79:AX79" si="345">AR65-AR71</f>
        <v>656</v>
      </c>
      <c r="AS79" s="40">
        <f t="shared" si="345"/>
        <v>696</v>
      </c>
      <c r="AT79" s="40">
        <f t="shared" si="345"/>
        <v>798</v>
      </c>
      <c r="AU79" s="41">
        <f t="shared" si="345"/>
        <v>836</v>
      </c>
      <c r="AV79" s="40">
        <f t="shared" si="345"/>
        <v>711</v>
      </c>
      <c r="AW79" s="40">
        <f t="shared" si="345"/>
        <v>819</v>
      </c>
      <c r="AX79" s="40">
        <f t="shared" si="345"/>
        <v>1018</v>
      </c>
      <c r="AY79" s="41">
        <f t="shared" ref="AY79:BB79" si="346">AY65-AY71</f>
        <v>1047</v>
      </c>
      <c r="AZ79" s="40">
        <f t="shared" si="346"/>
        <v>997</v>
      </c>
      <c r="BA79" s="40">
        <f t="shared" si="346"/>
        <v>1056</v>
      </c>
      <c r="BB79" s="40">
        <f t="shared" si="346"/>
        <v>1285</v>
      </c>
      <c r="BC79" s="41">
        <f t="shared" ref="BC79:BD79" si="347">BC65-BC71</f>
        <v>344</v>
      </c>
      <c r="BD79" s="40">
        <f t="shared" si="347"/>
        <v>1366</v>
      </c>
      <c r="BE79" s="40">
        <f t="shared" ref="BE79:BG79" si="348">BE65-BE71</f>
        <v>1307.4845627079944</v>
      </c>
      <c r="BF79" s="40">
        <f t="shared" si="348"/>
        <v>1421.0687695702522</v>
      </c>
      <c r="BG79" s="40">
        <f t="shared" si="348"/>
        <v>1331.8287717151222</v>
      </c>
      <c r="BH79" s="357">
        <f t="shared" ref="BH79:BK79" si="349">BH65-BH71</f>
        <v>1304.0549473576293</v>
      </c>
      <c r="BI79" s="40">
        <f t="shared" si="349"/>
        <v>1434.593935677289</v>
      </c>
      <c r="BJ79" s="40">
        <f t="shared" si="349"/>
        <v>1590.9708675970537</v>
      </c>
      <c r="BK79" s="40">
        <f t="shared" si="349"/>
        <v>1464.2880820737823</v>
      </c>
      <c r="BL79" s="357">
        <f t="shared" ref="BL79:BO79" si="350">BL65-BL71</f>
        <v>1410.0760391412059</v>
      </c>
      <c r="BM79" s="40">
        <f t="shared" si="350"/>
        <v>1572.503971479651</v>
      </c>
      <c r="BN79" s="40">
        <f t="shared" si="350"/>
        <v>1727.9733908024286</v>
      </c>
      <c r="BO79" s="40">
        <f t="shared" si="350"/>
        <v>1580.2072980989387</v>
      </c>
      <c r="BP79" s="152"/>
      <c r="BQ79" s="40">
        <f t="shared" ref="BQ79:CA79" si="351">BQ65-BQ71</f>
        <v>2173</v>
      </c>
      <c r="BR79" s="40">
        <f t="shared" si="351"/>
        <v>2638</v>
      </c>
      <c r="BS79" s="40">
        <f t="shared" si="351"/>
        <v>2641</v>
      </c>
      <c r="BT79" s="40">
        <f t="shared" si="351"/>
        <v>1920</v>
      </c>
      <c r="BU79" s="40">
        <f t="shared" si="351"/>
        <v>1470</v>
      </c>
      <c r="BV79" s="40">
        <f t="shared" si="351"/>
        <v>3228</v>
      </c>
      <c r="BW79" s="40">
        <f t="shared" si="351"/>
        <v>2237</v>
      </c>
      <c r="BX79" s="40">
        <f t="shared" si="351"/>
        <v>1759</v>
      </c>
      <c r="BY79" s="40">
        <f t="shared" si="351"/>
        <v>2162</v>
      </c>
      <c r="BZ79" s="40">
        <f t="shared" si="351"/>
        <v>2821</v>
      </c>
      <c r="CA79" s="40">
        <f t="shared" si="351"/>
        <v>2986</v>
      </c>
      <c r="CB79" s="40">
        <f>CB65-CB71</f>
        <v>3595</v>
      </c>
      <c r="CC79" s="40">
        <f>CC65-CC71</f>
        <v>3682</v>
      </c>
      <c r="CD79" s="40">
        <f>CD65-CD71</f>
        <v>5426.38210399337</v>
      </c>
      <c r="CE79" s="40">
        <f>CE65-CE71</f>
        <v>5793.9078327057523</v>
      </c>
      <c r="CF79" s="41">
        <f>CF65-CF71</f>
        <v>6290.760699522225</v>
      </c>
      <c r="CG79" s="364"/>
      <c r="CH79" s="12"/>
      <c r="CO79" s="12"/>
      <c r="CP79" s="12"/>
      <c r="CQ79" s="12"/>
      <c r="CR79" s="12"/>
      <c r="CS79" s="12"/>
      <c r="CT79" s="12"/>
      <c r="CU79" s="12"/>
      <c r="CV79" s="282"/>
      <c r="CW79" s="282"/>
    </row>
    <row r="80" spans="1:101" ht="8.25" customHeight="1">
      <c r="A80" s="8"/>
      <c r="B80" s="332"/>
      <c r="C80" s="29"/>
      <c r="D80" s="339"/>
      <c r="E80" s="30"/>
      <c r="F80" s="30"/>
      <c r="G80" s="31"/>
      <c r="H80" s="339"/>
      <c r="I80" s="30"/>
      <c r="J80" s="30"/>
      <c r="K80" s="31"/>
      <c r="L80" s="339"/>
      <c r="M80" s="30"/>
      <c r="N80" s="30"/>
      <c r="O80" s="31"/>
      <c r="P80" s="339"/>
      <c r="Q80" s="30"/>
      <c r="R80" s="30"/>
      <c r="S80" s="31"/>
      <c r="T80" s="339"/>
      <c r="U80" s="30"/>
      <c r="V80" s="30"/>
      <c r="W80" s="31"/>
      <c r="X80" s="30"/>
      <c r="Y80" s="30"/>
      <c r="Z80" s="30"/>
      <c r="AA80" s="31"/>
      <c r="AB80" s="30"/>
      <c r="AC80" s="30"/>
      <c r="AD80" s="30"/>
      <c r="AE80" s="31"/>
      <c r="AF80" s="30"/>
      <c r="AG80" s="30"/>
      <c r="AH80" s="30"/>
      <c r="AI80" s="31"/>
      <c r="AJ80" s="30"/>
      <c r="AK80" s="30"/>
      <c r="AL80" s="30"/>
      <c r="AM80" s="31"/>
      <c r="AN80" s="30"/>
      <c r="AO80" s="30"/>
      <c r="AP80" s="30"/>
      <c r="AQ80" s="31"/>
      <c r="AR80" s="30"/>
      <c r="AS80" s="30"/>
      <c r="AT80" s="30"/>
      <c r="AU80" s="31"/>
      <c r="AV80" s="30"/>
      <c r="AW80" s="30"/>
      <c r="AX80" s="30"/>
      <c r="AY80" s="31"/>
      <c r="AZ80" s="30"/>
      <c r="BA80" s="30"/>
      <c r="BB80" s="30"/>
      <c r="BC80" s="31"/>
      <c r="BD80" s="30"/>
      <c r="BE80" s="30"/>
      <c r="BF80" s="30"/>
      <c r="BG80" s="30"/>
      <c r="BH80" s="339"/>
      <c r="BI80" s="30"/>
      <c r="BJ80" s="30"/>
      <c r="BK80" s="30"/>
      <c r="BL80" s="339"/>
      <c r="BM80" s="30"/>
      <c r="BN80" s="30"/>
      <c r="BO80" s="30"/>
      <c r="BP80" s="152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1"/>
      <c r="CG80" s="297"/>
      <c r="CH80" s="8"/>
      <c r="CO80" s="8"/>
      <c r="CP80" s="8"/>
      <c r="CQ80" s="8"/>
      <c r="CR80" s="8"/>
      <c r="CS80" s="8"/>
      <c r="CT80" s="8"/>
      <c r="CU80" s="8"/>
      <c r="CV80" s="282"/>
      <c r="CW80" s="282"/>
    </row>
    <row r="81" spans="1:102" ht="14.25" customHeight="1">
      <c r="A81" s="368"/>
      <c r="B81" s="345" t="s">
        <v>111</v>
      </c>
      <c r="C81" s="346"/>
      <c r="D81" s="353">
        <f t="shared" ref="D81:Z81" si="352">(-D9+D16+D29+D36+D40+D61)-D74</f>
        <v>-23</v>
      </c>
      <c r="E81" s="352">
        <f t="shared" si="352"/>
        <v>0</v>
      </c>
      <c r="F81" s="352">
        <f t="shared" si="352"/>
        <v>0</v>
      </c>
      <c r="G81" s="354">
        <f t="shared" si="352"/>
        <v>0</v>
      </c>
      <c r="H81" s="353">
        <f t="shared" si="352"/>
        <v>0</v>
      </c>
      <c r="I81" s="352">
        <f t="shared" si="352"/>
        <v>0</v>
      </c>
      <c r="J81" s="352">
        <f t="shared" si="352"/>
        <v>0</v>
      </c>
      <c r="K81" s="354">
        <f t="shared" si="352"/>
        <v>0</v>
      </c>
      <c r="L81" s="353">
        <f t="shared" si="352"/>
        <v>14</v>
      </c>
      <c r="M81" s="352">
        <f t="shared" si="352"/>
        <v>17</v>
      </c>
      <c r="N81" s="352">
        <f t="shared" si="352"/>
        <v>-24</v>
      </c>
      <c r="O81" s="354">
        <f t="shared" si="352"/>
        <v>6</v>
      </c>
      <c r="P81" s="353">
        <f t="shared" si="352"/>
        <v>0</v>
      </c>
      <c r="Q81" s="352">
        <f t="shared" si="352"/>
        <v>0</v>
      </c>
      <c r="R81" s="352">
        <f t="shared" si="352"/>
        <v>0</v>
      </c>
      <c r="S81" s="354">
        <f t="shared" si="352"/>
        <v>254</v>
      </c>
      <c r="T81" s="353">
        <f t="shared" si="352"/>
        <v>105</v>
      </c>
      <c r="U81" s="352">
        <f t="shared" si="352"/>
        <v>85</v>
      </c>
      <c r="V81" s="352">
        <f t="shared" si="352"/>
        <v>10</v>
      </c>
      <c r="W81" s="354">
        <f t="shared" si="352"/>
        <v>12</v>
      </c>
      <c r="X81" s="352">
        <f t="shared" si="352"/>
        <v>10</v>
      </c>
      <c r="Y81" s="352">
        <f t="shared" si="352"/>
        <v>17</v>
      </c>
      <c r="Z81" s="352">
        <f t="shared" si="352"/>
        <v>4</v>
      </c>
      <c r="AA81" s="354">
        <f t="shared" ref="AA81:AF81" si="353">(-AA9+AA16+AA29+AA36+AA40+AA61)-AA74</f>
        <v>-142</v>
      </c>
      <c r="AB81" s="352">
        <f t="shared" si="353"/>
        <v>1.4509803921568627</v>
      </c>
      <c r="AC81" s="352">
        <f t="shared" si="353"/>
        <v>9.6105610561056096</v>
      </c>
      <c r="AD81" s="352">
        <f t="shared" si="353"/>
        <v>113.26538461538462</v>
      </c>
      <c r="AE81" s="354">
        <f t="shared" si="353"/>
        <v>264.95999999999998</v>
      </c>
      <c r="AF81" s="352">
        <f t="shared" si="353"/>
        <v>134.69613259668509</v>
      </c>
      <c r="AG81" s="352">
        <f t="shared" ref="AG81:AL81" si="354">(-AG9+AG16+AG29+AG36+AG40+AG61)-AG74</f>
        <v>90.59375</v>
      </c>
      <c r="AH81" s="352">
        <f t="shared" si="354"/>
        <v>-12.48</v>
      </c>
      <c r="AI81" s="354">
        <f t="shared" si="354"/>
        <v>153</v>
      </c>
      <c r="AJ81" s="352">
        <f t="shared" si="354"/>
        <v>32.759358288770059</v>
      </c>
      <c r="AK81" s="352">
        <f>(-AK9+AK16+AK29+AK36+AK40+AK61)-AK74</f>
        <v>-146.66666666666666</v>
      </c>
      <c r="AL81" s="352">
        <f t="shared" si="354"/>
        <v>78.625</v>
      </c>
      <c r="AM81" s="354">
        <f t="shared" ref="AM81:AX81" si="355">(-AM9+AM16+AM29+AM36+AM40+AM61)-AM74</f>
        <v>-152</v>
      </c>
      <c r="AN81" s="352">
        <f t="shared" si="355"/>
        <v>52.256333830104325</v>
      </c>
      <c r="AO81" s="352">
        <f t="shared" si="355"/>
        <v>55.436004162330903</v>
      </c>
      <c r="AP81" s="352">
        <f t="shared" si="355"/>
        <v>52.921212121212122</v>
      </c>
      <c r="AQ81" s="354">
        <f t="shared" si="355"/>
        <v>41.743330266789329</v>
      </c>
      <c r="AR81" s="352">
        <f t="shared" si="355"/>
        <v>56.527659574468089</v>
      </c>
      <c r="AS81" s="352">
        <f t="shared" si="355"/>
        <v>57.003033367037418</v>
      </c>
      <c r="AT81" s="352">
        <f t="shared" si="355"/>
        <v>57.695121951219512</v>
      </c>
      <c r="AU81" s="354">
        <f t="shared" si="355"/>
        <v>9.5417032484635644</v>
      </c>
      <c r="AV81" s="352">
        <f t="shared" si="355"/>
        <v>61.370526315789476</v>
      </c>
      <c r="AW81" s="352">
        <f t="shared" si="355"/>
        <v>60.19872958257713</v>
      </c>
      <c r="AX81" s="352">
        <f t="shared" si="355"/>
        <v>59.708906589427954</v>
      </c>
      <c r="AY81" s="354">
        <f t="shared" ref="AY81:BB81" si="356">(-AY9+AY16+AY29+AY36+AY40+AY61)-AY74</f>
        <v>41.963927855711418</v>
      </c>
      <c r="AZ81" s="352">
        <f t="shared" si="356"/>
        <v>66.731474103585654</v>
      </c>
      <c r="BA81" s="352">
        <f t="shared" si="356"/>
        <v>58.271870794078062</v>
      </c>
      <c r="BB81" s="352">
        <f t="shared" si="356"/>
        <v>58.180547792062612</v>
      </c>
      <c r="BC81" s="354">
        <f t="shared" ref="BC81:BD81" si="357">(-BC9+BC16+BC29+BC36+BC40+BC61)-BC74</f>
        <v>818.1987096774194</v>
      </c>
      <c r="BD81" s="352">
        <f t="shared" si="357"/>
        <v>71.246619446233098</v>
      </c>
      <c r="BE81" s="352">
        <f t="shared" ref="BE81:BG81" si="358">(-BE9+BE16+BE29+BE36+BE40+BE61)-BE74</f>
        <v>54</v>
      </c>
      <c r="BF81" s="352">
        <f t="shared" si="358"/>
        <v>54</v>
      </c>
      <c r="BG81" s="352">
        <f t="shared" si="358"/>
        <v>59</v>
      </c>
      <c r="BH81" s="353">
        <f t="shared" ref="BH81:BK81" si="359">(-BH9+BH16+BH29+BH36+BH40+BH61)-BH74</f>
        <v>67.2</v>
      </c>
      <c r="BI81" s="352">
        <f t="shared" si="359"/>
        <v>67.2</v>
      </c>
      <c r="BJ81" s="352">
        <f t="shared" si="359"/>
        <v>67.2</v>
      </c>
      <c r="BK81" s="352">
        <f t="shared" si="359"/>
        <v>42</v>
      </c>
      <c r="BL81" s="353">
        <f t="shared" ref="BL81:BO81" si="360">(-BL9+BL16+BL29+BL36+BL40+BL61)-BL74</f>
        <v>42</v>
      </c>
      <c r="BM81" s="352">
        <f t="shared" si="360"/>
        <v>42</v>
      </c>
      <c r="BN81" s="352">
        <f t="shared" si="360"/>
        <v>42</v>
      </c>
      <c r="BO81" s="352">
        <f t="shared" si="360"/>
        <v>42</v>
      </c>
      <c r="BP81" s="371"/>
      <c r="BQ81" s="352">
        <f t="shared" ref="BQ81:CC81" si="361">(-BQ9+BQ16+BQ29+BQ36+BQ40+BQ61)-BQ74</f>
        <v>-23</v>
      </c>
      <c r="BR81" s="352">
        <f t="shared" si="361"/>
        <v>0</v>
      </c>
      <c r="BS81" s="352">
        <f t="shared" si="361"/>
        <v>13</v>
      </c>
      <c r="BT81" s="352">
        <f t="shared" si="361"/>
        <v>254</v>
      </c>
      <c r="BU81" s="352">
        <f t="shared" si="361"/>
        <v>212</v>
      </c>
      <c r="BV81" s="352">
        <f t="shared" si="361"/>
        <v>-111</v>
      </c>
      <c r="BW81" s="352">
        <f t="shared" si="361"/>
        <v>389.28692606364712</v>
      </c>
      <c r="BX81" s="352">
        <f t="shared" si="361"/>
        <v>365.8098825966851</v>
      </c>
      <c r="BY81" s="352">
        <f t="shared" si="361"/>
        <v>-187.28230837789658</v>
      </c>
      <c r="BZ81" s="352">
        <f t="shared" si="361"/>
        <v>202.35688038043668</v>
      </c>
      <c r="CA81" s="352">
        <f t="shared" si="361"/>
        <v>180.76751814118859</v>
      </c>
      <c r="CB81" s="352">
        <f t="shared" si="361"/>
        <v>223.24209034350599</v>
      </c>
      <c r="CC81" s="352">
        <f t="shared" si="361"/>
        <v>1001.3826023671458</v>
      </c>
      <c r="CD81" s="352">
        <f t="shared" ref="CD81:CE81" si="362">(-CD9+CD16+CD29+CD36+CD40+CD61)-CD74</f>
        <v>238.2466194462331</v>
      </c>
      <c r="CE81" s="352">
        <f t="shared" si="362"/>
        <v>243.6</v>
      </c>
      <c r="CF81" s="354">
        <f t="shared" ref="CF81" si="363">(-CF9+CF16+CF29+CF36+CF40+CF61)-CF74</f>
        <v>168</v>
      </c>
      <c r="CG81" s="364"/>
      <c r="CV81" s="282"/>
      <c r="CW81" s="282"/>
    </row>
    <row r="82" spans="1:102" ht="14.25" customHeight="1">
      <c r="A82" s="8"/>
      <c r="B82" s="320" t="s">
        <v>113</v>
      </c>
      <c r="C82" s="39"/>
      <c r="D82" s="357">
        <f>D68-D76</f>
        <v>348</v>
      </c>
      <c r="E82" s="40">
        <f t="shared" ref="E82:AR82" si="364">E68-E76</f>
        <v>584</v>
      </c>
      <c r="F82" s="40">
        <f t="shared" si="364"/>
        <v>596</v>
      </c>
      <c r="G82" s="41">
        <f t="shared" si="364"/>
        <v>622</v>
      </c>
      <c r="H82" s="357">
        <f t="shared" si="364"/>
        <v>542</v>
      </c>
      <c r="I82" s="40">
        <f t="shared" si="364"/>
        <v>739</v>
      </c>
      <c r="J82" s="40">
        <f t="shared" si="364"/>
        <v>686</v>
      </c>
      <c r="K82" s="41">
        <f t="shared" si="364"/>
        <v>671</v>
      </c>
      <c r="L82" s="357">
        <f t="shared" si="364"/>
        <v>530</v>
      </c>
      <c r="M82" s="40">
        <f t="shared" si="364"/>
        <v>631</v>
      </c>
      <c r="N82" s="40">
        <f t="shared" si="364"/>
        <v>734</v>
      </c>
      <c r="O82" s="41">
        <f t="shared" si="364"/>
        <v>759</v>
      </c>
      <c r="P82" s="357">
        <f t="shared" si="364"/>
        <v>662</v>
      </c>
      <c r="Q82" s="40">
        <f t="shared" si="364"/>
        <v>588</v>
      </c>
      <c r="R82" s="40">
        <f t="shared" si="364"/>
        <v>563</v>
      </c>
      <c r="S82" s="41">
        <f t="shared" si="364"/>
        <v>361</v>
      </c>
      <c r="T82" s="357">
        <f t="shared" si="364"/>
        <v>122</v>
      </c>
      <c r="U82" s="40">
        <f t="shared" si="364"/>
        <v>345</v>
      </c>
      <c r="V82" s="40">
        <f t="shared" si="364"/>
        <v>548</v>
      </c>
      <c r="W82" s="41">
        <f t="shared" si="364"/>
        <v>667</v>
      </c>
      <c r="X82" s="40">
        <f t="shared" si="364"/>
        <v>668</v>
      </c>
      <c r="Y82" s="40">
        <f t="shared" si="364"/>
        <v>786</v>
      </c>
      <c r="Z82" s="40">
        <f t="shared" si="364"/>
        <v>863</v>
      </c>
      <c r="AA82" s="41">
        <f t="shared" si="364"/>
        <v>800</v>
      </c>
      <c r="AB82" s="40">
        <f t="shared" si="364"/>
        <v>667.45098039215691</v>
      </c>
      <c r="AC82" s="40">
        <f>AC68-AC76</f>
        <v>681.61056105610555</v>
      </c>
      <c r="AD82" s="40">
        <f t="shared" si="364"/>
        <v>714.26538461538462</v>
      </c>
      <c r="AE82" s="41">
        <f>AE68-AE76</f>
        <v>562.96</v>
      </c>
      <c r="AF82" s="40">
        <f>AF68-AF76</f>
        <v>399.69613259668506</v>
      </c>
      <c r="AG82" s="40">
        <f>AG68-AG76</f>
        <v>536.59375</v>
      </c>
      <c r="AH82" s="40">
        <f>AH68-AH76</f>
        <v>771.52</v>
      </c>
      <c r="AI82" s="41">
        <f>AI68-AI76</f>
        <v>417</v>
      </c>
      <c r="AJ82" s="40">
        <f t="shared" si="364"/>
        <v>394.75935828877004</v>
      </c>
      <c r="AK82" s="40">
        <f t="shared" ref="AK82:AP82" si="365">AK68-AK76</f>
        <v>513.33333333333337</v>
      </c>
      <c r="AL82" s="40">
        <f t="shared" si="365"/>
        <v>707.625</v>
      </c>
      <c r="AM82" s="41">
        <f>AM68-AM76</f>
        <v>359</v>
      </c>
      <c r="AN82" s="40">
        <f>AN68-AN76</f>
        <v>539.25633383010427</v>
      </c>
      <c r="AO82" s="40">
        <f>AO68-AO76</f>
        <v>738.43600416233085</v>
      </c>
      <c r="AP82" s="40">
        <f t="shared" si="365"/>
        <v>878.92121212121219</v>
      </c>
      <c r="AQ82" s="41">
        <f t="shared" si="364"/>
        <v>866.74333026678937</v>
      </c>
      <c r="AR82" s="40">
        <f t="shared" si="364"/>
        <v>712.52765957446809</v>
      </c>
      <c r="AS82" s="40">
        <f t="shared" ref="AS82:AV82" si="366">AS68-AS76</f>
        <v>753.00303336703746</v>
      </c>
      <c r="AT82" s="40">
        <f t="shared" si="366"/>
        <v>855.69512195121956</v>
      </c>
      <c r="AU82" s="41">
        <f t="shared" si="366"/>
        <v>845.54170324846359</v>
      </c>
      <c r="AV82" s="40">
        <f t="shared" si="366"/>
        <v>772.37052631578945</v>
      </c>
      <c r="AW82" s="40">
        <f>AW68-AW76</f>
        <v>879.19872958257713</v>
      </c>
      <c r="AX82" s="40">
        <f>AX68-AX76</f>
        <v>1077.7089065894279</v>
      </c>
      <c r="AY82" s="41">
        <f t="shared" ref="AY82:AZ82" si="367">AY68-AY76</f>
        <v>1088.9639278557115</v>
      </c>
      <c r="AZ82" s="40">
        <f t="shared" si="367"/>
        <v>1063.7314741035857</v>
      </c>
      <c r="BA82" s="40">
        <f>BA68-BA76</f>
        <v>1114.271870794078</v>
      </c>
      <c r="BB82" s="40">
        <f>BB68-BB76</f>
        <v>1343.1805477920625</v>
      </c>
      <c r="BC82" s="41">
        <f t="shared" ref="BC82:BD82" si="368">BC68-BC76</f>
        <v>1162.1987096774194</v>
      </c>
      <c r="BD82" s="40">
        <f t="shared" si="368"/>
        <v>1437.2466194462331</v>
      </c>
      <c r="BE82" s="40">
        <f t="shared" ref="BE82:BG82" si="369">BE68-BE76</f>
        <v>1361.4845627079944</v>
      </c>
      <c r="BF82" s="40">
        <f t="shared" si="369"/>
        <v>1475.0687695702522</v>
      </c>
      <c r="BG82" s="40">
        <f t="shared" si="369"/>
        <v>1390.8287717151222</v>
      </c>
      <c r="BH82" s="357">
        <f t="shared" ref="BH82:BK82" si="370">BH68-BH76</f>
        <v>1371.2549473576294</v>
      </c>
      <c r="BI82" s="40">
        <f t="shared" si="370"/>
        <v>1501.793935677289</v>
      </c>
      <c r="BJ82" s="40">
        <f t="shared" si="370"/>
        <v>1658.1708675970535</v>
      </c>
      <c r="BK82" s="40">
        <f t="shared" si="370"/>
        <v>1506.2880820737823</v>
      </c>
      <c r="BL82" s="357">
        <f t="shared" ref="BL82:BO82" si="371">BL68-BL76</f>
        <v>1452.0760391412059</v>
      </c>
      <c r="BM82" s="40">
        <f t="shared" si="371"/>
        <v>1614.503971479651</v>
      </c>
      <c r="BN82" s="40">
        <f t="shared" si="371"/>
        <v>1769.9733908024286</v>
      </c>
      <c r="BO82" s="40">
        <f t="shared" si="371"/>
        <v>1622.2072980989387</v>
      </c>
      <c r="BP82" s="152"/>
      <c r="BQ82" s="40">
        <f>BQ68-BQ76</f>
        <v>2150</v>
      </c>
      <c r="BR82" s="40">
        <f t="shared" ref="BR82:CA82" si="372">BR68-BR76</f>
        <v>2638</v>
      </c>
      <c r="BS82" s="40">
        <f t="shared" si="372"/>
        <v>2654</v>
      </c>
      <c r="BT82" s="40">
        <f t="shared" si="372"/>
        <v>2174</v>
      </c>
      <c r="BU82" s="40">
        <f t="shared" si="372"/>
        <v>1682</v>
      </c>
      <c r="BV82" s="40">
        <f t="shared" si="372"/>
        <v>3117</v>
      </c>
      <c r="BW82" s="40">
        <f t="shared" si="372"/>
        <v>2626.2869260636471</v>
      </c>
      <c r="BX82" s="40">
        <f t="shared" si="372"/>
        <v>2124.8098825966854</v>
      </c>
      <c r="BY82" s="40">
        <f>BY68-BY76</f>
        <v>1974.7176916221033</v>
      </c>
      <c r="BZ82" s="40">
        <f t="shared" si="372"/>
        <v>3023.3568803804365</v>
      </c>
      <c r="CA82" s="40">
        <f t="shared" si="372"/>
        <v>3166.7675181411887</v>
      </c>
      <c r="CB82" s="40">
        <f>CB68-CB76</f>
        <v>3818.2420903435059</v>
      </c>
      <c r="CC82" s="40">
        <f>CC68-CC76</f>
        <v>4683.3826023671463</v>
      </c>
      <c r="CD82" s="40">
        <f>CD68-CD76</f>
        <v>5664.6287234396032</v>
      </c>
      <c r="CE82" s="40">
        <f>CE68-CE76</f>
        <v>6037.5078327057518</v>
      </c>
      <c r="CF82" s="41">
        <f>CF68-CF76</f>
        <v>6458.760699522225</v>
      </c>
      <c r="CG82" s="364"/>
      <c r="CH82" s="8"/>
      <c r="CO82" s="8"/>
      <c r="CP82" s="8"/>
      <c r="CQ82" s="8"/>
      <c r="CR82" s="8"/>
      <c r="CS82" s="8"/>
      <c r="CT82" s="8"/>
      <c r="CU82" s="8"/>
      <c r="CV82" s="282"/>
      <c r="CW82" s="282"/>
    </row>
    <row r="83" spans="1:102" ht="14.25" customHeight="1">
      <c r="A83" s="8"/>
      <c r="B83" s="332" t="s">
        <v>114</v>
      </c>
      <c r="C83" s="29"/>
      <c r="D83" s="339">
        <f t="shared" ref="D83:AQ83" si="373">D82/D10</f>
        <v>0.12879348630643966</v>
      </c>
      <c r="E83" s="30">
        <f t="shared" si="373"/>
        <v>0.19656681252103669</v>
      </c>
      <c r="F83" s="30">
        <f t="shared" si="373"/>
        <v>0.17849655585504642</v>
      </c>
      <c r="G83" s="31">
        <f t="shared" si="373"/>
        <v>0.1871239470517449</v>
      </c>
      <c r="H83" s="339">
        <f t="shared" si="373"/>
        <v>0.16256748650269945</v>
      </c>
      <c r="I83" s="30">
        <f t="shared" si="373"/>
        <v>0.19989180416553962</v>
      </c>
      <c r="J83" s="30">
        <f t="shared" si="373"/>
        <v>0.18239829832491358</v>
      </c>
      <c r="K83" s="31">
        <f t="shared" si="373"/>
        <v>0.19376263355472134</v>
      </c>
      <c r="L83" s="339">
        <f t="shared" si="373"/>
        <v>0.16609213412723284</v>
      </c>
      <c r="M83" s="30">
        <f t="shared" si="373"/>
        <v>0.1842873831775701</v>
      </c>
      <c r="N83" s="30">
        <f t="shared" si="373"/>
        <v>0.20038220038220039</v>
      </c>
      <c r="O83" s="31">
        <f t="shared" si="373"/>
        <v>0.21344206974128235</v>
      </c>
      <c r="P83" s="339">
        <f t="shared" si="373"/>
        <v>0.20232273838630807</v>
      </c>
      <c r="Q83" s="30">
        <f t="shared" si="373"/>
        <v>0.17547000895255147</v>
      </c>
      <c r="R83" s="30">
        <f t="shared" si="373"/>
        <v>0.16622379687038677</v>
      </c>
      <c r="S83" s="31">
        <f t="shared" si="373"/>
        <v>0.14492171818546767</v>
      </c>
      <c r="T83" s="339">
        <f t="shared" si="373"/>
        <v>5.8485139022051776E-2</v>
      </c>
      <c r="U83" s="30">
        <f t="shared" si="373"/>
        <v>0.14041514041514042</v>
      </c>
      <c r="V83" s="30">
        <f t="shared" si="373"/>
        <v>0.19027777777777777</v>
      </c>
      <c r="W83" s="31">
        <f t="shared" si="373"/>
        <v>0.22203728362183756</v>
      </c>
      <c r="X83" s="30">
        <f t="shared" si="373"/>
        <v>0.20842433697347895</v>
      </c>
      <c r="Y83" s="30">
        <f t="shared" si="373"/>
        <v>0.22482837528604119</v>
      </c>
      <c r="Z83" s="30">
        <f t="shared" si="373"/>
        <v>0.23074866310160427</v>
      </c>
      <c r="AA83" s="31">
        <f t="shared" si="373"/>
        <v>0.22695035460992907</v>
      </c>
      <c r="AB83" s="30">
        <f t="shared" si="373"/>
        <v>0.19677210506844248</v>
      </c>
      <c r="AC83" s="30">
        <f t="shared" si="373"/>
        <v>0.19711120909661814</v>
      </c>
      <c r="AD83" s="30">
        <f t="shared" si="373"/>
        <v>0.20607772204713926</v>
      </c>
      <c r="AE83" s="31">
        <f t="shared" si="373"/>
        <v>0.16460818713450293</v>
      </c>
      <c r="AF83" s="30">
        <f t="shared" si="373"/>
        <v>0.12806668779131211</v>
      </c>
      <c r="AG83" s="30">
        <f t="shared" si="373"/>
        <v>0.16089767616191905</v>
      </c>
      <c r="AH83" s="30">
        <f t="shared" si="373"/>
        <v>0.22758702064896755</v>
      </c>
      <c r="AI83" s="31">
        <f t="shared" si="373"/>
        <v>0.13997985901309165</v>
      </c>
      <c r="AJ83" s="30">
        <f t="shared" si="373"/>
        <v>0.13683166665122012</v>
      </c>
      <c r="AK83" s="30">
        <f t="shared" si="373"/>
        <v>0.16847172081829123</v>
      </c>
      <c r="AL83" s="30">
        <f t="shared" si="373"/>
        <v>0.21813347718865597</v>
      </c>
      <c r="AM83" s="31">
        <f t="shared" si="373"/>
        <v>0.11856010568031704</v>
      </c>
      <c r="AN83" s="30">
        <f>AN82/AN10</f>
        <v>0.1807765115085834</v>
      </c>
      <c r="AO83" s="30">
        <f>AO82/AO10</f>
        <v>0.22431227343934715</v>
      </c>
      <c r="AP83" s="30">
        <f t="shared" si="373"/>
        <v>0.25104861814373386</v>
      </c>
      <c r="AQ83" s="31">
        <f t="shared" si="373"/>
        <v>0.26514020503725583</v>
      </c>
      <c r="AR83" s="30">
        <f t="shared" ref="AR83:AX83" si="374">AR82/AR10</f>
        <v>0.22619925700776763</v>
      </c>
      <c r="AS83" s="30">
        <f t="shared" si="374"/>
        <v>0.23298361180910812</v>
      </c>
      <c r="AT83" s="30">
        <f t="shared" si="374"/>
        <v>0.24954655058361608</v>
      </c>
      <c r="AU83" s="31">
        <f t="shared" si="374"/>
        <v>0.26514321205658942</v>
      </c>
      <c r="AV83" s="30">
        <f t="shared" si="374"/>
        <v>0.25677211646136616</v>
      </c>
      <c r="AW83" s="30">
        <f t="shared" si="374"/>
        <v>0.26862167112208285</v>
      </c>
      <c r="AX83" s="30">
        <f t="shared" si="374"/>
        <v>0.29325412424202119</v>
      </c>
      <c r="AY83" s="31">
        <f t="shared" ref="AY83:BB83" si="375">AY82/AY10</f>
        <v>0.31897010189095243</v>
      </c>
      <c r="AZ83" s="30">
        <f t="shared" si="375"/>
        <v>0.31267826987171832</v>
      </c>
      <c r="BA83" s="30">
        <f t="shared" si="375"/>
        <v>0.301725391495824</v>
      </c>
      <c r="BB83" s="30">
        <f t="shared" si="375"/>
        <v>0.32633152278718719</v>
      </c>
      <c r="BC83" s="31">
        <f t="shared" ref="BC83:BD83" si="376">BC82/BC10</f>
        <v>0.30991965591397852</v>
      </c>
      <c r="BD83" s="30">
        <f t="shared" si="376"/>
        <v>0.37932082856854926</v>
      </c>
      <c r="BE83" s="30">
        <f t="shared" ref="BE83:BG83" si="377">BE82/BE10</f>
        <v>0.34517104050753916</v>
      </c>
      <c r="BF83" s="30">
        <f t="shared" si="377"/>
        <v>0.35145685310410241</v>
      </c>
      <c r="BG83" s="30">
        <f t="shared" si="377"/>
        <v>0.35169535578480809</v>
      </c>
      <c r="BH83" s="339">
        <f t="shared" ref="BH83:BK83" si="378">BH82/BH10</f>
        <v>0.35611386464323547</v>
      </c>
      <c r="BI83" s="30">
        <f t="shared" si="378"/>
        <v>0.36724181920231741</v>
      </c>
      <c r="BJ83" s="30">
        <f t="shared" si="378"/>
        <v>0.38200243324293465</v>
      </c>
      <c r="BK83" s="30">
        <f t="shared" si="378"/>
        <v>0.36947669591712312</v>
      </c>
      <c r="BL83" s="339">
        <f t="shared" ref="BL83:BO83" si="379">BL82/BL10</f>
        <v>0.36538895204822086</v>
      </c>
      <c r="BM83" s="30">
        <f t="shared" si="379"/>
        <v>0.38265281195958256</v>
      </c>
      <c r="BN83" s="30">
        <f t="shared" si="379"/>
        <v>0.39543691274706333</v>
      </c>
      <c r="BO83" s="30">
        <f t="shared" si="379"/>
        <v>0.38566847533614879</v>
      </c>
      <c r="BP83" s="152"/>
      <c r="BQ83" s="30">
        <f t="shared" ref="BQ83:CA83" si="380">BQ82/BQ10</f>
        <v>0.17428664072632943</v>
      </c>
      <c r="BR83" s="30">
        <f t="shared" si="380"/>
        <v>0.18505787443002455</v>
      </c>
      <c r="BS83" s="30">
        <f t="shared" si="380"/>
        <v>0.19184617608789939</v>
      </c>
      <c r="BT83" s="30">
        <f t="shared" si="380"/>
        <v>0.17390608751299896</v>
      </c>
      <c r="BU83" s="30">
        <f t="shared" si="380"/>
        <v>0.16131197851731083</v>
      </c>
      <c r="BV83" s="30">
        <f t="shared" si="380"/>
        <v>0.22318487755978805</v>
      </c>
      <c r="BW83" s="30">
        <f t="shared" si="380"/>
        <v>0.19119735920673028</v>
      </c>
      <c r="BX83" s="30">
        <f t="shared" si="380"/>
        <v>0.1656771838282016</v>
      </c>
      <c r="BY83" s="30">
        <f t="shared" si="380"/>
        <v>0.16180905372190293</v>
      </c>
      <c r="BZ83" s="30">
        <f t="shared" si="380"/>
        <v>0.23176365506940869</v>
      </c>
      <c r="CA83" s="30">
        <f t="shared" si="380"/>
        <v>0.24359750139547606</v>
      </c>
      <c r="CB83" s="30">
        <f>CB82/CB10</f>
        <v>0.2855828040645853</v>
      </c>
      <c r="CC83" s="30">
        <f>CC82/CC10</f>
        <v>0.31303940928862684</v>
      </c>
      <c r="CD83" s="30">
        <f>CD82/CD10</f>
        <v>0.35660170868471308</v>
      </c>
      <c r="CE83" s="30">
        <f>CE82/CE10</f>
        <v>0.36909623466404867</v>
      </c>
      <c r="CF83" s="31">
        <f>CF82/CF10</f>
        <v>0.38272976208287951</v>
      </c>
      <c r="CG83" s="297"/>
      <c r="CH83" s="8"/>
      <c r="CO83" s="8"/>
      <c r="CP83" s="8"/>
      <c r="CQ83" s="8"/>
      <c r="CR83" s="8"/>
      <c r="CS83" s="8"/>
      <c r="CT83" s="8"/>
      <c r="CU83" s="8"/>
      <c r="CV83" s="282"/>
      <c r="CW83" s="282"/>
    </row>
    <row r="84" spans="1:102" ht="8.25" customHeight="1">
      <c r="A84" s="8"/>
      <c r="B84" s="332"/>
      <c r="C84" s="29"/>
      <c r="D84" s="339"/>
      <c r="E84" s="30"/>
      <c r="F84" s="30"/>
      <c r="G84" s="31"/>
      <c r="H84" s="339"/>
      <c r="I84" s="30"/>
      <c r="J84" s="30"/>
      <c r="K84" s="31"/>
      <c r="L84" s="339"/>
      <c r="M84" s="30"/>
      <c r="N84" s="30"/>
      <c r="O84" s="31"/>
      <c r="P84" s="339"/>
      <c r="Q84" s="30"/>
      <c r="R84" s="30"/>
      <c r="S84" s="31"/>
      <c r="T84" s="339"/>
      <c r="U84" s="30"/>
      <c r="V84" s="30"/>
      <c r="W84" s="31"/>
      <c r="X84" s="30"/>
      <c r="Y84" s="30"/>
      <c r="Z84" s="30"/>
      <c r="AA84" s="31"/>
      <c r="AB84" s="30"/>
      <c r="AC84" s="30"/>
      <c r="AD84" s="30"/>
      <c r="AE84" s="31"/>
      <c r="AF84" s="30"/>
      <c r="AG84" s="30"/>
      <c r="AH84" s="30"/>
      <c r="AI84" s="31"/>
      <c r="AJ84" s="30"/>
      <c r="AK84" s="30"/>
      <c r="AL84" s="30"/>
      <c r="AM84" s="31"/>
      <c r="AN84" s="30"/>
      <c r="AO84" s="30"/>
      <c r="AP84" s="30"/>
      <c r="AQ84" s="31"/>
      <c r="AR84" s="30"/>
      <c r="AS84" s="30"/>
      <c r="AT84" s="30"/>
      <c r="AU84" s="31"/>
      <c r="AV84" s="30"/>
      <c r="AW84" s="30"/>
      <c r="AX84" s="30"/>
      <c r="AY84" s="31"/>
      <c r="AZ84" s="30"/>
      <c r="BA84" s="30"/>
      <c r="BB84" s="30"/>
      <c r="BC84" s="31"/>
      <c r="BD84" s="30"/>
      <c r="BE84" s="30"/>
      <c r="BF84" s="30"/>
      <c r="BG84" s="30"/>
      <c r="BH84" s="339"/>
      <c r="BI84" s="30"/>
      <c r="BJ84" s="30"/>
      <c r="BK84" s="30"/>
      <c r="BL84" s="339"/>
      <c r="BM84" s="30"/>
      <c r="BN84" s="30"/>
      <c r="BO84" s="30"/>
      <c r="BP84" s="152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1"/>
      <c r="CG84" s="297"/>
      <c r="CH84" s="8"/>
      <c r="CO84" s="8"/>
      <c r="CP84" s="8"/>
      <c r="CQ84" s="8"/>
      <c r="CR84" s="8"/>
      <c r="CS84" s="8"/>
      <c r="CT84" s="8"/>
      <c r="CU84" s="8"/>
      <c r="CV84" s="282"/>
      <c r="CW84" s="282"/>
    </row>
    <row r="85" spans="1:102" ht="14.25" customHeight="1">
      <c r="A85" s="8"/>
      <c r="B85" s="345" t="s">
        <v>16</v>
      </c>
      <c r="C85" s="346"/>
      <c r="D85" s="347">
        <v>39.75</v>
      </c>
      <c r="E85" s="348">
        <v>43.75</v>
      </c>
      <c r="F85" s="348">
        <v>34.75</v>
      </c>
      <c r="G85" s="349">
        <v>32.75</v>
      </c>
      <c r="H85" s="347">
        <v>42.75</v>
      </c>
      <c r="I85" s="348">
        <v>1647.75</v>
      </c>
      <c r="J85" s="348">
        <v>15.75</v>
      </c>
      <c r="K85" s="349">
        <v>-3.25</v>
      </c>
      <c r="L85" s="347">
        <v>0</v>
      </c>
      <c r="M85" s="348">
        <f>-4-0.33</f>
        <v>-4.33</v>
      </c>
      <c r="N85" s="348">
        <f>18-0.33</f>
        <v>17.670000000000002</v>
      </c>
      <c r="O85" s="349">
        <f>3-0.33</f>
        <v>2.67</v>
      </c>
      <c r="P85" s="347">
        <v>0</v>
      </c>
      <c r="Q85" s="348">
        <v>0</v>
      </c>
      <c r="R85" s="348">
        <v>0</v>
      </c>
      <c r="S85" s="349">
        <v>0</v>
      </c>
      <c r="T85" s="347">
        <v>0</v>
      </c>
      <c r="U85" s="348">
        <v>0</v>
      </c>
      <c r="V85" s="348">
        <v>0</v>
      </c>
      <c r="W85" s="349">
        <v>0</v>
      </c>
      <c r="X85" s="348">
        <v>0</v>
      </c>
      <c r="Y85" s="348">
        <v>0</v>
      </c>
      <c r="Z85" s="348">
        <v>0</v>
      </c>
      <c r="AA85" s="349">
        <v>0</v>
      </c>
      <c r="AB85" s="348">
        <v>0</v>
      </c>
      <c r="AC85" s="348">
        <v>0</v>
      </c>
      <c r="AD85" s="348">
        <v>0</v>
      </c>
      <c r="AE85" s="349">
        <v>0</v>
      </c>
      <c r="AF85" s="348">
        <v>0</v>
      </c>
      <c r="AG85" s="352">
        <v>0</v>
      </c>
      <c r="AH85" s="352">
        <v>0</v>
      </c>
      <c r="AI85" s="349">
        <v>0</v>
      </c>
      <c r="AJ85" s="352">
        <v>0</v>
      </c>
      <c r="AK85" s="352">
        <v>0</v>
      </c>
      <c r="AL85" s="352">
        <v>0</v>
      </c>
      <c r="AM85" s="354">
        <v>0</v>
      </c>
      <c r="AN85" s="352">
        <v>0</v>
      </c>
      <c r="AO85" s="352">
        <v>0</v>
      </c>
      <c r="AP85" s="352">
        <v>0</v>
      </c>
      <c r="AQ85" s="354">
        <v>0</v>
      </c>
      <c r="AR85" s="352">
        <v>0</v>
      </c>
      <c r="AS85" s="352">
        <v>0</v>
      </c>
      <c r="AT85" s="352">
        <v>0</v>
      </c>
      <c r="AU85" s="354">
        <v>0</v>
      </c>
      <c r="AV85" s="352">
        <v>0</v>
      </c>
      <c r="AW85" s="352">
        <v>0</v>
      </c>
      <c r="AX85" s="352">
        <v>0</v>
      </c>
      <c r="AY85" s="354">
        <v>0</v>
      </c>
      <c r="AZ85" s="352">
        <v>0</v>
      </c>
      <c r="BA85" s="352">
        <v>0</v>
      </c>
      <c r="BB85" s="352">
        <v>0</v>
      </c>
      <c r="BC85" s="354">
        <v>0</v>
      </c>
      <c r="BD85" s="352">
        <v>0</v>
      </c>
      <c r="BE85" s="352">
        <v>0</v>
      </c>
      <c r="BF85" s="352">
        <v>0</v>
      </c>
      <c r="BG85" s="352">
        <v>0</v>
      </c>
      <c r="BH85" s="353">
        <v>0</v>
      </c>
      <c r="BI85" s="352">
        <v>0</v>
      </c>
      <c r="BJ85" s="352">
        <v>0</v>
      </c>
      <c r="BK85" s="352">
        <v>0</v>
      </c>
      <c r="BL85" s="353">
        <v>0</v>
      </c>
      <c r="BM85" s="352">
        <v>0</v>
      </c>
      <c r="BN85" s="352">
        <v>0</v>
      </c>
      <c r="BO85" s="352">
        <v>0</v>
      </c>
      <c r="BP85" s="371"/>
      <c r="BQ85" s="352">
        <f>SUM(D85:G85)</f>
        <v>151</v>
      </c>
      <c r="BR85" s="352">
        <f>SUM(H85:K85)</f>
        <v>1703</v>
      </c>
      <c r="BS85" s="352">
        <f>SUM(L85:O85)</f>
        <v>16.010000000000002</v>
      </c>
      <c r="BT85" s="352">
        <f>SUM(P85:S85)</f>
        <v>0</v>
      </c>
      <c r="BU85" s="352">
        <f>SUM(T85:W85)</f>
        <v>0</v>
      </c>
      <c r="BV85" s="352">
        <f>SUM(X85:AA85)</f>
        <v>0</v>
      </c>
      <c r="BW85" s="352">
        <f>SUM(AB85:AE85)</f>
        <v>0</v>
      </c>
      <c r="BX85" s="352">
        <f>SUM(AF85:AI85)</f>
        <v>0</v>
      </c>
      <c r="BY85" s="352">
        <f>SUM(AJ85:AM85)</f>
        <v>0</v>
      </c>
      <c r="BZ85" s="352">
        <f>SUM(AN85:AQ85)</f>
        <v>0</v>
      </c>
      <c r="CA85" s="352">
        <v>0</v>
      </c>
      <c r="CB85" s="352">
        <v>0</v>
      </c>
      <c r="CC85" s="352">
        <v>0</v>
      </c>
      <c r="CD85" s="352">
        <v>0</v>
      </c>
      <c r="CE85" s="352">
        <v>0</v>
      </c>
      <c r="CF85" s="354">
        <v>0</v>
      </c>
      <c r="CG85" s="297"/>
      <c r="CH85" s="8"/>
      <c r="CO85" s="8"/>
      <c r="CP85" s="8"/>
      <c r="CQ85" s="8"/>
      <c r="CR85" s="8"/>
      <c r="CS85" s="8"/>
      <c r="CT85" s="8"/>
      <c r="CU85" s="8"/>
      <c r="CV85" s="282"/>
      <c r="CW85" s="282"/>
    </row>
    <row r="86" spans="1:102" ht="14.25" customHeight="1">
      <c r="A86" s="8"/>
      <c r="B86" s="320" t="s">
        <v>115</v>
      </c>
      <c r="C86" s="39"/>
      <c r="D86" s="357">
        <f t="shared" ref="D86:AQ86" si="381">D79+D85</f>
        <v>410.75</v>
      </c>
      <c r="E86" s="40">
        <f t="shared" si="381"/>
        <v>627.75</v>
      </c>
      <c r="F86" s="40">
        <f t="shared" si="381"/>
        <v>630.75</v>
      </c>
      <c r="G86" s="41">
        <f t="shared" si="381"/>
        <v>654.75</v>
      </c>
      <c r="H86" s="357">
        <f t="shared" si="381"/>
        <v>584.75</v>
      </c>
      <c r="I86" s="40">
        <f t="shared" si="381"/>
        <v>2386.75</v>
      </c>
      <c r="J86" s="40">
        <f t="shared" si="381"/>
        <v>701.75</v>
      </c>
      <c r="K86" s="41">
        <f t="shared" si="381"/>
        <v>667.75</v>
      </c>
      <c r="L86" s="357">
        <f t="shared" si="381"/>
        <v>516</v>
      </c>
      <c r="M86" s="40">
        <f t="shared" si="381"/>
        <v>609.66999999999996</v>
      </c>
      <c r="N86" s="40">
        <f t="shared" si="381"/>
        <v>775.67</v>
      </c>
      <c r="O86" s="41">
        <f t="shared" si="381"/>
        <v>755.67</v>
      </c>
      <c r="P86" s="357">
        <f t="shared" si="381"/>
        <v>662</v>
      </c>
      <c r="Q86" s="40">
        <f t="shared" si="381"/>
        <v>588</v>
      </c>
      <c r="R86" s="40">
        <f t="shared" si="381"/>
        <v>563</v>
      </c>
      <c r="S86" s="41">
        <f t="shared" si="381"/>
        <v>107</v>
      </c>
      <c r="T86" s="357">
        <f t="shared" si="381"/>
        <v>17</v>
      </c>
      <c r="U86" s="40">
        <f t="shared" si="381"/>
        <v>260</v>
      </c>
      <c r="V86" s="40">
        <f t="shared" si="381"/>
        <v>538</v>
      </c>
      <c r="W86" s="41">
        <f t="shared" si="381"/>
        <v>655</v>
      </c>
      <c r="X86" s="40">
        <f t="shared" si="381"/>
        <v>658</v>
      </c>
      <c r="Y86" s="40">
        <f t="shared" si="381"/>
        <v>769</v>
      </c>
      <c r="Z86" s="40">
        <f t="shared" si="381"/>
        <v>859</v>
      </c>
      <c r="AA86" s="41">
        <f t="shared" si="381"/>
        <v>942</v>
      </c>
      <c r="AB86" s="40">
        <f t="shared" si="381"/>
        <v>666</v>
      </c>
      <c r="AC86" s="40">
        <f t="shared" si="381"/>
        <v>672</v>
      </c>
      <c r="AD86" s="40">
        <f t="shared" si="381"/>
        <v>601</v>
      </c>
      <c r="AE86" s="41">
        <f t="shared" si="381"/>
        <v>298</v>
      </c>
      <c r="AF86" s="40">
        <f t="shared" si="381"/>
        <v>265</v>
      </c>
      <c r="AG86" s="40">
        <f t="shared" si="381"/>
        <v>446</v>
      </c>
      <c r="AH86" s="40">
        <f t="shared" si="381"/>
        <v>784</v>
      </c>
      <c r="AI86" s="41">
        <f t="shared" si="381"/>
        <v>264</v>
      </c>
      <c r="AJ86" s="40">
        <f t="shared" si="381"/>
        <v>362</v>
      </c>
      <c r="AK86" s="40">
        <f t="shared" si="381"/>
        <v>660</v>
      </c>
      <c r="AL86" s="40">
        <f t="shared" si="381"/>
        <v>629</v>
      </c>
      <c r="AM86" s="41">
        <f t="shared" si="381"/>
        <v>511</v>
      </c>
      <c r="AN86" s="40">
        <f>AN79+AN85</f>
        <v>487</v>
      </c>
      <c r="AO86" s="40">
        <f>AO79+AO85</f>
        <v>683</v>
      </c>
      <c r="AP86" s="40">
        <f>AP79+AP85</f>
        <v>826</v>
      </c>
      <c r="AQ86" s="41">
        <f t="shared" si="381"/>
        <v>825</v>
      </c>
      <c r="AR86" s="40">
        <f t="shared" ref="AR86:AX86" si="382">AR79+AR85</f>
        <v>656</v>
      </c>
      <c r="AS86" s="40">
        <f t="shared" si="382"/>
        <v>696</v>
      </c>
      <c r="AT86" s="40">
        <f t="shared" si="382"/>
        <v>798</v>
      </c>
      <c r="AU86" s="41">
        <f t="shared" si="382"/>
        <v>836</v>
      </c>
      <c r="AV86" s="40">
        <f t="shared" si="382"/>
        <v>711</v>
      </c>
      <c r="AW86" s="40">
        <f t="shared" si="382"/>
        <v>819</v>
      </c>
      <c r="AX86" s="40">
        <f t="shared" si="382"/>
        <v>1018</v>
      </c>
      <c r="AY86" s="41">
        <f>AY79+AY85</f>
        <v>1047</v>
      </c>
      <c r="AZ86" s="40">
        <f t="shared" ref="AZ86:BB86" si="383">AZ79+AZ85</f>
        <v>997</v>
      </c>
      <c r="BA86" s="40">
        <f t="shared" si="383"/>
        <v>1056</v>
      </c>
      <c r="BB86" s="40">
        <f t="shared" si="383"/>
        <v>1285</v>
      </c>
      <c r="BC86" s="41">
        <f>BC79+BC85</f>
        <v>344</v>
      </c>
      <c r="BD86" s="40">
        <f t="shared" ref="BD86" si="384">BD79+BD85</f>
        <v>1366</v>
      </c>
      <c r="BE86" s="40">
        <f t="shared" ref="BE86:BG86" si="385">BE79+BE85</f>
        <v>1307.4845627079944</v>
      </c>
      <c r="BF86" s="40">
        <f t="shared" si="385"/>
        <v>1421.0687695702522</v>
      </c>
      <c r="BG86" s="40">
        <f t="shared" si="385"/>
        <v>1331.8287717151222</v>
      </c>
      <c r="BH86" s="357">
        <f t="shared" ref="BH86:BK86" si="386">BH79+BH85</f>
        <v>1304.0549473576293</v>
      </c>
      <c r="BI86" s="40">
        <f t="shared" si="386"/>
        <v>1434.593935677289</v>
      </c>
      <c r="BJ86" s="40">
        <f t="shared" si="386"/>
        <v>1590.9708675970537</v>
      </c>
      <c r="BK86" s="40">
        <f t="shared" si="386"/>
        <v>1464.2880820737823</v>
      </c>
      <c r="BL86" s="357">
        <f t="shared" ref="BL86:BO86" si="387">BL79+BL85</f>
        <v>1410.0760391412059</v>
      </c>
      <c r="BM86" s="40">
        <f t="shared" si="387"/>
        <v>1572.503971479651</v>
      </c>
      <c r="BN86" s="40">
        <f t="shared" si="387"/>
        <v>1727.9733908024286</v>
      </c>
      <c r="BO86" s="40">
        <f t="shared" si="387"/>
        <v>1580.2072980989387</v>
      </c>
      <c r="BP86" s="152"/>
      <c r="BQ86" s="40">
        <f t="shared" ref="BQ86:CA86" si="388">BQ79+BQ85</f>
        <v>2324</v>
      </c>
      <c r="BR86" s="40">
        <f t="shared" si="388"/>
        <v>4341</v>
      </c>
      <c r="BS86" s="40">
        <f t="shared" si="388"/>
        <v>2657.01</v>
      </c>
      <c r="BT86" s="40">
        <f t="shared" si="388"/>
        <v>1920</v>
      </c>
      <c r="BU86" s="40">
        <f t="shared" si="388"/>
        <v>1470</v>
      </c>
      <c r="BV86" s="40">
        <f t="shared" si="388"/>
        <v>3228</v>
      </c>
      <c r="BW86" s="40">
        <f t="shared" si="388"/>
        <v>2237</v>
      </c>
      <c r="BX86" s="40">
        <f t="shared" si="388"/>
        <v>1759</v>
      </c>
      <c r="BY86" s="40">
        <f t="shared" si="388"/>
        <v>2162</v>
      </c>
      <c r="BZ86" s="40">
        <f t="shared" si="388"/>
        <v>2821</v>
      </c>
      <c r="CA86" s="40">
        <f t="shared" si="388"/>
        <v>2986</v>
      </c>
      <c r="CB86" s="40">
        <f>CB79+CB85</f>
        <v>3595</v>
      </c>
      <c r="CC86" s="40">
        <f>CC79+CC85</f>
        <v>3682</v>
      </c>
      <c r="CD86" s="40">
        <f>CD79+CD85</f>
        <v>5426.38210399337</v>
      </c>
      <c r="CE86" s="40">
        <f>CE79+CE85</f>
        <v>5793.9078327057523</v>
      </c>
      <c r="CF86" s="41">
        <f>CF79+CF85</f>
        <v>6290.760699522225</v>
      </c>
      <c r="CG86" s="364"/>
      <c r="CH86" s="8"/>
      <c r="CO86" s="8"/>
      <c r="CP86" s="8"/>
      <c r="CQ86" s="8"/>
      <c r="CR86" s="8"/>
      <c r="CS86" s="8"/>
      <c r="CT86" s="8"/>
      <c r="CU86" s="8"/>
      <c r="CV86" s="282"/>
      <c r="CW86" s="282"/>
    </row>
    <row r="87" spans="1:102" ht="14.25" customHeight="1">
      <c r="A87" s="8"/>
      <c r="B87" s="332" t="s">
        <v>116</v>
      </c>
      <c r="C87" s="29"/>
      <c r="D87" s="339">
        <f t="shared" ref="D87:AQ87" si="389">D86/D7</f>
        <v>0.15201702442635084</v>
      </c>
      <c r="E87" s="30">
        <f t="shared" si="389"/>
        <v>0.21129249410972736</v>
      </c>
      <c r="F87" s="30">
        <f t="shared" si="389"/>
        <v>0.18890386343216531</v>
      </c>
      <c r="G87" s="31">
        <f t="shared" si="389"/>
        <v>0.19697653429602888</v>
      </c>
      <c r="H87" s="339">
        <f t="shared" si="389"/>
        <v>0.17538992201559689</v>
      </c>
      <c r="I87" s="30">
        <f t="shared" si="389"/>
        <v>0.64559101974573974</v>
      </c>
      <c r="J87" s="30">
        <f t="shared" si="389"/>
        <v>0.18658601435788355</v>
      </c>
      <c r="K87" s="31">
        <f t="shared" si="389"/>
        <v>0.19282414091827896</v>
      </c>
      <c r="L87" s="339">
        <f t="shared" si="389"/>
        <v>0.16170479473519273</v>
      </c>
      <c r="M87" s="30">
        <f t="shared" si="389"/>
        <v>0.17805782710280374</v>
      </c>
      <c r="N87" s="30">
        <f t="shared" si="389"/>
        <v>0.21175812175812175</v>
      </c>
      <c r="O87" s="31">
        <f t="shared" si="389"/>
        <v>0.21250562429696288</v>
      </c>
      <c r="P87" s="339">
        <f t="shared" si="389"/>
        <v>0.20232273838630807</v>
      </c>
      <c r="Q87" s="30">
        <f t="shared" si="389"/>
        <v>0.17547000895255147</v>
      </c>
      <c r="R87" s="30">
        <f t="shared" si="389"/>
        <v>0.16622379687038677</v>
      </c>
      <c r="S87" s="31">
        <f t="shared" si="389"/>
        <v>4.2954636692091527E-2</v>
      </c>
      <c r="T87" s="339">
        <f t="shared" si="389"/>
        <v>8.1495685522531159E-3</v>
      </c>
      <c r="U87" s="30">
        <f t="shared" si="389"/>
        <v>0.10582010582010581</v>
      </c>
      <c r="V87" s="30">
        <f t="shared" si="389"/>
        <v>0.18680555555555556</v>
      </c>
      <c r="W87" s="31">
        <f t="shared" si="389"/>
        <v>0.21804260985352863</v>
      </c>
      <c r="X87" s="30">
        <f t="shared" si="389"/>
        <v>0.20530421216848674</v>
      </c>
      <c r="Y87" s="30">
        <f t="shared" si="389"/>
        <v>0.21996567505720824</v>
      </c>
      <c r="Z87" s="30">
        <f t="shared" si="389"/>
        <v>0.22967914438502673</v>
      </c>
      <c r="AA87" s="31">
        <f t="shared" si="389"/>
        <v>0.2672340425531915</v>
      </c>
      <c r="AB87" s="30">
        <f t="shared" si="389"/>
        <v>0.1963443396226415</v>
      </c>
      <c r="AC87" s="30">
        <f t="shared" si="389"/>
        <v>0.19433198380566802</v>
      </c>
      <c r="AD87" s="30">
        <f t="shared" si="389"/>
        <v>0.17339873052510099</v>
      </c>
      <c r="AE87" s="31">
        <f t="shared" si="389"/>
        <v>8.7134502923976606E-2</v>
      </c>
      <c r="AF87" s="30">
        <f t="shared" si="389"/>
        <v>8.4908683114386416E-2</v>
      </c>
      <c r="AG87" s="30">
        <f t="shared" si="389"/>
        <v>0.13373313343328336</v>
      </c>
      <c r="AH87" s="30">
        <f t="shared" si="389"/>
        <v>0.23126843657817109</v>
      </c>
      <c r="AI87" s="31">
        <f t="shared" si="389"/>
        <v>8.8620342396777449E-2</v>
      </c>
      <c r="AJ87" s="30">
        <f t="shared" si="389"/>
        <v>0.12547660311958406</v>
      </c>
      <c r="AK87" s="30">
        <f t="shared" si="389"/>
        <v>0.21660649819494585</v>
      </c>
      <c r="AL87" s="30">
        <f t="shared" si="389"/>
        <v>0.1938964241676942</v>
      </c>
      <c r="AM87" s="31">
        <f t="shared" si="389"/>
        <v>0.16875825627476881</v>
      </c>
      <c r="AN87" s="30">
        <f>AN86/AN7</f>
        <v>0.16325846463291988</v>
      </c>
      <c r="AO87" s="30">
        <f>AO86/AO7</f>
        <v>0.20747266099635481</v>
      </c>
      <c r="AP87" s="30">
        <f t="shared" si="389"/>
        <v>0.23593259068837474</v>
      </c>
      <c r="AQ87" s="31">
        <f t="shared" si="389"/>
        <v>0.25237075558274702</v>
      </c>
      <c r="AR87" s="30">
        <f t="shared" ref="AR87:AX87" si="390">AR86/AR7</f>
        <v>0.20825396825396825</v>
      </c>
      <c r="AS87" s="30">
        <f t="shared" si="390"/>
        <v>0.21534653465346534</v>
      </c>
      <c r="AT87" s="30">
        <f t="shared" si="390"/>
        <v>0.2327209098862642</v>
      </c>
      <c r="AU87" s="31">
        <f t="shared" si="390"/>
        <v>0.26215114455942301</v>
      </c>
      <c r="AV87" s="30">
        <f t="shared" si="390"/>
        <v>0.23636968085106383</v>
      </c>
      <c r="AW87" s="30">
        <f t="shared" si="390"/>
        <v>0.25022914757103576</v>
      </c>
      <c r="AX87" s="30">
        <f t="shared" si="390"/>
        <v>0.27700680272108846</v>
      </c>
      <c r="AY87" s="31">
        <f t="shared" ref="AY87:BB87" si="391">AY86/AY7</f>
        <v>0.30667838312829526</v>
      </c>
      <c r="AZ87" s="30">
        <f t="shared" si="391"/>
        <v>0.29306290417401526</v>
      </c>
      <c r="BA87" s="30">
        <f t="shared" si="391"/>
        <v>0.28594638505280262</v>
      </c>
      <c r="BB87" s="30">
        <f t="shared" si="391"/>
        <v>0.31219630709426627</v>
      </c>
      <c r="BC87" s="31">
        <f t="shared" ref="BC87:BD87" si="392">BC86/BC7</f>
        <v>9.1733333333333333E-2</v>
      </c>
      <c r="BD87" s="30">
        <f t="shared" si="392"/>
        <v>0.3605172868830826</v>
      </c>
      <c r="BE87" s="30">
        <f t="shared" ref="BE87:BG87" si="393">BE86/BE7</f>
        <v>0.33148066406262844</v>
      </c>
      <c r="BF87" s="30">
        <f t="shared" si="393"/>
        <v>0.33859055801390753</v>
      </c>
      <c r="BG87" s="30">
        <f t="shared" si="393"/>
        <v>0.33677617492423711</v>
      </c>
      <c r="BH87" s="339">
        <f t="shared" ref="BH87:BK87" si="394">BH86/BH7</f>
        <v>0.33866207586381153</v>
      </c>
      <c r="BI87" s="30">
        <f t="shared" si="394"/>
        <v>0.35080903860298307</v>
      </c>
      <c r="BJ87" s="30">
        <f t="shared" si="394"/>
        <v>0.36652117976323395</v>
      </c>
      <c r="BK87" s="30">
        <f t="shared" si="394"/>
        <v>0.35917453565097091</v>
      </c>
      <c r="BL87" s="339">
        <f t="shared" ref="BL87:BO87" si="395">BL86/BL7</f>
        <v>0.35482040358907713</v>
      </c>
      <c r="BM87" s="30">
        <f t="shared" si="395"/>
        <v>0.37269841210290494</v>
      </c>
      <c r="BN87" s="30">
        <f t="shared" si="395"/>
        <v>0.38605352290533973</v>
      </c>
      <c r="BO87" s="30">
        <f t="shared" si="395"/>
        <v>0.37568326815387265</v>
      </c>
      <c r="BP87" s="152"/>
      <c r="BQ87" s="30">
        <f t="shared" ref="BQ87:CA87" si="396">BQ86/BQ7</f>
        <v>0.18839169909208819</v>
      </c>
      <c r="BR87" s="30">
        <f t="shared" si="396"/>
        <v>0.30452472816555592</v>
      </c>
      <c r="BS87" s="30">
        <f t="shared" si="396"/>
        <v>0.19206375596356803</v>
      </c>
      <c r="BT87" s="30">
        <f t="shared" si="396"/>
        <v>0.15358771298296137</v>
      </c>
      <c r="BU87" s="30">
        <f t="shared" si="396"/>
        <v>0.14098014769348807</v>
      </c>
      <c r="BV87" s="30">
        <f t="shared" si="396"/>
        <v>0.23113275096663324</v>
      </c>
      <c r="BW87" s="30">
        <f t="shared" si="396"/>
        <v>0.1628567268491555</v>
      </c>
      <c r="BX87" s="30">
        <f t="shared" si="396"/>
        <v>0.13715399610136453</v>
      </c>
      <c r="BY87" s="30">
        <f t="shared" si="396"/>
        <v>0.17715503113733203</v>
      </c>
      <c r="BZ87" s="30">
        <f t="shared" si="396"/>
        <v>0.21625143733231122</v>
      </c>
      <c r="CA87" s="30">
        <f t="shared" si="396"/>
        <v>0.2296923076923077</v>
      </c>
      <c r="CB87" s="30">
        <f>CB86/CB7</f>
        <v>0.26888556469708302</v>
      </c>
      <c r="CC87" s="30">
        <f>CC86/CC7</f>
        <v>0.24610654368023527</v>
      </c>
      <c r="CD87" s="30">
        <f>CD86/CD7</f>
        <v>0.34160352332592131</v>
      </c>
      <c r="CE87" s="30">
        <f>CE86/CE7</f>
        <v>0.35420402329877293</v>
      </c>
      <c r="CF87" s="31">
        <f>CF86/CF7</f>
        <v>0.3727745085874713</v>
      </c>
      <c r="CG87" s="297"/>
      <c r="CH87" s="8"/>
      <c r="CO87" s="8"/>
      <c r="CP87" s="8"/>
      <c r="CQ87" s="8"/>
      <c r="CR87" s="8"/>
      <c r="CS87" s="8"/>
      <c r="CT87" s="8"/>
      <c r="CU87" s="8"/>
      <c r="CV87" s="282"/>
      <c r="CW87" s="282"/>
    </row>
    <row r="88" spans="1:102" ht="8.25" customHeight="1">
      <c r="A88" s="8"/>
      <c r="B88" s="332"/>
      <c r="C88" s="29"/>
      <c r="D88" s="382"/>
      <c r="E88" s="32"/>
      <c r="F88" s="32"/>
      <c r="G88" s="33"/>
      <c r="H88" s="382"/>
      <c r="I88" s="32"/>
      <c r="J88" s="32"/>
      <c r="K88" s="33"/>
      <c r="L88" s="382"/>
      <c r="M88" s="32"/>
      <c r="N88" s="32"/>
      <c r="O88" s="33"/>
      <c r="P88" s="382"/>
      <c r="Q88" s="32"/>
      <c r="R88" s="32"/>
      <c r="S88" s="33"/>
      <c r="T88" s="382"/>
      <c r="U88" s="32"/>
      <c r="V88" s="32"/>
      <c r="W88" s="33"/>
      <c r="X88" s="32"/>
      <c r="Y88" s="32"/>
      <c r="Z88" s="32"/>
      <c r="AA88" s="33"/>
      <c r="AB88" s="32"/>
      <c r="AC88" s="32"/>
      <c r="AD88" s="48"/>
      <c r="AE88" s="33"/>
      <c r="AF88" s="32"/>
      <c r="AG88" s="32"/>
      <c r="AH88" s="32"/>
      <c r="AI88" s="33"/>
      <c r="AJ88" s="32"/>
      <c r="AK88" s="32"/>
      <c r="AL88" s="32"/>
      <c r="AM88" s="33"/>
      <c r="AN88" s="32"/>
      <c r="AO88" s="32"/>
      <c r="AP88" s="32"/>
      <c r="AQ88" s="33"/>
      <c r="AR88" s="32"/>
      <c r="AS88" s="32"/>
      <c r="AT88" s="32"/>
      <c r="AU88" s="33"/>
      <c r="AV88" s="32"/>
      <c r="AW88" s="32"/>
      <c r="AX88" s="32"/>
      <c r="AY88" s="33"/>
      <c r="AZ88" s="32"/>
      <c r="BA88" s="32"/>
      <c r="BB88" s="32"/>
      <c r="BC88" s="33"/>
      <c r="BD88" s="32"/>
      <c r="BE88" s="32"/>
      <c r="BF88" s="32"/>
      <c r="BG88" s="48"/>
      <c r="BH88" s="382"/>
      <c r="BI88" s="32"/>
      <c r="BJ88" s="32"/>
      <c r="BK88" s="48"/>
      <c r="BL88" s="382"/>
      <c r="BM88" s="32"/>
      <c r="BN88" s="32"/>
      <c r="BO88" s="48"/>
      <c r="BP88" s="15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3"/>
      <c r="CG88" s="297"/>
      <c r="CH88" s="8"/>
      <c r="CO88" s="8"/>
      <c r="CP88" s="8"/>
      <c r="CQ88" s="8"/>
      <c r="CR88" s="8"/>
      <c r="CS88" s="8"/>
      <c r="CT88" s="8"/>
      <c r="CU88" s="8"/>
      <c r="CV88" s="282"/>
      <c r="CW88" s="282"/>
    </row>
    <row r="89" spans="1:102" ht="14.25" customHeight="1">
      <c r="A89" s="8"/>
      <c r="B89" s="342" t="s">
        <v>350</v>
      </c>
      <c r="C89" s="29"/>
      <c r="D89" s="337">
        <v>4.4400000000000004</v>
      </c>
      <c r="E89" s="25">
        <v>5.0800000000000409</v>
      </c>
      <c r="F89" s="25">
        <v>-0.20000000000004547</v>
      </c>
      <c r="G89" s="26">
        <v>1</v>
      </c>
      <c r="H89" s="337">
        <v>-3.2400000000000091</v>
      </c>
      <c r="I89" s="25">
        <v>-9.5</v>
      </c>
      <c r="J89" s="25">
        <v>4.5600000000000591</v>
      </c>
      <c r="K89" s="26">
        <v>5.6499999999999773</v>
      </c>
      <c r="L89" s="337">
        <v>-2.2000000000000455</v>
      </c>
      <c r="M89" s="25">
        <v>-8.9400000000000546</v>
      </c>
      <c r="N89" s="25">
        <v>-9.6199999999999992</v>
      </c>
      <c r="O89" s="26">
        <v>-1.62</v>
      </c>
      <c r="P89" s="337">
        <v>-2.9500000000000455</v>
      </c>
      <c r="Q89" s="25">
        <v>0.72000000000002728</v>
      </c>
      <c r="R89" s="25">
        <v>2.4500000000000455</v>
      </c>
      <c r="S89" s="26">
        <v>-4.039999999999992</v>
      </c>
      <c r="T89" s="337">
        <v>-4.2300000000000004</v>
      </c>
      <c r="U89" s="25">
        <v>-5.5999999999999943</v>
      </c>
      <c r="V89" s="25">
        <v>-5.4400000000000546</v>
      </c>
      <c r="W89" s="26">
        <v>-1.3600000000000136</v>
      </c>
      <c r="X89" s="25">
        <v>-10.079999999999927</v>
      </c>
      <c r="Y89" s="25">
        <v>-11.98</v>
      </c>
      <c r="Z89" s="25">
        <v>-9.8400000000000318</v>
      </c>
      <c r="AA89" s="26">
        <v>-14.579999999999927</v>
      </c>
      <c r="AB89" s="337">
        <v>-9.2999999999999545</v>
      </c>
      <c r="AC89" s="25">
        <v>-11.199999999999932</v>
      </c>
      <c r="AD89" s="25">
        <v>-10</v>
      </c>
      <c r="AE89" s="26">
        <v>-5</v>
      </c>
      <c r="AF89" s="25">
        <v>-4</v>
      </c>
      <c r="AG89" s="25">
        <v>-8</v>
      </c>
      <c r="AH89" s="25">
        <v>-14</v>
      </c>
      <c r="AI89" s="26">
        <v>-4</v>
      </c>
      <c r="AJ89" s="25">
        <v>-7</v>
      </c>
      <c r="AK89" s="25">
        <v>-11</v>
      </c>
      <c r="AL89" s="25">
        <v>-11</v>
      </c>
      <c r="AM89" s="26">
        <v>-8</v>
      </c>
      <c r="AN89" s="25">
        <v>-7</v>
      </c>
      <c r="AO89" s="25">
        <v>-10</v>
      </c>
      <c r="AP89" s="25">
        <v>-13</v>
      </c>
      <c r="AQ89" s="26">
        <v>-13</v>
      </c>
      <c r="AR89" s="25">
        <v>-9</v>
      </c>
      <c r="AS89" s="25">
        <v>-10</v>
      </c>
      <c r="AT89" s="25">
        <v>-11</v>
      </c>
      <c r="AU89" s="26">
        <v>-12</v>
      </c>
      <c r="AV89" s="25">
        <v>-10.7</v>
      </c>
      <c r="AW89" s="25">
        <v>-10</v>
      </c>
      <c r="AX89" s="25">
        <v>-11</v>
      </c>
      <c r="AY89" s="26">
        <v>-13</v>
      </c>
      <c r="AZ89" s="25">
        <v>-10</v>
      </c>
      <c r="BA89" s="25">
        <v>-10</v>
      </c>
      <c r="BB89" s="25">
        <v>-11</v>
      </c>
      <c r="BC89" s="26">
        <v>-3</v>
      </c>
      <c r="BD89" s="25">
        <v>-11</v>
      </c>
      <c r="BE89" s="27">
        <f t="shared" ref="BE89:BG89" si="397">+BE86*-0.015</f>
        <v>-19.612268440619914</v>
      </c>
      <c r="BF89" s="27">
        <f t="shared" si="397"/>
        <v>-21.316031543553784</v>
      </c>
      <c r="BG89" s="27">
        <f t="shared" si="397"/>
        <v>-19.977431575726833</v>
      </c>
      <c r="BH89" s="338">
        <f t="shared" ref="BH89:BK89" si="398">+BH86*-0.015</f>
        <v>-19.560824210364441</v>
      </c>
      <c r="BI89" s="27">
        <f t="shared" si="398"/>
        <v>-21.518909035159332</v>
      </c>
      <c r="BJ89" s="27">
        <f t="shared" si="398"/>
        <v>-23.864563013955806</v>
      </c>
      <c r="BK89" s="27">
        <f t="shared" si="398"/>
        <v>-21.964321231106734</v>
      </c>
      <c r="BL89" s="338">
        <f t="shared" ref="BL89:BO89" si="399">+BL86*-0.015</f>
        <v>-21.151140587118089</v>
      </c>
      <c r="BM89" s="27">
        <f t="shared" si="399"/>
        <v>-23.587559572194763</v>
      </c>
      <c r="BN89" s="27">
        <f t="shared" si="399"/>
        <v>-25.919600862036429</v>
      </c>
      <c r="BO89" s="27">
        <f t="shared" si="399"/>
        <v>-23.70310947148408</v>
      </c>
      <c r="BP89" s="152"/>
      <c r="BQ89" s="27">
        <f>SUM(D89:G89)</f>
        <v>10.319999999999997</v>
      </c>
      <c r="BR89" s="27">
        <f>SUM(H89:K89)</f>
        <v>-2.5299999999999727</v>
      </c>
      <c r="BS89" s="27">
        <f>SUM(L89:O89)</f>
        <v>-22.380000000000098</v>
      </c>
      <c r="BT89" s="27">
        <f>SUM(P89:S89)</f>
        <v>-3.8199999999999648</v>
      </c>
      <c r="BU89" s="27">
        <f>SUM(T89:W89)</f>
        <v>-16.630000000000063</v>
      </c>
      <c r="BV89" s="27">
        <f>SUM(X89:AA89)</f>
        <v>-46.47999999999989</v>
      </c>
      <c r="BW89" s="27">
        <f>SUM(AB89:AE89)</f>
        <v>-35.499999999999886</v>
      </c>
      <c r="BX89" s="27">
        <f>SUM(AF89:AI89)</f>
        <v>-30</v>
      </c>
      <c r="BY89" s="27">
        <f>SUM(AJ89:AM89)</f>
        <v>-37</v>
      </c>
      <c r="BZ89" s="27">
        <f>SUM(AN89:AQ89)</f>
        <v>-43</v>
      </c>
      <c r="CA89" s="27">
        <f>SUM(AR89:AU89)</f>
        <v>-42</v>
      </c>
      <c r="CB89" s="27">
        <f>SUM(AV89:AY89)</f>
        <v>-44.7</v>
      </c>
      <c r="CC89" s="27">
        <f>SUM(AZ89:BC89)</f>
        <v>-34</v>
      </c>
      <c r="CD89" s="27">
        <f>SUM(BD89:BG89)</f>
        <v>-71.905731559900531</v>
      </c>
      <c r="CE89" s="27">
        <f>SUM(BH89:BK89)</f>
        <v>-86.908617490586309</v>
      </c>
      <c r="CF89" s="28">
        <f>SUM(BL89:BO89)</f>
        <v>-94.361410492833372</v>
      </c>
      <c r="CG89" s="364"/>
      <c r="CH89" s="8"/>
      <c r="CO89" s="8"/>
      <c r="CP89" s="8"/>
      <c r="CQ89" s="8"/>
      <c r="CR89" s="8"/>
      <c r="CS89" s="8"/>
      <c r="CT89" s="8"/>
      <c r="CU89" s="8"/>
      <c r="CV89" s="282"/>
      <c r="CW89" s="282"/>
    </row>
    <row r="90" spans="1:102" ht="14.25" customHeight="1">
      <c r="A90" s="8"/>
      <c r="B90" s="342" t="s">
        <v>351</v>
      </c>
      <c r="C90" s="29"/>
      <c r="D90" s="337">
        <v>-7.4900000000000091</v>
      </c>
      <c r="E90" s="25">
        <v>-0.90000000000009095</v>
      </c>
      <c r="F90" s="25">
        <v>1.6000000000000227</v>
      </c>
      <c r="G90" s="26">
        <v>1.2000000000000455</v>
      </c>
      <c r="H90" s="337">
        <v>-8.7200000000000273</v>
      </c>
      <c r="I90" s="25">
        <v>5.9499999999999318</v>
      </c>
      <c r="J90" s="25">
        <v>5.2000000000000455</v>
      </c>
      <c r="K90" s="26">
        <v>2.6499999999999773</v>
      </c>
      <c r="L90" s="337">
        <v>-2.2000000000000455</v>
      </c>
      <c r="M90" s="25">
        <v>1.7200000000000273</v>
      </c>
      <c r="N90" s="25">
        <v>-6.0799999999999272</v>
      </c>
      <c r="O90" s="26">
        <v>1.38</v>
      </c>
      <c r="P90" s="337">
        <v>-2.9500000000000455</v>
      </c>
      <c r="Q90" s="25">
        <v>0.72000000000002728</v>
      </c>
      <c r="R90" s="25">
        <v>2.4500000000000455</v>
      </c>
      <c r="S90" s="26">
        <v>-4.039999999999992</v>
      </c>
      <c r="T90" s="337">
        <v>-4.2300000000000004</v>
      </c>
      <c r="U90" s="25">
        <v>-5.5999999999999943</v>
      </c>
      <c r="V90" s="25">
        <v>-5.4400000000000546</v>
      </c>
      <c r="W90" s="26">
        <v>-1.3600000000000136</v>
      </c>
      <c r="X90" s="25">
        <v>-10.079999999999927</v>
      </c>
      <c r="Y90" s="25">
        <v>-11.98</v>
      </c>
      <c r="Z90" s="25">
        <v>-9.8400000000000318</v>
      </c>
      <c r="AA90" s="26">
        <v>-14.579999999999927</v>
      </c>
      <c r="AB90" s="25">
        <v>-9.2999999999999545</v>
      </c>
      <c r="AC90" s="25">
        <v>-11.199999999999932</v>
      </c>
      <c r="AD90" s="25">
        <v>-10</v>
      </c>
      <c r="AE90" s="26">
        <v>-5</v>
      </c>
      <c r="AF90" s="25">
        <v>-4</v>
      </c>
      <c r="AG90" s="25">
        <v>-8</v>
      </c>
      <c r="AH90" s="25">
        <v>-14</v>
      </c>
      <c r="AI90" s="26">
        <v>-7</v>
      </c>
      <c r="AJ90" s="27">
        <f t="shared" ref="AJ90:AQ90" si="400">+AJ82*-0.015</f>
        <v>-5.9213903743315504</v>
      </c>
      <c r="AK90" s="27">
        <f>+AK82*-0.015</f>
        <v>-7.7</v>
      </c>
      <c r="AL90" s="27">
        <f t="shared" si="400"/>
        <v>-10.614374999999999</v>
      </c>
      <c r="AM90" s="28">
        <f t="shared" si="400"/>
        <v>-5.3849999999999998</v>
      </c>
      <c r="AN90" s="27">
        <f>+AN82*-0.015</f>
        <v>-8.0888450074515639</v>
      </c>
      <c r="AO90" s="27">
        <f>+AO82*-0.015</f>
        <v>-11.076540062434962</v>
      </c>
      <c r="AP90" s="27">
        <f t="shared" si="400"/>
        <v>-13.183818181818182</v>
      </c>
      <c r="AQ90" s="28">
        <f t="shared" si="400"/>
        <v>-13.001149954001841</v>
      </c>
      <c r="AR90" s="27">
        <f t="shared" ref="AR90:AX90" si="401">+AR82*-0.015</f>
        <v>-10.687914893617021</v>
      </c>
      <c r="AS90" s="27">
        <f t="shared" si="401"/>
        <v>-11.295045500505562</v>
      </c>
      <c r="AT90" s="27">
        <f t="shared" si="401"/>
        <v>-12.835426829268293</v>
      </c>
      <c r="AU90" s="28">
        <f t="shared" si="401"/>
        <v>-12.683125548726954</v>
      </c>
      <c r="AV90" s="27">
        <f t="shared" si="401"/>
        <v>-11.585557894736841</v>
      </c>
      <c r="AW90" s="27">
        <f t="shared" si="401"/>
        <v>-13.187980943738657</v>
      </c>
      <c r="AX90" s="27">
        <f t="shared" si="401"/>
        <v>-16.165633598841417</v>
      </c>
      <c r="AY90" s="28">
        <f t="shared" ref="AY90:BB90" si="402">+AY82*-0.015</f>
        <v>-16.334458917835672</v>
      </c>
      <c r="AZ90" s="27">
        <f t="shared" si="402"/>
        <v>-15.955972111553784</v>
      </c>
      <c r="BA90" s="27">
        <f t="shared" si="402"/>
        <v>-16.71407806191117</v>
      </c>
      <c r="BB90" s="27">
        <f t="shared" si="402"/>
        <v>-20.147708216880936</v>
      </c>
      <c r="BC90" s="28">
        <f t="shared" ref="BC90:BD90" si="403">+BC82*-0.015</f>
        <v>-17.43298064516129</v>
      </c>
      <c r="BD90" s="27">
        <f t="shared" si="403"/>
        <v>-21.558699291693497</v>
      </c>
      <c r="BE90" s="27">
        <f t="shared" ref="BE90:BG90" si="404">+BE82*-0.015</f>
        <v>-20.422268440619916</v>
      </c>
      <c r="BF90" s="27">
        <f t="shared" si="404"/>
        <v>-22.126031543553783</v>
      </c>
      <c r="BG90" s="27">
        <f t="shared" si="404"/>
        <v>-20.862431575726834</v>
      </c>
      <c r="BH90" s="338">
        <f t="shared" ref="BH90:BK90" si="405">+BH82*-0.015</f>
        <v>-20.56882421036444</v>
      </c>
      <c r="BI90" s="27">
        <f t="shared" si="405"/>
        <v>-22.526909035159335</v>
      </c>
      <c r="BJ90" s="27">
        <f t="shared" si="405"/>
        <v>-24.872563013955801</v>
      </c>
      <c r="BK90" s="27">
        <f t="shared" si="405"/>
        <v>-22.594321231106733</v>
      </c>
      <c r="BL90" s="338">
        <f t="shared" ref="BL90:BO90" si="406">+BL82*-0.015</f>
        <v>-21.781140587118088</v>
      </c>
      <c r="BM90" s="27">
        <f t="shared" si="406"/>
        <v>-24.217559572194766</v>
      </c>
      <c r="BN90" s="27">
        <f t="shared" si="406"/>
        <v>-26.549600862036428</v>
      </c>
      <c r="BO90" s="27">
        <f t="shared" si="406"/>
        <v>-24.333109471484079</v>
      </c>
      <c r="BP90" s="152"/>
      <c r="BQ90" s="27">
        <f>SUM(D90:G90)</f>
        <v>-5.5900000000000318</v>
      </c>
      <c r="BR90" s="27">
        <f>SUM(H90:K90)</f>
        <v>5.0799999999999272</v>
      </c>
      <c r="BS90" s="27">
        <f>SUM(L90:O90)</f>
        <v>-5.1799999999999455</v>
      </c>
      <c r="BT90" s="27">
        <f>SUM(P90:S90)</f>
        <v>-3.8199999999999648</v>
      </c>
      <c r="BU90" s="27">
        <f>SUM(T90:W90)</f>
        <v>-16.630000000000063</v>
      </c>
      <c r="BV90" s="27">
        <f>SUM(X90:AA90)</f>
        <v>-46.47999999999989</v>
      </c>
      <c r="BW90" s="27">
        <f>SUM(AB90:AE90)</f>
        <v>-35.499999999999886</v>
      </c>
      <c r="BX90" s="27">
        <f>SUM(AF90:AI90)</f>
        <v>-33</v>
      </c>
      <c r="BY90" s="27">
        <f>SUM(AJ90:AM90)</f>
        <v>-29.620765374331548</v>
      </c>
      <c r="BZ90" s="27">
        <f>SUM(AN90:AQ90)</f>
        <v>-45.350353205706547</v>
      </c>
      <c r="CA90" s="27">
        <f>SUM(AR90:AU90)</f>
        <v>-47.501512772117835</v>
      </c>
      <c r="CB90" s="27">
        <f>SUM(AV90:AY90)</f>
        <v>-57.273631355152588</v>
      </c>
      <c r="CC90" s="27">
        <f>SUM(AZ90:BC90)</f>
        <v>-70.250739035507181</v>
      </c>
      <c r="CD90" s="27">
        <f>SUM(BD90:BG90)</f>
        <v>-84.969430851594026</v>
      </c>
      <c r="CE90" s="27">
        <f>SUM(BH90:BK90)</f>
        <v>-90.562617490586305</v>
      </c>
      <c r="CF90" s="28">
        <f>SUM(BL90:BO90)</f>
        <v>-96.881410492833368</v>
      </c>
      <c r="CG90" s="364"/>
      <c r="CH90" s="8"/>
      <c r="CO90" s="8"/>
      <c r="CP90" s="8"/>
      <c r="CQ90" s="8"/>
      <c r="CR90" s="8"/>
      <c r="CS90" s="8"/>
      <c r="CT90" s="8"/>
      <c r="CU90" s="8"/>
      <c r="CV90" s="282"/>
      <c r="CW90" s="282"/>
    </row>
    <row r="91" spans="1:102" ht="8.25" customHeight="1">
      <c r="A91" s="8"/>
      <c r="B91" s="342"/>
      <c r="C91" s="29"/>
      <c r="D91" s="337"/>
      <c r="E91" s="25"/>
      <c r="F91" s="25"/>
      <c r="G91" s="26"/>
      <c r="H91" s="337"/>
      <c r="I91" s="25"/>
      <c r="J91" s="25"/>
      <c r="K91" s="26"/>
      <c r="L91" s="337"/>
      <c r="M91" s="25"/>
      <c r="N91" s="25"/>
      <c r="O91" s="26"/>
      <c r="P91" s="337"/>
      <c r="Q91" s="25"/>
      <c r="R91" s="25"/>
      <c r="S91" s="26"/>
      <c r="T91" s="337"/>
      <c r="U91" s="25"/>
      <c r="V91" s="25"/>
      <c r="W91" s="26"/>
      <c r="X91" s="25"/>
      <c r="Y91" s="25"/>
      <c r="Z91" s="25"/>
      <c r="AA91" s="26"/>
      <c r="AB91" s="25"/>
      <c r="AC91" s="25"/>
      <c r="AD91" s="25"/>
      <c r="AE91" s="26"/>
      <c r="AF91" s="25"/>
      <c r="AG91" s="25"/>
      <c r="AH91" s="25"/>
      <c r="AI91" s="26"/>
      <c r="AJ91" s="27"/>
      <c r="AK91" s="27"/>
      <c r="AL91" s="27"/>
      <c r="AM91" s="26"/>
      <c r="AN91" s="27"/>
      <c r="AO91" s="27"/>
      <c r="AP91" s="27"/>
      <c r="AQ91" s="26"/>
      <c r="AR91" s="27"/>
      <c r="AS91" s="27"/>
      <c r="AT91" s="27"/>
      <c r="AU91" s="26"/>
      <c r="AV91" s="27"/>
      <c r="AW91" s="27"/>
      <c r="AX91" s="27"/>
      <c r="AY91" s="26"/>
      <c r="AZ91" s="27"/>
      <c r="BA91" s="27"/>
      <c r="BB91" s="27"/>
      <c r="BC91" s="26"/>
      <c r="BD91" s="27"/>
      <c r="BE91" s="27"/>
      <c r="BF91" s="27"/>
      <c r="BG91" s="27"/>
      <c r="BH91" s="338"/>
      <c r="BI91" s="27"/>
      <c r="BJ91" s="27"/>
      <c r="BK91" s="27"/>
      <c r="BL91" s="338"/>
      <c r="BM91" s="27"/>
      <c r="BN91" s="27"/>
      <c r="BO91" s="27"/>
      <c r="BP91" s="152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8"/>
      <c r="CG91" s="297"/>
      <c r="CH91" s="8"/>
      <c r="CO91" s="8"/>
      <c r="CP91" s="8"/>
      <c r="CQ91" s="8"/>
      <c r="CR91" s="8"/>
      <c r="CS91" s="8"/>
      <c r="CT91" s="8"/>
      <c r="CU91" s="8"/>
      <c r="CV91" s="282"/>
      <c r="CW91" s="282"/>
    </row>
    <row r="92" spans="1:102" ht="14.25" customHeight="1">
      <c r="A92" s="8"/>
      <c r="B92" s="342" t="s">
        <v>386</v>
      </c>
      <c r="C92" s="29"/>
      <c r="D92" s="338">
        <f>D$86+D89</f>
        <v>415.19</v>
      </c>
      <c r="E92" s="27">
        <f t="shared" ref="E92:AL92" si="407">E86+E89</f>
        <v>632.83000000000004</v>
      </c>
      <c r="F92" s="27">
        <f t="shared" si="407"/>
        <v>630.54999999999995</v>
      </c>
      <c r="G92" s="28">
        <f t="shared" si="407"/>
        <v>655.75</v>
      </c>
      <c r="H92" s="338">
        <f t="shared" si="407"/>
        <v>581.51</v>
      </c>
      <c r="I92" s="27">
        <f t="shared" si="407"/>
        <v>2377.25</v>
      </c>
      <c r="J92" s="27">
        <f t="shared" si="407"/>
        <v>706.31000000000006</v>
      </c>
      <c r="K92" s="28">
        <f t="shared" si="407"/>
        <v>673.4</v>
      </c>
      <c r="L92" s="338">
        <f t="shared" si="407"/>
        <v>513.79999999999995</v>
      </c>
      <c r="M92" s="27">
        <f t="shared" si="407"/>
        <v>600.7299999999999</v>
      </c>
      <c r="N92" s="27">
        <f t="shared" si="407"/>
        <v>766.05</v>
      </c>
      <c r="O92" s="28">
        <f t="shared" si="407"/>
        <v>754.05</v>
      </c>
      <c r="P92" s="338">
        <f t="shared" si="407"/>
        <v>659.05</v>
      </c>
      <c r="Q92" s="27">
        <f t="shared" si="407"/>
        <v>588.72</v>
      </c>
      <c r="R92" s="27">
        <f t="shared" si="407"/>
        <v>565.45000000000005</v>
      </c>
      <c r="S92" s="28">
        <f t="shared" si="407"/>
        <v>102.96000000000001</v>
      </c>
      <c r="T92" s="338">
        <f t="shared" si="407"/>
        <v>12.77</v>
      </c>
      <c r="U92" s="27">
        <f t="shared" si="407"/>
        <v>254.4</v>
      </c>
      <c r="V92" s="27">
        <f t="shared" si="407"/>
        <v>532.55999999999995</v>
      </c>
      <c r="W92" s="28">
        <f t="shared" si="407"/>
        <v>653.64</v>
      </c>
      <c r="X92" s="27">
        <f t="shared" si="407"/>
        <v>647.92000000000007</v>
      </c>
      <c r="Y92" s="27">
        <f t="shared" si="407"/>
        <v>757.02</v>
      </c>
      <c r="Z92" s="27">
        <f t="shared" si="407"/>
        <v>849.16</v>
      </c>
      <c r="AA92" s="28">
        <f t="shared" si="407"/>
        <v>927.42000000000007</v>
      </c>
      <c r="AB92" s="27">
        <f t="shared" si="407"/>
        <v>656.7</v>
      </c>
      <c r="AC92" s="27">
        <f t="shared" si="407"/>
        <v>660.80000000000007</v>
      </c>
      <c r="AD92" s="27">
        <f t="shared" si="407"/>
        <v>591</v>
      </c>
      <c r="AE92" s="28">
        <f t="shared" si="407"/>
        <v>293</v>
      </c>
      <c r="AF92" s="27">
        <f t="shared" si="407"/>
        <v>261</v>
      </c>
      <c r="AG92" s="27">
        <f t="shared" si="407"/>
        <v>438</v>
      </c>
      <c r="AH92" s="27">
        <f t="shared" si="407"/>
        <v>770</v>
      </c>
      <c r="AI92" s="28">
        <f t="shared" si="407"/>
        <v>260</v>
      </c>
      <c r="AJ92" s="27">
        <f t="shared" si="407"/>
        <v>355</v>
      </c>
      <c r="AK92" s="27">
        <f t="shared" si="407"/>
        <v>649</v>
      </c>
      <c r="AL92" s="27">
        <f t="shared" si="407"/>
        <v>618</v>
      </c>
      <c r="AM92" s="28">
        <f t="shared" ref="AM92:AR92" si="408">AM86+AM89</f>
        <v>503</v>
      </c>
      <c r="AN92" s="27">
        <f t="shared" si="408"/>
        <v>480</v>
      </c>
      <c r="AO92" s="27">
        <f t="shared" si="408"/>
        <v>673</v>
      </c>
      <c r="AP92" s="27">
        <f t="shared" si="408"/>
        <v>813</v>
      </c>
      <c r="AQ92" s="28">
        <f t="shared" si="408"/>
        <v>812</v>
      </c>
      <c r="AR92" s="27">
        <f t="shared" si="408"/>
        <v>647</v>
      </c>
      <c r="AS92" s="27">
        <f>AS86+AS89</f>
        <v>686</v>
      </c>
      <c r="AT92" s="27">
        <f>AT86+AT89</f>
        <v>787</v>
      </c>
      <c r="AU92" s="28">
        <f>AU86+AU89</f>
        <v>824</v>
      </c>
      <c r="AV92" s="27">
        <f t="shared" ref="AV92" si="409">AV86+AV89</f>
        <v>700.3</v>
      </c>
      <c r="AW92" s="27">
        <f>AW86+AW89</f>
        <v>809</v>
      </c>
      <c r="AX92" s="27">
        <f>AX86+AX89</f>
        <v>1007</v>
      </c>
      <c r="AY92" s="28">
        <f>AY86+AY89</f>
        <v>1034</v>
      </c>
      <c r="AZ92" s="27">
        <f t="shared" ref="AZ92" si="410">AZ86+AZ89</f>
        <v>987</v>
      </c>
      <c r="BA92" s="27">
        <f>BA86+BA89</f>
        <v>1046</v>
      </c>
      <c r="BB92" s="27">
        <f>BB86+BB89</f>
        <v>1274</v>
      </c>
      <c r="BC92" s="28">
        <f>BC86+BC89</f>
        <v>341</v>
      </c>
      <c r="BD92" s="27">
        <f t="shared" ref="BD92" si="411">BD86+BD89</f>
        <v>1355</v>
      </c>
      <c r="BE92" s="27">
        <f t="shared" ref="BE92:BG92" si="412">BE86+BE89</f>
        <v>1287.8722942673744</v>
      </c>
      <c r="BF92" s="27">
        <f t="shared" si="412"/>
        <v>1399.7527380266984</v>
      </c>
      <c r="BG92" s="27">
        <f t="shared" si="412"/>
        <v>1311.8513401393955</v>
      </c>
      <c r="BH92" s="338">
        <f t="shared" ref="BH92:BK92" si="413">BH86+BH89</f>
        <v>1284.4941231472649</v>
      </c>
      <c r="BI92" s="27">
        <f t="shared" si="413"/>
        <v>1413.0750266421296</v>
      </c>
      <c r="BJ92" s="27">
        <f t="shared" si="413"/>
        <v>1567.1063045830979</v>
      </c>
      <c r="BK92" s="27">
        <f t="shared" si="413"/>
        <v>1442.3237608426757</v>
      </c>
      <c r="BL92" s="338">
        <f t="shared" ref="BL92:BO92" si="414">BL86+BL89</f>
        <v>1388.9248985540878</v>
      </c>
      <c r="BM92" s="27">
        <f t="shared" si="414"/>
        <v>1548.9164119074562</v>
      </c>
      <c r="BN92" s="27">
        <f t="shared" si="414"/>
        <v>1702.0537899403921</v>
      </c>
      <c r="BO92" s="27">
        <f t="shared" si="414"/>
        <v>1556.5041886274546</v>
      </c>
      <c r="BP92" s="152"/>
      <c r="BQ92" s="27">
        <f t="shared" ref="BQ92:BZ92" si="415">BQ86+BQ89</f>
        <v>2334.3200000000002</v>
      </c>
      <c r="BR92" s="27">
        <f t="shared" si="415"/>
        <v>4338.47</v>
      </c>
      <c r="BS92" s="27">
        <f t="shared" si="415"/>
        <v>2634.63</v>
      </c>
      <c r="BT92" s="27">
        <f t="shared" si="415"/>
        <v>1916.18</v>
      </c>
      <c r="BU92" s="27">
        <f t="shared" si="415"/>
        <v>1453.37</v>
      </c>
      <c r="BV92" s="27">
        <f t="shared" si="415"/>
        <v>3181.52</v>
      </c>
      <c r="BW92" s="27">
        <f t="shared" si="415"/>
        <v>2201.5</v>
      </c>
      <c r="BX92" s="27">
        <f t="shared" si="415"/>
        <v>1729</v>
      </c>
      <c r="BY92" s="27">
        <f t="shared" si="415"/>
        <v>2125</v>
      </c>
      <c r="BZ92" s="27">
        <f t="shared" si="415"/>
        <v>2778</v>
      </c>
      <c r="CA92" s="27">
        <f>SUM(AR92:AU92)</f>
        <v>2944</v>
      </c>
      <c r="CB92" s="27">
        <f>SUM(AV92:AY92)</f>
        <v>3550.3</v>
      </c>
      <c r="CC92" s="27">
        <f>SUM(AZ92:BC92)</f>
        <v>3648</v>
      </c>
      <c r="CD92" s="27">
        <f>SUM(BD92:BG92)</f>
        <v>5354.476372433468</v>
      </c>
      <c r="CE92" s="27">
        <f>SUM(BH92:BK92)</f>
        <v>5706.9992152151681</v>
      </c>
      <c r="CF92" s="28">
        <f>SUM(BL92:BO92)</f>
        <v>6196.3992890293912</v>
      </c>
      <c r="CG92" s="364"/>
      <c r="CH92" s="8"/>
      <c r="CO92" s="8"/>
      <c r="CP92" s="12" t="s">
        <v>112</v>
      </c>
      <c r="CQ92" s="12">
        <v>6</v>
      </c>
      <c r="CR92" s="12" t="s">
        <v>92</v>
      </c>
      <c r="CS92" s="12" t="b">
        <v>0</v>
      </c>
      <c r="CT92" s="8"/>
      <c r="CU92" s="8"/>
      <c r="CV92" s="282"/>
      <c r="CW92" s="282"/>
    </row>
    <row r="93" spans="1:102" ht="8.25" customHeight="1">
      <c r="A93" s="8"/>
      <c r="B93" s="342"/>
      <c r="C93" s="29"/>
      <c r="D93" s="387"/>
      <c r="E93" s="388"/>
      <c r="F93" s="388"/>
      <c r="G93" s="389"/>
      <c r="H93" s="387"/>
      <c r="I93" s="388"/>
      <c r="J93" s="388"/>
      <c r="K93" s="389"/>
      <c r="L93" s="387"/>
      <c r="M93" s="388"/>
      <c r="N93" s="388"/>
      <c r="O93" s="389"/>
      <c r="P93" s="387"/>
      <c r="Q93" s="388"/>
      <c r="R93" s="388"/>
      <c r="S93" s="389"/>
      <c r="T93" s="387"/>
      <c r="U93" s="388"/>
      <c r="V93" s="388"/>
      <c r="W93" s="389"/>
      <c r="X93" s="388"/>
      <c r="Y93" s="388"/>
      <c r="Z93" s="388"/>
      <c r="AA93" s="389"/>
      <c r="AB93" s="388"/>
      <c r="AC93" s="388"/>
      <c r="AD93" s="388"/>
      <c r="AE93" s="389"/>
      <c r="AF93" s="388"/>
      <c r="AG93" s="388"/>
      <c r="AH93" s="388"/>
      <c r="AI93" s="389"/>
      <c r="AJ93" s="390"/>
      <c r="AK93" s="390"/>
      <c r="AL93" s="390"/>
      <c r="AM93" s="389"/>
      <c r="AN93" s="390"/>
      <c r="AO93" s="390"/>
      <c r="AP93" s="390"/>
      <c r="AQ93" s="389"/>
      <c r="AR93" s="390"/>
      <c r="AS93" s="390"/>
      <c r="AT93" s="390"/>
      <c r="AU93" s="389"/>
      <c r="AV93" s="390"/>
      <c r="AW93" s="390"/>
      <c r="AX93" s="390"/>
      <c r="AY93" s="389"/>
      <c r="AZ93" s="390"/>
      <c r="BA93" s="390"/>
      <c r="BB93" s="390"/>
      <c r="BC93" s="389"/>
      <c r="BD93" s="390"/>
      <c r="BE93" s="390"/>
      <c r="BF93" s="390"/>
      <c r="BG93" s="390"/>
      <c r="BH93" s="391"/>
      <c r="BI93" s="390"/>
      <c r="BJ93" s="390"/>
      <c r="BK93" s="390"/>
      <c r="BL93" s="391"/>
      <c r="BM93" s="390"/>
      <c r="BN93" s="390"/>
      <c r="BO93" s="390"/>
      <c r="BP93" s="152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8"/>
      <c r="CG93" s="1176"/>
      <c r="CH93" s="8"/>
      <c r="CO93" s="8"/>
      <c r="CP93" s="8"/>
      <c r="CQ93" s="8"/>
      <c r="CR93" s="8"/>
      <c r="CS93" s="8"/>
      <c r="CT93" s="8"/>
      <c r="CU93" s="8"/>
      <c r="CV93" s="282"/>
      <c r="CW93" s="282"/>
    </row>
    <row r="94" spans="1:102" s="85" customFormat="1" ht="14.25" customHeight="1">
      <c r="A94" s="392"/>
      <c r="B94" s="393" t="s">
        <v>117</v>
      </c>
      <c r="C94" s="394"/>
      <c r="D94" s="395">
        <f t="shared" ref="D94:AQ94" si="416">(D86+D89)/D102</f>
        <v>0.23985557481224726</v>
      </c>
      <c r="E94" s="396">
        <f t="shared" si="416"/>
        <v>0.37984993997599042</v>
      </c>
      <c r="F94" s="396">
        <f t="shared" si="416"/>
        <v>0.3798493975903614</v>
      </c>
      <c r="G94" s="397">
        <f t="shared" si="416"/>
        <v>0.39984756097560975</v>
      </c>
      <c r="H94" s="395">
        <f t="shared" si="416"/>
        <v>0.35984529702970297</v>
      </c>
      <c r="I94" s="396">
        <f t="shared" si="416"/>
        <v>1.4998422712933754</v>
      </c>
      <c r="J94" s="396">
        <f t="shared" si="416"/>
        <v>0.45983723958333339</v>
      </c>
      <c r="K94" s="397">
        <f t="shared" si="416"/>
        <v>0.44983299933199733</v>
      </c>
      <c r="L94" s="395">
        <f t="shared" si="416"/>
        <v>0.35</v>
      </c>
      <c r="M94" s="396">
        <f t="shared" si="416"/>
        <v>0.40977489768076392</v>
      </c>
      <c r="N94" s="396">
        <f t="shared" si="416"/>
        <v>0.52977178423236515</v>
      </c>
      <c r="O94" s="397">
        <f t="shared" si="416"/>
        <v>0.53976377952755905</v>
      </c>
      <c r="P94" s="395">
        <f t="shared" si="416"/>
        <v>0.49</v>
      </c>
      <c r="Q94" s="396">
        <f t="shared" si="416"/>
        <v>0.44</v>
      </c>
      <c r="R94" s="396">
        <f t="shared" si="416"/>
        <v>0.43000000000000005</v>
      </c>
      <c r="S94" s="397">
        <f t="shared" si="416"/>
        <v>0.08</v>
      </c>
      <c r="T94" s="395">
        <f t="shared" si="416"/>
        <v>0.01</v>
      </c>
      <c r="U94" s="396">
        <f t="shared" si="416"/>
        <v>0.2</v>
      </c>
      <c r="V94" s="396">
        <f t="shared" si="416"/>
        <v>0.42</v>
      </c>
      <c r="W94" s="397">
        <f t="shared" si="416"/>
        <v>0.52</v>
      </c>
      <c r="X94" s="396">
        <f t="shared" si="416"/>
        <v>0.52</v>
      </c>
      <c r="Y94" s="396">
        <f t="shared" si="416"/>
        <v>0.62</v>
      </c>
      <c r="Z94" s="396">
        <f t="shared" si="416"/>
        <v>0.71</v>
      </c>
      <c r="AA94" s="397">
        <f t="shared" si="416"/>
        <v>0.78</v>
      </c>
      <c r="AB94" s="396">
        <f t="shared" si="416"/>
        <v>0.55000000000000004</v>
      </c>
      <c r="AC94" s="396">
        <f t="shared" si="416"/>
        <v>0.56000000000000005</v>
      </c>
      <c r="AD94" s="396">
        <f t="shared" si="416"/>
        <v>0.51080380293863437</v>
      </c>
      <c r="AE94" s="397">
        <f t="shared" si="416"/>
        <v>0.25367965367965367</v>
      </c>
      <c r="AF94" s="396">
        <f t="shared" si="416"/>
        <v>0.22403433476394849</v>
      </c>
      <c r="AG94" s="396">
        <f t="shared" si="416"/>
        <v>0.37954939341421146</v>
      </c>
      <c r="AH94" s="396">
        <f t="shared" si="416"/>
        <v>0.67484662576687116</v>
      </c>
      <c r="AI94" s="397">
        <f t="shared" si="416"/>
        <v>0.23131672597864769</v>
      </c>
      <c r="AJ94" s="396">
        <f t="shared" si="416"/>
        <v>0.31611754229741762</v>
      </c>
      <c r="AK94" s="396">
        <f t="shared" si="416"/>
        <v>0.58102059086839752</v>
      </c>
      <c r="AL94" s="396">
        <f t="shared" si="416"/>
        <v>0.55625562556255626</v>
      </c>
      <c r="AM94" s="397">
        <f>(AM86+AM89)/AM102</f>
        <v>0.45644283121597096</v>
      </c>
      <c r="AN94" s="396">
        <f>(AN86+AN89)/AN102</f>
        <v>0.43795620437956206</v>
      </c>
      <c r="AO94" s="396">
        <f>(AO86+AO89)/AO102</f>
        <v>0.61970534069981587</v>
      </c>
      <c r="AP94" s="396">
        <f t="shared" si="416"/>
        <v>0.75698324022346364</v>
      </c>
      <c r="AQ94" s="397">
        <f t="shared" si="416"/>
        <v>0.76387582314205082</v>
      </c>
      <c r="AR94" s="396">
        <f t="shared" ref="AR94:AX94" si="417">(AR86+AR89)/AR102</f>
        <v>0.60980207351555138</v>
      </c>
      <c r="AS94" s="396">
        <f t="shared" si="417"/>
        <v>0.65271170313986682</v>
      </c>
      <c r="AT94" s="396">
        <f t="shared" si="417"/>
        <v>0.76038647342995169</v>
      </c>
      <c r="AU94" s="397">
        <f t="shared" si="417"/>
        <v>0.80233690360272636</v>
      </c>
      <c r="AV94" s="396">
        <f t="shared" si="417"/>
        <v>0.68791748526522589</v>
      </c>
      <c r="AW94" s="396">
        <f t="shared" si="417"/>
        <v>0.79625984251968507</v>
      </c>
      <c r="AX94" s="396">
        <f t="shared" si="417"/>
        <v>0.99016715830875124</v>
      </c>
      <c r="AY94" s="397">
        <f>(AY86+AY89)/AY102</f>
        <v>1.0157170923379175</v>
      </c>
      <c r="AZ94" s="396">
        <f t="shared" ref="AZ94:BB94" si="418">(AZ86+AZ89)/AZ102</f>
        <v>0.96859666339548578</v>
      </c>
      <c r="BA94" s="396">
        <f t="shared" si="418"/>
        <v>1.0305418719211823</v>
      </c>
      <c r="BB94" s="396">
        <f t="shared" si="418"/>
        <v>1.2638888888888888</v>
      </c>
      <c r="BC94" s="397">
        <f>(BC86+BC89)/BC102</f>
        <v>0.33862959285004968</v>
      </c>
      <c r="BD94" s="396">
        <f t="shared" ref="BD94" si="419">(BD86+BD89)/BD102</f>
        <v>1.3482587064676617</v>
      </c>
      <c r="BE94" s="396">
        <f t="shared" ref="BE94:BG94" si="420">(BE86+BE89)/BE102</f>
        <v>1.2865857085588155</v>
      </c>
      <c r="BF94" s="396">
        <f t="shared" si="420"/>
        <v>1.4039646319224657</v>
      </c>
      <c r="BG94" s="396">
        <f t="shared" si="420"/>
        <v>1.3210990333730066</v>
      </c>
      <c r="BH94" s="395">
        <f t="shared" ref="BH94:BK94" si="421">(BH86+BH89)/BH102</f>
        <v>1.2987807109679119</v>
      </c>
      <c r="BI94" s="396">
        <f t="shared" si="421"/>
        <v>1.434593935677289</v>
      </c>
      <c r="BJ94" s="396">
        <f t="shared" si="421"/>
        <v>1.5974580067105992</v>
      </c>
      <c r="BK94" s="396">
        <f t="shared" si="421"/>
        <v>1.4762781584878975</v>
      </c>
      <c r="BL94" s="395">
        <f t="shared" ref="BL94:BO94" si="422">(BL86+BL89)/BL102</f>
        <v>1.4274664938890933</v>
      </c>
      <c r="BM94" s="396">
        <f t="shared" si="422"/>
        <v>1.5984689493369002</v>
      </c>
      <c r="BN94" s="396">
        <f t="shared" si="422"/>
        <v>1.7637863108190592</v>
      </c>
      <c r="BO94" s="396">
        <f t="shared" si="422"/>
        <v>1.6196713721409517</v>
      </c>
      <c r="BP94" s="152"/>
      <c r="BQ94" s="396">
        <f t="shared" ref="BQ94:CA94" si="423">(BQ86+BQ89)/BQ102</f>
        <v>1.3942481708227565</v>
      </c>
      <c r="BR94" s="396">
        <f t="shared" si="423"/>
        <v>2.7837471928136028</v>
      </c>
      <c r="BS94" s="396">
        <f t="shared" si="423"/>
        <v>1.8242201834862386</v>
      </c>
      <c r="BT94" s="396">
        <f t="shared" si="423"/>
        <v>1.4502781456953644</v>
      </c>
      <c r="BU94" s="396">
        <f t="shared" si="423"/>
        <v>1.145739061884115</v>
      </c>
      <c r="BV94" s="396">
        <f t="shared" si="423"/>
        <v>2.6228524319868094</v>
      </c>
      <c r="BW94" s="396">
        <f t="shared" si="423"/>
        <v>1.8792146820315834</v>
      </c>
      <c r="BX94" s="396">
        <f t="shared" si="423"/>
        <v>1.5087260034904013</v>
      </c>
      <c r="BY94" s="396">
        <f t="shared" si="423"/>
        <v>1.9088255108915337</v>
      </c>
      <c r="BZ94" s="396">
        <f t="shared" si="423"/>
        <v>2.5728177818939568</v>
      </c>
      <c r="CA94" s="396">
        <f t="shared" si="423"/>
        <v>2.8212745567800672</v>
      </c>
      <c r="CB94" s="396">
        <f>(CB86+CB89)/CB102</f>
        <v>3.4900958466453678</v>
      </c>
      <c r="CC94" s="396">
        <f>(CC86+CC89)/CC102</f>
        <v>3.6038528031612742</v>
      </c>
      <c r="CD94" s="396">
        <f>(CD86+CD89)/CD102</f>
        <v>5.3598362086421121</v>
      </c>
      <c r="CE94" s="396">
        <f>(CE86+CE89)/CE102</f>
        <v>5.805696048031705</v>
      </c>
      <c r="CF94" s="397">
        <f>(CF86+CF89)/CF102</f>
        <v>6.4078586236084707</v>
      </c>
      <c r="CG94" s="557"/>
      <c r="CH94" s="86"/>
      <c r="CI94"/>
      <c r="CJ94"/>
      <c r="CK94"/>
      <c r="CL94"/>
      <c r="CM94"/>
      <c r="CN94"/>
      <c r="CO94" s="86"/>
      <c r="CP94" s="86"/>
      <c r="CQ94" s="86"/>
      <c r="CR94" s="86"/>
      <c r="CS94" s="86"/>
      <c r="CT94" s="86"/>
      <c r="CU94" s="86"/>
      <c r="CV94" s="282"/>
      <c r="CW94" s="282"/>
    </row>
    <row r="95" spans="1:102" ht="14.25" customHeight="1" outlineLevel="1">
      <c r="A95" s="8"/>
      <c r="B95" s="342" t="s">
        <v>49</v>
      </c>
      <c r="C95" s="21"/>
      <c r="D95" s="49"/>
      <c r="E95" s="49"/>
      <c r="F95" s="49"/>
      <c r="G95" s="50"/>
      <c r="H95" s="49"/>
      <c r="I95" s="49"/>
      <c r="J95" s="49"/>
      <c r="K95" s="50"/>
      <c r="L95" s="49"/>
      <c r="M95" s="49"/>
      <c r="N95" s="49"/>
      <c r="O95" s="50"/>
      <c r="P95" s="49"/>
      <c r="Q95" s="49"/>
      <c r="R95" s="49"/>
      <c r="S95" s="50"/>
      <c r="T95" s="49"/>
      <c r="U95" s="49"/>
      <c r="V95" s="49"/>
      <c r="W95" s="50"/>
      <c r="X95" s="49"/>
      <c r="Y95" s="49"/>
      <c r="Z95" s="49"/>
      <c r="AA95" s="50"/>
      <c r="AB95" s="49"/>
      <c r="AC95" s="49"/>
      <c r="AD95" s="49"/>
      <c r="AE95" s="50"/>
      <c r="AF95" s="49">
        <f t="shared" ref="AF95:AL95" si="424">(AF86-AF89)/AF102</f>
        <v>0.23090128755364808</v>
      </c>
      <c r="AG95" s="49">
        <f t="shared" si="424"/>
        <v>0.39341421143847488</v>
      </c>
      <c r="AH95" s="49">
        <f t="shared" si="424"/>
        <v>0.69938650306748462</v>
      </c>
      <c r="AI95" s="50">
        <f t="shared" si="424"/>
        <v>0.23843416370106763</v>
      </c>
      <c r="AJ95" s="49">
        <f t="shared" si="424"/>
        <v>0.32858414959928761</v>
      </c>
      <c r="AK95" s="49">
        <f t="shared" si="424"/>
        <v>0.60071620411817372</v>
      </c>
      <c r="AL95" s="49">
        <f t="shared" si="424"/>
        <v>0.57605760576057607</v>
      </c>
      <c r="AM95" s="50">
        <f t="shared" ref="AM95:AR95" si="425">(AM86-AM89)/AM102</f>
        <v>0.47096188747731399</v>
      </c>
      <c r="AN95" s="49">
        <f t="shared" si="425"/>
        <v>0.45072992700729925</v>
      </c>
      <c r="AO95" s="49">
        <f t="shared" si="425"/>
        <v>0.63812154696132595</v>
      </c>
      <c r="AP95" s="49">
        <f t="shared" si="425"/>
        <v>0.78119180633147112</v>
      </c>
      <c r="AQ95" s="50">
        <f t="shared" si="425"/>
        <v>0.78833490122295391</v>
      </c>
      <c r="AR95" s="49">
        <f t="shared" si="425"/>
        <v>0.6267672007540056</v>
      </c>
      <c r="AS95" s="49">
        <f t="shared" ref="AS95:BA95" si="426">(AS86-AS89)/AS102</f>
        <v>0.67174119885823025</v>
      </c>
      <c r="AT95" s="49">
        <f t="shared" si="426"/>
        <v>0.78164251207729474</v>
      </c>
      <c r="AU95" s="50">
        <f t="shared" si="426"/>
        <v>0.82570593962999028</v>
      </c>
      <c r="AV95" s="49">
        <f t="shared" si="426"/>
        <v>0.70893909626719065</v>
      </c>
      <c r="AW95" s="49">
        <f t="shared" si="426"/>
        <v>0.81594488188976377</v>
      </c>
      <c r="AX95" s="49">
        <f t="shared" si="426"/>
        <v>1.0117994100294985</v>
      </c>
      <c r="AY95" s="50">
        <f t="shared" si="426"/>
        <v>1.0412573673870333</v>
      </c>
      <c r="AZ95" s="49">
        <f t="shared" si="426"/>
        <v>0.98822374877330721</v>
      </c>
      <c r="BA95" s="49">
        <f t="shared" si="426"/>
        <v>1.0502463054187192</v>
      </c>
      <c r="BB95" s="49">
        <f t="shared" ref="BB95" si="427">(BB86-BB89)/BB102</f>
        <v>1.2857142857142858</v>
      </c>
      <c r="BC95" s="50">
        <f>(BC86-BC89)/BC102</f>
        <v>0.34458788480635549</v>
      </c>
      <c r="BD95" s="49">
        <f t="shared" ref="BD95" si="428">(BD86-BD89)/BD102</f>
        <v>1.3701492537313433</v>
      </c>
      <c r="BE95" s="399"/>
      <c r="BF95" s="399"/>
      <c r="BG95" s="400"/>
      <c r="BH95" s="398"/>
      <c r="BI95" s="399"/>
      <c r="BJ95" s="399"/>
      <c r="BK95" s="400"/>
      <c r="BL95" s="398"/>
      <c r="BM95" s="399"/>
      <c r="BN95" s="399"/>
      <c r="BO95" s="400"/>
      <c r="BP95" s="152"/>
      <c r="BQ95" s="49"/>
      <c r="BR95" s="49"/>
      <c r="BS95" s="49"/>
      <c r="BT95" s="49"/>
      <c r="BU95" s="49"/>
      <c r="BV95" s="49"/>
      <c r="BW95" s="49">
        <f t="shared" ref="BW95:CB95" si="429">(BW86-BW89)/BW102</f>
        <v>1.9398207426376441</v>
      </c>
      <c r="BX95" s="49">
        <f t="shared" si="429"/>
        <v>1.5610820244328099</v>
      </c>
      <c r="BY95" s="49">
        <f t="shared" si="429"/>
        <v>1.975297552211992</v>
      </c>
      <c r="BZ95" s="49">
        <f t="shared" si="429"/>
        <v>2.6524658485760595</v>
      </c>
      <c r="CA95" s="399">
        <f>(CA86-CA89)/CA102</f>
        <v>2.9017728797316722</v>
      </c>
      <c r="CB95" s="399">
        <f t="shared" si="429"/>
        <v>3.5779798476284097</v>
      </c>
      <c r="CC95" s="399">
        <f>(CC86-CC89)/CC102</f>
        <v>3.6710298839219559</v>
      </c>
      <c r="CD95" s="399">
        <f>(CD86-CD89)/CD102</f>
        <v>5.5037916271804503</v>
      </c>
      <c r="CE95" s="399">
        <f>(CE86-CE89)/CE102</f>
        <v>5.9825192779209955</v>
      </c>
      <c r="CF95" s="400">
        <f>(CF86-CF89)/CF102</f>
        <v>6.6030218304188821</v>
      </c>
      <c r="CG95" s="297"/>
      <c r="CH95" s="8"/>
      <c r="CO95" s="8"/>
      <c r="CP95" s="8"/>
      <c r="CQ95" s="8"/>
      <c r="CR95" s="8"/>
      <c r="CS95" s="8"/>
      <c r="CT95" s="8"/>
      <c r="CU95" s="8"/>
      <c r="CV95" s="282"/>
      <c r="CW95" s="282"/>
    </row>
    <row r="96" spans="1:102" ht="14.25" customHeight="1" outlineLevel="1">
      <c r="A96" s="8"/>
      <c r="B96" s="342" t="s">
        <v>437</v>
      </c>
      <c r="C96" s="39"/>
      <c r="D96" s="49">
        <f>D97</f>
        <v>0.19671288272674753</v>
      </c>
      <c r="E96" s="49">
        <f t="shared" ref="E96:AF96" si="430">E97</f>
        <v>0.34999999999999992</v>
      </c>
      <c r="F96" s="49">
        <f t="shared" si="430"/>
        <v>0.36</v>
      </c>
      <c r="G96" s="50">
        <f t="shared" si="430"/>
        <v>0.38</v>
      </c>
      <c r="H96" s="49">
        <f t="shared" si="430"/>
        <v>0.32999999999999996</v>
      </c>
      <c r="I96" s="49">
        <f t="shared" si="430"/>
        <v>0.47</v>
      </c>
      <c r="J96" s="49">
        <f t="shared" si="430"/>
        <v>0.45</v>
      </c>
      <c r="K96" s="50">
        <f t="shared" si="430"/>
        <v>0.45</v>
      </c>
      <c r="L96" s="49">
        <f t="shared" si="430"/>
        <v>0.35953678474114437</v>
      </c>
      <c r="M96" s="49">
        <f t="shared" si="430"/>
        <v>0.43159618008185541</v>
      </c>
      <c r="N96" s="49">
        <f t="shared" si="430"/>
        <v>0.50340248962655609</v>
      </c>
      <c r="O96" s="50">
        <f t="shared" si="430"/>
        <v>0.54429491768074445</v>
      </c>
      <c r="P96" s="49">
        <f t="shared" si="430"/>
        <v>0.49</v>
      </c>
      <c r="Q96" s="49">
        <f t="shared" si="430"/>
        <v>0.44</v>
      </c>
      <c r="R96" s="49">
        <f t="shared" si="430"/>
        <v>0.43000000000000005</v>
      </c>
      <c r="S96" s="50">
        <f t="shared" si="430"/>
        <v>0.27735819735819739</v>
      </c>
      <c r="T96" s="49">
        <f t="shared" si="430"/>
        <v>9.2223962411902893E-2</v>
      </c>
      <c r="U96" s="49">
        <f t="shared" si="430"/>
        <v>0.26682389937106915</v>
      </c>
      <c r="V96" s="49">
        <f t="shared" si="430"/>
        <v>0.42788643533123022</v>
      </c>
      <c r="W96" s="50">
        <f t="shared" si="430"/>
        <v>0.52954653937947493</v>
      </c>
      <c r="X96" s="49">
        <f t="shared" si="430"/>
        <v>0.52802568218298562</v>
      </c>
      <c r="Y96" s="49">
        <f t="shared" si="430"/>
        <v>0.63392301392301387</v>
      </c>
      <c r="Z96" s="49">
        <f t="shared" si="430"/>
        <v>0.71334448160535113</v>
      </c>
      <c r="AA96" s="50">
        <f t="shared" si="430"/>
        <v>0.66057190916736763</v>
      </c>
      <c r="AB96" s="49">
        <f t="shared" si="430"/>
        <v>0.55121522645909293</v>
      </c>
      <c r="AC96" s="49">
        <f t="shared" si="430"/>
        <v>0.5681445432678861</v>
      </c>
      <c r="AD96" s="49">
        <f t="shared" si="430"/>
        <v>0.6086995545508942</v>
      </c>
      <c r="AE96" s="50">
        <f t="shared" si="430"/>
        <v>0.48308225108225111</v>
      </c>
      <c r="AF96" s="49">
        <f t="shared" si="430"/>
        <v>0.33965333270101722</v>
      </c>
      <c r="AG96" s="401">
        <v>0.42</v>
      </c>
      <c r="AH96" s="401">
        <v>0.53</v>
      </c>
      <c r="AI96" s="402">
        <v>0.55000000000000004</v>
      </c>
      <c r="AJ96" s="401">
        <v>0.5</v>
      </c>
      <c r="AK96" s="401">
        <v>0.41399999999999998</v>
      </c>
      <c r="AL96" s="401" t="s">
        <v>870</v>
      </c>
      <c r="AM96" s="402">
        <v>0.55000000000000004</v>
      </c>
      <c r="AN96" s="401">
        <v>0.5</v>
      </c>
      <c r="AO96" s="401">
        <v>0.41399999999999998</v>
      </c>
      <c r="AP96" s="401" t="s">
        <v>870</v>
      </c>
      <c r="AQ96" s="402" t="s">
        <v>870</v>
      </c>
      <c r="AR96" s="401">
        <v>0.62</v>
      </c>
      <c r="AS96" s="401">
        <v>0.62</v>
      </c>
      <c r="AT96" s="401">
        <v>0.71</v>
      </c>
      <c r="AU96" s="402">
        <v>0.69</v>
      </c>
      <c r="AV96" s="401">
        <v>0.62</v>
      </c>
      <c r="AW96" s="401">
        <v>0.62</v>
      </c>
      <c r="AX96" s="401">
        <v>0.71</v>
      </c>
      <c r="AY96" s="402">
        <v>0.69</v>
      </c>
      <c r="AZ96" s="401">
        <v>0.62</v>
      </c>
      <c r="BA96" s="401">
        <v>0.62</v>
      </c>
      <c r="BB96" s="401">
        <v>0.71</v>
      </c>
      <c r="BC96" s="402">
        <v>0.69</v>
      </c>
      <c r="BD96" s="401">
        <v>0.62</v>
      </c>
      <c r="BE96" s="401" t="s">
        <v>870</v>
      </c>
      <c r="BF96" s="401" t="s">
        <v>870</v>
      </c>
      <c r="BG96" s="402" t="s">
        <v>870</v>
      </c>
      <c r="BH96" s="403" t="s">
        <v>871</v>
      </c>
      <c r="BI96" s="401" t="s">
        <v>871</v>
      </c>
      <c r="BJ96" s="401" t="s">
        <v>871</v>
      </c>
      <c r="BK96" s="402" t="s">
        <v>871</v>
      </c>
      <c r="BL96" s="403" t="s">
        <v>872</v>
      </c>
      <c r="BM96" s="401" t="s">
        <v>872</v>
      </c>
      <c r="BN96" s="401" t="s">
        <v>872</v>
      </c>
      <c r="BO96" s="402" t="s">
        <v>872</v>
      </c>
      <c r="BP96" s="152"/>
      <c r="BQ96" s="49">
        <f>BQ97</f>
        <v>1.2808182768403762</v>
      </c>
      <c r="BR96" s="49">
        <f t="shared" ref="BR96:BW96" si="431">BR97</f>
        <v>1.6959127366057105</v>
      </c>
      <c r="BS96" s="49">
        <f t="shared" si="431"/>
        <v>1.8340453522589582</v>
      </c>
      <c r="BT96" s="49">
        <f t="shared" si="431"/>
        <v>1.6425203405865656</v>
      </c>
      <c r="BU96" s="49">
        <f t="shared" si="431"/>
        <v>1.3128655892786756</v>
      </c>
      <c r="BV96" s="49">
        <f t="shared" si="431"/>
        <v>2.5313437757625721</v>
      </c>
      <c r="BW96" s="49">
        <f t="shared" si="431"/>
        <v>2.2115125275831389</v>
      </c>
      <c r="BX96" s="49" t="s">
        <v>873</v>
      </c>
      <c r="BY96" s="49" t="s">
        <v>873</v>
      </c>
      <c r="BZ96" s="49">
        <v>2.52</v>
      </c>
      <c r="CA96" s="401">
        <v>2.73</v>
      </c>
      <c r="CB96" s="401">
        <v>3.16</v>
      </c>
      <c r="CC96" s="401">
        <v>3.16</v>
      </c>
      <c r="CD96" s="401">
        <v>3.16</v>
      </c>
      <c r="CE96" s="401">
        <v>3.16</v>
      </c>
      <c r="CF96" s="402">
        <v>3.16</v>
      </c>
      <c r="CG96" s="297"/>
      <c r="CH96" s="8"/>
      <c r="CO96" s="8"/>
      <c r="CP96" s="8"/>
      <c r="CQ96" s="8"/>
      <c r="CR96" s="8"/>
      <c r="CS96" s="8"/>
      <c r="CT96" s="8"/>
      <c r="CU96" s="8"/>
      <c r="CV96" s="282"/>
      <c r="CW96" s="282"/>
      <c r="CX96" s="8"/>
    </row>
    <row r="97" spans="1:101" ht="14.25" customHeight="1" outlineLevel="1" collapsed="1">
      <c r="A97" s="8"/>
      <c r="B97" s="51" t="s">
        <v>118</v>
      </c>
      <c r="C97" s="52"/>
      <c r="D97" s="404">
        <f t="shared" ref="D97:AQ97" si="432">(D82+D90)/D102</f>
        <v>0.19671288272674753</v>
      </c>
      <c r="E97" s="405">
        <f t="shared" si="432"/>
        <v>0.34999999999999992</v>
      </c>
      <c r="F97" s="405">
        <f t="shared" si="432"/>
        <v>0.36</v>
      </c>
      <c r="G97" s="406">
        <f t="shared" si="432"/>
        <v>0.38</v>
      </c>
      <c r="H97" s="404">
        <f t="shared" si="432"/>
        <v>0.32999999999999996</v>
      </c>
      <c r="I97" s="405">
        <f t="shared" si="432"/>
        <v>0.47</v>
      </c>
      <c r="J97" s="405">
        <f t="shared" si="432"/>
        <v>0.45</v>
      </c>
      <c r="K97" s="406">
        <f t="shared" si="432"/>
        <v>0.45</v>
      </c>
      <c r="L97" s="404">
        <f t="shared" si="432"/>
        <v>0.35953678474114437</v>
      </c>
      <c r="M97" s="405">
        <f t="shared" si="432"/>
        <v>0.43159618008185541</v>
      </c>
      <c r="N97" s="405">
        <f t="shared" si="432"/>
        <v>0.50340248962655609</v>
      </c>
      <c r="O97" s="406">
        <f t="shared" si="432"/>
        <v>0.54429491768074445</v>
      </c>
      <c r="P97" s="404">
        <f t="shared" si="432"/>
        <v>0.49</v>
      </c>
      <c r="Q97" s="405">
        <f t="shared" si="432"/>
        <v>0.44</v>
      </c>
      <c r="R97" s="405">
        <f t="shared" si="432"/>
        <v>0.43000000000000005</v>
      </c>
      <c r="S97" s="406">
        <f t="shared" si="432"/>
        <v>0.27735819735819739</v>
      </c>
      <c r="T97" s="404">
        <f t="shared" si="432"/>
        <v>9.2223962411902893E-2</v>
      </c>
      <c r="U97" s="405">
        <f t="shared" si="432"/>
        <v>0.26682389937106915</v>
      </c>
      <c r="V97" s="405">
        <f t="shared" si="432"/>
        <v>0.42788643533123022</v>
      </c>
      <c r="W97" s="406">
        <f t="shared" si="432"/>
        <v>0.52954653937947493</v>
      </c>
      <c r="X97" s="405">
        <f t="shared" si="432"/>
        <v>0.52802568218298562</v>
      </c>
      <c r="Y97" s="405">
        <f t="shared" si="432"/>
        <v>0.63392301392301387</v>
      </c>
      <c r="Z97" s="405">
        <f t="shared" si="432"/>
        <v>0.71334448160535113</v>
      </c>
      <c r="AA97" s="406">
        <f t="shared" si="432"/>
        <v>0.66057190916736763</v>
      </c>
      <c r="AB97" s="405">
        <f t="shared" si="432"/>
        <v>0.55121522645909293</v>
      </c>
      <c r="AC97" s="405">
        <f t="shared" si="432"/>
        <v>0.5681445432678861</v>
      </c>
      <c r="AD97" s="405">
        <f t="shared" si="432"/>
        <v>0.6086995545508942</v>
      </c>
      <c r="AE97" s="406">
        <f t="shared" si="432"/>
        <v>0.48308225108225111</v>
      </c>
      <c r="AF97" s="405">
        <f t="shared" si="432"/>
        <v>0.33965333270101722</v>
      </c>
      <c r="AG97" s="405">
        <f t="shared" si="432"/>
        <v>0.45805350953206236</v>
      </c>
      <c r="AH97" s="405">
        <f t="shared" si="432"/>
        <v>0.66390885188431203</v>
      </c>
      <c r="AI97" s="406">
        <f t="shared" si="432"/>
        <v>0.36476868327402134</v>
      </c>
      <c r="AJ97" s="405">
        <f t="shared" si="432"/>
        <v>0.34624930357474487</v>
      </c>
      <c r="AK97" s="405">
        <f t="shared" si="432"/>
        <v>0.45267084452402273</v>
      </c>
      <c r="AL97" s="405">
        <f t="shared" si="432"/>
        <v>0.62737229972997299</v>
      </c>
      <c r="AM97" s="406">
        <f>(AM82+AM90)/AM102</f>
        <v>0.32088475499092561</v>
      </c>
      <c r="AN97" s="405">
        <f>(AN82+AN90)/AN102</f>
        <v>0.48464186936373421</v>
      </c>
      <c r="AO97" s="405">
        <f>(AO82+AO90)/AO102</f>
        <v>0.66976009585625762</v>
      </c>
      <c r="AP97" s="405">
        <f t="shared" si="432"/>
        <v>0.8060869589752272</v>
      </c>
      <c r="AQ97" s="406">
        <f t="shared" si="432"/>
        <v>0.80314410189349728</v>
      </c>
      <c r="AR97" s="405">
        <f t="shared" ref="AR97:AX97" si="433">(AR82+AR90)/AR102</f>
        <v>0.66148892052860608</v>
      </c>
      <c r="AS97" s="405">
        <f t="shared" si="433"/>
        <v>0.70571644896910746</v>
      </c>
      <c r="AT97" s="405">
        <f t="shared" si="433"/>
        <v>0.81435719335454226</v>
      </c>
      <c r="AU97" s="406">
        <f t="shared" si="433"/>
        <v>0.81096258782837061</v>
      </c>
      <c r="AV97" s="405">
        <f t="shared" si="433"/>
        <v>0.74733297487333261</v>
      </c>
      <c r="AW97" s="405">
        <f t="shared" si="433"/>
        <v>0.85237278409334494</v>
      </c>
      <c r="AX97" s="405">
        <f t="shared" si="433"/>
        <v>1.0437986951726514</v>
      </c>
      <c r="AY97" s="406">
        <f t="shared" ref="AY97:BB97" si="434">(AY82+AY90)/AY102</f>
        <v>1.0536635254792492</v>
      </c>
      <c r="AZ97" s="405">
        <f t="shared" si="434"/>
        <v>1.0282389617193639</v>
      </c>
      <c r="BA97" s="405">
        <f t="shared" si="434"/>
        <v>1.0813377268297211</v>
      </c>
      <c r="BB97" s="405">
        <f t="shared" si="434"/>
        <v>1.3125325789436324</v>
      </c>
      <c r="BC97" s="406">
        <f>(BC82+BC90)/BC102</f>
        <v>1.1368080725245862</v>
      </c>
      <c r="BD97" s="405">
        <f t="shared" ref="BD97" si="435">(BD82+BD90)/BD102</f>
        <v>1.4086446966711836</v>
      </c>
      <c r="BE97" s="405">
        <f t="shared" ref="BE97:BG97" si="436">(BE82+BE90)/BE102</f>
        <v>1.3397225716956789</v>
      </c>
      <c r="BF97" s="405">
        <f t="shared" si="436"/>
        <v>1.4573146820729173</v>
      </c>
      <c r="BG97" s="406">
        <f t="shared" si="436"/>
        <v>1.3796237060819692</v>
      </c>
      <c r="BH97" s="404">
        <f t="shared" ref="BH97:BK97" si="437">(BH82+BH90)/BH102</f>
        <v>1.3657089212813598</v>
      </c>
      <c r="BI97" s="405">
        <f t="shared" si="437"/>
        <v>1.5017939356772889</v>
      </c>
      <c r="BJ97" s="405">
        <f t="shared" si="437"/>
        <v>1.664932012826807</v>
      </c>
      <c r="BK97" s="406">
        <f t="shared" si="437"/>
        <v>1.5186220684162492</v>
      </c>
      <c r="BL97" s="404">
        <f t="shared" ref="BL97:BO97" si="438">(BL82+BL90)/BL102</f>
        <v>1.4699844795006043</v>
      </c>
      <c r="BM97" s="405">
        <f t="shared" si="438"/>
        <v>1.6411624477889126</v>
      </c>
      <c r="BN97" s="405">
        <f t="shared" si="438"/>
        <v>1.8066567771403028</v>
      </c>
      <c r="BO97" s="406">
        <f t="shared" si="438"/>
        <v>1.6627202795290892</v>
      </c>
      <c r="BP97" s="152"/>
      <c r="BQ97" s="405">
        <f t="shared" ref="BQ97:CA97" si="439">(BQ82+BQ90)/BQ102</f>
        <v>1.2808182768403762</v>
      </c>
      <c r="BR97" s="405">
        <f t="shared" si="439"/>
        <v>1.6959127366057105</v>
      </c>
      <c r="BS97" s="405">
        <f t="shared" si="439"/>
        <v>1.8340453522589582</v>
      </c>
      <c r="BT97" s="405">
        <f t="shared" si="439"/>
        <v>1.6425203405865656</v>
      </c>
      <c r="BU97" s="405">
        <f t="shared" si="439"/>
        <v>1.3128655892786756</v>
      </c>
      <c r="BV97" s="405">
        <f t="shared" si="439"/>
        <v>2.5313437757625721</v>
      </c>
      <c r="BW97" s="405">
        <f t="shared" si="439"/>
        <v>2.2115125275831389</v>
      </c>
      <c r="BX97" s="405">
        <f t="shared" si="439"/>
        <v>1.8253140336794811</v>
      </c>
      <c r="BY97" s="405">
        <f t="shared" si="439"/>
        <v>1.7472238277545671</v>
      </c>
      <c r="BZ97" s="405">
        <f>(BZ82+BZ90)/BZ102</f>
        <v>2.758051889024987</v>
      </c>
      <c r="CA97" s="405">
        <f t="shared" si="439"/>
        <v>2.9892343127638439</v>
      </c>
      <c r="CB97" s="405">
        <f>(CB82+CB90)/CB102</f>
        <v>3.6971918987351713</v>
      </c>
      <c r="CC97" s="405">
        <f>(CC82+CC90)/CC102</f>
        <v>4.557304878569167</v>
      </c>
      <c r="CD97" s="405">
        <f>(CD82+CD90)/CD102</f>
        <v>5.5852445371251349</v>
      </c>
      <c r="CE97" s="405">
        <f>(CE82+CE90)/CE102</f>
        <v>6.0497916736675128</v>
      </c>
      <c r="CF97" s="406">
        <f>(CF82+CF90)/CF102</f>
        <v>6.5789858211265688</v>
      </c>
      <c r="CG97" s="297"/>
      <c r="CH97" s="8"/>
      <c r="CO97" s="8"/>
      <c r="CP97" s="8"/>
      <c r="CQ97" s="8"/>
      <c r="CR97" s="8"/>
      <c r="CS97" s="8"/>
      <c r="CT97" s="8"/>
      <c r="CU97" s="8"/>
      <c r="CV97" s="282"/>
      <c r="CW97" s="282"/>
    </row>
    <row r="98" spans="1:101" ht="14.25" customHeight="1">
      <c r="A98" s="8"/>
      <c r="B98" s="53"/>
      <c r="C98" s="54"/>
      <c r="D98" s="407"/>
      <c r="E98" s="407"/>
      <c r="F98" s="407"/>
      <c r="G98" s="407"/>
      <c r="H98" s="407"/>
      <c r="I98" s="407"/>
      <c r="J98" s="407"/>
      <c r="K98" s="407"/>
      <c r="L98" s="407"/>
      <c r="M98" s="407"/>
      <c r="N98" s="407"/>
      <c r="O98" s="407"/>
      <c r="P98" s="407"/>
      <c r="Q98" s="407"/>
      <c r="R98" s="407"/>
      <c r="S98" s="407"/>
      <c r="T98" s="407"/>
      <c r="U98" s="407"/>
      <c r="V98" s="407"/>
      <c r="W98" s="407"/>
      <c r="X98" s="407"/>
      <c r="Y98" s="407"/>
      <c r="Z98" s="407"/>
      <c r="AA98" s="407"/>
      <c r="AB98" s="408"/>
      <c r="AC98" s="408"/>
      <c r="AD98" s="408"/>
      <c r="AE98" s="409"/>
      <c r="AF98" s="408"/>
      <c r="AG98" s="410"/>
      <c r="AH98" s="410"/>
      <c r="AI98" s="409"/>
      <c r="AJ98" s="410"/>
      <c r="AK98" s="410"/>
      <c r="AL98" s="410"/>
      <c r="AM98" s="409"/>
      <c r="AN98" s="410"/>
      <c r="AO98" s="410"/>
      <c r="AP98" s="410"/>
      <c r="AQ98" s="409"/>
      <c r="AR98" s="410"/>
      <c r="AS98" s="410"/>
      <c r="AT98" s="410"/>
      <c r="AU98" s="409"/>
      <c r="AV98" s="410"/>
      <c r="AW98" s="410"/>
      <c r="AX98" s="410"/>
      <c r="AY98" s="409"/>
      <c r="AZ98" s="410"/>
      <c r="BA98" s="410"/>
      <c r="BB98" s="410"/>
      <c r="BC98" s="409"/>
      <c r="BD98" s="410"/>
      <c r="BE98" s="410"/>
      <c r="BF98" s="410"/>
      <c r="BG98" s="410"/>
      <c r="BH98" s="410"/>
      <c r="BI98" s="410"/>
      <c r="BJ98" s="410"/>
      <c r="BK98" s="410"/>
      <c r="BL98" s="410"/>
      <c r="BM98" s="410"/>
      <c r="BN98" s="410"/>
      <c r="BO98" s="410"/>
      <c r="BP98" s="12"/>
      <c r="BQ98" s="411"/>
      <c r="BR98" s="411"/>
      <c r="BS98" s="411"/>
      <c r="BT98" s="411"/>
      <c r="BU98" s="411"/>
      <c r="BV98" s="411"/>
      <c r="BW98" s="411"/>
      <c r="BX98" s="411"/>
      <c r="BY98" s="411"/>
      <c r="BZ98" s="411" t="s">
        <v>494</v>
      </c>
      <c r="CA98" s="412"/>
      <c r="CB98" s="412"/>
      <c r="CC98" s="412"/>
      <c r="CD98" s="412"/>
      <c r="CE98" s="412"/>
      <c r="CF98" s="412"/>
      <c r="CG98" s="8"/>
      <c r="CH98" s="8"/>
      <c r="CO98" s="8"/>
      <c r="CP98" s="8"/>
      <c r="CQ98" s="8"/>
      <c r="CR98" s="8"/>
      <c r="CS98" s="8"/>
      <c r="CT98" s="8"/>
      <c r="CU98" s="8"/>
      <c r="CV98" s="282"/>
      <c r="CW98" s="282"/>
    </row>
    <row r="99" spans="1:101" ht="14.25" customHeight="1">
      <c r="A99" s="8"/>
      <c r="B99" s="54"/>
      <c r="C99" s="54"/>
      <c r="D99" s="413"/>
      <c r="E99" s="413"/>
      <c r="F99" s="413"/>
      <c r="G99" s="413"/>
      <c r="H99" s="413"/>
      <c r="I99" s="413"/>
      <c r="J99" s="413"/>
      <c r="K99" s="413"/>
      <c r="L99" s="413"/>
      <c r="M99" s="413"/>
      <c r="N99" s="413"/>
      <c r="O99" s="413"/>
      <c r="P99" s="413"/>
      <c r="Q99" s="413"/>
      <c r="R99" s="413"/>
      <c r="S99" s="413"/>
      <c r="T99" s="413"/>
      <c r="U99" s="413"/>
      <c r="V99" s="413"/>
      <c r="W99" s="413"/>
      <c r="X99" s="413"/>
      <c r="Y99" s="413"/>
      <c r="Z99" s="413"/>
      <c r="AA99" s="413"/>
      <c r="AB99" s="413"/>
      <c r="AC99" s="413"/>
      <c r="AD99" s="411"/>
      <c r="AE99" s="413"/>
      <c r="AF99" s="413"/>
      <c r="AG99" s="411"/>
      <c r="AH99" s="411"/>
      <c r="AI99" s="413"/>
      <c r="AJ99" s="411"/>
      <c r="AK99" s="411"/>
      <c r="AL99" s="411"/>
      <c r="AM99" s="411"/>
      <c r="AN99" s="36"/>
      <c r="AO99" s="411"/>
      <c r="AP99" s="36"/>
      <c r="AQ99" s="414"/>
      <c r="AR99" s="36"/>
      <c r="AS99" s="411"/>
      <c r="AT99" s="36"/>
      <c r="AU99" s="414"/>
      <c r="AV99" s="36"/>
      <c r="AW99" s="411"/>
      <c r="AX99" s="36"/>
      <c r="AY99" s="414"/>
      <c r="AZ99" s="36"/>
      <c r="BA99" s="36"/>
      <c r="BB99" s="36"/>
      <c r="BC99" s="414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12"/>
      <c r="BQ99" s="411"/>
      <c r="BR99" s="411"/>
      <c r="BS99" s="411"/>
      <c r="BT99" s="411"/>
      <c r="BU99" s="411"/>
      <c r="BV99" s="411"/>
      <c r="BW99" s="411"/>
      <c r="BX99" s="411"/>
      <c r="BY99" s="411"/>
      <c r="BZ99" s="411"/>
      <c r="CA99" s="411"/>
      <c r="CB99" s="312"/>
      <c r="CC99" s="312"/>
      <c r="CD99" s="312"/>
      <c r="CE99" s="312"/>
      <c r="CF99" s="312"/>
      <c r="CG99" s="8"/>
      <c r="CH99" s="8"/>
      <c r="CO99" s="8"/>
      <c r="CP99" s="8"/>
      <c r="CQ99" s="8"/>
      <c r="CR99" s="8"/>
      <c r="CS99" s="8"/>
      <c r="CT99" s="8"/>
      <c r="CU99" s="8"/>
      <c r="CV99" s="282"/>
      <c r="CW99" s="282"/>
    </row>
    <row r="100" spans="1:101" ht="14.25" customHeight="1">
      <c r="A100" s="8"/>
      <c r="B100" s="415" t="s">
        <v>19</v>
      </c>
      <c r="C100" s="416">
        <f>+C6</f>
        <v>0</v>
      </c>
      <c r="D100" s="17" t="str">
        <f>+D$6</f>
        <v>F1Q05A</v>
      </c>
      <c r="E100" s="18" t="str">
        <f t="shared" ref="E100:BO100" si="440">+E$6</f>
        <v>F2Q05A</v>
      </c>
      <c r="F100" s="18" t="str">
        <f t="shared" si="440"/>
        <v>F3Q05A</v>
      </c>
      <c r="G100" s="19" t="str">
        <f t="shared" si="440"/>
        <v>F4Q05A</v>
      </c>
      <c r="H100" s="17" t="str">
        <f t="shared" si="440"/>
        <v>F1Q06A</v>
      </c>
      <c r="I100" s="18" t="str">
        <f t="shared" si="440"/>
        <v>F2Q06A</v>
      </c>
      <c r="J100" s="18" t="str">
        <f t="shared" si="440"/>
        <v>F3Q06A</v>
      </c>
      <c r="K100" s="19" t="str">
        <f t="shared" si="440"/>
        <v>F4Q06A</v>
      </c>
      <c r="L100" s="17" t="str">
        <f t="shared" si="440"/>
        <v>F1Q07A</v>
      </c>
      <c r="M100" s="18" t="str">
        <f t="shared" si="440"/>
        <v>F2Q07A</v>
      </c>
      <c r="N100" s="18" t="str">
        <f t="shared" si="440"/>
        <v>F3Q07A</v>
      </c>
      <c r="O100" s="19" t="str">
        <f t="shared" si="440"/>
        <v>F4Q07A</v>
      </c>
      <c r="P100" s="17" t="str">
        <f t="shared" si="440"/>
        <v>F1Q08A</v>
      </c>
      <c r="Q100" s="18" t="str">
        <f t="shared" si="440"/>
        <v>F2Q08A</v>
      </c>
      <c r="R100" s="18" t="str">
        <f t="shared" si="440"/>
        <v>F3Q08A</v>
      </c>
      <c r="S100" s="19" t="str">
        <f t="shared" si="440"/>
        <v>F4Q08A</v>
      </c>
      <c r="T100" s="17" t="str">
        <f t="shared" si="440"/>
        <v>F1Q09A</v>
      </c>
      <c r="U100" s="18" t="str">
        <f t="shared" si="440"/>
        <v>F2Q09A</v>
      </c>
      <c r="V100" s="18" t="str">
        <f t="shared" si="440"/>
        <v>F3Q09A</v>
      </c>
      <c r="W100" s="19" t="str">
        <f t="shared" si="440"/>
        <v>F4Q09A</v>
      </c>
      <c r="X100" s="18" t="str">
        <f t="shared" si="440"/>
        <v>F1Q10A</v>
      </c>
      <c r="Y100" s="18" t="str">
        <f t="shared" si="440"/>
        <v>F2Q10A</v>
      </c>
      <c r="Z100" s="18" t="str">
        <f t="shared" si="440"/>
        <v>F3Q10A</v>
      </c>
      <c r="AA100" s="19" t="str">
        <f t="shared" si="440"/>
        <v>F4Q10A</v>
      </c>
      <c r="AB100" s="18" t="str">
        <f t="shared" si="440"/>
        <v>F1Q11A</v>
      </c>
      <c r="AC100" s="18" t="str">
        <f t="shared" si="440"/>
        <v>F2Q11A</v>
      </c>
      <c r="AD100" s="18" t="str">
        <f t="shared" si="440"/>
        <v>F3Q11A</v>
      </c>
      <c r="AE100" s="19" t="str">
        <f t="shared" si="440"/>
        <v>F4Q11A</v>
      </c>
      <c r="AF100" s="17" t="str">
        <f t="shared" si="440"/>
        <v>F1Q12A</v>
      </c>
      <c r="AG100" s="18" t="str">
        <f t="shared" si="440"/>
        <v>F2Q12A</v>
      </c>
      <c r="AH100" s="18" t="str">
        <f t="shared" si="440"/>
        <v>F3Q12A</v>
      </c>
      <c r="AI100" s="19" t="str">
        <f t="shared" si="440"/>
        <v>F4Q12A</v>
      </c>
      <c r="AJ100" s="17" t="str">
        <f t="shared" si="440"/>
        <v>F1Q13A</v>
      </c>
      <c r="AK100" s="18" t="str">
        <f t="shared" si="440"/>
        <v>F2Q13A</v>
      </c>
      <c r="AL100" s="18" t="str">
        <f t="shared" si="440"/>
        <v>F3Q13A</v>
      </c>
      <c r="AM100" s="19" t="str">
        <f t="shared" si="440"/>
        <v>F4Q13A</v>
      </c>
      <c r="AN100" s="18" t="str">
        <f t="shared" si="440"/>
        <v>F1Q14A</v>
      </c>
      <c r="AO100" s="18" t="str">
        <f t="shared" si="440"/>
        <v>F2Q14A</v>
      </c>
      <c r="AP100" s="18" t="str">
        <f t="shared" si="440"/>
        <v>F3Q14A</v>
      </c>
      <c r="AQ100" s="19" t="str">
        <f t="shared" si="440"/>
        <v>F4Q14A</v>
      </c>
      <c r="AR100" s="18" t="str">
        <f t="shared" si="440"/>
        <v>F1Q15A</v>
      </c>
      <c r="AS100" s="18" t="str">
        <f t="shared" si="440"/>
        <v>F2Q15A</v>
      </c>
      <c r="AT100" s="18" t="str">
        <f t="shared" si="440"/>
        <v>F3Q15A</v>
      </c>
      <c r="AU100" s="19" t="str">
        <f t="shared" si="440"/>
        <v>F4Q15A</v>
      </c>
      <c r="AV100" s="18" t="str">
        <f t="shared" si="440"/>
        <v>F1Q16A</v>
      </c>
      <c r="AW100" s="18" t="str">
        <f t="shared" si="440"/>
        <v>F2Q16A</v>
      </c>
      <c r="AX100" s="18" t="str">
        <f t="shared" si="440"/>
        <v>F3Q16A</v>
      </c>
      <c r="AY100" s="19" t="str">
        <f t="shared" si="440"/>
        <v>F4Q16A</v>
      </c>
      <c r="AZ100" s="18" t="str">
        <f t="shared" si="440"/>
        <v>F1Q17A</v>
      </c>
      <c r="BA100" s="18" t="str">
        <f t="shared" si="440"/>
        <v>F2Q17A</v>
      </c>
      <c r="BB100" s="18" t="str">
        <f t="shared" si="440"/>
        <v>F3Q17A</v>
      </c>
      <c r="BC100" s="19" t="str">
        <f t="shared" si="440"/>
        <v>F4Q17A</v>
      </c>
      <c r="BD100" s="17" t="str">
        <f t="shared" si="440"/>
        <v>F1Q18A</v>
      </c>
      <c r="BE100" s="18" t="str">
        <f t="shared" si="440"/>
        <v>F2Q18E</v>
      </c>
      <c r="BF100" s="18" t="str">
        <f t="shared" si="440"/>
        <v>F3Q18E</v>
      </c>
      <c r="BG100" s="18" t="str">
        <f t="shared" si="440"/>
        <v>F4Q18E</v>
      </c>
      <c r="BH100" s="17" t="str">
        <f t="shared" si="440"/>
        <v>F1Q19E</v>
      </c>
      <c r="BI100" s="18" t="str">
        <f t="shared" si="440"/>
        <v>F2Q19E</v>
      </c>
      <c r="BJ100" s="18" t="str">
        <f t="shared" si="440"/>
        <v>F3Q19E</v>
      </c>
      <c r="BK100" s="18" t="str">
        <f t="shared" si="440"/>
        <v>F4Q19E</v>
      </c>
      <c r="BL100" s="17" t="str">
        <f t="shared" si="440"/>
        <v>F1Q20E</v>
      </c>
      <c r="BM100" s="18" t="str">
        <f t="shared" si="440"/>
        <v>F2Q20E</v>
      </c>
      <c r="BN100" s="18" t="str">
        <f t="shared" si="440"/>
        <v>F3Q20E</v>
      </c>
      <c r="BO100" s="18" t="str">
        <f t="shared" si="440"/>
        <v>F4Q20E</v>
      </c>
      <c r="BP100" s="152"/>
      <c r="BQ100" s="17" t="str">
        <f>+BQ$6</f>
        <v>FY2005A</v>
      </c>
      <c r="BR100" s="18" t="str">
        <f t="shared" ref="BR100:CF100" si="441">+BR$6</f>
        <v>FY2006A</v>
      </c>
      <c r="BS100" s="18" t="str">
        <f t="shared" si="441"/>
        <v>FY2007A</v>
      </c>
      <c r="BT100" s="18" t="str">
        <f t="shared" si="441"/>
        <v>FY2008A</v>
      </c>
      <c r="BU100" s="18" t="str">
        <f t="shared" si="441"/>
        <v>FY2009A</v>
      </c>
      <c r="BV100" s="19" t="str">
        <f t="shared" si="441"/>
        <v>FY2010A</v>
      </c>
      <c r="BW100" s="18" t="str">
        <f t="shared" si="441"/>
        <v>FY2011A</v>
      </c>
      <c r="BX100" s="18" t="str">
        <f t="shared" si="441"/>
        <v>FY2012A</v>
      </c>
      <c r="BY100" s="18" t="str">
        <f t="shared" si="441"/>
        <v>FY2013A</v>
      </c>
      <c r="BZ100" s="18" t="str">
        <f t="shared" si="441"/>
        <v>FY2014A</v>
      </c>
      <c r="CA100" s="18" t="str">
        <f t="shared" si="441"/>
        <v>FY2015A</v>
      </c>
      <c r="CB100" s="18" t="str">
        <f t="shared" si="441"/>
        <v>FY2016A</v>
      </c>
      <c r="CC100" s="18" t="str">
        <f t="shared" si="441"/>
        <v>FY2017E</v>
      </c>
      <c r="CD100" s="18" t="str">
        <f t="shared" si="441"/>
        <v>FY2018E</v>
      </c>
      <c r="CE100" s="18" t="str">
        <f t="shared" si="441"/>
        <v>FY2019E</v>
      </c>
      <c r="CF100" s="19" t="str">
        <f t="shared" si="441"/>
        <v>FY2020E</v>
      </c>
      <c r="CG100" s="297"/>
      <c r="CH100" s="8"/>
      <c r="CO100" s="8"/>
      <c r="CP100" s="8"/>
      <c r="CQ100" s="8"/>
      <c r="CR100" s="8"/>
      <c r="CS100" s="8"/>
      <c r="CT100" s="8"/>
      <c r="CU100" s="8"/>
      <c r="CV100" s="282"/>
      <c r="CW100" s="282"/>
    </row>
    <row r="101" spans="1:101" ht="14.25" customHeight="1">
      <c r="A101" s="8"/>
      <c r="B101" s="58" t="s">
        <v>17</v>
      </c>
      <c r="C101" s="59"/>
      <c r="D101" s="60">
        <v>1701</v>
      </c>
      <c r="E101" s="61">
        <v>1633</v>
      </c>
      <c r="F101" s="61">
        <v>1624</v>
      </c>
      <c r="G101" s="62">
        <v>1606</v>
      </c>
      <c r="H101" s="60">
        <v>1585</v>
      </c>
      <c r="I101" s="61">
        <v>1553</v>
      </c>
      <c r="J101" s="61">
        <v>1506</v>
      </c>
      <c r="K101" s="62">
        <v>1469</v>
      </c>
      <c r="L101" s="60">
        <v>1442</v>
      </c>
      <c r="M101" s="61">
        <v>1437</v>
      </c>
      <c r="N101" s="61">
        <v>1417</v>
      </c>
      <c r="O101" s="62">
        <v>1372</v>
      </c>
      <c r="P101" s="60">
        <v>1327</v>
      </c>
      <c r="Q101" s="61">
        <v>1320</v>
      </c>
      <c r="R101" s="61">
        <v>1304</v>
      </c>
      <c r="S101" s="62">
        <v>1283</v>
      </c>
      <c r="T101" s="60">
        <v>1275</v>
      </c>
      <c r="U101" s="61">
        <v>1267</v>
      </c>
      <c r="V101" s="61">
        <v>1255</v>
      </c>
      <c r="W101" s="62">
        <v>1243</v>
      </c>
      <c r="X101" s="61">
        <v>1233</v>
      </c>
      <c r="Y101" s="61">
        <v>1208</v>
      </c>
      <c r="Z101" s="61">
        <v>1184</v>
      </c>
      <c r="AA101" s="62">
        <v>1170</v>
      </c>
      <c r="AB101" s="61">
        <v>1167</v>
      </c>
      <c r="AC101" s="61">
        <v>1156</v>
      </c>
      <c r="AD101" s="61">
        <v>1144</v>
      </c>
      <c r="AE101" s="62">
        <v>1138</v>
      </c>
      <c r="AF101" s="61">
        <v>1143</v>
      </c>
      <c r="AG101" s="68">
        <v>1140</v>
      </c>
      <c r="AH101" s="68">
        <v>1130</v>
      </c>
      <c r="AI101" s="62">
        <v>1113</v>
      </c>
      <c r="AJ101" s="417">
        <v>1107</v>
      </c>
      <c r="AK101" s="68">
        <v>1103</v>
      </c>
      <c r="AL101" s="68">
        <v>1096</v>
      </c>
      <c r="AM101" s="62">
        <v>1086</v>
      </c>
      <c r="AN101" s="417">
        <v>1081</v>
      </c>
      <c r="AO101" s="68">
        <v>1071</v>
      </c>
      <c r="AP101" s="68">
        <v>1060</v>
      </c>
      <c r="AQ101" s="62">
        <v>1051</v>
      </c>
      <c r="AR101" s="417">
        <f>+AQ101-2</f>
        <v>1049</v>
      </c>
      <c r="AS101" s="68">
        <f>+AR101-6</f>
        <v>1043</v>
      </c>
      <c r="AT101" s="68">
        <v>1035</v>
      </c>
      <c r="AU101" s="62">
        <v>1027</v>
      </c>
      <c r="AV101" s="417">
        <f>AV102</f>
        <v>1018</v>
      </c>
      <c r="AW101" s="68">
        <v>1016</v>
      </c>
      <c r="AX101" s="68">
        <v>1017</v>
      </c>
      <c r="AY101" s="62">
        <v>1018</v>
      </c>
      <c r="AZ101" s="417">
        <v>998</v>
      </c>
      <c r="BA101" s="68">
        <v>994</v>
      </c>
      <c r="BB101" s="68">
        <v>988</v>
      </c>
      <c r="BC101" s="62">
        <v>985</v>
      </c>
      <c r="BD101" s="417">
        <v>983</v>
      </c>
      <c r="BE101" s="68">
        <f>BD101-4</f>
        <v>979</v>
      </c>
      <c r="BF101" s="68">
        <f t="shared" ref="BF101:BK101" si="442">BE101-4</f>
        <v>975</v>
      </c>
      <c r="BG101" s="1163">
        <f t="shared" si="442"/>
        <v>971</v>
      </c>
      <c r="BH101" s="68">
        <f t="shared" si="442"/>
        <v>967</v>
      </c>
      <c r="BI101" s="68">
        <f t="shared" si="442"/>
        <v>963</v>
      </c>
      <c r="BJ101" s="68">
        <f t="shared" si="442"/>
        <v>959</v>
      </c>
      <c r="BK101" s="1163">
        <f t="shared" si="442"/>
        <v>955</v>
      </c>
      <c r="BL101" s="68">
        <f t="shared" ref="BL101" si="443">BK101-4</f>
        <v>951</v>
      </c>
      <c r="BM101" s="68">
        <f t="shared" ref="BM101" si="444">BL101-4</f>
        <v>947</v>
      </c>
      <c r="BN101" s="68">
        <f t="shared" ref="BN101" si="445">BM101-4</f>
        <v>943</v>
      </c>
      <c r="BO101" s="68">
        <f t="shared" ref="BO101" si="446">BN101-4</f>
        <v>939</v>
      </c>
      <c r="BP101" s="152"/>
      <c r="BQ101" s="67">
        <f>AVERAGE(D101:G101)</f>
        <v>1641</v>
      </c>
      <c r="BR101" s="67">
        <f>AVERAGE(H101:K101)</f>
        <v>1528.25</v>
      </c>
      <c r="BS101" s="67">
        <f>AVERAGE(L101:O101)</f>
        <v>1417</v>
      </c>
      <c r="BT101" s="67">
        <f>AVERAGE(P101:S101)</f>
        <v>1308.5</v>
      </c>
      <c r="BU101" s="67">
        <f>AVERAGE(T101:W101)</f>
        <v>1260</v>
      </c>
      <c r="BV101" s="67">
        <f>AVERAGE(X101:AA101)</f>
        <v>1198.75</v>
      </c>
      <c r="BW101" s="67">
        <f>AVERAGE(AB101:AE101)</f>
        <v>1151.25</v>
      </c>
      <c r="BX101" s="67">
        <f>AVERAGE(AF101:AI101)</f>
        <v>1131.5</v>
      </c>
      <c r="BY101" s="67">
        <f>AVERAGE(AJ101:AM101)</f>
        <v>1098</v>
      </c>
      <c r="BZ101" s="67">
        <f>AVERAGE(AN101:AQ101)</f>
        <v>1065.75</v>
      </c>
      <c r="CA101" s="67">
        <f>AVERAGE(AR101:AU101)</f>
        <v>1038.5</v>
      </c>
      <c r="CB101" s="67">
        <f>AVERAGE(AV101:AY101)</f>
        <v>1017.25</v>
      </c>
      <c r="CC101" s="67">
        <f>AVERAGE(AZ101:BC101)</f>
        <v>991.25</v>
      </c>
      <c r="CD101" s="67">
        <f>AVERAGE(BD101:BG101)</f>
        <v>977</v>
      </c>
      <c r="CE101" s="67">
        <f>AVERAGE(BH101:BK101)</f>
        <v>961</v>
      </c>
      <c r="CF101" s="418">
        <f>AVERAGE(BL101:BO101)</f>
        <v>945</v>
      </c>
      <c r="CG101" s="364"/>
      <c r="CH101" s="8"/>
      <c r="CO101" s="8"/>
      <c r="CP101" s="8"/>
      <c r="CQ101" s="8"/>
      <c r="CR101" s="8"/>
      <c r="CS101" s="8"/>
      <c r="CT101" s="8"/>
      <c r="CU101" s="8"/>
      <c r="CV101" s="282"/>
      <c r="CW101" s="282"/>
    </row>
    <row r="102" spans="1:101" ht="14.25" customHeight="1">
      <c r="A102" s="8"/>
      <c r="B102" s="342" t="s">
        <v>18</v>
      </c>
      <c r="C102" s="21"/>
      <c r="D102" s="419">
        <v>1731</v>
      </c>
      <c r="E102" s="65">
        <v>1666</v>
      </c>
      <c r="F102" s="65">
        <v>1660</v>
      </c>
      <c r="G102" s="66">
        <v>1640</v>
      </c>
      <c r="H102" s="419">
        <v>1616</v>
      </c>
      <c r="I102" s="65">
        <v>1585</v>
      </c>
      <c r="J102" s="65">
        <v>1536</v>
      </c>
      <c r="K102" s="66">
        <v>1497</v>
      </c>
      <c r="L102" s="419">
        <v>1468</v>
      </c>
      <c r="M102" s="65">
        <v>1466</v>
      </c>
      <c r="N102" s="65">
        <v>1446</v>
      </c>
      <c r="O102" s="66">
        <v>1397</v>
      </c>
      <c r="P102" s="419">
        <v>1345</v>
      </c>
      <c r="Q102" s="65">
        <v>1338</v>
      </c>
      <c r="R102" s="65">
        <v>1315</v>
      </c>
      <c r="S102" s="420">
        <v>1287</v>
      </c>
      <c r="T102" s="419">
        <v>1277</v>
      </c>
      <c r="U102" s="65">
        <v>1272</v>
      </c>
      <c r="V102" s="65">
        <v>1268</v>
      </c>
      <c r="W102" s="420">
        <v>1257</v>
      </c>
      <c r="X102" s="65">
        <v>1246</v>
      </c>
      <c r="Y102" s="65">
        <v>1221</v>
      </c>
      <c r="Z102" s="65">
        <v>1196</v>
      </c>
      <c r="AA102" s="420">
        <v>1189</v>
      </c>
      <c r="AB102" s="25">
        <v>1194</v>
      </c>
      <c r="AC102" s="65">
        <v>1180</v>
      </c>
      <c r="AD102" s="65">
        <v>1157</v>
      </c>
      <c r="AE102" s="26">
        <v>1155</v>
      </c>
      <c r="AF102" s="25">
        <v>1165</v>
      </c>
      <c r="AG102" s="25">
        <v>1154</v>
      </c>
      <c r="AH102" s="25">
        <v>1141</v>
      </c>
      <c r="AI102" s="26">
        <v>1124</v>
      </c>
      <c r="AJ102" s="337">
        <v>1123</v>
      </c>
      <c r="AK102" s="25">
        <v>1117</v>
      </c>
      <c r="AL102" s="25">
        <v>1111</v>
      </c>
      <c r="AM102" s="26">
        <v>1102</v>
      </c>
      <c r="AN102" s="337">
        <v>1096</v>
      </c>
      <c r="AO102" s="25">
        <v>1086</v>
      </c>
      <c r="AP102" s="25">
        <v>1074</v>
      </c>
      <c r="AQ102" s="26">
        <v>1063</v>
      </c>
      <c r="AR102" s="337">
        <v>1061</v>
      </c>
      <c r="AS102" s="25">
        <v>1051</v>
      </c>
      <c r="AT102" s="25">
        <v>1035</v>
      </c>
      <c r="AU102" s="26">
        <v>1027</v>
      </c>
      <c r="AV102" s="337">
        <v>1018</v>
      </c>
      <c r="AW102" s="25">
        <v>1016</v>
      </c>
      <c r="AX102" s="25">
        <v>1017</v>
      </c>
      <c r="AY102" s="26">
        <v>1018</v>
      </c>
      <c r="AZ102" s="337">
        <v>1019</v>
      </c>
      <c r="BA102" s="25">
        <v>1015</v>
      </c>
      <c r="BB102" s="25">
        <v>1008</v>
      </c>
      <c r="BC102" s="26">
        <v>1007</v>
      </c>
      <c r="BD102" s="337">
        <v>1005</v>
      </c>
      <c r="BE102" s="67">
        <f t="shared" ref="BE102:BG102" si="447">+BE101+BD102-BD101</f>
        <v>1001</v>
      </c>
      <c r="BF102" s="67">
        <f t="shared" si="447"/>
        <v>997</v>
      </c>
      <c r="BG102" s="67">
        <f t="shared" si="447"/>
        <v>993</v>
      </c>
      <c r="BH102" s="421">
        <f t="shared" ref="BH102" si="448">+BH101+BG102-BG101</f>
        <v>989</v>
      </c>
      <c r="BI102" s="67">
        <f t="shared" ref="BI102" si="449">+BI101+BH102-BH101</f>
        <v>985</v>
      </c>
      <c r="BJ102" s="67">
        <f t="shared" ref="BJ102" si="450">+BJ101+BI102-BI101</f>
        <v>981</v>
      </c>
      <c r="BK102" s="67">
        <f t="shared" ref="BK102" si="451">+BK101+BJ102-BJ101</f>
        <v>977</v>
      </c>
      <c r="BL102" s="421">
        <f t="shared" ref="BL102" si="452">+BL101+BK102-BK101</f>
        <v>973</v>
      </c>
      <c r="BM102" s="67">
        <f t="shared" ref="BM102" si="453">+BM101+BL102-BL101</f>
        <v>969</v>
      </c>
      <c r="BN102" s="67">
        <f t="shared" ref="BN102" si="454">+BN101+BM102-BM101</f>
        <v>965</v>
      </c>
      <c r="BO102" s="67">
        <f t="shared" ref="BO102" si="455">+BO101+BN102-BN101</f>
        <v>961</v>
      </c>
      <c r="BP102" s="152"/>
      <c r="BQ102" s="67">
        <f>AVERAGE(D102:G102)</f>
        <v>1674.25</v>
      </c>
      <c r="BR102" s="67">
        <f>AVERAGE(H102:K102)</f>
        <v>1558.5</v>
      </c>
      <c r="BS102" s="67">
        <f>AVERAGE(L102:O102)</f>
        <v>1444.25</v>
      </c>
      <c r="BT102" s="67">
        <f>AVERAGE(P102:S102)</f>
        <v>1321.25</v>
      </c>
      <c r="BU102" s="67">
        <f>AVERAGE(T102:W102)</f>
        <v>1268.5</v>
      </c>
      <c r="BV102" s="67">
        <f>AVERAGE(X102:AA102)</f>
        <v>1213</v>
      </c>
      <c r="BW102" s="67">
        <f>AVERAGE(AB102:AE102)</f>
        <v>1171.5</v>
      </c>
      <c r="BX102" s="67">
        <f>AVERAGE(AF102:AI102)</f>
        <v>1146</v>
      </c>
      <c r="BY102" s="67">
        <f>AVERAGE(AJ102:AM102)</f>
        <v>1113.25</v>
      </c>
      <c r="BZ102" s="67">
        <f>AVERAGE(AN102:AQ102)</f>
        <v>1079.75</v>
      </c>
      <c r="CA102" s="67">
        <f>AVERAGE(AR102:AU102)</f>
        <v>1043.5</v>
      </c>
      <c r="CB102" s="67">
        <f>AVERAGE(AV102:AY102)</f>
        <v>1017.25</v>
      </c>
      <c r="CC102" s="67">
        <f>AVERAGE(AZ102:BC102)</f>
        <v>1012.25</v>
      </c>
      <c r="CD102" s="67">
        <f>AVERAGE(BD102:BG102)</f>
        <v>999</v>
      </c>
      <c r="CE102" s="67">
        <f>AVERAGE(BH102:BK102)</f>
        <v>983</v>
      </c>
      <c r="CF102" s="418">
        <f>AVERAGE(BL102:BO102)</f>
        <v>967</v>
      </c>
      <c r="CG102" s="364"/>
      <c r="CH102" s="8"/>
      <c r="CO102" s="8"/>
      <c r="CP102" s="8"/>
      <c r="CQ102" s="8"/>
      <c r="CR102" s="8"/>
      <c r="CS102" s="8"/>
      <c r="CT102" s="8"/>
      <c r="CU102" s="8"/>
      <c r="CV102" s="282"/>
      <c r="CW102" s="282"/>
    </row>
    <row r="103" spans="1:101" ht="14.25" customHeight="1">
      <c r="A103" s="8"/>
      <c r="B103" s="342"/>
      <c r="C103" s="21"/>
      <c r="D103" s="362"/>
      <c r="E103" s="36"/>
      <c r="F103" s="36"/>
      <c r="G103" s="37"/>
      <c r="H103" s="362"/>
      <c r="I103" s="36"/>
      <c r="J103" s="36"/>
      <c r="K103" s="37"/>
      <c r="L103" s="362"/>
      <c r="M103" s="36"/>
      <c r="N103" s="36"/>
      <c r="O103" s="37"/>
      <c r="P103" s="362"/>
      <c r="Q103" s="36"/>
      <c r="R103" s="36"/>
      <c r="S103" s="37"/>
      <c r="T103" s="362"/>
      <c r="U103" s="36"/>
      <c r="V103" s="36"/>
      <c r="W103" s="37"/>
      <c r="X103" s="36"/>
      <c r="Y103" s="36"/>
      <c r="Z103" s="36"/>
      <c r="AA103" s="37"/>
      <c r="AB103" s="36"/>
      <c r="AC103" s="36"/>
      <c r="AD103" s="36"/>
      <c r="AE103" s="37"/>
      <c r="AF103" s="36"/>
      <c r="AG103" s="36"/>
      <c r="AH103" s="36"/>
      <c r="AI103" s="37"/>
      <c r="AJ103" s="362"/>
      <c r="AK103" s="36"/>
      <c r="AL103" s="36"/>
      <c r="AM103" s="37"/>
      <c r="AN103" s="362"/>
      <c r="AO103" s="36"/>
      <c r="AP103" s="36"/>
      <c r="AQ103" s="37"/>
      <c r="AR103" s="362"/>
      <c r="AS103" s="36"/>
      <c r="AT103" s="36"/>
      <c r="AU103" s="37"/>
      <c r="AV103" s="362"/>
      <c r="AW103" s="36"/>
      <c r="AX103" s="36"/>
      <c r="AY103" s="37"/>
      <c r="AZ103" s="362"/>
      <c r="BA103" s="36"/>
      <c r="BB103" s="36"/>
      <c r="BC103" s="37"/>
      <c r="BD103" s="362"/>
      <c r="BE103" s="36"/>
      <c r="BF103" s="36"/>
      <c r="BG103" s="36"/>
      <c r="BH103" s="362"/>
      <c r="BI103" s="36"/>
      <c r="BJ103" s="36"/>
      <c r="BK103" s="36"/>
      <c r="BL103" s="362"/>
      <c r="BM103" s="36"/>
      <c r="BN103" s="36"/>
      <c r="BO103" s="36"/>
      <c r="BP103" s="152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7"/>
      <c r="CG103" s="364"/>
      <c r="CH103" s="8"/>
      <c r="CO103" s="8"/>
      <c r="CP103" s="8"/>
      <c r="CQ103" s="8"/>
      <c r="CR103" s="8"/>
      <c r="CS103" s="8"/>
      <c r="CT103" s="8"/>
      <c r="CU103" s="8"/>
      <c r="CV103" s="282"/>
      <c r="CW103" s="282"/>
    </row>
    <row r="104" spans="1:101" ht="14.25" customHeight="1">
      <c r="A104" s="8"/>
      <c r="B104" s="342" t="s">
        <v>119</v>
      </c>
      <c r="C104" s="21"/>
      <c r="D104" s="419">
        <v>1662.1648479999999</v>
      </c>
      <c r="E104" s="65">
        <v>1623.0527810000001</v>
      </c>
      <c r="F104" s="65">
        <v>1618.0527910000001</v>
      </c>
      <c r="G104" s="66">
        <v>1600.42965</v>
      </c>
      <c r="H104" s="419">
        <v>1558.0374670000001</v>
      </c>
      <c r="I104" s="65">
        <v>1532.5850909999999</v>
      </c>
      <c r="J104" s="65">
        <v>1483.8843320000001</v>
      </c>
      <c r="K104" s="66">
        <v>1443.427201</v>
      </c>
      <c r="L104" s="419">
        <v>1433.709278</v>
      </c>
      <c r="M104" s="65">
        <v>1429.0852609999999</v>
      </c>
      <c r="N104" s="65">
        <v>1398.20677</v>
      </c>
      <c r="O104" s="66">
        <v>1326.3192509999999</v>
      </c>
      <c r="P104" s="419">
        <v>1322.7355910000001</v>
      </c>
      <c r="Q104" s="65">
        <v>1310.8774249999999</v>
      </c>
      <c r="R104" s="65">
        <v>1296.424945</v>
      </c>
      <c r="S104" s="66">
        <v>1276.5552540000001</v>
      </c>
      <c r="T104" s="419">
        <v>1273.4531099999999</v>
      </c>
      <c r="U104" s="65">
        <v>1261.4244349999999</v>
      </c>
      <c r="V104" s="65">
        <v>1252.873398</v>
      </c>
      <c r="W104" s="66">
        <v>1241.8885359999999</v>
      </c>
      <c r="X104" s="65">
        <v>1222.2263829999999</v>
      </c>
      <c r="Y104" s="65">
        <v>1195.1954350000001</v>
      </c>
      <c r="Z104" s="65">
        <v>1174.157492</v>
      </c>
      <c r="AA104" s="26">
        <v>1172.0514740000001</v>
      </c>
      <c r="AB104" s="25">
        <v>1161.1687870000001</v>
      </c>
      <c r="AC104" s="65">
        <v>1155.320663</v>
      </c>
      <c r="AD104" s="65">
        <v>1155.320663</v>
      </c>
      <c r="AE104" s="26">
        <v>1155</v>
      </c>
      <c r="AF104" s="27">
        <v>1165</v>
      </c>
      <c r="AG104" s="27">
        <f>+AG102</f>
        <v>1154</v>
      </c>
      <c r="AH104" s="27">
        <f>+AH102</f>
        <v>1141</v>
      </c>
      <c r="AI104" s="28">
        <v>1124</v>
      </c>
      <c r="AJ104" s="338">
        <v>1123</v>
      </c>
      <c r="AK104" s="27">
        <f>+AK102</f>
        <v>1117</v>
      </c>
      <c r="AL104" s="27">
        <f>+AL102</f>
        <v>1111</v>
      </c>
      <c r="AM104" s="28">
        <v>1102</v>
      </c>
      <c r="AN104" s="338">
        <v>1096</v>
      </c>
      <c r="AO104" s="27">
        <f>+AO102</f>
        <v>1086</v>
      </c>
      <c r="AP104" s="27">
        <f>+AP102</f>
        <v>1074</v>
      </c>
      <c r="AQ104" s="28">
        <v>1063</v>
      </c>
      <c r="AR104" s="338">
        <f>+AR102</f>
        <v>1061</v>
      </c>
      <c r="AS104" s="27">
        <f>+AS102</f>
        <v>1051</v>
      </c>
      <c r="AT104" s="27">
        <f>+AT102</f>
        <v>1035</v>
      </c>
      <c r="AU104" s="28">
        <f>+AU102</f>
        <v>1027</v>
      </c>
      <c r="AV104" s="338">
        <f t="shared" ref="AV104:BA104" si="456">+AV102</f>
        <v>1018</v>
      </c>
      <c r="AW104" s="27">
        <f>+AW102</f>
        <v>1016</v>
      </c>
      <c r="AX104" s="27">
        <f>+AX102</f>
        <v>1017</v>
      </c>
      <c r="AY104" s="28">
        <f>+AY102</f>
        <v>1018</v>
      </c>
      <c r="AZ104" s="338">
        <f t="shared" ref="AZ104" si="457">+AZ102</f>
        <v>1019</v>
      </c>
      <c r="BA104" s="27">
        <f t="shared" si="456"/>
        <v>1015</v>
      </c>
      <c r="BB104" s="27">
        <f>+BB102</f>
        <v>1008</v>
      </c>
      <c r="BC104" s="28">
        <f>+BC102</f>
        <v>1007</v>
      </c>
      <c r="BD104" s="338">
        <f t="shared" ref="BD104" si="458">+BD102</f>
        <v>1005</v>
      </c>
      <c r="BE104" s="27">
        <f t="shared" ref="BE104:BG104" si="459">+BE102</f>
        <v>1001</v>
      </c>
      <c r="BF104" s="27">
        <f t="shared" si="459"/>
        <v>997</v>
      </c>
      <c r="BG104" s="27">
        <f t="shared" si="459"/>
        <v>993</v>
      </c>
      <c r="BH104" s="338">
        <f t="shared" ref="BH104:BK104" si="460">+BH102</f>
        <v>989</v>
      </c>
      <c r="BI104" s="27">
        <f t="shared" si="460"/>
        <v>985</v>
      </c>
      <c r="BJ104" s="27">
        <f t="shared" si="460"/>
        <v>981</v>
      </c>
      <c r="BK104" s="27">
        <f t="shared" si="460"/>
        <v>977</v>
      </c>
      <c r="BL104" s="338">
        <f t="shared" ref="BL104:BO104" si="461">+BL102</f>
        <v>973</v>
      </c>
      <c r="BM104" s="27">
        <f t="shared" si="461"/>
        <v>969</v>
      </c>
      <c r="BN104" s="27">
        <f t="shared" si="461"/>
        <v>965</v>
      </c>
      <c r="BO104" s="27">
        <f t="shared" si="461"/>
        <v>961</v>
      </c>
      <c r="BP104" s="152"/>
      <c r="BQ104" s="67">
        <f>G104</f>
        <v>1600.42965</v>
      </c>
      <c r="BR104" s="67">
        <f>K104</f>
        <v>1443.427201</v>
      </c>
      <c r="BS104" s="67">
        <f>O104</f>
        <v>1326.3192509999999</v>
      </c>
      <c r="BT104" s="67">
        <f>S104</f>
        <v>1276.5552540000001</v>
      </c>
      <c r="BU104" s="67">
        <f>W104</f>
        <v>1241.8885359999999</v>
      </c>
      <c r="BV104" s="67">
        <f>AA104</f>
        <v>1172.0514740000001</v>
      </c>
      <c r="BW104" s="67">
        <f>AE104</f>
        <v>1155</v>
      </c>
      <c r="BX104" s="67">
        <f>AI104</f>
        <v>1124</v>
      </c>
      <c r="BY104" s="67">
        <f>AM104</f>
        <v>1102</v>
      </c>
      <c r="BZ104" s="67">
        <f>+AQ104</f>
        <v>1063</v>
      </c>
      <c r="CA104" s="67">
        <f>+AU104</f>
        <v>1027</v>
      </c>
      <c r="CB104" s="67">
        <f>+CB102</f>
        <v>1017.25</v>
      </c>
      <c r="CC104" s="67">
        <f>+CC102</f>
        <v>1012.25</v>
      </c>
      <c r="CD104" s="67">
        <f>+CD102</f>
        <v>999</v>
      </c>
      <c r="CE104" s="67">
        <f>+CE102</f>
        <v>983</v>
      </c>
      <c r="CF104" s="418">
        <f>+CF102</f>
        <v>967</v>
      </c>
      <c r="CG104" s="297"/>
      <c r="CH104" s="8"/>
      <c r="CO104" s="8"/>
      <c r="CP104" s="8"/>
      <c r="CQ104" s="8"/>
      <c r="CR104" s="8"/>
      <c r="CS104" s="8"/>
      <c r="CT104" s="8"/>
      <c r="CU104" s="8"/>
      <c r="CV104" s="282"/>
      <c r="CW104" s="282"/>
    </row>
    <row r="105" spans="1:101" ht="14.25" customHeight="1">
      <c r="A105" s="8"/>
      <c r="B105" s="342"/>
      <c r="C105" s="21"/>
      <c r="D105" s="419"/>
      <c r="E105" s="65"/>
      <c r="F105" s="65"/>
      <c r="G105" s="66"/>
      <c r="H105" s="419"/>
      <c r="I105" s="65"/>
      <c r="J105" s="65"/>
      <c r="K105" s="66"/>
      <c r="L105" s="419"/>
      <c r="M105" s="65"/>
      <c r="N105" s="65"/>
      <c r="O105" s="66"/>
      <c r="P105" s="419"/>
      <c r="Q105" s="65"/>
      <c r="R105" s="65"/>
      <c r="S105" s="66"/>
      <c r="T105" s="419"/>
      <c r="U105" s="65"/>
      <c r="V105" s="65"/>
      <c r="W105" s="66"/>
      <c r="X105" s="65"/>
      <c r="Y105" s="68"/>
      <c r="Z105" s="68"/>
      <c r="AA105" s="69"/>
      <c r="AB105" s="68"/>
      <c r="AC105" s="68"/>
      <c r="AD105" s="68"/>
      <c r="AE105" s="69"/>
      <c r="AF105" s="68"/>
      <c r="AG105" s="68"/>
      <c r="AH105" s="68"/>
      <c r="AI105" s="69"/>
      <c r="AJ105" s="422"/>
      <c r="AK105" s="68"/>
      <c r="AL105" s="68"/>
      <c r="AM105" s="69"/>
      <c r="AN105" s="422"/>
      <c r="AO105" s="68"/>
      <c r="AP105" s="68"/>
      <c r="AQ105" s="69"/>
      <c r="AR105" s="422"/>
      <c r="AS105" s="68"/>
      <c r="AT105" s="68"/>
      <c r="AU105" s="69"/>
      <c r="AV105" s="422"/>
      <c r="AW105" s="68"/>
      <c r="AX105" s="68"/>
      <c r="AY105" s="69"/>
      <c r="AZ105" s="422"/>
      <c r="BA105" s="68"/>
      <c r="BB105" s="68"/>
      <c r="BC105" s="69"/>
      <c r="BD105" s="422"/>
      <c r="BE105" s="68"/>
      <c r="BF105" s="68"/>
      <c r="BG105" s="68"/>
      <c r="BH105" s="417"/>
      <c r="BI105" s="68"/>
      <c r="BJ105" s="68"/>
      <c r="BK105" s="68"/>
      <c r="BL105" s="417"/>
      <c r="BM105" s="68"/>
      <c r="BN105" s="68"/>
      <c r="BO105" s="68"/>
      <c r="BP105" s="152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7"/>
      <c r="CG105" s="297"/>
      <c r="CH105" s="8"/>
      <c r="CO105" s="8"/>
      <c r="CP105" s="8"/>
      <c r="CQ105" s="8"/>
      <c r="CR105" s="8"/>
      <c r="CS105" s="8"/>
      <c r="CT105" s="8"/>
      <c r="CU105" s="8"/>
      <c r="CV105" s="282"/>
      <c r="CW105" s="282"/>
    </row>
    <row r="106" spans="1:101" ht="14.25" customHeight="1">
      <c r="A106" s="8"/>
      <c r="B106" s="342" t="s">
        <v>120</v>
      </c>
      <c r="C106" s="21"/>
      <c r="D106" s="423">
        <v>2.5000000000000001E-2</v>
      </c>
      <c r="E106" s="424">
        <v>2.5000000000000001E-2</v>
      </c>
      <c r="F106" s="424">
        <v>2.5000000000000001E-2</v>
      </c>
      <c r="G106" s="425">
        <f>0.105-F106-E106-D106</f>
        <v>2.9999999999999985E-2</v>
      </c>
      <c r="H106" s="423">
        <v>0.03</v>
      </c>
      <c r="I106" s="424">
        <v>0.03</v>
      </c>
      <c r="J106" s="424">
        <v>0.03</v>
      </c>
      <c r="K106" s="425">
        <f>0.13-J106-I106-H106</f>
        <v>4.0000000000000008E-2</v>
      </c>
      <c r="L106" s="423">
        <v>0.04</v>
      </c>
      <c r="M106" s="424">
        <v>0.08</v>
      </c>
      <c r="N106" s="424">
        <v>0.08</v>
      </c>
      <c r="O106" s="425">
        <f>0.3-N106-M106-L106</f>
        <v>9.999999999999995E-2</v>
      </c>
      <c r="P106" s="423">
        <v>0.1</v>
      </c>
      <c r="Q106" s="424">
        <v>0.1</v>
      </c>
      <c r="R106" s="424">
        <v>0.1</v>
      </c>
      <c r="S106" s="425">
        <f>0.41-R106-Q106-P106</f>
        <v>0.10999999999999993</v>
      </c>
      <c r="T106" s="423">
        <v>0.11</v>
      </c>
      <c r="U106" s="424">
        <v>0.11</v>
      </c>
      <c r="V106" s="424">
        <v>0.11</v>
      </c>
      <c r="W106" s="425">
        <f>0.45-V106-U106-T106</f>
        <v>0.12000000000000004</v>
      </c>
      <c r="X106" s="424">
        <v>0.12</v>
      </c>
      <c r="Y106" s="424">
        <v>0.12</v>
      </c>
      <c r="Z106" s="424">
        <v>0.12</v>
      </c>
      <c r="AA106" s="425">
        <f>0.49-Z106-Y106-X106</f>
        <v>0.13</v>
      </c>
      <c r="AB106" s="424">
        <v>0.13</v>
      </c>
      <c r="AC106" s="424">
        <v>0.13</v>
      </c>
      <c r="AD106" s="424">
        <v>0.13</v>
      </c>
      <c r="AE106" s="426">
        <v>0.17</v>
      </c>
      <c r="AF106" s="424">
        <v>0.17</v>
      </c>
      <c r="AG106" s="424">
        <v>0.17</v>
      </c>
      <c r="AH106" s="424">
        <v>0.17</v>
      </c>
      <c r="AI106" s="426">
        <v>0.21</v>
      </c>
      <c r="AJ106" s="423">
        <v>0.21</v>
      </c>
      <c r="AK106" s="424">
        <v>0.28000000000000003</v>
      </c>
      <c r="AL106" s="424">
        <v>0.28000000000000003</v>
      </c>
      <c r="AM106" s="426">
        <v>0.3</v>
      </c>
      <c r="AN106" s="423">
        <v>0.3</v>
      </c>
      <c r="AO106" s="424">
        <v>0.3</v>
      </c>
      <c r="AP106" s="424">
        <v>0.3</v>
      </c>
      <c r="AQ106" s="426">
        <v>0.34</v>
      </c>
      <c r="AR106" s="423">
        <v>0.34</v>
      </c>
      <c r="AS106" s="424">
        <v>0.34</v>
      </c>
      <c r="AT106" s="424">
        <v>0.34</v>
      </c>
      <c r="AU106" s="426">
        <v>0.38</v>
      </c>
      <c r="AV106" s="423">
        <v>0.38</v>
      </c>
      <c r="AW106" s="424">
        <v>0.38</v>
      </c>
      <c r="AX106" s="424">
        <v>0.38</v>
      </c>
      <c r="AY106" s="426">
        <v>0.5</v>
      </c>
      <c r="AZ106" s="423">
        <v>0.5</v>
      </c>
      <c r="BA106" s="424">
        <v>0.5</v>
      </c>
      <c r="BB106" s="424">
        <v>0.5</v>
      </c>
      <c r="BC106" s="426">
        <v>0.62</v>
      </c>
      <c r="BD106" s="423">
        <v>0.62</v>
      </c>
      <c r="BE106" s="427">
        <f>+BD106</f>
        <v>0.62</v>
      </c>
      <c r="BF106" s="427">
        <f>+BE106</f>
        <v>0.62</v>
      </c>
      <c r="BG106" s="427">
        <f>+BF106</f>
        <v>0.62</v>
      </c>
      <c r="BH106" s="428">
        <v>0.5</v>
      </c>
      <c r="BI106" s="427">
        <f>+BH106</f>
        <v>0.5</v>
      </c>
      <c r="BJ106" s="427">
        <f>+BI106</f>
        <v>0.5</v>
      </c>
      <c r="BK106" s="427">
        <f>+BJ106</f>
        <v>0.5</v>
      </c>
      <c r="BL106" s="428">
        <v>0.5</v>
      </c>
      <c r="BM106" s="427">
        <f>+BL106</f>
        <v>0.5</v>
      </c>
      <c r="BN106" s="427">
        <f>+BM106</f>
        <v>0.5</v>
      </c>
      <c r="BO106" s="427">
        <f>+BN106</f>
        <v>0.5</v>
      </c>
      <c r="BP106" s="429"/>
      <c r="BQ106" s="430">
        <f>SUM(D106:G106)</f>
        <v>0.105</v>
      </c>
      <c r="BR106" s="430">
        <f>SUM(H106:K106)</f>
        <v>0.13</v>
      </c>
      <c r="BS106" s="430">
        <f>SUM(L106:O106)</f>
        <v>0.29999999999999993</v>
      </c>
      <c r="BT106" s="430">
        <f>SUM(P106:S106)</f>
        <v>0.41</v>
      </c>
      <c r="BU106" s="430">
        <f>SUM(T106:W106)</f>
        <v>0.45000000000000007</v>
      </c>
      <c r="BV106" s="430">
        <f>SUM(X106:AA106)</f>
        <v>0.49</v>
      </c>
      <c r="BW106" s="430">
        <f>SUM(AB106:AE106)</f>
        <v>0.56000000000000005</v>
      </c>
      <c r="BX106" s="430">
        <f>SUM(AF106:AI106)</f>
        <v>0.72</v>
      </c>
      <c r="BY106" s="430">
        <f>SUM(AJ106:AM106)</f>
        <v>1.07</v>
      </c>
      <c r="BZ106" s="430">
        <f>SUM(AN106:AQ106)</f>
        <v>1.24</v>
      </c>
      <c r="CA106" s="430">
        <f>SUM(AR106:AU106)</f>
        <v>1.4</v>
      </c>
      <c r="CB106" s="430">
        <f>-CFS!CB40/IS!CB104</f>
        <v>1.6180879823052348</v>
      </c>
      <c r="CC106" s="430">
        <f>-CFS!CC40/IS!CC104</f>
        <v>2.0785379105952089</v>
      </c>
      <c r="CD106" s="430">
        <f>-CFS!CD40/IS!CD104</f>
        <v>2.4678878878878874</v>
      </c>
      <c r="CE106" s="430">
        <f>-CFS!CE40/IS!CE104</f>
        <v>2</v>
      </c>
      <c r="CF106" s="1161">
        <f>-CFS!CG40/IS!CF104</f>
        <v>0</v>
      </c>
      <c r="CG106" s="364"/>
      <c r="CH106" s="8"/>
      <c r="CO106" s="8"/>
      <c r="CV106" s="282"/>
      <c r="CW106" s="282"/>
    </row>
    <row r="107" spans="1:101" ht="14.25" hidden="1" customHeight="1">
      <c r="A107" s="8"/>
      <c r="B107" s="342" t="s">
        <v>121</v>
      </c>
      <c r="C107" s="21"/>
      <c r="D107" s="431"/>
      <c r="E107" s="70"/>
      <c r="F107" s="70"/>
      <c r="G107" s="71"/>
      <c r="H107" s="431"/>
      <c r="I107" s="70"/>
      <c r="J107" s="70"/>
      <c r="K107" s="71"/>
      <c r="L107" s="431"/>
      <c r="M107" s="70"/>
      <c r="N107" s="70"/>
      <c r="O107" s="71"/>
      <c r="P107" s="431"/>
      <c r="Q107" s="70"/>
      <c r="R107" s="70"/>
      <c r="S107" s="71"/>
      <c r="T107" s="431"/>
      <c r="U107" s="70"/>
      <c r="V107" s="70"/>
      <c r="W107" s="71"/>
      <c r="X107" s="70"/>
      <c r="Y107" s="70"/>
      <c r="Z107" s="72"/>
      <c r="AA107" s="73"/>
      <c r="AB107" s="72"/>
      <c r="AC107" s="432"/>
      <c r="AD107" s="378"/>
      <c r="AE107" s="433"/>
      <c r="AF107" s="338"/>
      <c r="AG107" s="27"/>
      <c r="AH107" s="27"/>
      <c r="AI107" s="28"/>
      <c r="AJ107" s="338"/>
      <c r="AK107" s="27"/>
      <c r="AL107" s="27"/>
      <c r="AM107" s="28"/>
      <c r="AN107" s="338"/>
      <c r="AO107" s="27"/>
      <c r="AP107" s="27"/>
      <c r="AQ107" s="28"/>
      <c r="AR107" s="338"/>
      <c r="AS107" s="27"/>
      <c r="AT107" s="27"/>
      <c r="AU107" s="28"/>
      <c r="AV107" s="338"/>
      <c r="AW107" s="27"/>
      <c r="AX107" s="27"/>
      <c r="AY107" s="28"/>
      <c r="AZ107" s="338"/>
      <c r="BA107" s="27"/>
      <c r="BB107" s="27"/>
      <c r="BC107" s="28"/>
      <c r="BD107" s="338"/>
      <c r="BE107" s="27"/>
      <c r="BF107" s="27"/>
      <c r="BG107" s="27"/>
      <c r="BH107" s="338"/>
      <c r="BI107" s="27"/>
      <c r="BJ107" s="27"/>
      <c r="BK107" s="27"/>
      <c r="BL107" s="338"/>
      <c r="BM107" s="27"/>
      <c r="BN107" s="27"/>
      <c r="BO107" s="27"/>
      <c r="BP107" s="152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4"/>
      <c r="CG107" s="297"/>
      <c r="CH107" s="8"/>
      <c r="CO107" s="8"/>
      <c r="CV107" s="282"/>
      <c r="CW107" s="282"/>
    </row>
    <row r="108" spans="1:101" ht="14.25" hidden="1" customHeight="1">
      <c r="A108" s="8"/>
      <c r="B108" s="332"/>
      <c r="C108" s="29"/>
      <c r="D108" s="434"/>
      <c r="E108" s="74"/>
      <c r="F108" s="74"/>
      <c r="G108" s="75"/>
      <c r="H108" s="434"/>
      <c r="I108" s="74"/>
      <c r="J108" s="74"/>
      <c r="K108" s="75"/>
      <c r="L108" s="434"/>
      <c r="M108" s="74"/>
      <c r="N108" s="74"/>
      <c r="O108" s="75"/>
      <c r="P108" s="434"/>
      <c r="Q108" s="74"/>
      <c r="R108" s="74"/>
      <c r="S108" s="75"/>
      <c r="T108" s="434"/>
      <c r="U108" s="74"/>
      <c r="V108" s="74"/>
      <c r="W108" s="75"/>
      <c r="X108" s="74"/>
      <c r="Y108" s="76"/>
      <c r="Z108" s="76"/>
      <c r="AA108" s="77"/>
      <c r="AB108" s="76"/>
      <c r="AC108" s="30"/>
      <c r="AD108" s="30"/>
      <c r="AE108" s="31"/>
      <c r="AF108" s="30"/>
      <c r="AG108" s="30"/>
      <c r="AH108" s="30"/>
      <c r="AI108" s="31"/>
      <c r="AJ108" s="339"/>
      <c r="AK108" s="30"/>
      <c r="AL108" s="30"/>
      <c r="AM108" s="31"/>
      <c r="AN108" s="339"/>
      <c r="AO108" s="30"/>
      <c r="AP108" s="30"/>
      <c r="AQ108" s="31"/>
      <c r="AR108" s="339"/>
      <c r="AS108" s="30"/>
      <c r="AT108" s="30"/>
      <c r="AU108" s="31"/>
      <c r="AV108" s="339"/>
      <c r="AW108" s="30"/>
      <c r="AX108" s="30"/>
      <c r="AY108" s="31"/>
      <c r="AZ108" s="339"/>
      <c r="BA108" s="30"/>
      <c r="BB108" s="30"/>
      <c r="BC108" s="31"/>
      <c r="BD108" s="339"/>
      <c r="BE108" s="30"/>
      <c r="BF108" s="30"/>
      <c r="BG108" s="30"/>
      <c r="BH108" s="339"/>
      <c r="BI108" s="30"/>
      <c r="BJ108" s="30"/>
      <c r="BK108" s="30"/>
      <c r="BL108" s="339"/>
      <c r="BM108" s="30"/>
      <c r="BN108" s="30"/>
      <c r="BO108" s="30"/>
      <c r="BP108" s="152"/>
      <c r="BQ108" s="78"/>
      <c r="BR108" s="78"/>
      <c r="BS108" s="78"/>
      <c r="BT108" s="78"/>
      <c r="BU108" s="78"/>
      <c r="BV108" s="78"/>
      <c r="BW108" s="78"/>
      <c r="BX108" s="78"/>
      <c r="BY108" s="78"/>
      <c r="BZ108" s="78"/>
      <c r="CA108" s="78"/>
      <c r="CB108" s="78"/>
      <c r="CC108" s="78"/>
      <c r="CD108" s="78"/>
      <c r="CE108" s="78"/>
      <c r="CF108" s="79"/>
      <c r="CG108" s="297"/>
      <c r="CH108" s="8"/>
      <c r="CO108" s="8"/>
      <c r="CV108" s="282"/>
      <c r="CW108" s="282"/>
    </row>
    <row r="109" spans="1:101" ht="14.25" customHeight="1">
      <c r="A109" s="8"/>
      <c r="B109" s="342"/>
      <c r="C109" s="21"/>
      <c r="D109" s="362"/>
      <c r="E109" s="36"/>
      <c r="F109" s="36"/>
      <c r="G109" s="37"/>
      <c r="H109" s="362"/>
      <c r="I109" s="36"/>
      <c r="J109" s="36"/>
      <c r="K109" s="37"/>
      <c r="L109" s="362"/>
      <c r="M109" s="36"/>
      <c r="N109" s="36"/>
      <c r="O109" s="37"/>
      <c r="P109" s="362"/>
      <c r="Q109" s="36"/>
      <c r="R109" s="36"/>
      <c r="S109" s="37"/>
      <c r="T109" s="362"/>
      <c r="U109" s="36"/>
      <c r="V109" s="36"/>
      <c r="W109" s="37"/>
      <c r="X109" s="36"/>
      <c r="Y109" s="36"/>
      <c r="Z109" s="36"/>
      <c r="AA109" s="37"/>
      <c r="AB109" s="36"/>
      <c r="AC109" s="36"/>
      <c r="AD109" s="36"/>
      <c r="AE109" s="37"/>
      <c r="AF109" s="362"/>
      <c r="AG109" s="36"/>
      <c r="AH109" s="36"/>
      <c r="AI109" s="37"/>
      <c r="AJ109" s="362"/>
      <c r="AK109" s="36"/>
      <c r="AL109" s="36"/>
      <c r="AM109" s="37"/>
      <c r="AN109" s="362"/>
      <c r="AO109" s="36"/>
      <c r="AP109" s="36"/>
      <c r="AQ109" s="37"/>
      <c r="AR109" s="362"/>
      <c r="AS109" s="36"/>
      <c r="AT109" s="36"/>
      <c r="AU109" s="37"/>
      <c r="AV109" s="362"/>
      <c r="AW109" s="36"/>
      <c r="AX109" s="36"/>
      <c r="AY109" s="37"/>
      <c r="AZ109" s="362"/>
      <c r="BA109" s="36"/>
      <c r="BB109" s="36"/>
      <c r="BC109" s="37"/>
      <c r="BD109" s="362"/>
      <c r="BE109" s="36"/>
      <c r="BF109" s="36"/>
      <c r="BG109" s="36"/>
      <c r="BH109" s="362"/>
      <c r="BI109" s="36"/>
      <c r="BJ109" s="36"/>
      <c r="BK109" s="36"/>
      <c r="BL109" s="362"/>
      <c r="BM109" s="36"/>
      <c r="BN109" s="36"/>
      <c r="BO109" s="36"/>
      <c r="BP109" s="152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7"/>
      <c r="CG109" s="297"/>
      <c r="CH109" s="8"/>
      <c r="CO109" s="8"/>
      <c r="CV109" s="282"/>
      <c r="CW109" s="282"/>
    </row>
    <row r="110" spans="1:101" ht="14.25" customHeight="1">
      <c r="A110" s="8"/>
      <c r="B110" s="51" t="s">
        <v>122</v>
      </c>
      <c r="C110" s="52"/>
      <c r="D110" s="435">
        <v>0.35</v>
      </c>
      <c r="E110" s="436">
        <v>0.35</v>
      </c>
      <c r="F110" s="436">
        <v>0.35</v>
      </c>
      <c r="G110" s="437">
        <v>0.35</v>
      </c>
      <c r="H110" s="435">
        <v>0.35</v>
      </c>
      <c r="I110" s="436">
        <v>0.35</v>
      </c>
      <c r="J110" s="436">
        <v>0.35</v>
      </c>
      <c r="K110" s="437">
        <v>0.35</v>
      </c>
      <c r="L110" s="435">
        <v>0.35</v>
      </c>
      <c r="M110" s="436">
        <v>0.35</v>
      </c>
      <c r="N110" s="436">
        <v>0.35</v>
      </c>
      <c r="O110" s="437">
        <v>0.35</v>
      </c>
      <c r="P110" s="435">
        <v>0.35</v>
      </c>
      <c r="Q110" s="436">
        <v>0.35</v>
      </c>
      <c r="R110" s="436">
        <v>0.35</v>
      </c>
      <c r="S110" s="437">
        <v>0.35</v>
      </c>
      <c r="T110" s="435">
        <v>0.35</v>
      </c>
      <c r="U110" s="436">
        <v>0.35</v>
      </c>
      <c r="V110" s="436">
        <v>0.35</v>
      </c>
      <c r="W110" s="437">
        <v>0.35</v>
      </c>
      <c r="X110" s="436">
        <v>0.35</v>
      </c>
      <c r="Y110" s="436">
        <v>0.35</v>
      </c>
      <c r="Z110" s="436">
        <v>0.35</v>
      </c>
      <c r="AA110" s="437">
        <v>0.35</v>
      </c>
      <c r="AB110" s="436">
        <v>0.35</v>
      </c>
      <c r="AC110" s="436">
        <v>0.35</v>
      </c>
      <c r="AD110" s="436">
        <v>0.35</v>
      </c>
      <c r="AE110" s="437">
        <v>0.35</v>
      </c>
      <c r="AF110" s="435">
        <v>0.35</v>
      </c>
      <c r="AG110" s="436">
        <v>0.35</v>
      </c>
      <c r="AH110" s="436">
        <v>0.35</v>
      </c>
      <c r="AI110" s="437">
        <v>0.35</v>
      </c>
      <c r="AJ110" s="435">
        <v>0.35</v>
      </c>
      <c r="AK110" s="436">
        <v>0.35</v>
      </c>
      <c r="AL110" s="436">
        <v>0.35</v>
      </c>
      <c r="AM110" s="437">
        <v>0.35</v>
      </c>
      <c r="AN110" s="435">
        <v>0.35</v>
      </c>
      <c r="AO110" s="436">
        <v>0.35</v>
      </c>
      <c r="AP110" s="436">
        <v>0.35</v>
      </c>
      <c r="AQ110" s="437">
        <v>0.35</v>
      </c>
      <c r="AR110" s="435">
        <v>0.35</v>
      </c>
      <c r="AS110" s="436">
        <v>0.35</v>
      </c>
      <c r="AT110" s="436">
        <v>0.35</v>
      </c>
      <c r="AU110" s="437">
        <v>0.35</v>
      </c>
      <c r="AV110" s="435">
        <v>0.35</v>
      </c>
      <c r="AW110" s="436">
        <v>0.35</v>
      </c>
      <c r="AX110" s="436">
        <v>0.35</v>
      </c>
      <c r="AY110" s="437">
        <v>0.35</v>
      </c>
      <c r="AZ110" s="435">
        <v>0.35</v>
      </c>
      <c r="BA110" s="436">
        <v>0.35</v>
      </c>
      <c r="BB110" s="436">
        <v>0.35</v>
      </c>
      <c r="BC110" s="437">
        <v>0.35</v>
      </c>
      <c r="BD110" s="435">
        <v>0.35</v>
      </c>
      <c r="BE110" s="436">
        <v>0.35</v>
      </c>
      <c r="BF110" s="436">
        <v>0.35</v>
      </c>
      <c r="BG110" s="436">
        <v>0.35</v>
      </c>
      <c r="BH110" s="435">
        <v>0.35</v>
      </c>
      <c r="BI110" s="436">
        <v>0.35</v>
      </c>
      <c r="BJ110" s="436">
        <v>0.35</v>
      </c>
      <c r="BK110" s="436">
        <v>0.35</v>
      </c>
      <c r="BL110" s="435">
        <v>0.35</v>
      </c>
      <c r="BM110" s="436">
        <v>0.35</v>
      </c>
      <c r="BN110" s="436">
        <v>0.35</v>
      </c>
      <c r="BO110" s="436">
        <v>0.35</v>
      </c>
      <c r="BP110" s="152"/>
      <c r="BQ110" s="435">
        <v>0.35</v>
      </c>
      <c r="BR110" s="436">
        <v>0.35</v>
      </c>
      <c r="BS110" s="436">
        <v>0.35</v>
      </c>
      <c r="BT110" s="436">
        <v>0.35</v>
      </c>
      <c r="BU110" s="436">
        <v>0.35</v>
      </c>
      <c r="BV110" s="436">
        <v>0.35</v>
      </c>
      <c r="BW110" s="436">
        <v>0.35</v>
      </c>
      <c r="BX110" s="436">
        <v>0.35</v>
      </c>
      <c r="BY110" s="436">
        <v>0.35</v>
      </c>
      <c r="BZ110" s="436">
        <v>0.35</v>
      </c>
      <c r="CA110" s="436">
        <v>0.35</v>
      </c>
      <c r="CB110" s="436">
        <v>0.35</v>
      </c>
      <c r="CC110" s="436">
        <v>0.35</v>
      </c>
      <c r="CD110" s="436">
        <v>0.35</v>
      </c>
      <c r="CE110" s="436">
        <v>0.35</v>
      </c>
      <c r="CF110" s="437">
        <v>0.35</v>
      </c>
      <c r="CG110" s="297"/>
      <c r="CH110" s="8"/>
      <c r="CO110" s="8"/>
      <c r="CV110" s="282"/>
      <c r="CW110" s="282"/>
    </row>
    <row r="111" spans="1:101" ht="14.25" customHeight="1">
      <c r="A111" s="8"/>
      <c r="B111" s="8"/>
      <c r="C111" s="8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12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O111" s="8"/>
      <c r="CV111" s="282"/>
      <c r="CW111" s="282"/>
    </row>
    <row r="112" spans="1:101" ht="14.25" customHeight="1">
      <c r="A112" s="8"/>
      <c r="B112" s="8"/>
      <c r="C112" s="8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12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O112" s="8"/>
      <c r="CV112" s="282"/>
      <c r="CW112" s="282"/>
    </row>
    <row r="113" spans="1:101" ht="14.25" customHeight="1">
      <c r="A113" s="8"/>
      <c r="B113" s="415" t="s">
        <v>66</v>
      </c>
      <c r="C113" s="416">
        <f>+C19</f>
        <v>0</v>
      </c>
      <c r="D113" s="17" t="str">
        <f>+D$6</f>
        <v>F1Q05A</v>
      </c>
      <c r="E113" s="18" t="str">
        <f t="shared" ref="E113:BO113" si="462">+E$6</f>
        <v>F2Q05A</v>
      </c>
      <c r="F113" s="18" t="str">
        <f t="shared" si="462"/>
        <v>F3Q05A</v>
      </c>
      <c r="G113" s="19" t="str">
        <f t="shared" si="462"/>
        <v>F4Q05A</v>
      </c>
      <c r="H113" s="17" t="str">
        <f t="shared" si="462"/>
        <v>F1Q06A</v>
      </c>
      <c r="I113" s="18" t="str">
        <f t="shared" si="462"/>
        <v>F2Q06A</v>
      </c>
      <c r="J113" s="18" t="str">
        <f t="shared" si="462"/>
        <v>F3Q06A</v>
      </c>
      <c r="K113" s="19" t="str">
        <f t="shared" si="462"/>
        <v>F4Q06A</v>
      </c>
      <c r="L113" s="17" t="str">
        <f t="shared" si="462"/>
        <v>F1Q07A</v>
      </c>
      <c r="M113" s="18" t="str">
        <f t="shared" si="462"/>
        <v>F2Q07A</v>
      </c>
      <c r="N113" s="18" t="str">
        <f t="shared" si="462"/>
        <v>F3Q07A</v>
      </c>
      <c r="O113" s="18" t="str">
        <f t="shared" si="462"/>
        <v>F4Q07A</v>
      </c>
      <c r="P113" s="17" t="str">
        <f t="shared" si="462"/>
        <v>F1Q08A</v>
      </c>
      <c r="Q113" s="18" t="str">
        <f t="shared" si="462"/>
        <v>F2Q08A</v>
      </c>
      <c r="R113" s="18" t="str">
        <f t="shared" si="462"/>
        <v>F3Q08A</v>
      </c>
      <c r="S113" s="18" t="str">
        <f t="shared" si="462"/>
        <v>F4Q08A</v>
      </c>
      <c r="T113" s="17" t="str">
        <f t="shared" si="462"/>
        <v>F1Q09A</v>
      </c>
      <c r="U113" s="18" t="str">
        <f t="shared" si="462"/>
        <v>F2Q09A</v>
      </c>
      <c r="V113" s="18" t="str">
        <f t="shared" si="462"/>
        <v>F3Q09A</v>
      </c>
      <c r="W113" s="19" t="str">
        <f t="shared" si="462"/>
        <v>F4Q09A</v>
      </c>
      <c r="X113" s="18" t="str">
        <f t="shared" si="462"/>
        <v>F1Q10A</v>
      </c>
      <c r="Y113" s="18" t="str">
        <f t="shared" si="462"/>
        <v>F2Q10A</v>
      </c>
      <c r="Z113" s="18" t="str">
        <f t="shared" si="462"/>
        <v>F3Q10A</v>
      </c>
      <c r="AA113" s="19" t="str">
        <f t="shared" si="462"/>
        <v>F4Q10A</v>
      </c>
      <c r="AB113" s="18" t="str">
        <f t="shared" si="462"/>
        <v>F1Q11A</v>
      </c>
      <c r="AC113" s="18" t="str">
        <f t="shared" si="462"/>
        <v>F2Q11A</v>
      </c>
      <c r="AD113" s="18" t="str">
        <f t="shared" si="462"/>
        <v>F3Q11A</v>
      </c>
      <c r="AE113" s="18" t="str">
        <f t="shared" si="462"/>
        <v>F4Q11A</v>
      </c>
      <c r="AF113" s="17" t="str">
        <f t="shared" si="462"/>
        <v>F1Q12A</v>
      </c>
      <c r="AG113" s="18" t="str">
        <f t="shared" si="462"/>
        <v>F2Q12A</v>
      </c>
      <c r="AH113" s="18" t="str">
        <f t="shared" si="462"/>
        <v>F3Q12A</v>
      </c>
      <c r="AI113" s="19" t="str">
        <f t="shared" si="462"/>
        <v>F4Q12A</v>
      </c>
      <c r="AJ113" s="17" t="str">
        <f t="shared" si="462"/>
        <v>F1Q13A</v>
      </c>
      <c r="AK113" s="18" t="str">
        <f t="shared" si="462"/>
        <v>F2Q13A</v>
      </c>
      <c r="AL113" s="18" t="str">
        <f t="shared" si="462"/>
        <v>F3Q13A</v>
      </c>
      <c r="AM113" s="19" t="str">
        <f t="shared" si="462"/>
        <v>F4Q13A</v>
      </c>
      <c r="AN113" s="18" t="str">
        <f t="shared" si="462"/>
        <v>F1Q14A</v>
      </c>
      <c r="AO113" s="18" t="str">
        <f t="shared" si="462"/>
        <v>F2Q14A</v>
      </c>
      <c r="AP113" s="18" t="str">
        <f t="shared" si="462"/>
        <v>F3Q14A</v>
      </c>
      <c r="AQ113" s="19" t="str">
        <f t="shared" si="462"/>
        <v>F4Q14A</v>
      </c>
      <c r="AR113" s="18" t="str">
        <f t="shared" si="462"/>
        <v>F1Q15A</v>
      </c>
      <c r="AS113" s="18" t="str">
        <f t="shared" si="462"/>
        <v>F2Q15A</v>
      </c>
      <c r="AT113" s="18" t="str">
        <f t="shared" si="462"/>
        <v>F3Q15A</v>
      </c>
      <c r="AU113" s="19" t="str">
        <f t="shared" si="462"/>
        <v>F4Q15A</v>
      </c>
      <c r="AV113" s="18" t="str">
        <f t="shared" si="462"/>
        <v>F1Q16A</v>
      </c>
      <c r="AW113" s="18" t="str">
        <f t="shared" si="462"/>
        <v>F2Q16A</v>
      </c>
      <c r="AX113" s="18" t="str">
        <f t="shared" si="462"/>
        <v>F3Q16A</v>
      </c>
      <c r="AY113" s="19" t="str">
        <f t="shared" si="462"/>
        <v>F4Q16A</v>
      </c>
      <c r="AZ113" s="18" t="str">
        <f t="shared" si="462"/>
        <v>F1Q17A</v>
      </c>
      <c r="BA113" s="18" t="str">
        <f t="shared" si="462"/>
        <v>F2Q17A</v>
      </c>
      <c r="BB113" s="18" t="str">
        <f t="shared" si="462"/>
        <v>F3Q17A</v>
      </c>
      <c r="BC113" s="19" t="str">
        <f t="shared" si="462"/>
        <v>F4Q17A</v>
      </c>
      <c r="BD113" s="18" t="str">
        <f t="shared" si="462"/>
        <v>F1Q18A</v>
      </c>
      <c r="BE113" s="18" t="str">
        <f t="shared" si="462"/>
        <v>F2Q18E</v>
      </c>
      <c r="BF113" s="18" t="str">
        <f t="shared" si="462"/>
        <v>F3Q18E</v>
      </c>
      <c r="BG113" s="19" t="str">
        <f t="shared" si="462"/>
        <v>F4Q18E</v>
      </c>
      <c r="BH113" s="18" t="str">
        <f t="shared" si="462"/>
        <v>F1Q19E</v>
      </c>
      <c r="BI113" s="18" t="str">
        <f t="shared" si="462"/>
        <v>F2Q19E</v>
      </c>
      <c r="BJ113" s="18" t="str">
        <f t="shared" si="462"/>
        <v>F3Q19E</v>
      </c>
      <c r="BK113" s="19" t="str">
        <f t="shared" si="462"/>
        <v>F4Q19E</v>
      </c>
      <c r="BL113" s="18" t="str">
        <f t="shared" si="462"/>
        <v>F1Q20E</v>
      </c>
      <c r="BM113" s="18" t="str">
        <f t="shared" si="462"/>
        <v>F2Q20E</v>
      </c>
      <c r="BN113" s="18" t="str">
        <f t="shared" si="462"/>
        <v>F3Q20E</v>
      </c>
      <c r="BO113" s="19" t="str">
        <f t="shared" si="462"/>
        <v>F4Q20E</v>
      </c>
      <c r="BP113" s="152"/>
      <c r="BQ113" s="17" t="str">
        <f>+BQ$6</f>
        <v>FY2005A</v>
      </c>
      <c r="BR113" s="18" t="str">
        <f t="shared" ref="BR113:CF113" si="463">+BR$6</f>
        <v>FY2006A</v>
      </c>
      <c r="BS113" s="18" t="str">
        <f t="shared" si="463"/>
        <v>FY2007A</v>
      </c>
      <c r="BT113" s="18" t="str">
        <f t="shared" si="463"/>
        <v>FY2008A</v>
      </c>
      <c r="BU113" s="18" t="str">
        <f t="shared" si="463"/>
        <v>FY2009A</v>
      </c>
      <c r="BV113" s="18" t="str">
        <f t="shared" si="463"/>
        <v>FY2010A</v>
      </c>
      <c r="BW113" s="18" t="str">
        <f t="shared" si="463"/>
        <v>FY2011A</v>
      </c>
      <c r="BX113" s="18" t="str">
        <f t="shared" si="463"/>
        <v>FY2012A</v>
      </c>
      <c r="BY113" s="18" t="str">
        <f t="shared" si="463"/>
        <v>FY2013A</v>
      </c>
      <c r="BZ113" s="18" t="str">
        <f t="shared" si="463"/>
        <v>FY2014A</v>
      </c>
      <c r="CA113" s="18" t="str">
        <f t="shared" si="463"/>
        <v>FY2015A</v>
      </c>
      <c r="CB113" s="18" t="str">
        <f t="shared" si="463"/>
        <v>FY2016A</v>
      </c>
      <c r="CC113" s="18" t="str">
        <f t="shared" si="463"/>
        <v>FY2017E</v>
      </c>
      <c r="CD113" s="18" t="str">
        <f t="shared" si="463"/>
        <v>FY2018E</v>
      </c>
      <c r="CE113" s="18" t="str">
        <f t="shared" si="463"/>
        <v>FY2019E</v>
      </c>
      <c r="CF113" s="19" t="str">
        <f t="shared" si="463"/>
        <v>FY2020E</v>
      </c>
      <c r="CG113" s="342"/>
      <c r="CH113" s="12"/>
      <c r="CO113" s="8"/>
      <c r="CV113" s="282"/>
      <c r="CW113" s="282"/>
    </row>
    <row r="114" spans="1:101" ht="14.25" customHeight="1">
      <c r="A114" s="8"/>
      <c r="B114" s="297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297"/>
      <c r="Q114" s="14"/>
      <c r="R114" s="14"/>
      <c r="S114" s="14"/>
      <c r="T114" s="297"/>
      <c r="U114" s="14"/>
      <c r="V114" s="14"/>
      <c r="W114" s="224"/>
      <c r="X114" s="14"/>
      <c r="Y114" s="14"/>
      <c r="Z114" s="14"/>
      <c r="AA114" s="224"/>
      <c r="AB114" s="14"/>
      <c r="AC114" s="14"/>
      <c r="AD114" s="14"/>
      <c r="AE114" s="14"/>
      <c r="AF114" s="297"/>
      <c r="AG114" s="14"/>
      <c r="AH114" s="14"/>
      <c r="AI114" s="224"/>
      <c r="AJ114" s="297"/>
      <c r="AK114" s="14"/>
      <c r="AL114" s="14"/>
      <c r="AM114" s="224"/>
      <c r="AN114" s="14"/>
      <c r="AO114" s="14"/>
      <c r="AP114" s="14"/>
      <c r="AQ114" s="224"/>
      <c r="AR114" s="14"/>
      <c r="AS114" s="14"/>
      <c r="AT114" s="14"/>
      <c r="AU114" s="224"/>
      <c r="AV114" s="14"/>
      <c r="AW114" s="14"/>
      <c r="AX114" s="14"/>
      <c r="AY114" s="224"/>
      <c r="AZ114" s="14"/>
      <c r="BA114" s="14"/>
      <c r="BB114" s="14"/>
      <c r="BC114" s="224"/>
      <c r="BD114" s="14"/>
      <c r="BE114" s="14"/>
      <c r="BF114" s="14"/>
      <c r="BG114" s="224"/>
      <c r="BH114" s="14"/>
      <c r="BI114" s="14"/>
      <c r="BJ114" s="14"/>
      <c r="BK114" s="224"/>
      <c r="BL114" s="14"/>
      <c r="BM114" s="14"/>
      <c r="BN114" s="14"/>
      <c r="BO114" s="224"/>
      <c r="BP114" s="152"/>
      <c r="BQ114" s="342"/>
      <c r="BR114" s="54"/>
      <c r="BS114" s="54"/>
      <c r="BT114" s="54"/>
      <c r="BU114" s="54"/>
      <c r="BV114" s="54"/>
      <c r="BW114" s="54"/>
      <c r="BX114" s="54"/>
      <c r="BY114" s="54"/>
      <c r="BZ114" s="54"/>
      <c r="CA114" s="54"/>
      <c r="CB114" s="54"/>
      <c r="CC114" s="54"/>
      <c r="CD114" s="54"/>
      <c r="CE114" s="54"/>
      <c r="CF114" s="21"/>
      <c r="CG114" s="342"/>
      <c r="CH114" s="12"/>
      <c r="CO114" s="8"/>
      <c r="CV114" s="282"/>
      <c r="CW114" s="282"/>
    </row>
    <row r="115" spans="1:101" ht="14.25" customHeight="1">
      <c r="A115" s="438"/>
      <c r="B115" s="439" t="s">
        <v>278</v>
      </c>
      <c r="C115" s="440"/>
      <c r="D115" s="440">
        <f t="shared" ref="D115:AI115" si="464">+D55</f>
        <v>413</v>
      </c>
      <c r="E115" s="440">
        <f t="shared" si="464"/>
        <v>602</v>
      </c>
      <c r="F115" s="440">
        <f t="shared" si="464"/>
        <v>761</v>
      </c>
      <c r="G115" s="440">
        <f t="shared" si="464"/>
        <v>760</v>
      </c>
      <c r="H115" s="440">
        <f t="shared" si="464"/>
        <v>718</v>
      </c>
      <c r="I115" s="440">
        <f t="shared" si="464"/>
        <v>953</v>
      </c>
      <c r="J115" s="440">
        <f t="shared" si="464"/>
        <v>930</v>
      </c>
      <c r="K115" s="440">
        <f t="shared" si="464"/>
        <v>767</v>
      </c>
      <c r="L115" s="440">
        <f t="shared" si="464"/>
        <v>694</v>
      </c>
      <c r="M115" s="440">
        <f t="shared" si="464"/>
        <v>826</v>
      </c>
      <c r="N115" s="440">
        <f t="shared" si="464"/>
        <v>989</v>
      </c>
      <c r="O115" s="440">
        <f t="shared" si="464"/>
        <v>1002</v>
      </c>
      <c r="P115" s="441">
        <f t="shared" si="464"/>
        <v>807</v>
      </c>
      <c r="Q115" s="440">
        <f t="shared" si="464"/>
        <v>833</v>
      </c>
      <c r="R115" s="440">
        <f t="shared" si="464"/>
        <v>746</v>
      </c>
      <c r="S115" s="440">
        <f t="shared" si="464"/>
        <v>305</v>
      </c>
      <c r="T115" s="441">
        <f t="shared" si="464"/>
        <v>115</v>
      </c>
      <c r="U115" s="440">
        <f t="shared" si="464"/>
        <v>428</v>
      </c>
      <c r="V115" s="440">
        <f t="shared" si="464"/>
        <v>773</v>
      </c>
      <c r="W115" s="442">
        <f t="shared" si="464"/>
        <v>887</v>
      </c>
      <c r="X115" s="440">
        <f t="shared" si="464"/>
        <v>960</v>
      </c>
      <c r="Y115" s="440">
        <f t="shared" si="464"/>
        <v>1124</v>
      </c>
      <c r="Z115" s="440">
        <f t="shared" si="464"/>
        <v>1231</v>
      </c>
      <c r="AA115" s="442">
        <f t="shared" si="464"/>
        <v>1088</v>
      </c>
      <c r="AB115" s="440">
        <f t="shared" si="464"/>
        <v>910</v>
      </c>
      <c r="AC115" s="440">
        <f t="shared" si="464"/>
        <v>918</v>
      </c>
      <c r="AD115" s="440">
        <f t="shared" si="464"/>
        <v>961</v>
      </c>
      <c r="AE115" s="440">
        <f t="shared" si="464"/>
        <v>733</v>
      </c>
      <c r="AF115" s="441">
        <f t="shared" si="464"/>
        <v>581</v>
      </c>
      <c r="AG115" s="440">
        <f t="shared" si="464"/>
        <v>715</v>
      </c>
      <c r="AH115" s="440">
        <f t="shared" si="464"/>
        <v>824</v>
      </c>
      <c r="AI115" s="442">
        <f t="shared" si="464"/>
        <v>590</v>
      </c>
      <c r="AJ115" s="441">
        <f t="shared" ref="AJ115:BA115" si="465">+AJ55</f>
        <v>496</v>
      </c>
      <c r="AK115" s="440">
        <f t="shared" si="465"/>
        <v>710</v>
      </c>
      <c r="AL115" s="440">
        <f t="shared" si="465"/>
        <v>946</v>
      </c>
      <c r="AM115" s="442">
        <f t="shared" si="465"/>
        <v>833</v>
      </c>
      <c r="AN115" s="440">
        <f t="shared" si="465"/>
        <v>762</v>
      </c>
      <c r="AO115" s="440">
        <f t="shared" si="465"/>
        <v>1060</v>
      </c>
      <c r="AP115" s="440">
        <f t="shared" si="465"/>
        <v>1249</v>
      </c>
      <c r="AQ115" s="442">
        <f t="shared" si="465"/>
        <v>1155</v>
      </c>
      <c r="AR115" s="440">
        <f t="shared" si="465"/>
        <v>1039</v>
      </c>
      <c r="AS115" s="440">
        <f t="shared" si="465"/>
        <v>1091</v>
      </c>
      <c r="AT115" s="440">
        <f t="shared" si="465"/>
        <v>1247</v>
      </c>
      <c r="AU115" s="442">
        <f t="shared" si="465"/>
        <v>1155</v>
      </c>
      <c r="AV115" s="440">
        <f t="shared" si="465"/>
        <v>1050</v>
      </c>
      <c r="AW115" s="440">
        <f>+AW55</f>
        <v>1198</v>
      </c>
      <c r="AX115" s="440">
        <f>+AX55</f>
        <v>1476</v>
      </c>
      <c r="AY115" s="442">
        <f t="shared" ref="AY115:AZ115" si="466">+AY55</f>
        <v>1379</v>
      </c>
      <c r="AZ115" s="440">
        <f t="shared" si="466"/>
        <v>1336</v>
      </c>
      <c r="BA115" s="440">
        <f t="shared" si="465"/>
        <v>1562</v>
      </c>
      <c r="BB115" s="440">
        <f>+BB55</f>
        <v>1869</v>
      </c>
      <c r="BC115" s="442">
        <f t="shared" ref="BC115" si="467">+BC55</f>
        <v>1645</v>
      </c>
      <c r="BD115" s="440">
        <f t="shared" ref="BD115:BG115" si="468">+BD55</f>
        <v>1629</v>
      </c>
      <c r="BE115" s="440">
        <f t="shared" si="468"/>
        <v>1715.3088283849929</v>
      </c>
      <c r="BF115" s="440">
        <f t="shared" si="468"/>
        <v>1857.2890869628154</v>
      </c>
      <c r="BG115" s="442">
        <f t="shared" si="468"/>
        <v>1745.7390896439028</v>
      </c>
      <c r="BH115" s="440">
        <f t="shared" ref="BH115:BK115" si="469">+BH55</f>
        <v>1633.4463659019398</v>
      </c>
      <c r="BI115" s="440">
        <f t="shared" si="469"/>
        <v>1788.8030484253441</v>
      </c>
      <c r="BJ115" s="440">
        <f t="shared" si="469"/>
        <v>1974.9660626155401</v>
      </c>
      <c r="BK115" s="442">
        <f t="shared" si="469"/>
        <v>1794.1532227068838</v>
      </c>
      <c r="BL115" s="440">
        <f t="shared" ref="BL115:BO115" si="470">+BL55</f>
        <v>1729.6619513585783</v>
      </c>
      <c r="BM115" s="440">
        <f t="shared" si="470"/>
        <v>1922.981662475775</v>
      </c>
      <c r="BN115" s="440">
        <f t="shared" si="470"/>
        <v>2108.0643045267007</v>
      </c>
      <c r="BO115" s="442">
        <f t="shared" si="470"/>
        <v>1932.1522894034983</v>
      </c>
      <c r="BP115" s="1151"/>
      <c r="BQ115" s="444">
        <f t="shared" ref="BQ115:CC115" si="471">+BQ55</f>
        <v>2536</v>
      </c>
      <c r="BR115" s="445">
        <f t="shared" si="471"/>
        <v>3368</v>
      </c>
      <c r="BS115" s="445">
        <f t="shared" si="471"/>
        <v>3511</v>
      </c>
      <c r="BT115" s="445">
        <f t="shared" si="471"/>
        <v>2691</v>
      </c>
      <c r="BU115" s="445">
        <f t="shared" si="471"/>
        <v>2203</v>
      </c>
      <c r="BV115" s="445">
        <f t="shared" si="471"/>
        <v>4403</v>
      </c>
      <c r="BW115" s="445">
        <f t="shared" si="471"/>
        <v>3522</v>
      </c>
      <c r="BX115" s="445">
        <f t="shared" si="471"/>
        <v>2710</v>
      </c>
      <c r="BY115" s="445">
        <f t="shared" si="471"/>
        <v>2985</v>
      </c>
      <c r="BZ115" s="445">
        <f t="shared" si="471"/>
        <v>4226</v>
      </c>
      <c r="CA115" s="445">
        <f t="shared" si="471"/>
        <v>4532</v>
      </c>
      <c r="CB115" s="445">
        <f t="shared" si="471"/>
        <v>5103</v>
      </c>
      <c r="CC115" s="445">
        <f t="shared" si="471"/>
        <v>6412</v>
      </c>
      <c r="CD115" s="445">
        <f t="shared" ref="CD115:CE115" si="472">+CD55</f>
        <v>6947.3370049917121</v>
      </c>
      <c r="CE115" s="445">
        <f t="shared" si="472"/>
        <v>7191.3686996497054</v>
      </c>
      <c r="CF115" s="446">
        <f t="shared" ref="CF115" si="473">+CF55</f>
        <v>7692.8602077645537</v>
      </c>
      <c r="CG115" s="364"/>
      <c r="CV115" s="282"/>
      <c r="CW115" s="282"/>
    </row>
    <row r="116" spans="1:101" ht="14.25" customHeight="1">
      <c r="A116" s="447"/>
      <c r="B116" s="448" t="s">
        <v>78</v>
      </c>
      <c r="C116" s="449"/>
      <c r="D116" s="449">
        <f>+CFS!D13</f>
        <v>341</v>
      </c>
      <c r="E116" s="449">
        <f>+CFS!E13</f>
        <v>337</v>
      </c>
      <c r="F116" s="449">
        <f>+CFS!F13</f>
        <v>332</v>
      </c>
      <c r="G116" s="449">
        <f>+CFS!G13</f>
        <v>336</v>
      </c>
      <c r="H116" s="449">
        <f>+CFS!H13</f>
        <v>270</v>
      </c>
      <c r="I116" s="449">
        <f>+CFS!I13</f>
        <v>267</v>
      </c>
      <c r="J116" s="449">
        <f>+CFS!J13</f>
        <v>266</v>
      </c>
      <c r="K116" s="449">
        <f>+CFS!K13</f>
        <v>249</v>
      </c>
      <c r="L116" s="449">
        <f>+CFS!L13</f>
        <v>252</v>
      </c>
      <c r="M116" s="449">
        <f>+CFS!M13</f>
        <v>256</v>
      </c>
      <c r="N116" s="449">
        <f>+CFS!N13</f>
        <v>262</v>
      </c>
      <c r="O116" s="449">
        <f>+CFS!O13</f>
        <v>252</v>
      </c>
      <c r="P116" s="450">
        <f>+CFS!P13</f>
        <v>241</v>
      </c>
      <c r="Q116" s="449">
        <f>+CFS!Q13</f>
        <v>246</v>
      </c>
      <c r="R116" s="449">
        <f>+CFS!R13</f>
        <v>251</v>
      </c>
      <c r="S116" s="449">
        <f>+CFS!S13</f>
        <v>284</v>
      </c>
      <c r="T116" s="450">
        <f>+CFS!T13</f>
        <v>230</v>
      </c>
      <c r="U116" s="449">
        <f>+CFS!U13</f>
        <v>221</v>
      </c>
      <c r="V116" s="449">
        <f>+CFS!V13</f>
        <v>217</v>
      </c>
      <c r="W116" s="451">
        <f>+CFS!W13</f>
        <v>209</v>
      </c>
      <c r="X116" s="449">
        <f>+CFS!X13</f>
        <v>211</v>
      </c>
      <c r="Y116" s="449">
        <f>+CFS!Y13</f>
        <v>215</v>
      </c>
      <c r="Z116" s="449">
        <f>+CFS!Z13</f>
        <v>213</v>
      </c>
      <c r="AA116" s="451">
        <f>+CFS!AA13</f>
        <v>226</v>
      </c>
      <c r="AB116" s="449">
        <f>+CFS!AB13</f>
        <v>224</v>
      </c>
      <c r="AC116" s="449">
        <f>+CFS!AC13</f>
        <v>220</v>
      </c>
      <c r="AD116" s="449">
        <f>+CFS!AD13</f>
        <v>213</v>
      </c>
      <c r="AE116" s="449">
        <f>+CFS!AE13</f>
        <v>247</v>
      </c>
      <c r="AF116" s="450">
        <f>+CFS!AF13</f>
        <v>243</v>
      </c>
      <c r="AG116" s="449">
        <f>+CFS!AG13</f>
        <v>241</v>
      </c>
      <c r="AH116" s="449">
        <f>+CFS!AH13</f>
        <v>241</v>
      </c>
      <c r="AI116" s="451">
        <f>+CFS!AI13</f>
        <v>232</v>
      </c>
      <c r="AJ116" s="450">
        <f>+CFS!AJ13</f>
        <v>228</v>
      </c>
      <c r="AK116" s="449">
        <f>+CFS!AK13</f>
        <v>221</v>
      </c>
      <c r="AL116" s="449">
        <f>+CFS!AL13</f>
        <v>217</v>
      </c>
      <c r="AM116" s="451">
        <f>+CFS!AM13</f>
        <v>213</v>
      </c>
      <c r="AN116" s="449">
        <f>+CFS!AN13</f>
        <v>213</v>
      </c>
      <c r="AO116" s="449">
        <f>+CFS!AO13</f>
        <v>213</v>
      </c>
      <c r="AP116" s="449">
        <f>+CFS!AP13</f>
        <v>213</v>
      </c>
      <c r="AQ116" s="451">
        <f>+CFS!AQ13</f>
        <v>211</v>
      </c>
      <c r="AR116" s="449">
        <f>+CFS!AR13</f>
        <v>203</v>
      </c>
      <c r="AS116" s="449">
        <f>+CFS!AS13</f>
        <v>198</v>
      </c>
      <c r="AT116" s="449">
        <f>+CFS!AT13</f>
        <v>193</v>
      </c>
      <c r="AU116" s="451">
        <f>+CFS!AU13</f>
        <v>172</v>
      </c>
      <c r="AV116" s="449">
        <f>+CFS!AV13</f>
        <v>161</v>
      </c>
      <c r="AW116" s="449">
        <f>+CFS!AW13</f>
        <v>155</v>
      </c>
      <c r="AX116" s="449">
        <f>+CFS!AX13</f>
        <v>150</v>
      </c>
      <c r="AY116" s="451">
        <f>+CFS!AY13</f>
        <v>139</v>
      </c>
      <c r="AZ116" s="449">
        <f>+CFS!AZ13</f>
        <v>139</v>
      </c>
      <c r="BA116" s="449">
        <f>+CFS!BA13</f>
        <v>134</v>
      </c>
      <c r="BB116" s="449">
        <f>+CFS!BB13</f>
        <v>133</v>
      </c>
      <c r="BC116" s="451">
        <f>+CFS!BC13</f>
        <v>133</v>
      </c>
      <c r="BD116" s="449">
        <f>+CFS!BD13</f>
        <v>137</v>
      </c>
      <c r="BE116" s="449">
        <f>+CFS!BE13</f>
        <v>129</v>
      </c>
      <c r="BF116" s="449">
        <f>+CFS!BF13</f>
        <v>128</v>
      </c>
      <c r="BG116" s="451">
        <f>+CFS!BG13</f>
        <v>128</v>
      </c>
      <c r="BH116" s="449">
        <f>+CFS!BH13</f>
        <v>132</v>
      </c>
      <c r="BI116" s="449">
        <f>+CFS!BI13</f>
        <v>124</v>
      </c>
      <c r="BJ116" s="449">
        <f>+CFS!BJ13</f>
        <v>123</v>
      </c>
      <c r="BK116" s="451">
        <f>+CFS!BK13</f>
        <v>123</v>
      </c>
      <c r="BL116" s="449">
        <f>+CFS!BL13</f>
        <v>127</v>
      </c>
      <c r="BM116" s="449">
        <f>+CFS!BM13</f>
        <v>119</v>
      </c>
      <c r="BN116" s="449">
        <f>+CFS!BN13</f>
        <v>118</v>
      </c>
      <c r="BO116" s="451">
        <f>+CFS!BO13</f>
        <v>118</v>
      </c>
      <c r="BP116" s="1152"/>
      <c r="BQ116" s="453">
        <f>+CFS!BQ13</f>
        <v>1346</v>
      </c>
      <c r="BR116" s="454">
        <f>+CFS!BR13</f>
        <v>1052</v>
      </c>
      <c r="BS116" s="454">
        <f>+CFS!BS13</f>
        <v>1022</v>
      </c>
      <c r="BT116" s="454">
        <f>+CFS!BT13</f>
        <v>1022</v>
      </c>
      <c r="BU116" s="454">
        <f>+CFS!BU13</f>
        <v>877</v>
      </c>
      <c r="BV116" s="454">
        <f>+CFS!BV13</f>
        <v>865</v>
      </c>
      <c r="BW116" s="454">
        <f>+CFS!BW13</f>
        <v>904</v>
      </c>
      <c r="BX116" s="454">
        <f>+CFS!BX13</f>
        <v>957</v>
      </c>
      <c r="BY116" s="454">
        <f>+CFS!BY13</f>
        <v>879</v>
      </c>
      <c r="BZ116" s="454">
        <f>+CFS!BZ13</f>
        <v>850</v>
      </c>
      <c r="CA116" s="454">
        <f>+CFS!CA13</f>
        <v>766</v>
      </c>
      <c r="CB116" s="454">
        <f>+CFS!CB13</f>
        <v>605</v>
      </c>
      <c r="CC116" s="454">
        <f>+CFS!CC13</f>
        <v>539</v>
      </c>
      <c r="CD116" s="454">
        <f>+CFS!CD13</f>
        <v>522</v>
      </c>
      <c r="CE116" s="454">
        <f>+CFS!CE13</f>
        <v>502</v>
      </c>
      <c r="CF116" s="455">
        <f>+CFS!CG13</f>
        <v>0</v>
      </c>
      <c r="CG116" s="364"/>
      <c r="CV116" s="282"/>
      <c r="CW116" s="282"/>
    </row>
    <row r="117" spans="1:101" ht="14.25" customHeight="1">
      <c r="A117" s="456"/>
      <c r="B117" s="457" t="s">
        <v>80</v>
      </c>
      <c r="C117" s="458"/>
      <c r="D117" s="458">
        <f>+SUM(D115:D116)</f>
        <v>754</v>
      </c>
      <c r="E117" s="458">
        <f t="shared" ref="E117:AQ117" si="474">+SUM(E115:E116)</f>
        <v>939</v>
      </c>
      <c r="F117" s="458">
        <f t="shared" si="474"/>
        <v>1093</v>
      </c>
      <c r="G117" s="458">
        <f t="shared" si="474"/>
        <v>1096</v>
      </c>
      <c r="H117" s="458">
        <f t="shared" si="474"/>
        <v>988</v>
      </c>
      <c r="I117" s="458">
        <f t="shared" si="474"/>
        <v>1220</v>
      </c>
      <c r="J117" s="458">
        <f t="shared" si="474"/>
        <v>1196</v>
      </c>
      <c r="K117" s="458">
        <f t="shared" si="474"/>
        <v>1016</v>
      </c>
      <c r="L117" s="458">
        <f t="shared" si="474"/>
        <v>946</v>
      </c>
      <c r="M117" s="458">
        <f t="shared" si="474"/>
        <v>1082</v>
      </c>
      <c r="N117" s="458">
        <f t="shared" si="474"/>
        <v>1251</v>
      </c>
      <c r="O117" s="458">
        <f t="shared" si="474"/>
        <v>1254</v>
      </c>
      <c r="P117" s="459">
        <f t="shared" si="474"/>
        <v>1048</v>
      </c>
      <c r="Q117" s="458">
        <f t="shared" si="474"/>
        <v>1079</v>
      </c>
      <c r="R117" s="458">
        <f t="shared" si="474"/>
        <v>997</v>
      </c>
      <c r="S117" s="458">
        <f t="shared" si="474"/>
        <v>589</v>
      </c>
      <c r="T117" s="459">
        <f t="shared" si="474"/>
        <v>345</v>
      </c>
      <c r="U117" s="458">
        <f t="shared" si="474"/>
        <v>649</v>
      </c>
      <c r="V117" s="458">
        <f t="shared" si="474"/>
        <v>990</v>
      </c>
      <c r="W117" s="460">
        <f t="shared" si="474"/>
        <v>1096</v>
      </c>
      <c r="X117" s="458">
        <f t="shared" si="474"/>
        <v>1171</v>
      </c>
      <c r="Y117" s="458">
        <f t="shared" si="474"/>
        <v>1339</v>
      </c>
      <c r="Z117" s="458">
        <f t="shared" si="474"/>
        <v>1444</v>
      </c>
      <c r="AA117" s="460">
        <f t="shared" si="474"/>
        <v>1314</v>
      </c>
      <c r="AB117" s="458">
        <f t="shared" si="474"/>
        <v>1134</v>
      </c>
      <c r="AC117" s="458">
        <f t="shared" si="474"/>
        <v>1138</v>
      </c>
      <c r="AD117" s="458">
        <f t="shared" si="474"/>
        <v>1174</v>
      </c>
      <c r="AE117" s="458">
        <f t="shared" si="474"/>
        <v>980</v>
      </c>
      <c r="AF117" s="459">
        <f t="shared" si="474"/>
        <v>824</v>
      </c>
      <c r="AG117" s="458">
        <f t="shared" si="474"/>
        <v>956</v>
      </c>
      <c r="AH117" s="458">
        <f t="shared" si="474"/>
        <v>1065</v>
      </c>
      <c r="AI117" s="460">
        <f t="shared" si="474"/>
        <v>822</v>
      </c>
      <c r="AJ117" s="459">
        <f t="shared" si="474"/>
        <v>724</v>
      </c>
      <c r="AK117" s="458">
        <f t="shared" si="474"/>
        <v>931</v>
      </c>
      <c r="AL117" s="458">
        <f t="shared" si="474"/>
        <v>1163</v>
      </c>
      <c r="AM117" s="460">
        <f t="shared" si="474"/>
        <v>1046</v>
      </c>
      <c r="AN117" s="458">
        <f t="shared" si="474"/>
        <v>975</v>
      </c>
      <c r="AO117" s="458">
        <f>+SUM(AO115:AO116)</f>
        <v>1273</v>
      </c>
      <c r="AP117" s="458">
        <f t="shared" si="474"/>
        <v>1462</v>
      </c>
      <c r="AQ117" s="460">
        <f t="shared" si="474"/>
        <v>1366</v>
      </c>
      <c r="AR117" s="458">
        <f t="shared" ref="AR117:AU117" si="475">+SUM(AR115:AR116)</f>
        <v>1242</v>
      </c>
      <c r="AS117" s="458">
        <f t="shared" si="475"/>
        <v>1289</v>
      </c>
      <c r="AT117" s="458">
        <f t="shared" si="475"/>
        <v>1440</v>
      </c>
      <c r="AU117" s="460">
        <f t="shared" si="475"/>
        <v>1327</v>
      </c>
      <c r="AV117" s="458">
        <f>+SUM(AV115:AV116)</f>
        <v>1211</v>
      </c>
      <c r="AW117" s="458">
        <f>+SUM(AW115:AW116)</f>
        <v>1353</v>
      </c>
      <c r="AX117" s="458">
        <f>+SUM(AX115:AX116)</f>
        <v>1626</v>
      </c>
      <c r="AY117" s="460">
        <f t="shared" ref="AY117" si="476">+SUM(AY115:AY116)</f>
        <v>1518</v>
      </c>
      <c r="AZ117" s="458">
        <f>+SUM(AZ115:AZ116)</f>
        <v>1475</v>
      </c>
      <c r="BA117" s="458">
        <f t="shared" ref="BA117:BG117" si="477">+SUM(BA115:BA116)</f>
        <v>1696</v>
      </c>
      <c r="BB117" s="458">
        <f>+SUM(BB115:BB116)</f>
        <v>2002</v>
      </c>
      <c r="BC117" s="460">
        <f t="shared" ref="BC117" si="478">+SUM(BC115:BC116)</f>
        <v>1778</v>
      </c>
      <c r="BD117" s="458">
        <f t="shared" si="477"/>
        <v>1766</v>
      </c>
      <c r="BE117" s="458">
        <f t="shared" si="477"/>
        <v>1844.3088283849929</v>
      </c>
      <c r="BF117" s="458">
        <f t="shared" si="477"/>
        <v>1985.2890869628154</v>
      </c>
      <c r="BG117" s="460">
        <f t="shared" si="477"/>
        <v>1873.7390896439028</v>
      </c>
      <c r="BH117" s="458">
        <f t="shared" ref="BH117:BK117" si="479">+SUM(BH115:BH116)</f>
        <v>1765.4463659019398</v>
      </c>
      <c r="BI117" s="458">
        <f t="shared" si="479"/>
        <v>1912.8030484253441</v>
      </c>
      <c r="BJ117" s="458">
        <f t="shared" si="479"/>
        <v>2097.9660626155401</v>
      </c>
      <c r="BK117" s="460">
        <f t="shared" si="479"/>
        <v>1917.1532227068838</v>
      </c>
      <c r="BL117" s="458">
        <f t="shared" ref="BL117:BO117" si="480">+SUM(BL115:BL116)</f>
        <v>1856.6619513585783</v>
      </c>
      <c r="BM117" s="458">
        <f t="shared" si="480"/>
        <v>2041.981662475775</v>
      </c>
      <c r="BN117" s="458">
        <f t="shared" si="480"/>
        <v>2226.0643045267007</v>
      </c>
      <c r="BO117" s="460">
        <f t="shared" si="480"/>
        <v>2050.1522894034983</v>
      </c>
      <c r="BP117" s="1153"/>
      <c r="BQ117" s="461">
        <f t="shared" ref="BQ117:CB117" si="481">+SUM(BQ115:BQ116)</f>
        <v>3882</v>
      </c>
      <c r="BR117" s="462">
        <f t="shared" si="481"/>
        <v>4420</v>
      </c>
      <c r="BS117" s="462">
        <f t="shared" si="481"/>
        <v>4533</v>
      </c>
      <c r="BT117" s="462">
        <f t="shared" si="481"/>
        <v>3713</v>
      </c>
      <c r="BU117" s="462">
        <f t="shared" si="481"/>
        <v>3080</v>
      </c>
      <c r="BV117" s="462">
        <f t="shared" si="481"/>
        <v>5268</v>
      </c>
      <c r="BW117" s="462">
        <f t="shared" si="481"/>
        <v>4426</v>
      </c>
      <c r="BX117" s="462">
        <f t="shared" si="481"/>
        <v>3667</v>
      </c>
      <c r="BY117" s="462">
        <f t="shared" si="481"/>
        <v>3864</v>
      </c>
      <c r="BZ117" s="462">
        <f t="shared" si="481"/>
        <v>5076</v>
      </c>
      <c r="CA117" s="462">
        <f t="shared" si="481"/>
        <v>5298</v>
      </c>
      <c r="CB117" s="462">
        <f t="shared" si="481"/>
        <v>5708</v>
      </c>
      <c r="CC117" s="462">
        <f>+SUM(CC115:CC116)</f>
        <v>6951</v>
      </c>
      <c r="CD117" s="462">
        <f>+SUM(CD115:CD116)</f>
        <v>7469.3370049917121</v>
      </c>
      <c r="CE117" s="462">
        <f>+SUM(CE115:CE116)</f>
        <v>7693.3686996497054</v>
      </c>
      <c r="CF117" s="463">
        <f>+SUM(CF115:CF116)</f>
        <v>7692.8602077645537</v>
      </c>
      <c r="CG117" s="364"/>
      <c r="CV117" s="282"/>
      <c r="CW117" s="282"/>
    </row>
    <row r="118" spans="1:101" ht="14.25" customHeight="1">
      <c r="A118" s="456"/>
      <c r="B118" s="457"/>
      <c r="C118" s="458"/>
      <c r="D118" s="458"/>
      <c r="E118" s="458"/>
      <c r="F118" s="458"/>
      <c r="G118" s="458"/>
      <c r="H118" s="458"/>
      <c r="I118" s="458"/>
      <c r="J118" s="458"/>
      <c r="K118" s="458"/>
      <c r="L118" s="458"/>
      <c r="M118" s="458"/>
      <c r="N118" s="458"/>
      <c r="O118" s="458"/>
      <c r="P118" s="458"/>
      <c r="Q118" s="458"/>
      <c r="R118" s="458"/>
      <c r="S118" s="458"/>
      <c r="T118" s="458"/>
      <c r="U118" s="458"/>
      <c r="V118" s="458"/>
      <c r="W118" s="458"/>
      <c r="X118" s="458"/>
      <c r="Y118" s="458"/>
      <c r="Z118" s="458"/>
      <c r="AA118" s="458"/>
      <c r="AB118" s="458"/>
      <c r="AC118" s="458"/>
      <c r="AD118" s="458"/>
      <c r="AE118" s="458"/>
      <c r="AF118" s="459"/>
      <c r="AG118" s="458"/>
      <c r="AH118" s="458"/>
      <c r="AI118" s="460"/>
      <c r="AJ118" s="459"/>
      <c r="AK118" s="458"/>
      <c r="AL118" s="458"/>
      <c r="AM118" s="460"/>
      <c r="AN118" s="458"/>
      <c r="AO118" s="458"/>
      <c r="AP118" s="458"/>
      <c r="AQ118" s="460"/>
      <c r="AR118" s="458"/>
      <c r="AS118" s="458"/>
      <c r="AT118" s="458"/>
      <c r="AU118" s="460"/>
      <c r="AV118" s="458"/>
      <c r="AW118" s="458"/>
      <c r="AX118" s="458"/>
      <c r="AY118" s="460"/>
      <c r="AZ118" s="458"/>
      <c r="BA118" s="458"/>
      <c r="BB118" s="458"/>
      <c r="BC118" s="460"/>
      <c r="BD118" s="458"/>
      <c r="BE118" s="458"/>
      <c r="BF118" s="458"/>
      <c r="BG118" s="460"/>
      <c r="BH118" s="458"/>
      <c r="BI118" s="458"/>
      <c r="BJ118" s="458"/>
      <c r="BK118" s="460"/>
      <c r="BL118" s="458"/>
      <c r="BM118" s="458"/>
      <c r="BN118" s="458"/>
      <c r="BO118" s="460"/>
      <c r="BP118" s="1153"/>
      <c r="BQ118" s="461"/>
      <c r="BR118" s="462"/>
      <c r="BS118" s="462"/>
      <c r="BT118" s="462"/>
      <c r="BU118" s="462"/>
      <c r="BV118" s="462"/>
      <c r="BW118" s="462"/>
      <c r="BX118" s="462"/>
      <c r="BY118" s="462"/>
      <c r="BZ118" s="462"/>
      <c r="CA118" s="462"/>
      <c r="CB118" s="462"/>
      <c r="CC118" s="462"/>
      <c r="CD118" s="462"/>
      <c r="CE118" s="462"/>
      <c r="CF118" s="463"/>
      <c r="CG118" s="364"/>
      <c r="CV118" s="282"/>
      <c r="CW118" s="282"/>
    </row>
    <row r="119" spans="1:101" ht="14.25" customHeight="1">
      <c r="A119" s="438"/>
      <c r="B119" s="439" t="s">
        <v>11</v>
      </c>
      <c r="C119" s="440"/>
      <c r="D119" s="440"/>
      <c r="E119" s="440"/>
      <c r="F119" s="440"/>
      <c r="G119" s="440"/>
      <c r="H119" s="440"/>
      <c r="I119" s="440"/>
      <c r="J119" s="440"/>
      <c r="K119" s="440"/>
      <c r="L119" s="440"/>
      <c r="M119" s="440"/>
      <c r="N119" s="440"/>
      <c r="O119" s="440"/>
      <c r="P119" s="440"/>
      <c r="Q119" s="440"/>
      <c r="R119" s="440"/>
      <c r="S119" s="440"/>
      <c r="T119" s="440"/>
      <c r="U119" s="440"/>
      <c r="V119" s="440"/>
      <c r="W119" s="440"/>
      <c r="X119" s="440"/>
      <c r="Y119" s="440"/>
      <c r="Z119" s="440"/>
      <c r="AA119" s="440"/>
      <c r="AB119" s="440"/>
      <c r="AC119" s="440"/>
      <c r="AD119" s="440"/>
      <c r="AE119" s="440"/>
      <c r="AF119" s="441">
        <f t="shared" ref="AF119:BA119" si="482">+AF68</f>
        <v>546</v>
      </c>
      <c r="AG119" s="440">
        <f t="shared" si="482"/>
        <v>693</v>
      </c>
      <c r="AH119" s="440">
        <f t="shared" si="482"/>
        <v>827</v>
      </c>
      <c r="AI119" s="442">
        <f t="shared" si="482"/>
        <v>606</v>
      </c>
      <c r="AJ119" s="441">
        <f t="shared" si="482"/>
        <v>475</v>
      </c>
      <c r="AK119" s="440">
        <f t="shared" si="482"/>
        <v>686</v>
      </c>
      <c r="AL119" s="440">
        <f t="shared" si="482"/>
        <v>918</v>
      </c>
      <c r="AM119" s="442">
        <f t="shared" si="482"/>
        <v>828</v>
      </c>
      <c r="AN119" s="440">
        <f t="shared" si="482"/>
        <v>743</v>
      </c>
      <c r="AO119" s="440">
        <f t="shared" si="482"/>
        <v>1039</v>
      </c>
      <c r="AP119" s="440">
        <f t="shared" si="482"/>
        <v>1229</v>
      </c>
      <c r="AQ119" s="442">
        <f t="shared" si="482"/>
        <v>1142</v>
      </c>
      <c r="AR119" s="440">
        <f t="shared" si="482"/>
        <v>1021</v>
      </c>
      <c r="AS119" s="440">
        <f t="shared" si="482"/>
        <v>1070</v>
      </c>
      <c r="AT119" s="440">
        <f t="shared" si="482"/>
        <v>1231</v>
      </c>
      <c r="AU119" s="442">
        <f t="shared" si="482"/>
        <v>1152</v>
      </c>
      <c r="AV119" s="440">
        <f t="shared" si="482"/>
        <v>1032</v>
      </c>
      <c r="AW119" s="440">
        <f>+AW68</f>
        <v>1183</v>
      </c>
      <c r="AX119" s="440">
        <f>+AX68</f>
        <v>1462</v>
      </c>
      <c r="AY119" s="442">
        <f t="shared" ref="AY119:AZ119" si="483">+AY68</f>
        <v>1557</v>
      </c>
      <c r="AZ119" s="440">
        <f t="shared" si="483"/>
        <v>1339</v>
      </c>
      <c r="BA119" s="440">
        <f t="shared" si="482"/>
        <v>1568</v>
      </c>
      <c r="BB119" s="440">
        <f>+BB68</f>
        <v>1870</v>
      </c>
      <c r="BC119" s="442">
        <f t="shared" ref="BC119" si="484">+BC68</f>
        <v>1632</v>
      </c>
      <c r="BD119" s="440">
        <f t="shared" ref="BD119:BG119" si="485">+BD68</f>
        <v>1634</v>
      </c>
      <c r="BE119" s="440">
        <f t="shared" si="485"/>
        <v>1714.3557033849929</v>
      </c>
      <c r="BF119" s="440">
        <f t="shared" si="485"/>
        <v>1856.3359619628154</v>
      </c>
      <c r="BG119" s="442">
        <f t="shared" si="485"/>
        <v>1744.7859646439028</v>
      </c>
      <c r="BH119" s="440">
        <f t="shared" ref="BH119:BK119" si="486">+BH68</f>
        <v>1632.4463659019398</v>
      </c>
      <c r="BI119" s="440">
        <f t="shared" si="486"/>
        <v>1787.8499234253441</v>
      </c>
      <c r="BJ119" s="440">
        <f t="shared" si="486"/>
        <v>1974.0129376155401</v>
      </c>
      <c r="BK119" s="442">
        <f t="shared" si="486"/>
        <v>1793.2000977068838</v>
      </c>
      <c r="BL119" s="440">
        <f t="shared" ref="BL119:BO119" si="487">+BL68</f>
        <v>1728.6619513585783</v>
      </c>
      <c r="BM119" s="440">
        <f t="shared" si="487"/>
        <v>1922.028537475775</v>
      </c>
      <c r="BN119" s="440">
        <f t="shared" si="487"/>
        <v>2107.1111795267007</v>
      </c>
      <c r="BO119" s="442">
        <f t="shared" si="487"/>
        <v>1931.1991644034983</v>
      </c>
      <c r="BP119" s="1151"/>
      <c r="BQ119" s="444">
        <f t="shared" ref="BQ119:CC119" si="488">+BQ68</f>
        <v>2732</v>
      </c>
      <c r="BR119" s="445">
        <f t="shared" si="488"/>
        <v>3626</v>
      </c>
      <c r="BS119" s="445">
        <f t="shared" si="488"/>
        <v>3705</v>
      </c>
      <c r="BT119" s="445">
        <f t="shared" si="488"/>
        <v>2735</v>
      </c>
      <c r="BU119" s="445">
        <f t="shared" si="488"/>
        <v>2229</v>
      </c>
      <c r="BV119" s="445">
        <f t="shared" si="488"/>
        <v>4440</v>
      </c>
      <c r="BW119" s="445">
        <f t="shared" si="488"/>
        <v>3486</v>
      </c>
      <c r="BX119" s="445">
        <f t="shared" si="488"/>
        <v>2672</v>
      </c>
      <c r="BY119" s="445">
        <f t="shared" si="488"/>
        <v>2907</v>
      </c>
      <c r="BZ119" s="445">
        <f t="shared" si="488"/>
        <v>4153</v>
      </c>
      <c r="CA119" s="445">
        <f t="shared" si="488"/>
        <v>4474</v>
      </c>
      <c r="CB119" s="445">
        <f t="shared" si="488"/>
        <v>5234</v>
      </c>
      <c r="CC119" s="445">
        <f t="shared" si="488"/>
        <v>6409</v>
      </c>
      <c r="CD119" s="445">
        <f t="shared" ref="CD119:CE119" si="489">+CD68</f>
        <v>6949.4776299917121</v>
      </c>
      <c r="CE119" s="445">
        <f t="shared" si="489"/>
        <v>7187.5093246497054</v>
      </c>
      <c r="CF119" s="446">
        <f t="shared" ref="CF119" si="490">+CF68</f>
        <v>7689.0008327645537</v>
      </c>
      <c r="CG119" s="364"/>
      <c r="CV119" s="282"/>
      <c r="CW119" s="282"/>
    </row>
    <row r="120" spans="1:101" ht="14.25" customHeight="1">
      <c r="A120" s="464"/>
      <c r="B120" s="465" t="s">
        <v>70</v>
      </c>
      <c r="C120" s="466"/>
      <c r="D120" s="466"/>
      <c r="E120" s="466"/>
      <c r="F120" s="466"/>
      <c r="G120" s="466"/>
      <c r="H120" s="466"/>
      <c r="I120" s="466"/>
      <c r="J120" s="466"/>
      <c r="K120" s="466"/>
      <c r="L120" s="466"/>
      <c r="M120" s="466"/>
      <c r="N120" s="466"/>
      <c r="O120" s="466"/>
      <c r="P120" s="466"/>
      <c r="Q120" s="466"/>
      <c r="R120" s="466"/>
      <c r="S120" s="466"/>
      <c r="T120" s="466"/>
      <c r="U120" s="466"/>
      <c r="V120" s="466"/>
      <c r="W120" s="466"/>
      <c r="X120" s="466"/>
      <c r="Y120" s="466"/>
      <c r="Z120" s="466"/>
      <c r="AA120" s="466"/>
      <c r="AB120" s="466"/>
      <c r="AC120" s="466"/>
      <c r="AD120" s="466"/>
      <c r="AE120" s="466"/>
      <c r="AF120" s="467">
        <v>0.3</v>
      </c>
      <c r="AG120" s="466">
        <f>+AF120</f>
        <v>0.3</v>
      </c>
      <c r="AH120" s="466">
        <f t="shared" ref="AH120:AQ120" si="491">+AG120</f>
        <v>0.3</v>
      </c>
      <c r="AI120" s="468">
        <f t="shared" si="491"/>
        <v>0.3</v>
      </c>
      <c r="AJ120" s="469">
        <f t="shared" si="491"/>
        <v>0.3</v>
      </c>
      <c r="AK120" s="466">
        <f>+AJ120</f>
        <v>0.3</v>
      </c>
      <c r="AL120" s="466">
        <f t="shared" si="491"/>
        <v>0.3</v>
      </c>
      <c r="AM120" s="468">
        <f>+AL120</f>
        <v>0.3</v>
      </c>
      <c r="AN120" s="466">
        <f t="shared" si="491"/>
        <v>0.3</v>
      </c>
      <c r="AO120" s="466">
        <f>+AN120</f>
        <v>0.3</v>
      </c>
      <c r="AP120" s="466">
        <f t="shared" si="491"/>
        <v>0.3</v>
      </c>
      <c r="AQ120" s="468">
        <f t="shared" si="491"/>
        <v>0.3</v>
      </c>
      <c r="AR120" s="466">
        <f t="shared" ref="AR120:BC120" si="492">+AQ120</f>
        <v>0.3</v>
      </c>
      <c r="AS120" s="466">
        <f t="shared" si="492"/>
        <v>0.3</v>
      </c>
      <c r="AT120" s="466">
        <f t="shared" si="492"/>
        <v>0.3</v>
      </c>
      <c r="AU120" s="468">
        <f t="shared" si="492"/>
        <v>0.3</v>
      </c>
      <c r="AV120" s="466">
        <f t="shared" si="492"/>
        <v>0.3</v>
      </c>
      <c r="AW120" s="466">
        <f t="shared" si="492"/>
        <v>0.3</v>
      </c>
      <c r="AX120" s="466">
        <f t="shared" si="492"/>
        <v>0.3</v>
      </c>
      <c r="AY120" s="468">
        <f t="shared" si="492"/>
        <v>0.3</v>
      </c>
      <c r="AZ120" s="466">
        <f t="shared" si="492"/>
        <v>0.3</v>
      </c>
      <c r="BA120" s="466">
        <f t="shared" ref="BA120:BG120" si="493">+AZ120</f>
        <v>0.3</v>
      </c>
      <c r="BB120" s="466">
        <f t="shared" si="492"/>
        <v>0.3</v>
      </c>
      <c r="BC120" s="468">
        <f t="shared" si="492"/>
        <v>0.3</v>
      </c>
      <c r="BD120" s="466">
        <f t="shared" si="493"/>
        <v>0.3</v>
      </c>
      <c r="BE120" s="466">
        <f t="shared" si="493"/>
        <v>0.3</v>
      </c>
      <c r="BF120" s="466">
        <f t="shared" si="493"/>
        <v>0.3</v>
      </c>
      <c r="BG120" s="468">
        <f t="shared" si="493"/>
        <v>0.3</v>
      </c>
      <c r="BH120" s="466">
        <f t="shared" ref="BH120" si="494">+BG120</f>
        <v>0.3</v>
      </c>
      <c r="BI120" s="466">
        <f t="shared" ref="BI120" si="495">+BH120</f>
        <v>0.3</v>
      </c>
      <c r="BJ120" s="466">
        <f t="shared" ref="BJ120" si="496">+BI120</f>
        <v>0.3</v>
      </c>
      <c r="BK120" s="468">
        <f t="shared" ref="BK120" si="497">+BJ120</f>
        <v>0.3</v>
      </c>
      <c r="BL120" s="466">
        <f t="shared" ref="BL120" si="498">+BK120</f>
        <v>0.3</v>
      </c>
      <c r="BM120" s="466">
        <f t="shared" ref="BM120" si="499">+BL120</f>
        <v>0.3</v>
      </c>
      <c r="BN120" s="466">
        <f t="shared" ref="BN120" si="500">+BM120</f>
        <v>0.3</v>
      </c>
      <c r="BO120" s="468">
        <f t="shared" ref="BO120" si="501">+BN120</f>
        <v>0.3</v>
      </c>
      <c r="BP120" s="1154"/>
      <c r="BQ120" s="471">
        <f>+AF120</f>
        <v>0.3</v>
      </c>
      <c r="BR120" s="472">
        <f>+BQ120</f>
        <v>0.3</v>
      </c>
      <c r="BS120" s="472">
        <f t="shared" ref="BS120:CF120" si="502">+BR120</f>
        <v>0.3</v>
      </c>
      <c r="BT120" s="472">
        <f t="shared" si="502"/>
        <v>0.3</v>
      </c>
      <c r="BU120" s="472">
        <f t="shared" si="502"/>
        <v>0.3</v>
      </c>
      <c r="BV120" s="472">
        <f t="shared" si="502"/>
        <v>0.3</v>
      </c>
      <c r="BW120" s="472">
        <f t="shared" si="502"/>
        <v>0.3</v>
      </c>
      <c r="BX120" s="472">
        <f t="shared" si="502"/>
        <v>0.3</v>
      </c>
      <c r="BY120" s="472">
        <f t="shared" si="502"/>
        <v>0.3</v>
      </c>
      <c r="BZ120" s="472">
        <f t="shared" si="502"/>
        <v>0.3</v>
      </c>
      <c r="CA120" s="472">
        <f t="shared" si="502"/>
        <v>0.3</v>
      </c>
      <c r="CB120" s="472">
        <f t="shared" si="502"/>
        <v>0.3</v>
      </c>
      <c r="CC120" s="472">
        <f t="shared" si="502"/>
        <v>0.3</v>
      </c>
      <c r="CD120" s="472">
        <f t="shared" si="502"/>
        <v>0.3</v>
      </c>
      <c r="CE120" s="472">
        <f t="shared" si="502"/>
        <v>0.3</v>
      </c>
      <c r="CF120" s="473">
        <f t="shared" si="502"/>
        <v>0.3</v>
      </c>
      <c r="CG120" s="364"/>
      <c r="CV120" s="282"/>
      <c r="CW120" s="282"/>
    </row>
    <row r="121" spans="1:101" ht="14.25" customHeight="1">
      <c r="A121" s="438"/>
      <c r="B121" s="439" t="s">
        <v>67</v>
      </c>
      <c r="C121" s="440"/>
      <c r="D121" s="440"/>
      <c r="E121" s="440"/>
      <c r="F121" s="440"/>
      <c r="G121" s="440"/>
      <c r="H121" s="440"/>
      <c r="I121" s="440"/>
      <c r="J121" s="440"/>
      <c r="K121" s="440"/>
      <c r="L121" s="440"/>
      <c r="M121" s="440"/>
      <c r="N121" s="440"/>
      <c r="O121" s="440"/>
      <c r="P121" s="440"/>
      <c r="Q121" s="440"/>
      <c r="R121" s="440"/>
      <c r="S121" s="440"/>
      <c r="T121" s="440"/>
      <c r="U121" s="440"/>
      <c r="V121" s="440"/>
      <c r="W121" s="440"/>
      <c r="X121" s="440"/>
      <c r="Y121" s="440"/>
      <c r="Z121" s="440"/>
      <c r="AA121" s="440"/>
      <c r="AB121" s="440"/>
      <c r="AC121" s="440"/>
      <c r="AD121" s="440"/>
      <c r="AE121" s="440"/>
      <c r="AF121" s="441">
        <f>+AF119*(AF120)</f>
        <v>163.79999999999998</v>
      </c>
      <c r="AG121" s="440">
        <f t="shared" ref="AG121:AQ121" si="503">+AG119*(AG120)</f>
        <v>207.9</v>
      </c>
      <c r="AH121" s="440">
        <f t="shared" si="503"/>
        <v>248.1</v>
      </c>
      <c r="AI121" s="442">
        <f t="shared" si="503"/>
        <v>181.79999999999998</v>
      </c>
      <c r="AJ121" s="441">
        <f t="shared" si="503"/>
        <v>142.5</v>
      </c>
      <c r="AK121" s="440">
        <f t="shared" si="503"/>
        <v>205.79999999999998</v>
      </c>
      <c r="AL121" s="440">
        <f t="shared" si="503"/>
        <v>275.39999999999998</v>
      </c>
      <c r="AM121" s="442">
        <f t="shared" si="503"/>
        <v>248.39999999999998</v>
      </c>
      <c r="AN121" s="440">
        <f t="shared" si="503"/>
        <v>222.9</v>
      </c>
      <c r="AO121" s="440">
        <f>+AO119*(AO120)</f>
        <v>311.7</v>
      </c>
      <c r="AP121" s="440">
        <f t="shared" si="503"/>
        <v>368.7</v>
      </c>
      <c r="AQ121" s="442">
        <f t="shared" si="503"/>
        <v>342.59999999999997</v>
      </c>
      <c r="AR121" s="440">
        <f t="shared" ref="AR121:AU121" si="504">+AR119*(AR120)</f>
        <v>306.3</v>
      </c>
      <c r="AS121" s="440">
        <f t="shared" si="504"/>
        <v>321</v>
      </c>
      <c r="AT121" s="440">
        <f t="shared" si="504"/>
        <v>369.3</v>
      </c>
      <c r="AU121" s="442">
        <f t="shared" si="504"/>
        <v>345.59999999999997</v>
      </c>
      <c r="AV121" s="440">
        <f>+AV119*(AV120)</f>
        <v>309.59999999999997</v>
      </c>
      <c r="AW121" s="440">
        <f>+AW119*(AW120)</f>
        <v>354.9</v>
      </c>
      <c r="AX121" s="440">
        <f>+AX119*(AX120)</f>
        <v>438.59999999999997</v>
      </c>
      <c r="AY121" s="442">
        <f t="shared" ref="AY121" si="505">+AY119*(AY120)</f>
        <v>467.09999999999997</v>
      </c>
      <c r="AZ121" s="440">
        <f>+AZ119*(AZ120)</f>
        <v>401.7</v>
      </c>
      <c r="BA121" s="440">
        <f t="shared" ref="BA121:BG121" si="506">+BA119*(BA120)</f>
        <v>470.4</v>
      </c>
      <c r="BB121" s="440">
        <f>+BB119*(BB120)</f>
        <v>561</v>
      </c>
      <c r="BC121" s="442">
        <f t="shared" ref="BC121" si="507">+BC119*(BC120)</f>
        <v>489.59999999999997</v>
      </c>
      <c r="BD121" s="440">
        <f t="shared" si="506"/>
        <v>490.2</v>
      </c>
      <c r="BE121" s="440">
        <f t="shared" si="506"/>
        <v>514.30671101549785</v>
      </c>
      <c r="BF121" s="440">
        <f t="shared" si="506"/>
        <v>556.90078858884465</v>
      </c>
      <c r="BG121" s="442">
        <f t="shared" si="506"/>
        <v>523.43578939317081</v>
      </c>
      <c r="BH121" s="440">
        <f t="shared" ref="BH121:BK121" si="508">+BH119*(BH120)</f>
        <v>489.73390977058193</v>
      </c>
      <c r="BI121" s="440">
        <f t="shared" si="508"/>
        <v>536.35497702760324</v>
      </c>
      <c r="BJ121" s="440">
        <f t="shared" si="508"/>
        <v>592.20388128466197</v>
      </c>
      <c r="BK121" s="442">
        <f t="shared" si="508"/>
        <v>537.9600293120651</v>
      </c>
      <c r="BL121" s="440">
        <f t="shared" ref="BL121:BO121" si="509">+BL119*(BL120)</f>
        <v>518.59858540757352</v>
      </c>
      <c r="BM121" s="440">
        <f t="shared" si="509"/>
        <v>576.60856124273243</v>
      </c>
      <c r="BN121" s="440">
        <f t="shared" si="509"/>
        <v>632.1333538580102</v>
      </c>
      <c r="BO121" s="442">
        <f t="shared" si="509"/>
        <v>579.35974932104943</v>
      </c>
      <c r="BP121" s="1151"/>
      <c r="BQ121" s="444">
        <f t="shared" ref="BQ121:CB121" si="510">+BQ119*(BQ120)</f>
        <v>819.6</v>
      </c>
      <c r="BR121" s="445">
        <f t="shared" si="510"/>
        <v>1087.8</v>
      </c>
      <c r="BS121" s="445">
        <f t="shared" si="510"/>
        <v>1111.5</v>
      </c>
      <c r="BT121" s="445">
        <f t="shared" si="510"/>
        <v>820.5</v>
      </c>
      <c r="BU121" s="445">
        <f t="shared" si="510"/>
        <v>668.69999999999993</v>
      </c>
      <c r="BV121" s="445">
        <f t="shared" si="510"/>
        <v>1332</v>
      </c>
      <c r="BW121" s="445">
        <f t="shared" si="510"/>
        <v>1045.8</v>
      </c>
      <c r="BX121" s="445">
        <f t="shared" si="510"/>
        <v>801.6</v>
      </c>
      <c r="BY121" s="445">
        <f t="shared" si="510"/>
        <v>872.1</v>
      </c>
      <c r="BZ121" s="445">
        <f t="shared" si="510"/>
        <v>1245.8999999999999</v>
      </c>
      <c r="CA121" s="445">
        <f t="shared" si="510"/>
        <v>1342.2</v>
      </c>
      <c r="CB121" s="445">
        <f t="shared" si="510"/>
        <v>1570.2</v>
      </c>
      <c r="CC121" s="445">
        <f>+CC119*(CC120)</f>
        <v>1922.6999999999998</v>
      </c>
      <c r="CD121" s="445">
        <f>+CD119*(CD120)</f>
        <v>2084.8432889975134</v>
      </c>
      <c r="CE121" s="445">
        <f>+CE119*(CE120)</f>
        <v>2156.2527973949113</v>
      </c>
      <c r="CF121" s="446">
        <f>+CF119*(CF120)</f>
        <v>2306.7002498293659</v>
      </c>
      <c r="CG121" s="364"/>
      <c r="CV121" s="282"/>
      <c r="CW121" s="282"/>
    </row>
    <row r="122" spans="1:101" ht="14.25" customHeight="1">
      <c r="A122" s="447"/>
      <c r="B122" s="448" t="s">
        <v>69</v>
      </c>
      <c r="C122" s="449"/>
      <c r="D122" s="449"/>
      <c r="E122" s="449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49"/>
      <c r="V122" s="449"/>
      <c r="W122" s="449"/>
      <c r="X122" s="449"/>
      <c r="Y122" s="449"/>
      <c r="Z122" s="449"/>
      <c r="AA122" s="449"/>
      <c r="AB122" s="449"/>
      <c r="AC122" s="449"/>
      <c r="AD122" s="449"/>
      <c r="AE122" s="449"/>
      <c r="AF122" s="450">
        <f t="shared" ref="AF122:BA122" si="511">+AF76</f>
        <v>146.30386740331491</v>
      </c>
      <c r="AG122" s="449">
        <f t="shared" si="511"/>
        <v>156.40625</v>
      </c>
      <c r="AH122" s="449">
        <f t="shared" si="511"/>
        <v>55.48</v>
      </c>
      <c r="AI122" s="451">
        <f t="shared" si="511"/>
        <v>189</v>
      </c>
      <c r="AJ122" s="450">
        <f t="shared" si="511"/>
        <v>80.240641711229941</v>
      </c>
      <c r="AK122" s="449">
        <f t="shared" si="511"/>
        <v>172.66666666666666</v>
      </c>
      <c r="AL122" s="449">
        <f t="shared" si="511"/>
        <v>210.375</v>
      </c>
      <c r="AM122" s="451">
        <f t="shared" si="511"/>
        <v>469</v>
      </c>
      <c r="AN122" s="449">
        <f t="shared" si="511"/>
        <v>203.74366616989568</v>
      </c>
      <c r="AO122" s="449">
        <f t="shared" si="511"/>
        <v>300.5639958376691</v>
      </c>
      <c r="AP122" s="449">
        <f t="shared" si="511"/>
        <v>350.07878787878786</v>
      </c>
      <c r="AQ122" s="451">
        <f t="shared" si="511"/>
        <v>275.25666973321069</v>
      </c>
      <c r="AR122" s="449">
        <f t="shared" si="511"/>
        <v>308.47234042553191</v>
      </c>
      <c r="AS122" s="449">
        <f t="shared" si="511"/>
        <v>316.9969666329626</v>
      </c>
      <c r="AT122" s="449">
        <f t="shared" si="511"/>
        <v>375.30487804878049</v>
      </c>
      <c r="AU122" s="451">
        <f t="shared" si="511"/>
        <v>306.45829675153641</v>
      </c>
      <c r="AV122" s="449">
        <f t="shared" si="511"/>
        <v>259.62947368421055</v>
      </c>
      <c r="AW122" s="449">
        <f>+AW76</f>
        <v>303.80127041742287</v>
      </c>
      <c r="AX122" s="449">
        <f>+AX76</f>
        <v>384.29109341057205</v>
      </c>
      <c r="AY122" s="451">
        <f t="shared" ref="AY122:AZ122" si="512">+AY76</f>
        <v>468.0360721442886</v>
      </c>
      <c r="AZ122" s="449">
        <f t="shared" si="512"/>
        <v>275.26852589641436</v>
      </c>
      <c r="BA122" s="449">
        <f t="shared" si="511"/>
        <v>453.72812920592196</v>
      </c>
      <c r="BB122" s="449">
        <f>+BB76</f>
        <v>526.81945220793739</v>
      </c>
      <c r="BC122" s="451">
        <f t="shared" ref="BC122" si="513">+BC76</f>
        <v>469.8012903225806</v>
      </c>
      <c r="BD122" s="449">
        <f t="shared" ref="BD122:BG122" si="514">+BD76</f>
        <v>196.7533805537669</v>
      </c>
      <c r="BE122" s="449">
        <f t="shared" si="514"/>
        <v>352.87114067699861</v>
      </c>
      <c r="BF122" s="449">
        <f t="shared" si="514"/>
        <v>381.26719239256312</v>
      </c>
      <c r="BG122" s="451">
        <f t="shared" si="514"/>
        <v>353.95719292878061</v>
      </c>
      <c r="BH122" s="449">
        <f t="shared" ref="BH122:BK122" si="515">+BH76</f>
        <v>261.19141854431035</v>
      </c>
      <c r="BI122" s="449">
        <f t="shared" si="515"/>
        <v>286.05598774805509</v>
      </c>
      <c r="BJ122" s="449">
        <f t="shared" si="515"/>
        <v>315.84207001848642</v>
      </c>
      <c r="BK122" s="451">
        <f t="shared" si="515"/>
        <v>286.91201563310142</v>
      </c>
      <c r="BL122" s="449">
        <f t="shared" ref="BL122:BO122" si="516">+BL76</f>
        <v>276.58591221737254</v>
      </c>
      <c r="BM122" s="449">
        <f t="shared" si="516"/>
        <v>307.52456599612401</v>
      </c>
      <c r="BN122" s="449">
        <f t="shared" si="516"/>
        <v>337.13778872427213</v>
      </c>
      <c r="BO122" s="451">
        <f t="shared" si="516"/>
        <v>308.99186630455972</v>
      </c>
      <c r="BP122" s="1152"/>
      <c r="BQ122" s="453">
        <f t="shared" ref="BQ122:CC122" si="517">+BQ76</f>
        <v>582</v>
      </c>
      <c r="BR122" s="454">
        <f t="shared" si="517"/>
        <v>988</v>
      </c>
      <c r="BS122" s="454">
        <f t="shared" si="517"/>
        <v>1051</v>
      </c>
      <c r="BT122" s="454">
        <f t="shared" si="517"/>
        <v>561</v>
      </c>
      <c r="BU122" s="454">
        <f t="shared" si="517"/>
        <v>547</v>
      </c>
      <c r="BV122" s="454">
        <f t="shared" si="517"/>
        <v>1323</v>
      </c>
      <c r="BW122" s="454">
        <f t="shared" si="517"/>
        <v>859.71307393635288</v>
      </c>
      <c r="BX122" s="454">
        <f t="shared" si="517"/>
        <v>547.19011740331484</v>
      </c>
      <c r="BY122" s="454">
        <f t="shared" si="517"/>
        <v>932.28230837789658</v>
      </c>
      <c r="BZ122" s="454">
        <f t="shared" si="517"/>
        <v>1129.6431196195633</v>
      </c>
      <c r="CA122" s="454">
        <f t="shared" si="517"/>
        <v>1307.2324818588115</v>
      </c>
      <c r="CB122" s="454">
        <f t="shared" si="517"/>
        <v>1415.7579096564941</v>
      </c>
      <c r="CC122" s="454">
        <f t="shared" si="517"/>
        <v>1725.6173976328541</v>
      </c>
      <c r="CD122" s="454">
        <f t="shared" ref="CD122:CE122" si="518">+CD76</f>
        <v>1284.8489065521092</v>
      </c>
      <c r="CE122" s="454">
        <f t="shared" si="518"/>
        <v>1150.0014919439534</v>
      </c>
      <c r="CF122" s="455">
        <f t="shared" ref="CF122" si="519">+CF76</f>
        <v>1230.2401332423283</v>
      </c>
      <c r="CG122" s="364"/>
      <c r="CV122" s="282"/>
      <c r="CW122" s="282"/>
    </row>
    <row r="123" spans="1:101" ht="14.25" customHeight="1">
      <c r="A123" s="438"/>
      <c r="B123" s="439" t="s">
        <v>274</v>
      </c>
      <c r="C123" s="440"/>
      <c r="D123" s="440"/>
      <c r="E123" s="440"/>
      <c r="F123" s="440"/>
      <c r="G123" s="440"/>
      <c r="H123" s="440"/>
      <c r="I123" s="440"/>
      <c r="J123" s="440"/>
      <c r="K123" s="440"/>
      <c r="L123" s="440"/>
      <c r="M123" s="440"/>
      <c r="N123" s="440"/>
      <c r="O123" s="440"/>
      <c r="P123" s="440"/>
      <c r="Q123" s="440"/>
      <c r="R123" s="440"/>
      <c r="S123" s="440"/>
      <c r="T123" s="440"/>
      <c r="U123" s="440"/>
      <c r="V123" s="440"/>
      <c r="W123" s="440"/>
      <c r="X123" s="440"/>
      <c r="Y123" s="440"/>
      <c r="Z123" s="440"/>
      <c r="AA123" s="440"/>
      <c r="AB123" s="440"/>
      <c r="AC123" s="440"/>
      <c r="AD123" s="440"/>
      <c r="AE123" s="440"/>
      <c r="AF123" s="441">
        <f>+AF121-AF122</f>
        <v>17.496132596685072</v>
      </c>
      <c r="AG123" s="440">
        <f t="shared" ref="AG123:AQ123" si="520">+AG121-AG122</f>
        <v>51.493750000000006</v>
      </c>
      <c r="AH123" s="440">
        <f t="shared" si="520"/>
        <v>192.62</v>
      </c>
      <c r="AI123" s="442">
        <f t="shared" si="520"/>
        <v>-7.2000000000000171</v>
      </c>
      <c r="AJ123" s="441">
        <f t="shared" si="520"/>
        <v>62.259358288770059</v>
      </c>
      <c r="AK123" s="440">
        <f t="shared" si="520"/>
        <v>33.133333333333326</v>
      </c>
      <c r="AL123" s="440">
        <f t="shared" si="520"/>
        <v>65.024999999999977</v>
      </c>
      <c r="AM123" s="442">
        <f t="shared" si="520"/>
        <v>-220.60000000000002</v>
      </c>
      <c r="AN123" s="440">
        <f t="shared" si="520"/>
        <v>19.15633383010433</v>
      </c>
      <c r="AO123" s="440">
        <f>+AO121-AO122</f>
        <v>11.136004162330892</v>
      </c>
      <c r="AP123" s="440">
        <f t="shared" si="520"/>
        <v>18.621212121212125</v>
      </c>
      <c r="AQ123" s="442">
        <f t="shared" si="520"/>
        <v>67.34333026678928</v>
      </c>
      <c r="AR123" s="440">
        <f t="shared" ref="AR123:AU123" si="521">+AR121-AR122</f>
        <v>-2.1723404255318997</v>
      </c>
      <c r="AS123" s="440">
        <f t="shared" si="521"/>
        <v>4.0030333670374034</v>
      </c>
      <c r="AT123" s="440">
        <f t="shared" si="521"/>
        <v>-6.0048780487804834</v>
      </c>
      <c r="AU123" s="442">
        <f t="shared" si="521"/>
        <v>39.141703248463557</v>
      </c>
      <c r="AV123" s="440">
        <f>+AV121-AV122</f>
        <v>49.970526315789414</v>
      </c>
      <c r="AW123" s="440">
        <f>+AW121-AW122</f>
        <v>51.098729582577107</v>
      </c>
      <c r="AX123" s="440">
        <f>+AX121-AX122</f>
        <v>54.30890658942792</v>
      </c>
      <c r="AY123" s="442">
        <f t="shared" ref="AY123" si="522">+AY121-AY122</f>
        <v>-0.93607214428863017</v>
      </c>
      <c r="AZ123" s="440">
        <f>+AZ121-AZ122</f>
        <v>126.43147410358563</v>
      </c>
      <c r="BA123" s="440">
        <f t="shared" ref="BA123:BG123" si="523">+BA121-BA122</f>
        <v>16.671870794078018</v>
      </c>
      <c r="BB123" s="440">
        <f>+BB121-BB122</f>
        <v>34.180547792062612</v>
      </c>
      <c r="BC123" s="442">
        <f t="shared" ref="BC123" si="524">+BC121-BC122</f>
        <v>19.798709677419367</v>
      </c>
      <c r="BD123" s="440">
        <f t="shared" si="523"/>
        <v>293.44661944623306</v>
      </c>
      <c r="BE123" s="440">
        <f t="shared" si="523"/>
        <v>161.43557033849925</v>
      </c>
      <c r="BF123" s="440">
        <f t="shared" si="523"/>
        <v>175.63359619628153</v>
      </c>
      <c r="BG123" s="442">
        <f t="shared" si="523"/>
        <v>169.47859646439019</v>
      </c>
      <c r="BH123" s="440">
        <f t="shared" ref="BH123:BK123" si="525">+BH121-BH122</f>
        <v>228.54249122627158</v>
      </c>
      <c r="BI123" s="440">
        <f t="shared" si="525"/>
        <v>250.29898927954815</v>
      </c>
      <c r="BJ123" s="440">
        <f t="shared" si="525"/>
        <v>276.36181126617555</v>
      </c>
      <c r="BK123" s="442">
        <f t="shared" si="525"/>
        <v>251.04801367896368</v>
      </c>
      <c r="BL123" s="440">
        <f t="shared" ref="BL123:BO123" si="526">+BL121-BL122</f>
        <v>242.01267319020099</v>
      </c>
      <c r="BM123" s="440">
        <f t="shared" si="526"/>
        <v>269.08399524660842</v>
      </c>
      <c r="BN123" s="440">
        <f t="shared" si="526"/>
        <v>294.99556513373807</v>
      </c>
      <c r="BO123" s="442">
        <f t="shared" si="526"/>
        <v>270.36788301648971</v>
      </c>
      <c r="BP123" s="1151"/>
      <c r="BQ123" s="444">
        <f t="shared" ref="BQ123:CB123" si="527">+BQ121-BQ122</f>
        <v>237.60000000000002</v>
      </c>
      <c r="BR123" s="445">
        <f t="shared" si="527"/>
        <v>99.799999999999955</v>
      </c>
      <c r="BS123" s="445">
        <f t="shared" si="527"/>
        <v>60.5</v>
      </c>
      <c r="BT123" s="445">
        <f t="shared" si="527"/>
        <v>259.5</v>
      </c>
      <c r="BU123" s="445">
        <f t="shared" si="527"/>
        <v>121.69999999999993</v>
      </c>
      <c r="BV123" s="445">
        <f t="shared" si="527"/>
        <v>9</v>
      </c>
      <c r="BW123" s="445">
        <f t="shared" si="527"/>
        <v>186.08692606364707</v>
      </c>
      <c r="BX123" s="445">
        <f t="shared" si="527"/>
        <v>254.40988259668518</v>
      </c>
      <c r="BY123" s="445">
        <f t="shared" si="527"/>
        <v>-60.182308377896561</v>
      </c>
      <c r="BZ123" s="445">
        <f t="shared" si="527"/>
        <v>116.25688038043654</v>
      </c>
      <c r="CA123" s="445">
        <f t="shared" si="527"/>
        <v>34.967518141188521</v>
      </c>
      <c r="CB123" s="445">
        <f t="shared" si="527"/>
        <v>154.44209034350592</v>
      </c>
      <c r="CC123" s="445">
        <f>+CC121-CC122</f>
        <v>197.08260236714568</v>
      </c>
      <c r="CD123" s="445">
        <f>+CD121-CD122</f>
        <v>799.9943824454042</v>
      </c>
      <c r="CE123" s="445">
        <f>+CE121-CE122</f>
        <v>1006.2513054509579</v>
      </c>
      <c r="CF123" s="446">
        <f>+CF121-CF122</f>
        <v>1076.4601165870376</v>
      </c>
      <c r="CG123" s="364"/>
      <c r="CV123" s="282"/>
      <c r="CW123" s="282"/>
    </row>
    <row r="124" spans="1:101" ht="14.25" customHeight="1">
      <c r="A124" s="438"/>
      <c r="B124" s="474" t="s">
        <v>74</v>
      </c>
      <c r="C124" s="440"/>
      <c r="D124" s="440"/>
      <c r="E124" s="440"/>
      <c r="F124" s="440"/>
      <c r="G124" s="440"/>
      <c r="H124" s="440"/>
      <c r="I124" s="440"/>
      <c r="J124" s="440"/>
      <c r="K124" s="440"/>
      <c r="L124" s="440"/>
      <c r="M124" s="440"/>
      <c r="N124" s="440"/>
      <c r="O124" s="440"/>
      <c r="P124" s="440"/>
      <c r="Q124" s="440"/>
      <c r="R124" s="440"/>
      <c r="S124" s="440"/>
      <c r="T124" s="440"/>
      <c r="U124" s="440"/>
      <c r="V124" s="440"/>
      <c r="W124" s="440"/>
      <c r="X124" s="440"/>
      <c r="Y124" s="440"/>
      <c r="Z124" s="440"/>
      <c r="AA124" s="440"/>
      <c r="AB124" s="440"/>
      <c r="AC124" s="440"/>
      <c r="AD124" s="440"/>
      <c r="AE124" s="440"/>
      <c r="AF124" s="475">
        <v>0.5</v>
      </c>
      <c r="AG124" s="466">
        <f>+AF124</f>
        <v>0.5</v>
      </c>
      <c r="AH124" s="466">
        <f t="shared" ref="AH124:AQ124" si="528">+AG124</f>
        <v>0.5</v>
      </c>
      <c r="AI124" s="468">
        <f t="shared" si="528"/>
        <v>0.5</v>
      </c>
      <c r="AJ124" s="469">
        <f t="shared" si="528"/>
        <v>0.5</v>
      </c>
      <c r="AK124" s="466">
        <f>+AJ124</f>
        <v>0.5</v>
      </c>
      <c r="AL124" s="466">
        <f t="shared" si="528"/>
        <v>0.5</v>
      </c>
      <c r="AM124" s="468">
        <f>+AL124</f>
        <v>0.5</v>
      </c>
      <c r="AN124" s="466">
        <f t="shared" si="528"/>
        <v>0.5</v>
      </c>
      <c r="AO124" s="466">
        <f>+AN124</f>
        <v>0.5</v>
      </c>
      <c r="AP124" s="466">
        <f t="shared" si="528"/>
        <v>0.5</v>
      </c>
      <c r="AQ124" s="468">
        <f t="shared" si="528"/>
        <v>0.5</v>
      </c>
      <c r="AR124" s="466">
        <f t="shared" ref="AR124:BC124" si="529">+AQ124</f>
        <v>0.5</v>
      </c>
      <c r="AS124" s="466">
        <f t="shared" si="529"/>
        <v>0.5</v>
      </c>
      <c r="AT124" s="466">
        <f t="shared" si="529"/>
        <v>0.5</v>
      </c>
      <c r="AU124" s="468">
        <f t="shared" si="529"/>
        <v>0.5</v>
      </c>
      <c r="AV124" s="466">
        <f t="shared" si="529"/>
        <v>0.5</v>
      </c>
      <c r="AW124" s="466">
        <f t="shared" si="529"/>
        <v>0.5</v>
      </c>
      <c r="AX124" s="466">
        <f t="shared" si="529"/>
        <v>0.5</v>
      </c>
      <c r="AY124" s="468">
        <f t="shared" si="529"/>
        <v>0.5</v>
      </c>
      <c r="AZ124" s="466">
        <f t="shared" si="529"/>
        <v>0.5</v>
      </c>
      <c r="BA124" s="466">
        <f t="shared" ref="BA124:BG124" si="530">+AZ124</f>
        <v>0.5</v>
      </c>
      <c r="BB124" s="466">
        <f t="shared" si="529"/>
        <v>0.5</v>
      </c>
      <c r="BC124" s="468">
        <f t="shared" si="529"/>
        <v>0.5</v>
      </c>
      <c r="BD124" s="466">
        <f t="shared" si="530"/>
        <v>0.5</v>
      </c>
      <c r="BE124" s="466">
        <f t="shared" si="530"/>
        <v>0.5</v>
      </c>
      <c r="BF124" s="466">
        <f t="shared" si="530"/>
        <v>0.5</v>
      </c>
      <c r="BG124" s="468">
        <f t="shared" si="530"/>
        <v>0.5</v>
      </c>
      <c r="BH124" s="466">
        <f t="shared" ref="BH124" si="531">+BG124</f>
        <v>0.5</v>
      </c>
      <c r="BI124" s="466">
        <f t="shared" ref="BI124" si="532">+BH124</f>
        <v>0.5</v>
      </c>
      <c r="BJ124" s="466">
        <f t="shared" ref="BJ124" si="533">+BI124</f>
        <v>0.5</v>
      </c>
      <c r="BK124" s="468">
        <f t="shared" ref="BK124" si="534">+BJ124</f>
        <v>0.5</v>
      </c>
      <c r="BL124" s="466">
        <f t="shared" ref="BL124" si="535">+BK124</f>
        <v>0.5</v>
      </c>
      <c r="BM124" s="466">
        <f t="shared" ref="BM124" si="536">+BL124</f>
        <v>0.5</v>
      </c>
      <c r="BN124" s="466">
        <f t="shared" ref="BN124" si="537">+BM124</f>
        <v>0.5</v>
      </c>
      <c r="BO124" s="468">
        <f t="shared" ref="BO124" si="538">+BN124</f>
        <v>0.5</v>
      </c>
      <c r="BP124" s="1154"/>
      <c r="BQ124" s="476">
        <f>+AQ124</f>
        <v>0.5</v>
      </c>
      <c r="BR124" s="472">
        <f>+BQ124</f>
        <v>0.5</v>
      </c>
      <c r="BS124" s="472">
        <f t="shared" ref="BS124:CF124" si="539">+BR124</f>
        <v>0.5</v>
      </c>
      <c r="BT124" s="472">
        <f t="shared" si="539"/>
        <v>0.5</v>
      </c>
      <c r="BU124" s="472">
        <f t="shared" si="539"/>
        <v>0.5</v>
      </c>
      <c r="BV124" s="472">
        <f t="shared" si="539"/>
        <v>0.5</v>
      </c>
      <c r="BW124" s="472">
        <f t="shared" si="539"/>
        <v>0.5</v>
      </c>
      <c r="BX124" s="472">
        <f t="shared" si="539"/>
        <v>0.5</v>
      </c>
      <c r="BY124" s="472">
        <f t="shared" si="539"/>
        <v>0.5</v>
      </c>
      <c r="BZ124" s="472">
        <f t="shared" si="539"/>
        <v>0.5</v>
      </c>
      <c r="CA124" s="472">
        <f t="shared" si="539"/>
        <v>0.5</v>
      </c>
      <c r="CB124" s="472">
        <f t="shared" si="539"/>
        <v>0.5</v>
      </c>
      <c r="CC124" s="472">
        <f t="shared" si="539"/>
        <v>0.5</v>
      </c>
      <c r="CD124" s="472">
        <f t="shared" si="539"/>
        <v>0.5</v>
      </c>
      <c r="CE124" s="472">
        <f t="shared" si="539"/>
        <v>0.5</v>
      </c>
      <c r="CF124" s="473">
        <f t="shared" si="539"/>
        <v>0.5</v>
      </c>
      <c r="CG124" s="364"/>
      <c r="CV124" s="282"/>
      <c r="CW124" s="282"/>
    </row>
    <row r="125" spans="1:101" ht="14.25" customHeight="1">
      <c r="A125" s="438"/>
      <c r="B125" s="474" t="s">
        <v>72</v>
      </c>
      <c r="C125" s="440"/>
      <c r="D125" s="440"/>
      <c r="E125" s="440"/>
      <c r="F125" s="440"/>
      <c r="G125" s="440"/>
      <c r="H125" s="440"/>
      <c r="I125" s="440"/>
      <c r="J125" s="440"/>
      <c r="K125" s="440"/>
      <c r="L125" s="440"/>
      <c r="M125" s="440"/>
      <c r="N125" s="440"/>
      <c r="O125" s="440"/>
      <c r="P125" s="440"/>
      <c r="Q125" s="440"/>
      <c r="R125" s="440"/>
      <c r="S125" s="440"/>
      <c r="T125" s="440"/>
      <c r="U125" s="440"/>
      <c r="V125" s="440"/>
      <c r="W125" s="440"/>
      <c r="X125" s="440"/>
      <c r="Y125" s="440"/>
      <c r="Z125" s="440"/>
      <c r="AA125" s="440"/>
      <c r="AB125" s="440"/>
      <c r="AC125" s="440"/>
      <c r="AD125" s="440"/>
      <c r="AE125" s="440"/>
      <c r="AF125" s="441">
        <f>+AF123*AF124</f>
        <v>8.7480662983425361</v>
      </c>
      <c r="AG125" s="440">
        <f t="shared" ref="AG125:AQ125" si="540">+AG123*AG124</f>
        <v>25.746875000000003</v>
      </c>
      <c r="AH125" s="440">
        <f t="shared" si="540"/>
        <v>96.31</v>
      </c>
      <c r="AI125" s="442">
        <f t="shared" si="540"/>
        <v>-3.6000000000000085</v>
      </c>
      <c r="AJ125" s="441">
        <f t="shared" si="540"/>
        <v>31.12967914438503</v>
      </c>
      <c r="AK125" s="440">
        <f t="shared" si="540"/>
        <v>16.566666666666663</v>
      </c>
      <c r="AL125" s="440">
        <f t="shared" si="540"/>
        <v>32.512499999999989</v>
      </c>
      <c r="AM125" s="442">
        <f t="shared" si="540"/>
        <v>-110.30000000000001</v>
      </c>
      <c r="AN125" s="440">
        <f t="shared" si="540"/>
        <v>9.5781669150521651</v>
      </c>
      <c r="AO125" s="440">
        <f>+AO123*AO124</f>
        <v>5.5680020811654458</v>
      </c>
      <c r="AP125" s="440">
        <f t="shared" si="540"/>
        <v>9.3106060606060623</v>
      </c>
      <c r="AQ125" s="442">
        <f t="shared" si="540"/>
        <v>33.67166513339464</v>
      </c>
      <c r="AR125" s="440">
        <f t="shared" ref="AR125:AU125" si="541">+AR123*AR124</f>
        <v>-1.0861702127659498</v>
      </c>
      <c r="AS125" s="440">
        <f t="shared" si="541"/>
        <v>2.0015166835187017</v>
      </c>
      <c r="AT125" s="440">
        <f t="shared" si="541"/>
        <v>-3.0024390243902417</v>
      </c>
      <c r="AU125" s="442">
        <f t="shared" si="541"/>
        <v>19.570851624231778</v>
      </c>
      <c r="AV125" s="440">
        <f>+AV123*AV124</f>
        <v>24.985263157894707</v>
      </c>
      <c r="AW125" s="440">
        <f>+AW123*AW124</f>
        <v>25.549364791288554</v>
      </c>
      <c r="AX125" s="440">
        <f>+AX123*AX124</f>
        <v>27.15445329471396</v>
      </c>
      <c r="AY125" s="442">
        <f t="shared" ref="AY125" si="542">+AY123*AY124</f>
        <v>-0.46803607214431509</v>
      </c>
      <c r="AZ125" s="440">
        <f>+AZ123*AZ124</f>
        <v>63.215737051792814</v>
      </c>
      <c r="BA125" s="440">
        <f t="shared" ref="BA125:BG125" si="543">+BA123*BA124</f>
        <v>8.3359353970390089</v>
      </c>
      <c r="BB125" s="440">
        <f>+BB123*BB124</f>
        <v>17.090273896031306</v>
      </c>
      <c r="BC125" s="442">
        <f t="shared" ref="BC125" si="544">+BC123*BC124</f>
        <v>9.8993548387096837</v>
      </c>
      <c r="BD125" s="440">
        <f t="shared" si="543"/>
        <v>146.72330972311653</v>
      </c>
      <c r="BE125" s="440">
        <f t="shared" si="543"/>
        <v>80.717785169249623</v>
      </c>
      <c r="BF125" s="440">
        <f t="shared" si="543"/>
        <v>87.816798098140765</v>
      </c>
      <c r="BG125" s="442">
        <f t="shared" si="543"/>
        <v>84.739298232195097</v>
      </c>
      <c r="BH125" s="440">
        <f t="shared" ref="BH125:BK125" si="545">+BH123*BH124</f>
        <v>114.27124561313579</v>
      </c>
      <c r="BI125" s="440">
        <f t="shared" si="545"/>
        <v>125.14949463977408</v>
      </c>
      <c r="BJ125" s="440">
        <f t="shared" si="545"/>
        <v>138.18090563308778</v>
      </c>
      <c r="BK125" s="442">
        <f t="shared" si="545"/>
        <v>125.52400683948184</v>
      </c>
      <c r="BL125" s="440">
        <f t="shared" ref="BL125:BO125" si="546">+BL123*BL124</f>
        <v>121.00633659510049</v>
      </c>
      <c r="BM125" s="440">
        <f t="shared" si="546"/>
        <v>134.54199762330421</v>
      </c>
      <c r="BN125" s="440">
        <f t="shared" si="546"/>
        <v>147.49778256686903</v>
      </c>
      <c r="BO125" s="442">
        <f t="shared" si="546"/>
        <v>135.18394150824486</v>
      </c>
      <c r="BP125" s="1151"/>
      <c r="BQ125" s="444">
        <f t="shared" ref="BQ125:CB125" si="547">+BQ123*BQ124</f>
        <v>118.80000000000001</v>
      </c>
      <c r="BR125" s="445">
        <f t="shared" si="547"/>
        <v>49.899999999999977</v>
      </c>
      <c r="BS125" s="445">
        <f t="shared" si="547"/>
        <v>30.25</v>
      </c>
      <c r="BT125" s="445">
        <f t="shared" si="547"/>
        <v>129.75</v>
      </c>
      <c r="BU125" s="445">
        <f t="shared" si="547"/>
        <v>60.849999999999966</v>
      </c>
      <c r="BV125" s="445">
        <f t="shared" si="547"/>
        <v>4.5</v>
      </c>
      <c r="BW125" s="445">
        <f t="shared" si="547"/>
        <v>93.043463031823535</v>
      </c>
      <c r="BX125" s="445">
        <f t="shared" si="547"/>
        <v>127.20494129834259</v>
      </c>
      <c r="BY125" s="445">
        <f t="shared" si="547"/>
        <v>-30.091154188948281</v>
      </c>
      <c r="BZ125" s="445">
        <f t="shared" si="547"/>
        <v>58.128440190218271</v>
      </c>
      <c r="CA125" s="445">
        <f t="shared" si="547"/>
        <v>17.48375907059426</v>
      </c>
      <c r="CB125" s="445">
        <f t="shared" si="547"/>
        <v>77.221045171752962</v>
      </c>
      <c r="CC125" s="445">
        <f>+CC123*CC124</f>
        <v>98.541301183572841</v>
      </c>
      <c r="CD125" s="445">
        <f>+CD123*CD124</f>
        <v>399.9971912227021</v>
      </c>
      <c r="CE125" s="445">
        <f>+CE123*CE124</f>
        <v>503.12565272547897</v>
      </c>
      <c r="CF125" s="446">
        <f>+CF123*CF124</f>
        <v>538.23005829351882</v>
      </c>
      <c r="CG125" s="364"/>
      <c r="CV125" s="282"/>
      <c r="CW125" s="282"/>
    </row>
    <row r="126" spans="1:101" ht="14.25" customHeight="1">
      <c r="A126" s="438"/>
      <c r="B126" s="439"/>
      <c r="C126" s="440"/>
      <c r="D126" s="440"/>
      <c r="E126" s="440"/>
      <c r="F126" s="440"/>
      <c r="G126" s="440"/>
      <c r="H126" s="440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0"/>
      <c r="AC126" s="440"/>
      <c r="AD126" s="440"/>
      <c r="AE126" s="440"/>
      <c r="AF126" s="441"/>
      <c r="AG126" s="440"/>
      <c r="AH126" s="440"/>
      <c r="AI126" s="442"/>
      <c r="AJ126" s="441"/>
      <c r="AK126" s="440"/>
      <c r="AL126" s="440"/>
      <c r="AM126" s="442"/>
      <c r="AN126" s="440"/>
      <c r="AO126" s="440"/>
      <c r="AP126" s="440"/>
      <c r="AQ126" s="442"/>
      <c r="AR126" s="440"/>
      <c r="AS126" s="440"/>
      <c r="AT126" s="440"/>
      <c r="AU126" s="442"/>
      <c r="AV126" s="440"/>
      <c r="AW126" s="440"/>
      <c r="AX126" s="440"/>
      <c r="AY126" s="442"/>
      <c r="AZ126" s="440"/>
      <c r="BA126" s="440"/>
      <c r="BB126" s="440"/>
      <c r="BC126" s="442"/>
      <c r="BD126" s="440"/>
      <c r="BE126" s="440"/>
      <c r="BF126" s="440"/>
      <c r="BG126" s="442"/>
      <c r="BH126" s="440"/>
      <c r="BI126" s="440"/>
      <c r="BJ126" s="440"/>
      <c r="BK126" s="442"/>
      <c r="BL126" s="440"/>
      <c r="BM126" s="440"/>
      <c r="BN126" s="440"/>
      <c r="BO126" s="442"/>
      <c r="BP126" s="1151"/>
      <c r="BQ126" s="444"/>
      <c r="BR126" s="445"/>
      <c r="BS126" s="445"/>
      <c r="BT126" s="445"/>
      <c r="BU126" s="445"/>
      <c r="BV126" s="445"/>
      <c r="BW126" s="445"/>
      <c r="BX126" s="445"/>
      <c r="BY126" s="445"/>
      <c r="BZ126" s="445"/>
      <c r="CA126" s="445"/>
      <c r="CB126" s="445"/>
      <c r="CC126" s="445"/>
      <c r="CD126" s="445"/>
      <c r="CE126" s="445"/>
      <c r="CF126" s="446"/>
      <c r="CG126" s="364"/>
      <c r="CV126" s="282"/>
      <c r="CW126" s="282"/>
    </row>
    <row r="127" spans="1:101" ht="14.25" customHeight="1">
      <c r="A127" s="438"/>
      <c r="B127" s="439" t="s">
        <v>68</v>
      </c>
      <c r="C127" s="440"/>
      <c r="D127" s="440"/>
      <c r="E127" s="440"/>
      <c r="F127" s="440"/>
      <c r="G127" s="440"/>
      <c r="H127" s="440"/>
      <c r="I127" s="440"/>
      <c r="J127" s="440"/>
      <c r="K127" s="440"/>
      <c r="L127" s="440"/>
      <c r="M127" s="440"/>
      <c r="N127" s="440"/>
      <c r="O127" s="440"/>
      <c r="P127" s="440"/>
      <c r="Q127" s="440"/>
      <c r="R127" s="440"/>
      <c r="S127" s="440"/>
      <c r="T127" s="440"/>
      <c r="U127" s="440"/>
      <c r="V127" s="440"/>
      <c r="W127" s="440"/>
      <c r="X127" s="440"/>
      <c r="Y127" s="440"/>
      <c r="Z127" s="440"/>
      <c r="AA127" s="440"/>
      <c r="AB127" s="440"/>
      <c r="AC127" s="440"/>
      <c r="AD127" s="440"/>
      <c r="AE127" s="440"/>
      <c r="AF127" s="441">
        <f>+AF119-AF121</f>
        <v>382.20000000000005</v>
      </c>
      <c r="AG127" s="440">
        <f t="shared" ref="AG127:AQ127" si="548">+AG119-AG121</f>
        <v>485.1</v>
      </c>
      <c r="AH127" s="440">
        <f t="shared" si="548"/>
        <v>578.9</v>
      </c>
      <c r="AI127" s="442">
        <f t="shared" si="548"/>
        <v>424.20000000000005</v>
      </c>
      <c r="AJ127" s="441">
        <f t="shared" si="548"/>
        <v>332.5</v>
      </c>
      <c r="AK127" s="440">
        <f>+AK119-AK121</f>
        <v>480.20000000000005</v>
      </c>
      <c r="AL127" s="440">
        <f t="shared" si="548"/>
        <v>642.6</v>
      </c>
      <c r="AM127" s="442">
        <f>+AM119-AM121</f>
        <v>579.6</v>
      </c>
      <c r="AN127" s="440">
        <f t="shared" si="548"/>
        <v>520.1</v>
      </c>
      <c r="AO127" s="440">
        <f>+AO119-AO121</f>
        <v>727.3</v>
      </c>
      <c r="AP127" s="440">
        <f t="shared" si="548"/>
        <v>860.3</v>
      </c>
      <c r="AQ127" s="442">
        <f t="shared" si="548"/>
        <v>799.40000000000009</v>
      </c>
      <c r="AR127" s="440">
        <f t="shared" ref="AR127:AU127" si="549">+AR119-AR121</f>
        <v>714.7</v>
      </c>
      <c r="AS127" s="440">
        <f t="shared" si="549"/>
        <v>749</v>
      </c>
      <c r="AT127" s="440">
        <f t="shared" si="549"/>
        <v>861.7</v>
      </c>
      <c r="AU127" s="442">
        <f t="shared" si="549"/>
        <v>806.40000000000009</v>
      </c>
      <c r="AV127" s="440">
        <f>+AV119-AV121</f>
        <v>722.40000000000009</v>
      </c>
      <c r="AW127" s="440">
        <f>+AW119-AW121</f>
        <v>828.1</v>
      </c>
      <c r="AX127" s="440">
        <f>+AX119-AX121</f>
        <v>1023.4000000000001</v>
      </c>
      <c r="AY127" s="442">
        <f t="shared" ref="AY127" si="550">+AY119-AY121</f>
        <v>1089.9000000000001</v>
      </c>
      <c r="AZ127" s="440">
        <f>+AZ119-AZ121</f>
        <v>937.3</v>
      </c>
      <c r="BA127" s="440">
        <f t="shared" ref="BA127:BG127" si="551">+BA119-BA121</f>
        <v>1097.5999999999999</v>
      </c>
      <c r="BB127" s="440">
        <f>+BB119-BB121</f>
        <v>1309</v>
      </c>
      <c r="BC127" s="442">
        <f t="shared" ref="BC127" si="552">+BC119-BC121</f>
        <v>1142.4000000000001</v>
      </c>
      <c r="BD127" s="440">
        <f t="shared" si="551"/>
        <v>1143.8</v>
      </c>
      <c r="BE127" s="440">
        <f t="shared" si="551"/>
        <v>1200.048992369495</v>
      </c>
      <c r="BF127" s="440">
        <f t="shared" si="551"/>
        <v>1299.4351733739709</v>
      </c>
      <c r="BG127" s="442">
        <f t="shared" si="551"/>
        <v>1221.350175250732</v>
      </c>
      <c r="BH127" s="440">
        <f t="shared" ref="BH127:BK127" si="553">+BH119-BH121</f>
        <v>1142.7124561313578</v>
      </c>
      <c r="BI127" s="440">
        <f t="shared" si="553"/>
        <v>1251.4949463977409</v>
      </c>
      <c r="BJ127" s="440">
        <f t="shared" si="553"/>
        <v>1381.8090563308781</v>
      </c>
      <c r="BK127" s="442">
        <f t="shared" si="553"/>
        <v>1255.2400683948185</v>
      </c>
      <c r="BL127" s="440">
        <f t="shared" ref="BL127:BO127" si="554">+BL119-BL121</f>
        <v>1210.0633659510049</v>
      </c>
      <c r="BM127" s="440">
        <f t="shared" si="554"/>
        <v>1345.4199762330427</v>
      </c>
      <c r="BN127" s="440">
        <f t="shared" si="554"/>
        <v>1474.9778256686905</v>
      </c>
      <c r="BO127" s="442">
        <f t="shared" si="554"/>
        <v>1351.8394150824488</v>
      </c>
      <c r="BP127" s="1151"/>
      <c r="BQ127" s="444">
        <f t="shared" ref="BQ127:CB127" si="555">+BQ119-BQ121</f>
        <v>1912.4</v>
      </c>
      <c r="BR127" s="445">
        <f t="shared" si="555"/>
        <v>2538.1999999999998</v>
      </c>
      <c r="BS127" s="445">
        <f t="shared" si="555"/>
        <v>2593.5</v>
      </c>
      <c r="BT127" s="445">
        <f t="shared" si="555"/>
        <v>1914.5</v>
      </c>
      <c r="BU127" s="445">
        <f t="shared" si="555"/>
        <v>1560.3000000000002</v>
      </c>
      <c r="BV127" s="445">
        <f t="shared" si="555"/>
        <v>3108</v>
      </c>
      <c r="BW127" s="445">
        <f t="shared" si="555"/>
        <v>2440.1999999999998</v>
      </c>
      <c r="BX127" s="445">
        <f t="shared" si="555"/>
        <v>1870.4</v>
      </c>
      <c r="BY127" s="445">
        <f t="shared" si="555"/>
        <v>2034.9</v>
      </c>
      <c r="BZ127" s="445">
        <f t="shared" si="555"/>
        <v>2907.1000000000004</v>
      </c>
      <c r="CA127" s="445">
        <f t="shared" si="555"/>
        <v>3131.8</v>
      </c>
      <c r="CB127" s="445">
        <f t="shared" si="555"/>
        <v>3663.8</v>
      </c>
      <c r="CC127" s="445">
        <f>+CC119-CC121</f>
        <v>4486.3</v>
      </c>
      <c r="CD127" s="445">
        <f>+CD119-CD121</f>
        <v>4864.6343409941983</v>
      </c>
      <c r="CE127" s="445">
        <f>+CE119-CE121</f>
        <v>5031.2565272547945</v>
      </c>
      <c r="CF127" s="446">
        <f>+CF119-CF121</f>
        <v>5382.3005829351878</v>
      </c>
      <c r="CG127" s="364"/>
      <c r="CV127" s="282"/>
      <c r="CW127" s="282"/>
    </row>
    <row r="128" spans="1:101" ht="14.25" customHeight="1">
      <c r="A128" s="477"/>
      <c r="B128" s="478" t="s">
        <v>71</v>
      </c>
      <c r="C128" s="479"/>
      <c r="D128" s="479"/>
      <c r="E128" s="479"/>
      <c r="F128" s="479"/>
      <c r="G128" s="479"/>
      <c r="H128" s="479"/>
      <c r="I128" s="479"/>
      <c r="J128" s="479"/>
      <c r="K128" s="479"/>
      <c r="L128" s="479"/>
      <c r="M128" s="479"/>
      <c r="N128" s="479"/>
      <c r="O128" s="479"/>
      <c r="P128" s="479"/>
      <c r="Q128" s="479"/>
      <c r="R128" s="479"/>
      <c r="S128" s="479"/>
      <c r="T128" s="479"/>
      <c r="U128" s="479"/>
      <c r="V128" s="479"/>
      <c r="W128" s="479"/>
      <c r="X128" s="479"/>
      <c r="Y128" s="479"/>
      <c r="Z128" s="479"/>
      <c r="AA128" s="479"/>
      <c r="AB128" s="479"/>
      <c r="AC128" s="479"/>
      <c r="AD128" s="479"/>
      <c r="AE128" s="479"/>
      <c r="AF128" s="480">
        <f t="shared" ref="AF128:BA128" si="556">+AF127/AF102</f>
        <v>0.32806866952789704</v>
      </c>
      <c r="AG128" s="479">
        <f t="shared" si="556"/>
        <v>0.42036395147313693</v>
      </c>
      <c r="AH128" s="479">
        <f t="shared" si="556"/>
        <v>0.50736196319018401</v>
      </c>
      <c r="AI128" s="481">
        <f t="shared" si="556"/>
        <v>0.37740213523131677</v>
      </c>
      <c r="AJ128" s="480">
        <f t="shared" si="556"/>
        <v>0.29608192341941231</v>
      </c>
      <c r="AK128" s="479">
        <f t="shared" si="556"/>
        <v>0.42990152193375114</v>
      </c>
      <c r="AL128" s="479">
        <f t="shared" si="556"/>
        <v>0.57839783978397841</v>
      </c>
      <c r="AM128" s="481">
        <f t="shared" si="556"/>
        <v>0.52595281306715069</v>
      </c>
      <c r="AN128" s="479">
        <f t="shared" si="556"/>
        <v>0.47454379562043797</v>
      </c>
      <c r="AO128" s="479">
        <f t="shared" si="556"/>
        <v>0.6697053406998158</v>
      </c>
      <c r="AP128" s="479">
        <f t="shared" si="556"/>
        <v>0.80102420856610801</v>
      </c>
      <c r="AQ128" s="481">
        <f t="shared" si="556"/>
        <v>0.75202257761053626</v>
      </c>
      <c r="AR128" s="479">
        <f t="shared" si="556"/>
        <v>0.67360980207351562</v>
      </c>
      <c r="AS128" s="479">
        <f t="shared" si="556"/>
        <v>0.71265461465271174</v>
      </c>
      <c r="AT128" s="479">
        <f t="shared" si="556"/>
        <v>0.83256038647343</v>
      </c>
      <c r="AU128" s="481">
        <f t="shared" si="556"/>
        <v>0.78519961051606635</v>
      </c>
      <c r="AV128" s="479">
        <f t="shared" si="556"/>
        <v>0.7096267190569745</v>
      </c>
      <c r="AW128" s="479">
        <f>+AW127/AW102</f>
        <v>0.81505905511811028</v>
      </c>
      <c r="AX128" s="479">
        <f>+AX127/AX102</f>
        <v>1.0062930186823993</v>
      </c>
      <c r="AY128" s="481">
        <f t="shared" ref="AY128:AZ128" si="557">+AY127/AY102</f>
        <v>1.0706286836935168</v>
      </c>
      <c r="AZ128" s="479">
        <f t="shared" si="557"/>
        <v>0.91982335623159961</v>
      </c>
      <c r="BA128" s="479">
        <f t="shared" si="556"/>
        <v>1.0813793103448275</v>
      </c>
      <c r="BB128" s="479">
        <f>+BB127/BB102</f>
        <v>1.2986111111111112</v>
      </c>
      <c r="BC128" s="481">
        <f t="shared" ref="BC128" si="558">+BC127/BC102</f>
        <v>1.1344587884806356</v>
      </c>
      <c r="BD128" s="479">
        <f t="shared" ref="BD128:BG128" si="559">+BD127/BD102</f>
        <v>1.1381094527363185</v>
      </c>
      <c r="BE128" s="479">
        <f t="shared" si="559"/>
        <v>1.1988501422272677</v>
      </c>
      <c r="BF128" s="479">
        <f t="shared" si="559"/>
        <v>1.3033452090009738</v>
      </c>
      <c r="BG128" s="481">
        <f t="shared" si="559"/>
        <v>1.2299598945123182</v>
      </c>
      <c r="BH128" s="479">
        <f t="shared" ref="BH128:BK128" si="560">+BH127/BH102</f>
        <v>1.1554220992228088</v>
      </c>
      <c r="BI128" s="479">
        <f t="shared" si="560"/>
        <v>1.2705532450738486</v>
      </c>
      <c r="BJ128" s="479">
        <f t="shared" si="560"/>
        <v>1.4085719228653191</v>
      </c>
      <c r="BK128" s="481">
        <f t="shared" si="560"/>
        <v>1.2847902440069792</v>
      </c>
      <c r="BL128" s="479">
        <f t="shared" ref="BL128:BO128" si="561">+BL127/BL102</f>
        <v>1.2436416916248767</v>
      </c>
      <c r="BM128" s="479">
        <f t="shared" si="561"/>
        <v>1.3884623077740379</v>
      </c>
      <c r="BN128" s="479">
        <f t="shared" si="561"/>
        <v>1.5284744307447569</v>
      </c>
      <c r="BO128" s="481">
        <f t="shared" si="561"/>
        <v>1.4067007441024442</v>
      </c>
      <c r="BP128" s="1155"/>
      <c r="BQ128" s="482">
        <f t="shared" ref="BQ128:CC128" si="562">+BQ127/BQ102</f>
        <v>1.1422427952814693</v>
      </c>
      <c r="BR128" s="483">
        <f t="shared" si="562"/>
        <v>1.6286172601860762</v>
      </c>
      <c r="BS128" s="483">
        <f t="shared" si="562"/>
        <v>1.7957417344642548</v>
      </c>
      <c r="BT128" s="483">
        <f t="shared" si="562"/>
        <v>1.4490066225165563</v>
      </c>
      <c r="BU128" s="483">
        <f t="shared" si="562"/>
        <v>1.2300354749704376</v>
      </c>
      <c r="BV128" s="483">
        <f t="shared" si="562"/>
        <v>2.562242374278648</v>
      </c>
      <c r="BW128" s="483">
        <f t="shared" si="562"/>
        <v>2.0829705505761842</v>
      </c>
      <c r="BX128" s="483">
        <f t="shared" si="562"/>
        <v>1.6321116928446773</v>
      </c>
      <c r="BY128" s="483">
        <f t="shared" si="562"/>
        <v>1.8278913092297329</v>
      </c>
      <c r="BZ128" s="483">
        <f t="shared" si="562"/>
        <v>2.6923824959481366</v>
      </c>
      <c r="CA128" s="483">
        <f t="shared" si="562"/>
        <v>3.0012458073790129</v>
      </c>
      <c r="CB128" s="483">
        <f t="shared" si="562"/>
        <v>3.6016711722782011</v>
      </c>
      <c r="CC128" s="483">
        <f t="shared" si="562"/>
        <v>4.4320079031859718</v>
      </c>
      <c r="CD128" s="483">
        <f t="shared" ref="CD128:CE128" si="563">+CD127/CD102</f>
        <v>4.8695038448390378</v>
      </c>
      <c r="CE128" s="483">
        <f t="shared" si="563"/>
        <v>5.1182670674006046</v>
      </c>
      <c r="CF128" s="1162">
        <f t="shared" ref="CF128" si="564">+CF127/CF102</f>
        <v>5.565977852052935</v>
      </c>
      <c r="CG128" s="364"/>
      <c r="CV128" s="282"/>
      <c r="CW128" s="282"/>
    </row>
    <row r="129" spans="1:93" ht="14.25" customHeight="1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O129" s="8"/>
    </row>
    <row r="130" spans="1:93" ht="14.25" customHeight="1" outlineLevel="1"/>
    <row r="131" spans="1:93" ht="14.25" customHeight="1" outlineLevel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</row>
    <row r="132" spans="1:93" ht="14.25" customHeight="1" outlineLevel="1">
      <c r="A132" s="485"/>
      <c r="B132" s="486" t="s">
        <v>178</v>
      </c>
      <c r="C132" s="486"/>
      <c r="D132" s="487" t="e">
        <f t="shared" ref="D132:S132" si="565">VLOOKUP(D131,ValidDateTable,4,FALSE)</f>
        <v>#NAME?</v>
      </c>
      <c r="E132" s="487" t="e">
        <f t="shared" si="565"/>
        <v>#NAME?</v>
      </c>
      <c r="F132" s="487" t="e">
        <f t="shared" si="565"/>
        <v>#NAME?</v>
      </c>
      <c r="G132" s="487" t="e">
        <f t="shared" si="565"/>
        <v>#NAME?</v>
      </c>
      <c r="H132" s="487" t="e">
        <f t="shared" si="565"/>
        <v>#NAME?</v>
      </c>
      <c r="I132" s="487" t="e">
        <f t="shared" si="565"/>
        <v>#NAME?</v>
      </c>
      <c r="J132" s="487" t="e">
        <f t="shared" si="565"/>
        <v>#NAME?</v>
      </c>
      <c r="K132" s="487" t="e">
        <f t="shared" si="565"/>
        <v>#NAME?</v>
      </c>
      <c r="L132" s="487" t="e">
        <f t="shared" si="565"/>
        <v>#NAME?</v>
      </c>
      <c r="M132" s="487" t="e">
        <f t="shared" si="565"/>
        <v>#NAME?</v>
      </c>
      <c r="N132" s="487" t="e">
        <f t="shared" si="565"/>
        <v>#NAME?</v>
      </c>
      <c r="O132" s="487" t="e">
        <f t="shared" si="565"/>
        <v>#NAME?</v>
      </c>
      <c r="P132" s="487" t="e">
        <f t="shared" si="565"/>
        <v>#NAME?</v>
      </c>
      <c r="Q132" s="487" t="e">
        <f t="shared" si="565"/>
        <v>#NAME?</v>
      </c>
      <c r="R132" s="487" t="e">
        <f t="shared" si="565"/>
        <v>#NAME?</v>
      </c>
      <c r="S132" s="487" t="e">
        <f t="shared" si="565"/>
        <v>#NAME?</v>
      </c>
      <c r="T132" s="487" t="e">
        <f t="shared" ref="T132:AI132" si="566">VLOOKUP(T131,ValidDateTable,4,FALSE)</f>
        <v>#NAME?</v>
      </c>
      <c r="U132" s="487" t="e">
        <f t="shared" si="566"/>
        <v>#NAME?</v>
      </c>
      <c r="V132" s="487" t="e">
        <f t="shared" si="566"/>
        <v>#NAME?</v>
      </c>
      <c r="W132" s="487" t="e">
        <f t="shared" si="566"/>
        <v>#NAME?</v>
      </c>
      <c r="X132" s="487" t="e">
        <f t="shared" si="566"/>
        <v>#NAME?</v>
      </c>
      <c r="Y132" s="487" t="e">
        <f t="shared" si="566"/>
        <v>#NAME?</v>
      </c>
      <c r="Z132" s="487" t="e">
        <f t="shared" si="566"/>
        <v>#NAME?</v>
      </c>
      <c r="AA132" s="487" t="e">
        <f t="shared" si="566"/>
        <v>#NAME?</v>
      </c>
      <c r="AB132" s="487" t="e">
        <f t="shared" si="566"/>
        <v>#NAME?</v>
      </c>
      <c r="AC132" s="487" t="e">
        <f t="shared" si="566"/>
        <v>#NAME?</v>
      </c>
      <c r="AD132" s="487" t="e">
        <f t="shared" si="566"/>
        <v>#NAME?</v>
      </c>
      <c r="AE132" s="487" t="e">
        <f t="shared" si="566"/>
        <v>#NAME?</v>
      </c>
      <c r="AF132" s="487" t="e">
        <f t="shared" si="566"/>
        <v>#NAME?</v>
      </c>
      <c r="AG132" s="487" t="e">
        <f t="shared" si="566"/>
        <v>#NAME?</v>
      </c>
      <c r="AH132" s="487" t="e">
        <f t="shared" si="566"/>
        <v>#NAME?</v>
      </c>
      <c r="AI132" s="487" t="e">
        <f t="shared" si="566"/>
        <v>#NAME?</v>
      </c>
      <c r="AJ132" s="487" t="e">
        <f t="shared" ref="AJ132:AQ132" si="567">VLOOKUP(AJ131,ValidDateTable,4,FALSE)</f>
        <v>#NAME?</v>
      </c>
      <c r="AK132" s="487" t="e">
        <f t="shared" si="567"/>
        <v>#NAME?</v>
      </c>
      <c r="AL132" s="487" t="e">
        <f t="shared" si="567"/>
        <v>#NAME?</v>
      </c>
      <c r="AM132" s="487" t="e">
        <f t="shared" si="567"/>
        <v>#NAME?</v>
      </c>
      <c r="AN132" s="487" t="e">
        <f t="shared" si="567"/>
        <v>#NAME?</v>
      </c>
      <c r="AO132" s="487" t="e">
        <f t="shared" si="567"/>
        <v>#NAME?</v>
      </c>
      <c r="AP132" s="487" t="e">
        <f t="shared" si="567"/>
        <v>#NAME?</v>
      </c>
      <c r="AQ132" s="487" t="e">
        <f t="shared" si="567"/>
        <v>#NAME?</v>
      </c>
      <c r="AR132" s="487" t="e">
        <f t="shared" ref="AR132:AW132" si="568">VLOOKUP(AR131,ValidDateTable,4,FALSE)</f>
        <v>#NAME?</v>
      </c>
      <c r="AS132" s="487" t="e">
        <f t="shared" si="568"/>
        <v>#NAME?</v>
      </c>
      <c r="AT132" s="487" t="e">
        <f t="shared" si="568"/>
        <v>#NAME?</v>
      </c>
      <c r="AU132" s="487" t="e">
        <f t="shared" si="568"/>
        <v>#NAME?</v>
      </c>
      <c r="AV132" s="487" t="e">
        <f t="shared" si="568"/>
        <v>#NAME?</v>
      </c>
      <c r="AW132" s="487" t="e">
        <f t="shared" si="568"/>
        <v>#NAME?</v>
      </c>
      <c r="AX132" s="487" t="s">
        <v>184</v>
      </c>
      <c r="AY132" s="487" t="s">
        <v>184</v>
      </c>
      <c r="AZ132" s="487" t="e">
        <f t="shared" ref="AZ132:BG132" si="569">VLOOKUP(AZ131,ValidDateTable,4,FALSE)</f>
        <v>#NAME?</v>
      </c>
      <c r="BA132" s="487" t="e">
        <f t="shared" si="569"/>
        <v>#NAME?</v>
      </c>
      <c r="BB132" s="487" t="e">
        <f t="shared" si="569"/>
        <v>#NAME?</v>
      </c>
      <c r="BC132" s="487" t="e">
        <f t="shared" si="569"/>
        <v>#NAME?</v>
      </c>
      <c r="BD132" s="487" t="e">
        <f t="shared" si="569"/>
        <v>#NAME?</v>
      </c>
      <c r="BE132" s="487" t="e">
        <f t="shared" si="569"/>
        <v>#NAME?</v>
      </c>
      <c r="BF132" s="487" t="e">
        <f t="shared" si="569"/>
        <v>#NAME?</v>
      </c>
      <c r="BG132" s="487" t="e">
        <f t="shared" si="569"/>
        <v>#NAME?</v>
      </c>
      <c r="BH132" s="487" t="e">
        <f t="shared" ref="BH132:BO132" si="570">VLOOKUP(BH131,ValidDateTable,4,FALSE)</f>
        <v>#NAME?</v>
      </c>
      <c r="BI132" s="487" t="e">
        <f t="shared" si="570"/>
        <v>#NAME?</v>
      </c>
      <c r="BJ132" s="487" t="e">
        <f t="shared" si="570"/>
        <v>#NAME?</v>
      </c>
      <c r="BK132" s="487" t="e">
        <f t="shared" si="570"/>
        <v>#NAME?</v>
      </c>
      <c r="BL132" s="487" t="e">
        <f>VLOOKUP(BL131,ValidDateTable,4,FALSE)</f>
        <v>#NAME?</v>
      </c>
      <c r="BM132" s="487" t="e">
        <f t="shared" si="570"/>
        <v>#NAME?</v>
      </c>
      <c r="BN132" s="487" t="e">
        <f t="shared" si="570"/>
        <v>#NAME?</v>
      </c>
      <c r="BO132" s="487" t="e">
        <f t="shared" si="570"/>
        <v>#NAME?</v>
      </c>
      <c r="BP132" s="488"/>
      <c r="BQ132" s="485" t="e">
        <f t="shared" ref="BQ132:BZ132" si="571">VLOOKUP(BQ131,ValidDateTable,4,FALSE)</f>
        <v>#NAME?</v>
      </c>
      <c r="BR132" s="485" t="e">
        <f t="shared" si="571"/>
        <v>#NAME?</v>
      </c>
      <c r="BS132" s="485" t="e">
        <f t="shared" si="571"/>
        <v>#NAME?</v>
      </c>
      <c r="BT132" s="485" t="e">
        <f t="shared" si="571"/>
        <v>#NAME?</v>
      </c>
      <c r="BU132" s="485" t="e">
        <f t="shared" si="571"/>
        <v>#NAME?</v>
      </c>
      <c r="BV132" s="485" t="e">
        <f t="shared" si="571"/>
        <v>#NAME?</v>
      </c>
      <c r="BW132" s="485" t="e">
        <f t="shared" si="571"/>
        <v>#NAME?</v>
      </c>
      <c r="BX132" s="485" t="e">
        <f t="shared" si="571"/>
        <v>#NAME?</v>
      </c>
      <c r="BY132" s="485" t="e">
        <f t="shared" si="571"/>
        <v>#NAME?</v>
      </c>
      <c r="BZ132" s="485" t="e">
        <f t="shared" si="571"/>
        <v>#NAME?</v>
      </c>
      <c r="CA132" s="485" t="e">
        <f>VLOOKUP(CA131,ValidDateTable,4,FALSE)</f>
        <v>#NAME?</v>
      </c>
      <c r="CB132" s="485" t="s">
        <v>184</v>
      </c>
      <c r="CC132" s="485" t="e">
        <f>VLOOKUP(CC131,ValidDateTable,4,FALSE)</f>
        <v>#NAME?</v>
      </c>
      <c r="CD132" s="485" t="e">
        <f>VLOOKUP(CD131,ValidDateTable,4,FALSE)</f>
        <v>#NAME?</v>
      </c>
      <c r="CE132" s="485" t="e">
        <f>VLOOKUP(CE131,ValidDateTable,4,FALSE)</f>
        <v>#NAME?</v>
      </c>
      <c r="CF132" s="485" t="e">
        <f>VLOOKUP(CF131,ValidDateTable,4,FALSE)</f>
        <v>#NAME?</v>
      </c>
      <c r="CG132" s="8"/>
      <c r="CH132" s="8"/>
      <c r="CO132" s="8"/>
    </row>
    <row r="133" spans="1:93" ht="14.25" customHeight="1" outlineLevel="1">
      <c r="A133" s="8"/>
      <c r="B133" s="83" t="s">
        <v>179</v>
      </c>
      <c r="C133" s="83"/>
      <c r="D133" s="8">
        <v>2005</v>
      </c>
      <c r="E133" s="8">
        <v>2005</v>
      </c>
      <c r="F133" s="8">
        <v>2005</v>
      </c>
      <c r="G133" s="8">
        <v>2005</v>
      </c>
      <c r="H133" s="8">
        <v>2006</v>
      </c>
      <c r="I133" s="8">
        <v>2006</v>
      </c>
      <c r="J133" s="8">
        <v>2006</v>
      </c>
      <c r="K133" s="8">
        <v>2006</v>
      </c>
      <c r="L133" s="8">
        <v>2007</v>
      </c>
      <c r="M133" s="8">
        <v>2007</v>
      </c>
      <c r="N133" s="8">
        <v>2007</v>
      </c>
      <c r="O133" s="8">
        <v>2007</v>
      </c>
      <c r="P133" s="8">
        <v>2008</v>
      </c>
      <c r="Q133" s="8">
        <v>2008</v>
      </c>
      <c r="R133" s="8">
        <v>2008</v>
      </c>
      <c r="S133" s="8">
        <v>2008</v>
      </c>
      <c r="T133" s="8">
        <v>2009</v>
      </c>
      <c r="U133" s="8">
        <v>2009</v>
      </c>
      <c r="V133" s="8">
        <v>2009</v>
      </c>
      <c r="W133" s="8">
        <v>2009</v>
      </c>
      <c r="X133" s="8">
        <v>2010</v>
      </c>
      <c r="Y133" s="8">
        <v>2010</v>
      </c>
      <c r="Z133" s="8">
        <v>2010</v>
      </c>
      <c r="AA133" s="8">
        <v>2010</v>
      </c>
      <c r="AB133" s="8">
        <v>2011</v>
      </c>
      <c r="AC133" s="8">
        <v>2011</v>
      </c>
      <c r="AD133" s="8">
        <v>2011</v>
      </c>
      <c r="AE133" s="8">
        <v>2011</v>
      </c>
      <c r="AF133" s="8">
        <v>2012</v>
      </c>
      <c r="AG133" s="8">
        <v>2012</v>
      </c>
      <c r="AH133" s="8">
        <v>2012</v>
      </c>
      <c r="AI133" s="8">
        <v>2012</v>
      </c>
      <c r="AJ133" s="8">
        <v>2013</v>
      </c>
      <c r="AK133" s="8">
        <v>2013</v>
      </c>
      <c r="AL133" s="8">
        <v>2013</v>
      </c>
      <c r="AM133" s="8">
        <v>2013</v>
      </c>
      <c r="AN133" s="8">
        <v>2014</v>
      </c>
      <c r="AO133" s="8">
        <v>2014</v>
      </c>
      <c r="AP133" s="8">
        <v>2014</v>
      </c>
      <c r="AQ133" s="8">
        <v>2014</v>
      </c>
      <c r="AR133" s="8">
        <v>2015</v>
      </c>
      <c r="AS133" s="8">
        <v>2015</v>
      </c>
      <c r="AT133" s="8">
        <v>2015</v>
      </c>
      <c r="AU133" s="8">
        <v>2015</v>
      </c>
      <c r="AV133" s="8">
        <v>2016</v>
      </c>
      <c r="AW133" s="8">
        <v>2016</v>
      </c>
      <c r="AX133" s="8">
        <v>2016</v>
      </c>
      <c r="AY133" s="8">
        <v>2016</v>
      </c>
      <c r="AZ133" s="8">
        <v>2017</v>
      </c>
      <c r="BA133" s="8">
        <v>2017</v>
      </c>
      <c r="BB133" s="8">
        <v>2017</v>
      </c>
      <c r="BC133" s="8">
        <v>2017</v>
      </c>
      <c r="BD133" s="8">
        <v>2018</v>
      </c>
      <c r="BE133" s="8">
        <v>2018</v>
      </c>
      <c r="BF133" s="8">
        <v>2018</v>
      </c>
      <c r="BG133" s="8">
        <v>2018</v>
      </c>
      <c r="BH133" s="8">
        <v>2019</v>
      </c>
      <c r="BI133" s="8">
        <v>2019</v>
      </c>
      <c r="BJ133" s="8">
        <v>2019</v>
      </c>
      <c r="BK133" s="8">
        <v>2019</v>
      </c>
      <c r="BL133" s="8">
        <v>2020</v>
      </c>
      <c r="BM133" s="8">
        <v>2020</v>
      </c>
      <c r="BN133" s="8">
        <v>2020</v>
      </c>
      <c r="BO133" s="8">
        <v>2020</v>
      </c>
      <c r="BP133" s="12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O133" s="8"/>
    </row>
    <row r="134" spans="1:93" ht="14.25" customHeight="1" outlineLevel="1">
      <c r="A134" s="8"/>
      <c r="B134" s="83" t="s">
        <v>180</v>
      </c>
      <c r="C134" s="83"/>
      <c r="D134" s="8">
        <v>1</v>
      </c>
      <c r="E134" s="8">
        <v>2</v>
      </c>
      <c r="F134" s="8">
        <v>3</v>
      </c>
      <c r="G134" s="8">
        <v>4</v>
      </c>
      <c r="H134" s="8">
        <v>1</v>
      </c>
      <c r="I134" s="8">
        <v>2</v>
      </c>
      <c r="J134" s="8">
        <v>3</v>
      </c>
      <c r="K134" s="8">
        <v>4</v>
      </c>
      <c r="L134" s="8">
        <v>1</v>
      </c>
      <c r="M134" s="8">
        <v>2</v>
      </c>
      <c r="N134" s="8">
        <v>3</v>
      </c>
      <c r="O134" s="8">
        <v>4</v>
      </c>
      <c r="P134" s="8">
        <v>1</v>
      </c>
      <c r="Q134" s="8">
        <v>2</v>
      </c>
      <c r="R134" s="8">
        <v>3</v>
      </c>
      <c r="S134" s="8">
        <v>4</v>
      </c>
      <c r="T134" s="8">
        <v>1</v>
      </c>
      <c r="U134" s="8">
        <v>2</v>
      </c>
      <c r="V134" s="8">
        <v>3</v>
      </c>
      <c r="W134" s="8">
        <v>4</v>
      </c>
      <c r="X134" s="8">
        <v>1</v>
      </c>
      <c r="Y134" s="8">
        <v>2</v>
      </c>
      <c r="Z134" s="8">
        <v>3</v>
      </c>
      <c r="AA134" s="8">
        <v>4</v>
      </c>
      <c r="AB134" s="8">
        <v>1</v>
      </c>
      <c r="AC134" s="8">
        <v>2</v>
      </c>
      <c r="AD134" s="8">
        <v>3</v>
      </c>
      <c r="AE134" s="8">
        <v>4</v>
      </c>
      <c r="AF134" s="8">
        <v>1</v>
      </c>
      <c r="AG134" s="8">
        <v>2</v>
      </c>
      <c r="AH134" s="8">
        <v>3</v>
      </c>
      <c r="AI134" s="8">
        <v>4</v>
      </c>
      <c r="AJ134" s="8">
        <v>1</v>
      </c>
      <c r="AK134" s="8">
        <v>2</v>
      </c>
      <c r="AL134" s="8">
        <v>3</v>
      </c>
      <c r="AM134" s="8">
        <v>4</v>
      </c>
      <c r="AN134" s="8">
        <v>1</v>
      </c>
      <c r="AO134" s="8">
        <v>2</v>
      </c>
      <c r="AP134" s="8">
        <v>3</v>
      </c>
      <c r="AQ134" s="8">
        <v>4</v>
      </c>
      <c r="AR134" s="8">
        <v>1</v>
      </c>
      <c r="AS134" s="8">
        <v>2</v>
      </c>
      <c r="AT134" s="8">
        <v>3</v>
      </c>
      <c r="AU134" s="8">
        <v>4</v>
      </c>
      <c r="AV134" s="8">
        <v>1</v>
      </c>
      <c r="AW134" s="8">
        <v>2</v>
      </c>
      <c r="AX134" s="8">
        <v>3</v>
      </c>
      <c r="AY134" s="8">
        <v>4</v>
      </c>
      <c r="AZ134" s="8">
        <v>1</v>
      </c>
      <c r="BA134" s="8">
        <v>2</v>
      </c>
      <c r="BB134" s="8">
        <v>3</v>
      </c>
      <c r="BC134" s="8">
        <v>4</v>
      </c>
      <c r="BD134" s="8">
        <v>1</v>
      </c>
      <c r="BE134" s="8">
        <v>2</v>
      </c>
      <c r="BF134" s="8">
        <v>3</v>
      </c>
      <c r="BG134" s="8">
        <v>4</v>
      </c>
      <c r="BH134" s="8">
        <v>1</v>
      </c>
      <c r="BI134" s="8">
        <v>2</v>
      </c>
      <c r="BJ134" s="8">
        <v>3</v>
      </c>
      <c r="BK134" s="8">
        <v>4</v>
      </c>
      <c r="BL134" s="8">
        <v>1</v>
      </c>
      <c r="BM134" s="8">
        <v>2</v>
      </c>
      <c r="BN134" s="8">
        <v>3</v>
      </c>
      <c r="BO134" s="8">
        <v>4</v>
      </c>
      <c r="BP134" s="12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O134" s="8"/>
    </row>
    <row r="135" spans="1:93" ht="14.25" customHeight="1" outlineLevel="1">
      <c r="A135" s="8"/>
      <c r="B135" s="83" t="s">
        <v>181</v>
      </c>
      <c r="C135" s="83"/>
      <c r="D135" s="8">
        <v>2005</v>
      </c>
      <c r="E135" s="8">
        <v>2005</v>
      </c>
      <c r="F135" s="8">
        <v>2005</v>
      </c>
      <c r="G135" s="8">
        <v>2005</v>
      </c>
      <c r="H135" s="8">
        <v>2006</v>
      </c>
      <c r="I135" s="8">
        <v>2006</v>
      </c>
      <c r="J135" s="8">
        <v>2006</v>
      </c>
      <c r="K135" s="8">
        <v>2006</v>
      </c>
      <c r="L135" s="8">
        <v>2007</v>
      </c>
      <c r="M135" s="8">
        <v>2007</v>
      </c>
      <c r="N135" s="8">
        <v>2007</v>
      </c>
      <c r="O135" s="8">
        <v>2007</v>
      </c>
      <c r="P135" s="8">
        <v>2008</v>
      </c>
      <c r="Q135" s="8">
        <v>2008</v>
      </c>
      <c r="R135" s="8">
        <v>2008</v>
      </c>
      <c r="S135" s="8">
        <v>2008</v>
      </c>
      <c r="T135" s="8">
        <v>2009</v>
      </c>
      <c r="U135" s="8">
        <v>2009</v>
      </c>
      <c r="V135" s="8">
        <v>2009</v>
      </c>
      <c r="W135" s="8">
        <v>2009</v>
      </c>
      <c r="X135" s="8">
        <v>2010</v>
      </c>
      <c r="Y135" s="8">
        <v>2010</v>
      </c>
      <c r="Z135" s="8">
        <v>2010</v>
      </c>
      <c r="AA135" s="8">
        <v>2010</v>
      </c>
      <c r="AB135" s="8">
        <v>2011</v>
      </c>
      <c r="AC135" s="8">
        <v>2011</v>
      </c>
      <c r="AD135" s="8">
        <v>2011</v>
      </c>
      <c r="AE135" s="8">
        <v>2011</v>
      </c>
      <c r="AF135" s="8">
        <v>2012</v>
      </c>
      <c r="AG135" s="8">
        <v>2012</v>
      </c>
      <c r="AH135" s="8">
        <v>2012</v>
      </c>
      <c r="AI135" s="8">
        <v>2012</v>
      </c>
      <c r="AJ135" s="8">
        <v>2013</v>
      </c>
      <c r="AK135" s="8">
        <v>2013</v>
      </c>
      <c r="AL135" s="8">
        <v>2013</v>
      </c>
      <c r="AM135" s="8">
        <v>2013</v>
      </c>
      <c r="AN135" s="8">
        <v>2014</v>
      </c>
      <c r="AO135" s="8">
        <v>2014</v>
      </c>
      <c r="AP135" s="8">
        <v>2014</v>
      </c>
      <c r="AQ135" s="8">
        <v>2014</v>
      </c>
      <c r="AR135" s="8">
        <v>2015</v>
      </c>
      <c r="AS135" s="8">
        <v>2015</v>
      </c>
      <c r="AT135" s="8">
        <v>2015</v>
      </c>
      <c r="AU135" s="8">
        <v>2015</v>
      </c>
      <c r="AV135" s="8">
        <v>2016</v>
      </c>
      <c r="AW135" s="8">
        <v>2016</v>
      </c>
      <c r="AX135" s="8">
        <v>2016</v>
      </c>
      <c r="AY135" s="8">
        <v>2016</v>
      </c>
      <c r="AZ135" s="8">
        <v>2017</v>
      </c>
      <c r="BA135" s="8">
        <v>2017</v>
      </c>
      <c r="BB135" s="8">
        <v>2017</v>
      </c>
      <c r="BC135" s="8">
        <v>2017</v>
      </c>
      <c r="BD135" s="8">
        <v>2018</v>
      </c>
      <c r="BE135" s="8">
        <v>2018</v>
      </c>
      <c r="BF135" s="8">
        <v>2018</v>
      </c>
      <c r="BG135" s="8">
        <v>2018</v>
      </c>
      <c r="BH135" s="8">
        <v>2019</v>
      </c>
      <c r="BI135" s="8">
        <v>2019</v>
      </c>
      <c r="BJ135" s="8">
        <v>2019</v>
      </c>
      <c r="BK135" s="8">
        <v>2019</v>
      </c>
      <c r="BL135" s="8">
        <v>2020</v>
      </c>
      <c r="BM135" s="8">
        <v>2020</v>
      </c>
      <c r="BN135" s="8">
        <v>2020</v>
      </c>
      <c r="BO135" s="8">
        <v>2020</v>
      </c>
      <c r="BP135" s="12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O135" s="8"/>
    </row>
    <row r="136" spans="1:93" ht="14.25" customHeight="1" outlineLevel="1">
      <c r="A136" s="8"/>
      <c r="B136" s="83" t="s">
        <v>182</v>
      </c>
      <c r="C136" s="83"/>
      <c r="D136" s="8">
        <v>1</v>
      </c>
      <c r="E136" s="8">
        <v>2</v>
      </c>
      <c r="F136" s="8">
        <v>3</v>
      </c>
      <c r="G136" s="8">
        <v>4</v>
      </c>
      <c r="H136" s="8">
        <v>1</v>
      </c>
      <c r="I136" s="8">
        <v>2</v>
      </c>
      <c r="J136" s="8">
        <v>3</v>
      </c>
      <c r="K136" s="8">
        <v>4</v>
      </c>
      <c r="L136" s="8">
        <v>1</v>
      </c>
      <c r="M136" s="8">
        <v>2</v>
      </c>
      <c r="N136" s="8">
        <v>3</v>
      </c>
      <c r="O136" s="8">
        <v>4</v>
      </c>
      <c r="P136" s="8">
        <v>1</v>
      </c>
      <c r="Q136" s="8">
        <v>2</v>
      </c>
      <c r="R136" s="8">
        <v>3</v>
      </c>
      <c r="S136" s="8">
        <v>4</v>
      </c>
      <c r="T136" s="8">
        <v>1</v>
      </c>
      <c r="U136" s="8">
        <v>2</v>
      </c>
      <c r="V136" s="8">
        <v>3</v>
      </c>
      <c r="W136" s="8">
        <v>4</v>
      </c>
      <c r="X136" s="8">
        <v>1</v>
      </c>
      <c r="Y136" s="8">
        <v>2</v>
      </c>
      <c r="Z136" s="8">
        <v>3</v>
      </c>
      <c r="AA136" s="8">
        <v>4</v>
      </c>
      <c r="AB136" s="8">
        <v>1</v>
      </c>
      <c r="AC136" s="8">
        <v>2</v>
      </c>
      <c r="AD136" s="8">
        <v>3</v>
      </c>
      <c r="AE136" s="8">
        <v>4</v>
      </c>
      <c r="AF136" s="8">
        <v>1</v>
      </c>
      <c r="AG136" s="8">
        <v>2</v>
      </c>
      <c r="AH136" s="8">
        <v>3</v>
      </c>
      <c r="AI136" s="8">
        <v>4</v>
      </c>
      <c r="AJ136" s="8">
        <v>1</v>
      </c>
      <c r="AK136" s="8">
        <v>2</v>
      </c>
      <c r="AL136" s="8">
        <v>3</v>
      </c>
      <c r="AM136" s="8">
        <v>4</v>
      </c>
      <c r="AN136" s="8">
        <v>1</v>
      </c>
      <c r="AO136" s="8">
        <v>2</v>
      </c>
      <c r="AP136" s="8">
        <v>3</v>
      </c>
      <c r="AQ136" s="8">
        <v>4</v>
      </c>
      <c r="AR136" s="8">
        <v>1</v>
      </c>
      <c r="AS136" s="8">
        <v>2</v>
      </c>
      <c r="AT136" s="8">
        <v>3</v>
      </c>
      <c r="AU136" s="8">
        <v>4</v>
      </c>
      <c r="AV136" s="8">
        <v>1</v>
      </c>
      <c r="AW136" s="8">
        <v>2</v>
      </c>
      <c r="AX136" s="8">
        <v>3</v>
      </c>
      <c r="AY136" s="8">
        <v>4</v>
      </c>
      <c r="AZ136" s="8">
        <v>1</v>
      </c>
      <c r="BA136" s="8">
        <v>2</v>
      </c>
      <c r="BB136" s="8">
        <v>3</v>
      </c>
      <c r="BC136" s="8">
        <v>4</v>
      </c>
      <c r="BD136" s="8">
        <v>1</v>
      </c>
      <c r="BE136" s="8">
        <v>2</v>
      </c>
      <c r="BF136" s="8">
        <v>3</v>
      </c>
      <c r="BG136" s="8">
        <v>4</v>
      </c>
      <c r="BH136" s="8">
        <v>1</v>
      </c>
      <c r="BI136" s="8">
        <v>2</v>
      </c>
      <c r="BJ136" s="8">
        <v>3</v>
      </c>
      <c r="BK136" s="8">
        <v>4</v>
      </c>
      <c r="BL136" s="8">
        <v>1</v>
      </c>
      <c r="BM136" s="8">
        <v>2</v>
      </c>
      <c r="BN136" s="8">
        <v>3</v>
      </c>
      <c r="BO136" s="8">
        <v>4</v>
      </c>
      <c r="BP136" s="12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O136" s="8"/>
    </row>
    <row r="137" spans="1:93" ht="14.25" customHeight="1" outlineLevel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5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O137" s="1"/>
    </row>
    <row r="138" spans="1:93" ht="14.25" customHeight="1" outlineLevel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5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O138" s="1"/>
    </row>
    <row r="139" spans="1:93" ht="14.25" customHeight="1" outlineLevel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5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O139" s="1"/>
    </row>
    <row r="140" spans="1:93" ht="14.25" customHeight="1" outlineLevel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5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O140" s="1"/>
    </row>
    <row r="141" spans="1:93" ht="14.25" customHeight="1" outlineLevel="1">
      <c r="B141" s="489" t="s">
        <v>538</v>
      </c>
    </row>
    <row r="142" spans="1:93" ht="14.25" customHeight="1" outlineLevel="1">
      <c r="B142" s="319" t="s">
        <v>537</v>
      </c>
      <c r="D142" s="490">
        <f t="shared" ref="D142:AJ142" si="572">+(D86-D89)</f>
        <v>406.31</v>
      </c>
      <c r="E142" s="490">
        <f t="shared" si="572"/>
        <v>622.66999999999996</v>
      </c>
      <c r="F142" s="490">
        <f t="shared" si="572"/>
        <v>630.95000000000005</v>
      </c>
      <c r="G142" s="490">
        <f t="shared" si="572"/>
        <v>653.75</v>
      </c>
      <c r="H142" s="490">
        <f t="shared" si="572"/>
        <v>587.99</v>
      </c>
      <c r="I142" s="490">
        <f t="shared" si="572"/>
        <v>2396.25</v>
      </c>
      <c r="J142" s="490">
        <f t="shared" si="572"/>
        <v>697.18999999999994</v>
      </c>
      <c r="K142" s="490">
        <f t="shared" si="572"/>
        <v>662.1</v>
      </c>
      <c r="L142" s="490">
        <f t="shared" si="572"/>
        <v>518.20000000000005</v>
      </c>
      <c r="M142" s="490">
        <f t="shared" si="572"/>
        <v>618.61</v>
      </c>
      <c r="N142" s="490">
        <f t="shared" si="572"/>
        <v>785.29</v>
      </c>
      <c r="O142" s="490">
        <f t="shared" si="572"/>
        <v>757.29</v>
      </c>
      <c r="P142" s="490">
        <f t="shared" si="572"/>
        <v>664.95</v>
      </c>
      <c r="Q142" s="490">
        <f t="shared" si="572"/>
        <v>587.28</v>
      </c>
      <c r="R142" s="490">
        <f t="shared" si="572"/>
        <v>560.54999999999995</v>
      </c>
      <c r="S142" s="490">
        <f t="shared" si="572"/>
        <v>111.03999999999999</v>
      </c>
      <c r="T142" s="490">
        <f t="shared" si="572"/>
        <v>21.23</v>
      </c>
      <c r="U142" s="490">
        <f t="shared" si="572"/>
        <v>265.60000000000002</v>
      </c>
      <c r="V142" s="490">
        <f t="shared" si="572"/>
        <v>543.44000000000005</v>
      </c>
      <c r="W142" s="490">
        <f t="shared" si="572"/>
        <v>656.36</v>
      </c>
      <c r="X142" s="490">
        <f t="shared" si="572"/>
        <v>668.07999999999993</v>
      </c>
      <c r="Y142" s="490">
        <f t="shared" si="572"/>
        <v>780.98</v>
      </c>
      <c r="Z142" s="490">
        <f t="shared" si="572"/>
        <v>868.84</v>
      </c>
      <c r="AA142" s="490">
        <f t="shared" si="572"/>
        <v>956.57999999999993</v>
      </c>
      <c r="AB142" s="490">
        <f t="shared" si="572"/>
        <v>675.3</v>
      </c>
      <c r="AC142" s="490">
        <f t="shared" si="572"/>
        <v>683.19999999999993</v>
      </c>
      <c r="AD142" s="490">
        <f t="shared" si="572"/>
        <v>611</v>
      </c>
      <c r="AE142" s="490">
        <f t="shared" si="572"/>
        <v>303</v>
      </c>
      <c r="AF142" s="490">
        <f t="shared" si="572"/>
        <v>269</v>
      </c>
      <c r="AG142" s="490">
        <f t="shared" si="572"/>
        <v>454</v>
      </c>
      <c r="AH142" s="490">
        <f t="shared" si="572"/>
        <v>798</v>
      </c>
      <c r="AI142" s="490">
        <f t="shared" si="572"/>
        <v>268</v>
      </c>
      <c r="AJ142" s="490">
        <f t="shared" si="572"/>
        <v>369</v>
      </c>
      <c r="AK142" s="490">
        <f t="shared" ref="AK142:BB142" si="573">+(AK86-AK89)</f>
        <v>671</v>
      </c>
      <c r="AL142" s="490">
        <f t="shared" si="573"/>
        <v>640</v>
      </c>
      <c r="AM142" s="490">
        <f t="shared" si="573"/>
        <v>519</v>
      </c>
      <c r="AN142" s="490">
        <f t="shared" si="573"/>
        <v>494</v>
      </c>
      <c r="AO142" s="490">
        <f t="shared" si="573"/>
        <v>693</v>
      </c>
      <c r="AP142" s="490">
        <f t="shared" si="573"/>
        <v>839</v>
      </c>
      <c r="AQ142" s="490">
        <f t="shared" si="573"/>
        <v>838</v>
      </c>
      <c r="AR142" s="490">
        <f t="shared" si="573"/>
        <v>665</v>
      </c>
      <c r="AS142" s="490">
        <f t="shared" si="573"/>
        <v>706</v>
      </c>
      <c r="AT142" s="490">
        <f t="shared" si="573"/>
        <v>809</v>
      </c>
      <c r="AU142" s="490">
        <f t="shared" si="573"/>
        <v>848</v>
      </c>
      <c r="AV142" s="490">
        <f t="shared" si="573"/>
        <v>721.7</v>
      </c>
      <c r="AW142" s="490">
        <f t="shared" si="573"/>
        <v>829</v>
      </c>
      <c r="AX142" s="490">
        <f t="shared" si="573"/>
        <v>1029</v>
      </c>
      <c r="AY142" s="490">
        <f t="shared" si="573"/>
        <v>1060</v>
      </c>
      <c r="AZ142" s="490">
        <f t="shared" si="573"/>
        <v>1007</v>
      </c>
      <c r="BA142" s="490">
        <f t="shared" si="573"/>
        <v>1066</v>
      </c>
      <c r="BB142" s="490">
        <f t="shared" si="573"/>
        <v>1296</v>
      </c>
      <c r="BQ142" s="490">
        <f t="shared" ref="BQ142:BY142" si="574">+(BQ86-BQ89)</f>
        <v>2313.6799999999998</v>
      </c>
      <c r="BR142" s="490">
        <f t="shared" si="574"/>
        <v>4343.53</v>
      </c>
      <c r="BS142" s="490">
        <f t="shared" si="574"/>
        <v>2679.3900000000003</v>
      </c>
      <c r="BT142" s="490">
        <f t="shared" si="574"/>
        <v>1923.82</v>
      </c>
      <c r="BU142" s="490">
        <f t="shared" si="574"/>
        <v>1486.63</v>
      </c>
      <c r="BV142" s="490">
        <f t="shared" si="574"/>
        <v>3274.48</v>
      </c>
      <c r="BW142" s="490">
        <f t="shared" si="574"/>
        <v>2272.5</v>
      </c>
      <c r="BX142" s="490">
        <f t="shared" si="574"/>
        <v>1789</v>
      </c>
      <c r="BY142" s="490">
        <f t="shared" si="574"/>
        <v>2199</v>
      </c>
      <c r="BZ142" s="490">
        <f t="shared" ref="BZ142:CE142" si="575">+(BZ86-BZ89)</f>
        <v>2864</v>
      </c>
      <c r="CA142" s="490">
        <f t="shared" si="575"/>
        <v>3028</v>
      </c>
      <c r="CB142" s="490">
        <f t="shared" si="575"/>
        <v>3639.7</v>
      </c>
      <c r="CC142" s="490">
        <f t="shared" si="575"/>
        <v>3716</v>
      </c>
      <c r="CD142" s="490">
        <f t="shared" si="575"/>
        <v>5498.2878355532703</v>
      </c>
      <c r="CE142" s="490">
        <f t="shared" si="575"/>
        <v>5880.8164501963383</v>
      </c>
      <c r="CF142" s="490"/>
    </row>
  </sheetData>
  <phoneticPr fontId="22" type="noConversion"/>
  <conditionalFormatting sqref="B3">
    <cfRule type="cellIs" dxfId="22" priority="1" stopIfTrue="1" operator="equal">
      <formula>"Bear Case"</formula>
    </cfRule>
    <cfRule type="cellIs" dxfId="21" priority="2" stopIfTrue="1" operator="equal">
      <formula>"Bull Case"</formula>
    </cfRule>
    <cfRule type="cellIs" dxfId="20" priority="3" stopIfTrue="1" operator="equal">
      <formula>"Base Case"</formula>
    </cfRule>
  </conditionalFormatting>
  <dataValidations disablePrompts="1" count="1">
    <dataValidation type="list" allowBlank="1" showInputMessage="1" showErrorMessage="1" sqref="B3">
      <formula1>$CZ$3</formula1>
    </dataValidation>
  </dataValidations>
  <pageMargins left="0" right="0" top="0" bottom="0" header="0" footer="0"/>
  <pageSetup paperSize="5" scale="24" orientation="landscape" r:id="rId1"/>
  <headerFooter alignWithMargins="0"/>
  <colBreaks count="2" manualBreakCount="2">
    <brk id="78" max="107" man="1"/>
    <brk id="84" max="1048575" man="1"/>
  </colBreaks>
  <ignoredErrors>
    <ignoredError sqref="AC103 BP171:BY292 A63:A66 AC86:AC88 A94 A23:A27 AC83:AC84 A55:A60 AC42:AC44 CA55:CA56 A74 AD149:AG170 AH149:AH150 AH152:AQ170 BX152:BZ170 BP149:BW170 BX149:BZ150 A29:A34 AC31:AC34 AC23:AC27 AC29 AC36 A36:A40 A9:A14 A76:A79 A81:A88 AC68:AC72 A68:A72 AC55:AC60 CA49 A44:A45 AC38:AC39 AC63:AC66 A16:A17 A19:A20 AC49 A51:A53 AC101 A97:A106 AC78:AC79 A107:AA107 CA105:CB105 CA103:CB103 AL111:AM111 BP128 B111:AH112 B114 AN114:AQ114 D114:AH114 BQ114:CB114 BP130:CE130 A111:A117 BP114:BP117 C114:C117 A130:AQ130 A128 C128:AE128 AN111:AQ112 AD171:AQ292 AI143:AQ150 BP143:CE148 BP142 A143:AC292 C142 A141:A142 C141:AC141 AD143:AH148 CE111:CE112 CE114 BP109:CB112 A47 AC47 CA47 CA52:CA53 AC52:AC53 A109:AH110 AJ109:AJ111 AL109:AL110 AP109:AQ110 A133:AC140 AC105:AC106 AD133:AQ141 BP133:CE141 A49" formula="1"/>
    <ignoredError sqref="BQ86:BZ88 BQ10:BQ13 Y55:AA59 AG31:AG32 X55:X58 B63:B64 AD55:AD58 BY102 D10:AB13 D27:AB27 D34:AB34 D69:D70 D103:AB103 AL23:AL24 AD86:AD88 D105:AB105 BR10:BU11 J55:J59 AC40:AC41 AD64 AB78:AB79 BW59:BZ59 AJ10:AJ13 AJ16 BP19:BW20 AG38:AG39 D23:U25 AP68:AQ70 AD105 AJ23:AJ24 AL86:AL88 AD103 E68:AB70 D55:I58 AD27 AD34 AJ68:AJ70 W23:AB25 V23:V24 AD9:AD13 B9:AB9 BP9:BY9 B94:C94 AG23:AG25 AI9:AJ9 AP16:AQ16 AJ55:AJ58 B103:C106 AJ27 F64 AG78 AL34 BZ23:BZ25 AH86:AH88 B76:B78 AP31:AQ32 AP55:AQ58 B59:B60 C10:C14 AG9:AG13 AP29:AQ29 BP23:BW27 AG34 AD38:AD39 C85 AG64 BY34 AJ86:AJ88 B81:C84 AG70:AH70 BZ68:BZ70 C19:AB20 BW12:BY12 BY105 BR13:BU13 C51:E53 BP45 AJ29 BP17 BW55:BZ57 AL52:AL53 B17:C17 BP10:BP14 E63:H63 BX26:BX27 B32 B13 AJ38:AJ39 AJ76:AJ79 BZ105:BZ106 AL44 C44 AP38:AQ39 AB55:AB58 AP44:AQ44 AL76:AL79 BP100 C63:D66 B86:AB88 AP87:AQ88 C76:E79 C55:C60 BP55:BV60 AG29:AH29 BP36:BZ36 D29:AB29 D36:AB36 BP29:BZ29 BP30:BP34 AJ31:AJ32 AJ103 AD31:AD32 B39 B55:B57 C68:C72 AP76:AQ76 AD76:AD79 G76:AA79 BS76:BZ79 K55:L58 BR77:BR79 AD66 BV10:BV13 BP44:BZ44 AL38 BP16:BZ16 BY27 AG16 BY68:BY71 C16:AB16 BQ101:BZ101 B68:B70 BP103:BW106 BP102:BV102 AD23:AD25 B23:B25 B45:C45 AJ63:AJ66 AJ83:AJ84 BQ31:BX34 AH83:AH84 AL83:AL84 J83:AB84 AD83:AD84 D84:I84 AP83:AQ84 BP81:BP88 BQ83:BZ84 F76:F78 C101:C102 BP76:BQ79 B97:C99 B74:AA74 BQ74:BZ74 AD68:AD70 BY31:BZ32 D72:AB72 BP68:BX72 AH77:AH78 M55:W59 AP49:AQ49 BY38:BZ38 AL31:AL32 F53 B51 F51 BP63:BZ66 J63:AB63 B10 G64:AB66 E64:E66 F66 D31:AB32 D38:AB39 AH38 BP37:BP40 C29:C34 C36:C40 B30 C23:C27 AD49 BW10:BY10 AJ49 BP49:BZ49 BZ53 BX23:BY24 BQ38:BX39 AP25 C47:AB47 AG27:AH27 AG103:AH103 AL105 AL103 AL27 AP27:AQ27 AP105:AQ105 AP103:AQ103 BY103:BZ103 BX103:BX105 AJ34 AL29 AL55:AL58 AL63:AL66 AL16 AL9:AL13 AL68:AL70 AP63:AQ66 AP9:AQ13 AQ86 AP78:AQ79 AJ47 AD47 BQ47:BV47 G52:AB53 AP52:AQ53 BP52:BY53 AD52:AD53 AJ52:AJ53 AG105:AH105 B49:AB49" formula="1" formulaRange="1"/>
    <ignoredError sqref="BQ4:BV5 C2:C7 L2:L4 AD40 BP41 BW7 BQ43:BZ43 S40:AA40 K2:K4 J4 P40:R41 AB40:AB41 E40:K41 L40:O40 D2:D4 F2:I4 M2:AA4 E2:E4 B2 BP4:BP7 BQ7:BV7 AB4:AF4 AP4 B5:B6 BX7 AJ40 BZ9 BY41 AN4 BQ40:BX41 CA40 AL40 AP40:AQ40 CH41 BQ42:BY42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V3"/>
  <sheetViews>
    <sheetView workbookViewId="0"/>
  </sheetViews>
  <sheetFormatPr defaultRowHeight="12.75"/>
  <sheetData>
    <row r="1" spans="1:256">
      <c r="A1" t="s">
        <v>784</v>
      </c>
    </row>
    <row r="2" spans="1:256">
      <c r="A2" s="267" t="s">
        <v>711</v>
      </c>
      <c r="B2" s="267" t="s">
        <v>735</v>
      </c>
      <c r="C2" s="267" t="s">
        <v>627</v>
      </c>
      <c r="D2" s="267" t="s">
        <v>654</v>
      </c>
      <c r="E2" s="267" t="s">
        <v>819</v>
      </c>
      <c r="F2" s="267" t="s">
        <v>828</v>
      </c>
      <c r="G2" s="267" t="s">
        <v>797</v>
      </c>
      <c r="H2" s="267" t="s">
        <v>266</v>
      </c>
      <c r="I2" s="267" t="s">
        <v>640</v>
      </c>
      <c r="J2" s="267" t="s">
        <v>667</v>
      </c>
      <c r="K2" s="267" t="s">
        <v>588</v>
      </c>
      <c r="L2" s="267" t="s">
        <v>606</v>
      </c>
      <c r="M2" s="267" t="s">
        <v>798</v>
      </c>
      <c r="N2" s="267" t="s">
        <v>806</v>
      </c>
      <c r="O2" s="267" t="s">
        <v>596</v>
      </c>
      <c r="P2" s="267" t="s">
        <v>614</v>
      </c>
      <c r="Q2" s="267" t="s">
        <v>632</v>
      </c>
      <c r="R2" s="267" t="s">
        <v>659</v>
      </c>
      <c r="S2" s="267" t="s">
        <v>641</v>
      </c>
      <c r="T2" s="267" t="s">
        <v>668</v>
      </c>
      <c r="U2" s="267" t="s">
        <v>816</v>
      </c>
      <c r="V2" s="267" t="s">
        <v>825</v>
      </c>
      <c r="W2" s="267" t="s">
        <v>637</v>
      </c>
      <c r="X2" s="267" t="s">
        <v>664</v>
      </c>
      <c r="Y2" s="267" t="s">
        <v>768</v>
      </c>
      <c r="Z2" s="267" t="s">
        <v>756</v>
      </c>
      <c r="AA2" s="267" t="s">
        <v>818</v>
      </c>
      <c r="AB2" s="267" t="s">
        <v>827</v>
      </c>
      <c r="AC2" s="267" t="s">
        <v>595</v>
      </c>
      <c r="AD2" s="267" t="s">
        <v>613</v>
      </c>
      <c r="AE2" s="267" t="s">
        <v>688</v>
      </c>
      <c r="AF2" s="267" t="s">
        <v>701</v>
      </c>
      <c r="AG2" s="267" t="s">
        <v>681</v>
      </c>
      <c r="AH2" s="267" t="s">
        <v>606</v>
      </c>
      <c r="AI2" s="267" t="s">
        <v>835</v>
      </c>
      <c r="AJ2" s="267" t="s">
        <v>844</v>
      </c>
      <c r="AK2" s="267" t="s">
        <v>590</v>
      </c>
      <c r="AL2" s="267" t="s">
        <v>608</v>
      </c>
      <c r="AM2" s="267" t="s">
        <v>673</v>
      </c>
      <c r="AN2" s="267" t="s">
        <v>610</v>
      </c>
      <c r="AO2" s="1094" t="s">
        <v>623</v>
      </c>
      <c r="AP2" s="1094" t="s">
        <v>650</v>
      </c>
      <c r="AQ2" s="1094" t="s">
        <v>680</v>
      </c>
      <c r="AR2" s="1094" t="s">
        <v>697</v>
      </c>
      <c r="AS2" s="1094" t="s">
        <v>633</v>
      </c>
      <c r="AT2" s="1094" t="s">
        <v>660</v>
      </c>
      <c r="AU2" s="1094" t="s">
        <v>622</v>
      </c>
      <c r="AV2" s="1094" t="s">
        <v>649</v>
      </c>
      <c r="AW2" s="1094" t="s">
        <v>675</v>
      </c>
      <c r="AX2" s="1094" t="s">
        <v>692</v>
      </c>
      <c r="AY2" s="1094" t="s">
        <v>638</v>
      </c>
      <c r="AZ2" s="1094" t="s">
        <v>665</v>
      </c>
      <c r="BA2" s="1094" t="s">
        <v>704</v>
      </c>
      <c r="BB2" s="1094" t="s">
        <v>730</v>
      </c>
      <c r="BC2" s="1094" t="s">
        <v>767</v>
      </c>
      <c r="BD2" s="1094" t="s">
        <v>759</v>
      </c>
      <c r="BE2" s="1094" t="s">
        <v>753</v>
      </c>
      <c r="BF2" s="1094" t="s">
        <v>762</v>
      </c>
      <c r="BG2" s="1094" t="s">
        <v>728</v>
      </c>
      <c r="BH2" s="1094" t="s">
        <v>669</v>
      </c>
      <c r="BI2" s="1094" t="s">
        <v>780</v>
      </c>
      <c r="BJ2" s="1094" t="s">
        <v>790</v>
      </c>
      <c r="BK2" s="1094" t="s">
        <v>715</v>
      </c>
      <c r="BL2" s="1094" t="s">
        <v>739</v>
      </c>
      <c r="BM2" s="1094" t="s">
        <v>718</v>
      </c>
      <c r="BN2" s="1094" t="s">
        <v>653</v>
      </c>
      <c r="BO2" s="1094" t="s">
        <v>625</v>
      </c>
      <c r="BP2" s="1094" t="s">
        <v>652</v>
      </c>
      <c r="BQ2" s="1094" t="s">
        <v>796</v>
      </c>
      <c r="BR2" s="1094" t="s">
        <v>805</v>
      </c>
      <c r="BS2" s="1094" t="s">
        <v>672</v>
      </c>
      <c r="BT2" s="1094" t="s">
        <v>690</v>
      </c>
      <c r="BU2" s="1094" t="s">
        <v>838</v>
      </c>
      <c r="BV2" s="1094" t="s">
        <v>847</v>
      </c>
      <c r="BW2" s="1094" t="s">
        <v>817</v>
      </c>
      <c r="BX2" s="1094" t="s">
        <v>826</v>
      </c>
      <c r="BY2" s="1094" t="s">
        <v>674</v>
      </c>
      <c r="BZ2" s="1094" t="s">
        <v>691</v>
      </c>
      <c r="CA2" s="1094" t="s">
        <v>634</v>
      </c>
      <c r="CB2" s="1094" t="s">
        <v>661</v>
      </c>
      <c r="CC2" s="1094" t="s">
        <v>685</v>
      </c>
      <c r="CD2" s="1094" t="s">
        <v>616</v>
      </c>
      <c r="CE2" s="1094" t="s">
        <v>773</v>
      </c>
      <c r="CF2" s="1094" t="s">
        <v>757</v>
      </c>
      <c r="CG2" s="1094" t="s">
        <v>404</v>
      </c>
      <c r="CH2" s="1094" t="s">
        <v>266</v>
      </c>
      <c r="CI2" s="1094" t="s">
        <v>719</v>
      </c>
      <c r="CJ2" s="1094" t="s">
        <v>663</v>
      </c>
      <c r="CK2" s="1094" t="s">
        <v>801</v>
      </c>
      <c r="CL2" s="1094" t="s">
        <v>809</v>
      </c>
      <c r="CM2" s="1094" t="s">
        <v>303</v>
      </c>
      <c r="CN2" s="1094" t="s">
        <v>266</v>
      </c>
      <c r="CO2" s="1094" t="s">
        <v>629</v>
      </c>
      <c r="CP2" s="1094" t="s">
        <v>656</v>
      </c>
      <c r="CQ2" s="1094" t="s">
        <v>302</v>
      </c>
      <c r="CR2" s="1094" t="s">
        <v>266</v>
      </c>
      <c r="CS2" s="1094" t="s">
        <v>772</v>
      </c>
      <c r="CT2" s="1094" t="s">
        <v>758</v>
      </c>
      <c r="CU2" s="1094" t="s">
        <v>618</v>
      </c>
      <c r="CV2" s="1094" t="s">
        <v>645</v>
      </c>
      <c r="CW2" s="1094" t="s">
        <v>710</v>
      </c>
      <c r="CX2" s="1094" t="s">
        <v>734</v>
      </c>
      <c r="CY2" s="1094" t="s">
        <v>397</v>
      </c>
      <c r="CZ2" s="1094" t="s">
        <v>266</v>
      </c>
      <c r="DA2" s="1094" t="s">
        <v>599</v>
      </c>
      <c r="DB2" s="1094" t="s">
        <v>617</v>
      </c>
      <c r="DC2" s="1094" t="s">
        <v>755</v>
      </c>
      <c r="DD2" s="1094" t="s">
        <v>764</v>
      </c>
      <c r="DE2" s="1094" t="s">
        <v>707</v>
      </c>
      <c r="DF2" s="1094" t="s">
        <v>732</v>
      </c>
      <c r="DG2" s="1094" t="s">
        <v>304</v>
      </c>
      <c r="DH2" s="1094" t="s">
        <v>266</v>
      </c>
      <c r="DI2" s="1094" t="s">
        <v>399</v>
      </c>
      <c r="DJ2" s="1094" t="s">
        <v>266</v>
      </c>
      <c r="DK2" s="1094" t="s">
        <v>754</v>
      </c>
      <c r="DL2" s="1094" t="s">
        <v>763</v>
      </c>
      <c r="DM2" s="1094" t="s">
        <v>619</v>
      </c>
      <c r="DN2" s="1094" t="s">
        <v>646</v>
      </c>
      <c r="DO2" s="1094" t="s">
        <v>752</v>
      </c>
      <c r="DP2" s="1094" t="s">
        <v>761</v>
      </c>
      <c r="DQ2" s="1094" t="s">
        <v>264</v>
      </c>
      <c r="DR2" s="1094" t="s">
        <v>266</v>
      </c>
      <c r="DS2" s="1094" t="s">
        <v>624</v>
      </c>
      <c r="DT2" s="1094" t="s">
        <v>651</v>
      </c>
      <c r="DU2" s="1094" t="s">
        <v>747</v>
      </c>
      <c r="DV2" s="1094" t="s">
        <v>756</v>
      </c>
      <c r="DW2" s="1094" t="s">
        <v>836</v>
      </c>
      <c r="DX2" s="1094" t="s">
        <v>845</v>
      </c>
      <c r="DY2" s="1094" t="s">
        <v>702</v>
      </c>
      <c r="DZ2" s="1094" t="s">
        <v>729</v>
      </c>
      <c r="EA2" s="1094" t="s">
        <v>687</v>
      </c>
      <c r="EB2" s="1094" t="s">
        <v>700</v>
      </c>
      <c r="EC2" s="1094" t="s">
        <v>771</v>
      </c>
      <c r="ED2" s="1094" t="s">
        <v>763</v>
      </c>
      <c r="EE2" s="1094" t="s">
        <v>748</v>
      </c>
      <c r="EF2" s="1094" t="s">
        <v>757</v>
      </c>
      <c r="EG2" s="1094" t="s">
        <v>642</v>
      </c>
      <c r="EH2" s="1094" t="s">
        <v>669</v>
      </c>
      <c r="EI2" s="1094" t="s">
        <v>834</v>
      </c>
      <c r="EJ2" s="1094" t="s">
        <v>843</v>
      </c>
      <c r="EK2" s="1094" t="s">
        <v>410</v>
      </c>
      <c r="EL2" s="1094" t="s">
        <v>403</v>
      </c>
      <c r="EM2" s="1094" t="s">
        <v>405</v>
      </c>
      <c r="EN2" s="1094" t="s">
        <v>266</v>
      </c>
      <c r="EO2" s="1094" t="s">
        <v>639</v>
      </c>
      <c r="EP2" s="1094" t="s">
        <v>666</v>
      </c>
      <c r="EQ2" s="1094" t="s">
        <v>406</v>
      </c>
      <c r="ER2" s="1094" t="s">
        <v>183</v>
      </c>
      <c r="ES2" s="1094" t="s">
        <v>765</v>
      </c>
      <c r="ET2" s="1094" t="s">
        <v>774</v>
      </c>
      <c r="EU2" s="1094" t="s">
        <v>295</v>
      </c>
      <c r="EV2" s="1094" t="s">
        <v>298</v>
      </c>
      <c r="EW2" s="1094" t="s">
        <v>706</v>
      </c>
      <c r="EX2" s="1094" t="s">
        <v>665</v>
      </c>
      <c r="EY2" s="1094" t="s">
        <v>628</v>
      </c>
      <c r="EZ2" s="1094" t="s">
        <v>655</v>
      </c>
      <c r="FA2" s="1094" t="s">
        <v>586</v>
      </c>
      <c r="FB2" s="1094" t="s">
        <v>604</v>
      </c>
      <c r="FC2" s="1094" t="s">
        <v>833</v>
      </c>
      <c r="FD2" s="1094" t="s">
        <v>842</v>
      </c>
      <c r="FE2" s="1094" t="s">
        <v>839</v>
      </c>
      <c r="FF2" s="1094" t="s">
        <v>848</v>
      </c>
      <c r="FG2" s="1094" t="s">
        <v>708</v>
      </c>
      <c r="FH2" s="1094" t="s">
        <v>733</v>
      </c>
      <c r="FI2" s="1094" t="s">
        <v>597</v>
      </c>
      <c r="FJ2" s="1094" t="s">
        <v>615</v>
      </c>
      <c r="FK2" s="1094" t="s">
        <v>636</v>
      </c>
      <c r="FL2" s="1094" t="s">
        <v>663</v>
      </c>
      <c r="FM2" s="1094" t="s">
        <v>769</v>
      </c>
      <c r="FN2" s="1094" t="s">
        <v>762</v>
      </c>
      <c r="FO2" s="1094" t="s">
        <v>713</v>
      </c>
      <c r="FP2" s="1094" t="s">
        <v>737</v>
      </c>
      <c r="FQ2" s="1094" t="s">
        <v>402</v>
      </c>
      <c r="FR2" s="1094" t="s">
        <v>867</v>
      </c>
      <c r="FS2" s="1094" t="s">
        <v>813</v>
      </c>
      <c r="FT2" s="1094" t="s">
        <v>822</v>
      </c>
      <c r="FU2" s="1094" t="s">
        <v>781</v>
      </c>
      <c r="FV2" s="1094" t="s">
        <v>791</v>
      </c>
      <c r="FW2" s="1094" t="s">
        <v>676</v>
      </c>
      <c r="FX2" s="1094" t="s">
        <v>693</v>
      </c>
      <c r="FY2" s="1094" t="s">
        <v>621</v>
      </c>
      <c r="FZ2" s="1094" t="s">
        <v>648</v>
      </c>
      <c r="GA2" s="1094" t="s">
        <v>631</v>
      </c>
      <c r="GB2" s="1094" t="s">
        <v>658</v>
      </c>
      <c r="GC2" s="1094" t="s">
        <v>766</v>
      </c>
      <c r="GD2" s="1094" t="s">
        <v>764</v>
      </c>
      <c r="GE2" s="1094" t="s">
        <v>716</v>
      </c>
      <c r="GF2" s="1094" t="s">
        <v>658</v>
      </c>
      <c r="GG2" s="1094" t="s">
        <v>776</v>
      </c>
      <c r="GH2" s="1094" t="s">
        <v>786</v>
      </c>
      <c r="GI2" s="1094" t="s">
        <v>400</v>
      </c>
      <c r="GJ2" s="1094" t="s">
        <v>266</v>
      </c>
      <c r="GK2" s="1094" t="s">
        <v>782</v>
      </c>
      <c r="GL2" s="1094" t="s">
        <v>792</v>
      </c>
      <c r="GM2" s="1094" t="s">
        <v>722</v>
      </c>
      <c r="GN2" s="1094" t="s">
        <v>743</v>
      </c>
      <c r="GO2" s="1094" t="s">
        <v>831</v>
      </c>
      <c r="GP2" s="1094" t="s">
        <v>840</v>
      </c>
      <c r="GQ2" s="1094" t="s">
        <v>770</v>
      </c>
      <c r="GR2" s="1094" t="s">
        <v>761</v>
      </c>
      <c r="GS2" s="1094" t="s">
        <v>724</v>
      </c>
      <c r="GT2" s="1094" t="s">
        <v>745</v>
      </c>
      <c r="GU2" s="1094" t="s">
        <v>799</v>
      </c>
      <c r="GV2" s="1094" t="s">
        <v>807</v>
      </c>
      <c r="GW2" s="1094" t="s">
        <v>683</v>
      </c>
      <c r="GX2" s="1094" t="s">
        <v>699</v>
      </c>
      <c r="GY2" s="1094" t="s">
        <v>802</v>
      </c>
      <c r="GZ2" s="1094" t="s">
        <v>810</v>
      </c>
      <c r="HA2" s="1094" t="s">
        <v>679</v>
      </c>
      <c r="HB2" s="1094" t="s">
        <v>696</v>
      </c>
      <c r="HC2" s="1094" t="s">
        <v>709</v>
      </c>
      <c r="HD2" s="1094" t="s">
        <v>654</v>
      </c>
      <c r="HE2" s="1094" t="s">
        <v>794</v>
      </c>
      <c r="HF2" s="1094" t="s">
        <v>803</v>
      </c>
      <c r="HG2" s="1094" t="s">
        <v>821</v>
      </c>
      <c r="HH2" s="1094" t="s">
        <v>830</v>
      </c>
      <c r="HI2" s="1094" t="s">
        <v>684</v>
      </c>
      <c r="HJ2" s="1094" t="s">
        <v>602</v>
      </c>
      <c r="HK2" s="1094" t="s">
        <v>620</v>
      </c>
      <c r="HL2" s="1094" t="s">
        <v>647</v>
      </c>
      <c r="HM2" s="1094" t="s">
        <v>832</v>
      </c>
      <c r="HN2" s="1094" t="s">
        <v>841</v>
      </c>
      <c r="HO2" s="1094" t="s">
        <v>714</v>
      </c>
      <c r="HP2" s="1094" t="s">
        <v>738</v>
      </c>
      <c r="HQ2" s="1094" t="s">
        <v>398</v>
      </c>
      <c r="HR2" s="1094" t="s">
        <v>266</v>
      </c>
      <c r="HS2" s="1094" t="s">
        <v>814</v>
      </c>
      <c r="HT2" s="1094" t="s">
        <v>823</v>
      </c>
      <c r="HU2" s="1094" t="s">
        <v>686</v>
      </c>
      <c r="HV2" s="1094" t="s">
        <v>600</v>
      </c>
      <c r="HW2" s="1094" t="s">
        <v>775</v>
      </c>
      <c r="HX2" s="1094" t="s">
        <v>785</v>
      </c>
      <c r="HY2" s="1094" t="s">
        <v>265</v>
      </c>
      <c r="HZ2" s="1094" t="s">
        <v>266</v>
      </c>
      <c r="IA2" s="1094" t="s">
        <v>725</v>
      </c>
      <c r="IB2" s="1094" t="s">
        <v>666</v>
      </c>
      <c r="IC2" s="1094" t="s">
        <v>778</v>
      </c>
      <c r="ID2" s="1094" t="s">
        <v>788</v>
      </c>
      <c r="IE2" s="1094" t="s">
        <v>727</v>
      </c>
      <c r="IF2" s="1094" t="s">
        <v>656</v>
      </c>
      <c r="IG2" s="1094" t="s">
        <v>585</v>
      </c>
      <c r="IH2" s="1094" t="s">
        <v>603</v>
      </c>
      <c r="II2" s="1094" t="s">
        <v>591</v>
      </c>
      <c r="IJ2" s="1094" t="s">
        <v>609</v>
      </c>
      <c r="IK2" s="1094" t="s">
        <v>689</v>
      </c>
      <c r="IL2" s="1094" t="s">
        <v>617</v>
      </c>
      <c r="IM2" s="1094" t="s">
        <v>678</v>
      </c>
      <c r="IN2" s="1094" t="s">
        <v>695</v>
      </c>
      <c r="IO2" s="1094" t="s">
        <v>589</v>
      </c>
      <c r="IP2" s="1094" t="s">
        <v>607</v>
      </c>
      <c r="IQ2" s="1094" t="s">
        <v>703</v>
      </c>
      <c r="IR2" s="1094" t="s">
        <v>649</v>
      </c>
      <c r="IS2" s="1094" t="s">
        <v>630</v>
      </c>
      <c r="IT2" s="1094" t="s">
        <v>657</v>
      </c>
      <c r="IU2" s="1094" t="s">
        <v>408</v>
      </c>
      <c r="IV2" s="1094" t="s">
        <v>409</v>
      </c>
    </row>
    <row r="3" spans="1:256">
      <c r="A3" s="1094" t="s">
        <v>721</v>
      </c>
      <c r="B3" s="1094" t="s">
        <v>742</v>
      </c>
      <c r="C3" s="1094" t="s">
        <v>594</v>
      </c>
      <c r="D3" s="1094" t="s">
        <v>612</v>
      </c>
      <c r="E3" s="1094" t="s">
        <v>800</v>
      </c>
      <c r="F3" s="1094" t="s">
        <v>808</v>
      </c>
      <c r="G3" s="1094" t="s">
        <v>407</v>
      </c>
      <c r="H3" s="1094" t="s">
        <v>266</v>
      </c>
      <c r="I3" s="1094" t="s">
        <v>820</v>
      </c>
      <c r="J3" s="1094" t="s">
        <v>829</v>
      </c>
      <c r="K3" s="1094" t="s">
        <v>644</v>
      </c>
      <c r="L3" s="1094" t="s">
        <v>671</v>
      </c>
      <c r="M3" s="1094" t="s">
        <v>717</v>
      </c>
      <c r="N3" s="1094" t="s">
        <v>740</v>
      </c>
      <c r="O3" s="1094" t="s">
        <v>726</v>
      </c>
      <c r="P3" s="1094" t="s">
        <v>746</v>
      </c>
      <c r="Q3" s="1094" t="s">
        <v>593</v>
      </c>
      <c r="R3" s="1094" t="s">
        <v>611</v>
      </c>
      <c r="S3" s="1094" t="s">
        <v>720</v>
      </c>
      <c r="T3" s="1094" t="s">
        <v>741</v>
      </c>
      <c r="U3" s="1094" t="s">
        <v>749</v>
      </c>
      <c r="V3" s="1094" t="s">
        <v>758</v>
      </c>
      <c r="W3" s="1094" t="s">
        <v>712</v>
      </c>
      <c r="X3" s="1094" t="s">
        <v>736</v>
      </c>
      <c r="Y3" s="1094" t="s">
        <v>777</v>
      </c>
      <c r="Z3" s="1094" t="s">
        <v>787</v>
      </c>
      <c r="AA3" s="1094" t="s">
        <v>297</v>
      </c>
      <c r="AB3" s="1094" t="s">
        <v>266</v>
      </c>
      <c r="AC3" s="1094" t="s">
        <v>635</v>
      </c>
      <c r="AD3" s="1094" t="s">
        <v>662</v>
      </c>
      <c r="AE3" s="1094" t="s">
        <v>837</v>
      </c>
      <c r="AF3" s="1094" t="s">
        <v>846</v>
      </c>
      <c r="AG3" s="1094" t="s">
        <v>626</v>
      </c>
      <c r="AH3" s="1094" t="s">
        <v>653</v>
      </c>
      <c r="AI3" s="1094" t="s">
        <v>677</v>
      </c>
      <c r="AJ3" s="1094" t="s">
        <v>694</v>
      </c>
      <c r="AK3" s="1094" t="s">
        <v>583</v>
      </c>
      <c r="AL3" s="1094" t="s">
        <v>601</v>
      </c>
      <c r="AM3" s="1094" t="s">
        <v>795</v>
      </c>
      <c r="AN3" s="1094" t="s">
        <v>804</v>
      </c>
      <c r="AO3" s="1094" t="s">
        <v>584</v>
      </c>
      <c r="AP3" s="1094" t="s">
        <v>602</v>
      </c>
      <c r="AQ3" s="1094" t="s">
        <v>815</v>
      </c>
      <c r="AR3" s="1094" t="s">
        <v>824</v>
      </c>
      <c r="AS3" s="1094" t="s">
        <v>643</v>
      </c>
      <c r="AT3" s="1094" t="s">
        <v>670</v>
      </c>
      <c r="AU3" s="1094" t="s">
        <v>705</v>
      </c>
      <c r="AV3" s="1094" t="s">
        <v>731</v>
      </c>
      <c r="AW3" s="1094" t="s">
        <v>263</v>
      </c>
      <c r="AX3" s="1094" t="s">
        <v>266</v>
      </c>
      <c r="AY3" s="1094" t="s">
        <v>296</v>
      </c>
      <c r="AZ3" s="1094" t="s">
        <v>183</v>
      </c>
      <c r="BA3" s="1094" t="s">
        <v>783</v>
      </c>
      <c r="BB3" s="1094" t="s">
        <v>793</v>
      </c>
      <c r="BC3" s="1094" t="s">
        <v>582</v>
      </c>
      <c r="BD3" s="1094" t="s">
        <v>600</v>
      </c>
      <c r="BE3" s="1094" t="s">
        <v>750</v>
      </c>
      <c r="BF3" s="1094" t="s">
        <v>759</v>
      </c>
      <c r="BG3" s="1094" t="s">
        <v>682</v>
      </c>
      <c r="BH3" s="1094" t="s">
        <v>698</v>
      </c>
      <c r="BI3" s="1094" t="s">
        <v>751</v>
      </c>
      <c r="BJ3" s="1094" t="s">
        <v>760</v>
      </c>
      <c r="BK3" s="1094" t="s">
        <v>592</v>
      </c>
      <c r="BL3" s="1094" t="s">
        <v>610</v>
      </c>
      <c r="BM3" s="1094" t="s">
        <v>598</v>
      </c>
      <c r="BN3" s="1094" t="s">
        <v>616</v>
      </c>
      <c r="BO3" s="1094" t="s">
        <v>723</v>
      </c>
      <c r="BP3" s="1094" t="s">
        <v>744</v>
      </c>
      <c r="BQ3" s="1094" t="s">
        <v>779</v>
      </c>
      <c r="BR3" s="1094" t="s">
        <v>789</v>
      </c>
      <c r="BS3" s="1094" t="s">
        <v>587</v>
      </c>
      <c r="BT3" s="1094" t="s">
        <v>605</v>
      </c>
      <c r="BU3" s="1094"/>
      <c r="BV3" s="1094"/>
      <c r="BW3" s="1094"/>
      <c r="BX3" s="1094"/>
      <c r="BY3" s="1094"/>
      <c r="BZ3" s="1094"/>
      <c r="CA3" s="1094"/>
      <c r="CB3" s="1094"/>
      <c r="CC3" s="1094"/>
      <c r="CD3" s="1094"/>
      <c r="CE3" s="1094"/>
      <c r="CF3" s="1094"/>
      <c r="CG3" s="1094"/>
      <c r="CH3" s="1094"/>
      <c r="CI3" s="1094"/>
      <c r="CJ3" s="1094"/>
      <c r="CK3" s="1094"/>
      <c r="CL3" s="1094"/>
      <c r="CM3" s="1094"/>
      <c r="CN3" s="1094"/>
      <c r="CO3" s="1094"/>
      <c r="CP3" s="1094"/>
      <c r="CQ3" s="1094"/>
      <c r="CR3" s="1094"/>
      <c r="CS3" s="1094"/>
      <c r="CT3" s="1094"/>
      <c r="CU3" s="1094"/>
      <c r="CV3" s="1094"/>
      <c r="CW3" s="1094"/>
      <c r="CX3" s="1094"/>
      <c r="CY3" s="1094"/>
      <c r="CZ3" s="1094"/>
      <c r="DA3" s="1094"/>
      <c r="DB3" s="1094"/>
      <c r="DC3" s="1094"/>
      <c r="DD3" s="1094"/>
      <c r="DE3" s="1094"/>
      <c r="DF3" s="1094"/>
      <c r="DG3" s="1094"/>
      <c r="DH3" s="1094"/>
      <c r="DI3" s="1094"/>
      <c r="DJ3" s="1094"/>
      <c r="DK3" s="1094"/>
      <c r="DL3" s="1094"/>
      <c r="DM3" s="1094"/>
      <c r="DN3" s="1094"/>
      <c r="DO3" s="1094"/>
      <c r="DP3" s="1094"/>
      <c r="DQ3" s="1094"/>
      <c r="DR3" s="1094"/>
      <c r="DS3" s="1094"/>
      <c r="DT3" s="1094"/>
      <c r="DU3" s="1094"/>
      <c r="DV3" s="1094"/>
      <c r="DW3" s="1094"/>
      <c r="DX3" s="1094"/>
      <c r="DY3" s="1094"/>
      <c r="DZ3" s="1094"/>
      <c r="EA3" s="1094"/>
      <c r="EB3" s="1094"/>
      <c r="EC3" s="1094"/>
      <c r="ED3" s="1094"/>
      <c r="EE3" s="1094"/>
      <c r="EF3" s="1094"/>
      <c r="EG3" s="1094"/>
      <c r="EH3" s="1094"/>
      <c r="EI3" s="1094"/>
      <c r="EJ3" s="1094"/>
      <c r="EK3" s="1094"/>
      <c r="EL3" s="1094"/>
      <c r="EM3" s="1094"/>
      <c r="EN3" s="1094"/>
      <c r="EO3" s="1094"/>
      <c r="EP3" s="1094"/>
      <c r="EQ3" s="1094"/>
      <c r="ER3" s="1094"/>
      <c r="ES3" s="1094"/>
      <c r="ET3" s="1094"/>
      <c r="EU3" s="1094"/>
      <c r="EV3" s="1094"/>
      <c r="EW3" s="1094"/>
      <c r="EX3" s="1094"/>
      <c r="EY3" s="1094"/>
      <c r="EZ3" s="1094"/>
      <c r="FA3" s="1094"/>
      <c r="FB3" s="1094"/>
      <c r="FC3" s="1094"/>
      <c r="FD3" s="1094"/>
      <c r="FE3" s="1094"/>
      <c r="FF3" s="1094"/>
      <c r="FG3" s="1094"/>
      <c r="FH3" s="1094"/>
      <c r="FI3" s="1094"/>
      <c r="FJ3" s="1094"/>
      <c r="FK3" s="1094"/>
      <c r="FL3" s="1094"/>
      <c r="FM3" s="1094"/>
      <c r="FN3" s="1094"/>
      <c r="FO3" s="1094"/>
      <c r="FP3" s="1094"/>
      <c r="FQ3" s="1094"/>
      <c r="FR3" s="1094"/>
      <c r="FS3" s="1094"/>
      <c r="FT3" s="1094"/>
      <c r="FU3" s="1094"/>
      <c r="FV3" s="1094"/>
      <c r="FW3" s="1094"/>
      <c r="FX3" s="1094"/>
      <c r="FY3" s="1094"/>
      <c r="FZ3" s="1094"/>
      <c r="GA3" s="1094"/>
      <c r="GB3" s="1094"/>
      <c r="GC3" s="1094"/>
      <c r="GD3" s="1094"/>
      <c r="GE3" s="1094"/>
      <c r="GF3" s="1094"/>
      <c r="GG3" s="1094"/>
      <c r="GH3" s="1094"/>
      <c r="GI3" s="1094"/>
      <c r="GJ3" s="1094"/>
      <c r="GK3" s="1094"/>
      <c r="GL3" s="1094"/>
      <c r="GM3" s="1094"/>
      <c r="GN3" s="1094"/>
      <c r="GO3" s="1094"/>
      <c r="GP3" s="1094"/>
      <c r="GQ3" s="1094"/>
      <c r="GR3" s="1094"/>
      <c r="GS3" s="1094"/>
      <c r="GT3" s="1094"/>
      <c r="GU3" s="1094"/>
      <c r="GV3" s="1094"/>
      <c r="GW3" s="1094"/>
      <c r="GX3" s="1094"/>
      <c r="GY3" s="1094"/>
      <c r="GZ3" s="1094"/>
      <c r="HA3" s="1094"/>
      <c r="HB3" s="1094"/>
      <c r="HC3" s="1094"/>
      <c r="HD3" s="1094"/>
      <c r="HE3" s="1094"/>
      <c r="HF3" s="1094"/>
      <c r="HG3" s="1094"/>
      <c r="HH3" s="1094"/>
      <c r="HI3" s="1094"/>
      <c r="HJ3" s="1094"/>
      <c r="HK3" s="1094"/>
      <c r="HL3" s="1094"/>
      <c r="HM3" s="1094"/>
      <c r="HN3" s="1094"/>
      <c r="HO3" s="1094"/>
      <c r="HP3" s="1094"/>
      <c r="HQ3" s="1094"/>
      <c r="HR3" s="1094"/>
      <c r="HS3" s="1094"/>
      <c r="HT3" s="1094"/>
      <c r="HU3" s="1094"/>
      <c r="HV3" s="1094"/>
      <c r="HW3" s="1094"/>
      <c r="HX3" s="1094"/>
      <c r="HY3" s="1094"/>
      <c r="HZ3" s="1094"/>
      <c r="IA3" s="1094"/>
      <c r="IB3" s="1094"/>
      <c r="IC3" s="1094"/>
      <c r="ID3" s="1094"/>
      <c r="IE3" s="1094"/>
      <c r="IF3" s="1094"/>
      <c r="IG3" s="1094"/>
      <c r="IH3" s="1094"/>
      <c r="II3" s="1094"/>
      <c r="IJ3" s="1094"/>
      <c r="IK3" s="1094"/>
      <c r="IL3" s="1094"/>
      <c r="IM3" s="1094"/>
      <c r="IN3" s="1094"/>
      <c r="IO3" s="1094"/>
      <c r="IP3" s="1094"/>
      <c r="IQ3" s="1094"/>
      <c r="IR3" s="1094"/>
      <c r="IS3" s="1094"/>
      <c r="IT3" s="1094"/>
      <c r="IU3" s="1094"/>
      <c r="IV3" s="1094"/>
    </row>
  </sheetData>
  <phoneticPr fontId="22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CP121"/>
  <sheetViews>
    <sheetView showGridLines="0" zoomScale="85" zoomScaleNormal="85" workbookViewId="0">
      <pane xSplit="3" ySplit="9" topLeftCell="AZ10" activePane="bottomRight" state="frozen"/>
      <selection activeCell="AZ133" activeCellId="1" sqref="AZ131:BC131 AZ133:BC133"/>
      <selection pane="topRight" activeCell="AZ133" activeCellId="1" sqref="AZ131:BC131 AZ133:BC133"/>
      <selection pane="bottomLeft" activeCell="AZ133" activeCellId="1" sqref="AZ131:BC131 AZ133:BC133"/>
      <selection pane="bottomRight" activeCell="BD8" sqref="A1:XFD1048576"/>
    </sheetView>
  </sheetViews>
  <sheetFormatPr defaultRowHeight="14.25" customHeight="1" outlineLevelRow="1" outlineLevelCol="1"/>
  <cols>
    <col min="1" max="1" width="1.7109375" style="283" customWidth="1"/>
    <col min="2" max="2" width="45.140625" style="283" customWidth="1"/>
    <col min="3" max="3" width="1.7109375" style="283" customWidth="1"/>
    <col min="4" max="19" width="11.42578125" style="283" hidden="1" customWidth="1" outlineLevel="1"/>
    <col min="20" max="20" width="11.42578125" style="283" hidden="1" customWidth="1" outlineLevel="1" collapsed="1"/>
    <col min="21" max="27" width="11.42578125" style="283" hidden="1" customWidth="1" outlineLevel="1"/>
    <col min="28" max="28" width="11.42578125" style="283" hidden="1" customWidth="1" outlineLevel="1" collapsed="1"/>
    <col min="29" max="35" width="11.42578125" style="283" hidden="1" customWidth="1" outlineLevel="1"/>
    <col min="36" max="36" width="11.5703125" style="283" hidden="1" customWidth="1" outlineLevel="1" collapsed="1"/>
    <col min="37" max="39" width="11.5703125" style="283" hidden="1" customWidth="1" outlineLevel="1"/>
    <col min="40" max="40" width="11.5703125" style="283" hidden="1" customWidth="1" outlineLevel="1" collapsed="1"/>
    <col min="41" max="47" width="11.5703125" style="283" hidden="1" customWidth="1" outlineLevel="1"/>
    <col min="48" max="48" width="11.5703125" style="283" hidden="1" customWidth="1" outlineLevel="1" collapsed="1"/>
    <col min="49" max="51" width="11.42578125" style="283" hidden="1" customWidth="1" outlineLevel="1"/>
    <col min="52" max="52" width="11.42578125" style="283" customWidth="1" collapsed="1"/>
    <col min="53" max="63" width="11.42578125" style="283" customWidth="1"/>
    <col min="64" max="67" width="11.42578125" style="283" hidden="1" customWidth="1" outlineLevel="1"/>
    <col min="68" max="68" width="2.7109375" style="283" customWidth="1" collapsed="1"/>
    <col min="69" max="72" width="11.42578125" style="283" hidden="1" customWidth="1" outlineLevel="1"/>
    <col min="73" max="73" width="11.42578125" style="283" hidden="1" customWidth="1" outlineLevel="1" collapsed="1"/>
    <col min="74" max="74" width="11.42578125" style="283" hidden="1" customWidth="1" outlineLevel="1"/>
    <col min="75" max="75" width="11.42578125" style="283" hidden="1" customWidth="1" collapsed="1"/>
    <col min="76" max="80" width="11.42578125" style="283" hidden="1" customWidth="1" outlineLevel="1"/>
    <col min="81" max="81" width="11.42578125" style="283" customWidth="1" collapsed="1"/>
    <col min="82" max="83" width="11.42578125" style="283" customWidth="1"/>
    <col min="84" max="84" width="12" style="283" hidden="1" customWidth="1" outlineLevel="1"/>
    <col min="85" max="85" width="11.42578125" style="283" customWidth="1" collapsed="1"/>
    <col min="86" max="86" width="9.140625" hidden="1" customWidth="1" outlineLevel="1"/>
    <col min="87" max="92" width="12.5703125" hidden="1" customWidth="1" outlineLevel="1"/>
    <col min="93" max="93" width="9.140625" hidden="1" customWidth="1" outlineLevel="1"/>
    <col min="94" max="94" width="9.140625" collapsed="1"/>
    <col min="95" max="95" width="9.28515625" bestFit="1" customWidth="1"/>
  </cols>
  <sheetData>
    <row r="1" spans="1:93" ht="67.5" customHeight="1">
      <c r="A1" s="1"/>
      <c r="B1" s="298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2"/>
      <c r="V1" s="2"/>
      <c r="W1" s="2"/>
      <c r="X1" s="2"/>
      <c r="Y1" s="2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1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2"/>
      <c r="BQ1" s="2"/>
      <c r="BR1" s="1"/>
      <c r="BS1" s="2"/>
      <c r="BT1" s="1"/>
      <c r="BU1" s="2"/>
      <c r="BV1" s="1"/>
      <c r="BW1" s="2"/>
      <c r="BX1" s="1"/>
      <c r="BY1" s="2"/>
      <c r="BZ1" s="2"/>
      <c r="CA1" s="2"/>
      <c r="CB1" s="2"/>
      <c r="CC1" s="2"/>
      <c r="CD1" s="2"/>
      <c r="CE1" s="2"/>
      <c r="CF1" s="2"/>
      <c r="CG1" s="1"/>
      <c r="CH1" s="1"/>
      <c r="CO1" s="1"/>
    </row>
    <row r="2" spans="1:93" ht="18" customHeight="1">
      <c r="A2" s="1"/>
      <c r="B2" s="4" t="s">
        <v>305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5"/>
      <c r="T2" s="1"/>
      <c r="U2" s="1"/>
      <c r="V2" s="1"/>
      <c r="W2" s="1"/>
      <c r="X2" s="1"/>
      <c r="Y2" s="1"/>
      <c r="Z2" s="1"/>
      <c r="AA2" s="1"/>
      <c r="AB2" s="1"/>
      <c r="AC2" s="1" t="s">
        <v>494</v>
      </c>
      <c r="AD2" s="1"/>
      <c r="AE2" s="1"/>
      <c r="AF2" s="1"/>
      <c r="AG2" s="1" t="s">
        <v>494</v>
      </c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5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O2" s="1"/>
    </row>
    <row r="3" spans="1:9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5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5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O3" s="1"/>
    </row>
    <row r="4" spans="1:93" ht="14.2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5"/>
      <c r="T4" s="1"/>
      <c r="U4" s="1"/>
      <c r="V4" s="1"/>
      <c r="W4" s="1"/>
      <c r="X4" s="1"/>
      <c r="Y4" s="1"/>
      <c r="Z4" s="1"/>
      <c r="AA4" s="1"/>
      <c r="AB4" s="1"/>
      <c r="AC4" s="49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5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O4" s="1"/>
    </row>
    <row r="5" spans="1:93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5"/>
      <c r="T5" s="1"/>
      <c r="U5" s="1"/>
      <c r="V5" s="1"/>
      <c r="W5" s="1"/>
      <c r="X5" s="1"/>
      <c r="Y5" s="1"/>
      <c r="Z5" s="1"/>
      <c r="AA5" s="1"/>
      <c r="AB5" s="493"/>
      <c r="AC5" s="492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O5" s="1"/>
    </row>
    <row r="6" spans="1:93" ht="14.25" customHeight="1">
      <c r="A6" s="1"/>
      <c r="B6" s="307" t="str">
        <f>IS!$B$3</f>
        <v>Base Case</v>
      </c>
      <c r="C6" s="7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5"/>
      <c r="T6" s="1"/>
      <c r="U6" s="1"/>
      <c r="V6" s="1"/>
      <c r="W6" s="1"/>
      <c r="X6" s="1"/>
      <c r="Y6" s="6"/>
      <c r="Z6" s="1"/>
      <c r="AA6" s="1"/>
      <c r="AB6" s="493"/>
      <c r="AC6" s="494"/>
      <c r="AD6" s="1"/>
      <c r="AE6" s="1"/>
      <c r="AF6" s="495" t="s">
        <v>494</v>
      </c>
      <c r="AG6" s="1"/>
      <c r="AH6" s="1"/>
      <c r="AI6" s="1"/>
      <c r="AJ6" s="6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5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O6" s="1"/>
    </row>
    <row r="7" spans="1:93" ht="14.25" customHeight="1">
      <c r="A7" s="8"/>
      <c r="B7" s="9" t="s">
        <v>307</v>
      </c>
      <c r="C7" s="10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12"/>
      <c r="T7" s="8"/>
      <c r="U7" s="8"/>
      <c r="V7" s="8"/>
      <c r="W7" s="8"/>
      <c r="X7" s="8"/>
      <c r="Y7" s="496"/>
      <c r="Z7" s="8"/>
      <c r="AA7" s="8"/>
      <c r="AB7" s="8"/>
      <c r="AC7" s="497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496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2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O7" s="8"/>
    </row>
    <row r="8" spans="1:93" ht="14.25" customHeight="1">
      <c r="A8" s="8"/>
      <c r="B8" s="284" t="s">
        <v>89</v>
      </c>
      <c r="C8" s="13"/>
      <c r="D8" s="292">
        <f>IS!D5</f>
        <v>38442</v>
      </c>
      <c r="E8" s="292">
        <f>IS!E5</f>
        <v>38533</v>
      </c>
      <c r="F8" s="292">
        <f>IS!F5</f>
        <v>38625</v>
      </c>
      <c r="G8" s="293">
        <f>IS!G5</f>
        <v>38717</v>
      </c>
      <c r="H8" s="291">
        <f>IS!H5</f>
        <v>38807</v>
      </c>
      <c r="I8" s="292">
        <f>IS!I5</f>
        <v>38898</v>
      </c>
      <c r="J8" s="292">
        <f>IS!J5</f>
        <v>38990</v>
      </c>
      <c r="K8" s="293">
        <f>IS!K5</f>
        <v>39082</v>
      </c>
      <c r="L8" s="291">
        <f>IS!L5</f>
        <v>39172</v>
      </c>
      <c r="M8" s="292">
        <f>IS!M5</f>
        <v>39263</v>
      </c>
      <c r="N8" s="292">
        <f>IS!N5</f>
        <v>39355</v>
      </c>
      <c r="O8" s="293">
        <f>IS!O5</f>
        <v>39447</v>
      </c>
      <c r="P8" s="291">
        <f>IS!P5</f>
        <v>39538</v>
      </c>
      <c r="Q8" s="292">
        <f>IS!Q5</f>
        <v>39629</v>
      </c>
      <c r="R8" s="292">
        <f>IS!R5</f>
        <v>39721</v>
      </c>
      <c r="S8" s="293">
        <f>IS!S5</f>
        <v>39813</v>
      </c>
      <c r="T8" s="291">
        <f>IS!T5</f>
        <v>39903</v>
      </c>
      <c r="U8" s="292">
        <f>IS!U5</f>
        <v>39994</v>
      </c>
      <c r="V8" s="292">
        <f>IS!V5</f>
        <v>40086</v>
      </c>
      <c r="W8" s="293">
        <f>IS!W5</f>
        <v>40178</v>
      </c>
      <c r="X8" s="291">
        <f>IS!X5</f>
        <v>40268</v>
      </c>
      <c r="Y8" s="292">
        <f>IS!Y5</f>
        <v>40359</v>
      </c>
      <c r="Z8" s="292">
        <f>IS!Z5</f>
        <v>40451</v>
      </c>
      <c r="AA8" s="293">
        <f>IS!AA5</f>
        <v>40543</v>
      </c>
      <c r="AB8" s="291">
        <f>IS!AB5</f>
        <v>40633</v>
      </c>
      <c r="AC8" s="292">
        <f>IS!AC5</f>
        <v>40724</v>
      </c>
      <c r="AD8" s="292">
        <f>IS!AD5</f>
        <v>40816</v>
      </c>
      <c r="AE8" s="293">
        <f>IS!AE5</f>
        <v>40908</v>
      </c>
      <c r="AF8" s="291">
        <f>IS!AF5</f>
        <v>40999</v>
      </c>
      <c r="AG8" s="292">
        <f>IS!AG5</f>
        <v>41090</v>
      </c>
      <c r="AH8" s="292">
        <f>IS!AH5</f>
        <v>41182</v>
      </c>
      <c r="AI8" s="293">
        <f>IS!AI5</f>
        <v>41274</v>
      </c>
      <c r="AJ8" s="291">
        <f>IS!AJ5</f>
        <v>41364</v>
      </c>
      <c r="AK8" s="292">
        <f>IS!AK5</f>
        <v>41455</v>
      </c>
      <c r="AL8" s="292">
        <f>IS!AL5</f>
        <v>41547</v>
      </c>
      <c r="AM8" s="293">
        <f>IS!AM5</f>
        <v>41639</v>
      </c>
      <c r="AN8" s="291">
        <f>IS!AN5</f>
        <v>41729</v>
      </c>
      <c r="AO8" s="292">
        <f>IS!AO5</f>
        <v>41820</v>
      </c>
      <c r="AP8" s="292">
        <f>IS!AP5</f>
        <v>41912</v>
      </c>
      <c r="AQ8" s="293">
        <f>IS!AQ5</f>
        <v>42004</v>
      </c>
      <c r="AR8" s="291">
        <f>IS!AR5</f>
        <v>42094</v>
      </c>
      <c r="AS8" s="292">
        <f>IS!AS5</f>
        <v>42185</v>
      </c>
      <c r="AT8" s="292">
        <f>IS!AT5</f>
        <v>42277</v>
      </c>
      <c r="AU8" s="293">
        <f>IS!AU5</f>
        <v>42369</v>
      </c>
      <c r="AV8" s="291">
        <f>IS!AV5</f>
        <v>42460</v>
      </c>
      <c r="AW8" s="292">
        <f>IS!AW5</f>
        <v>42551</v>
      </c>
      <c r="AX8" s="292">
        <f>IS!AX5</f>
        <v>42643</v>
      </c>
      <c r="AY8" s="293">
        <f>IS!AY5</f>
        <v>42735</v>
      </c>
      <c r="AZ8" s="291">
        <f>IS!AZ5</f>
        <v>42825</v>
      </c>
      <c r="BA8" s="292">
        <f>IS!BA5</f>
        <v>42916</v>
      </c>
      <c r="BB8" s="292">
        <f>IS!BB5</f>
        <v>43008</v>
      </c>
      <c r="BC8" s="293">
        <f>IS!BC5</f>
        <v>43100</v>
      </c>
      <c r="BD8" s="291">
        <f>IS!BD5</f>
        <v>43190</v>
      </c>
      <c r="BE8" s="292">
        <f>IS!BE5</f>
        <v>43281</v>
      </c>
      <c r="BF8" s="292">
        <f>IS!BF5</f>
        <v>43373</v>
      </c>
      <c r="BG8" s="293">
        <f>IS!BG5</f>
        <v>43465</v>
      </c>
      <c r="BH8" s="291">
        <f>IS!BH5</f>
        <v>43555</v>
      </c>
      <c r="BI8" s="292">
        <f>IS!BI5</f>
        <v>43646</v>
      </c>
      <c r="BJ8" s="292">
        <f>IS!BJ5</f>
        <v>43738</v>
      </c>
      <c r="BK8" s="293">
        <f>IS!BK5</f>
        <v>43830</v>
      </c>
      <c r="BL8" s="291">
        <f>IS!BL5</f>
        <v>43921</v>
      </c>
      <c r="BM8" s="292">
        <f>IS!BM5</f>
        <v>44012</v>
      </c>
      <c r="BN8" s="292">
        <f>IS!BN5</f>
        <v>44104</v>
      </c>
      <c r="BO8" s="293">
        <f>IS!BO5</f>
        <v>44196</v>
      </c>
      <c r="BP8" s="297"/>
      <c r="BQ8" s="8"/>
      <c r="BR8" s="8"/>
      <c r="BS8" s="8"/>
      <c r="BT8" s="12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1148"/>
      <c r="CH8" s="12"/>
      <c r="CO8" s="8"/>
    </row>
    <row r="9" spans="1:93" ht="14.25" customHeight="1">
      <c r="A9" s="8"/>
      <c r="B9" s="284"/>
      <c r="C9" s="13"/>
      <c r="D9" s="18" t="str">
        <f>IS!D6</f>
        <v>F1Q05A</v>
      </c>
      <c r="E9" s="18" t="str">
        <f>IS!E6</f>
        <v>F2Q05A</v>
      </c>
      <c r="F9" s="18" t="str">
        <f>IS!F6</f>
        <v>F3Q05A</v>
      </c>
      <c r="G9" s="19" t="str">
        <f>IS!G6</f>
        <v>F4Q05A</v>
      </c>
      <c r="H9" s="17" t="str">
        <f>IS!H6</f>
        <v>F1Q06A</v>
      </c>
      <c r="I9" s="18" t="str">
        <f>IS!I6</f>
        <v>F2Q06A</v>
      </c>
      <c r="J9" s="18" t="str">
        <f>IS!J6</f>
        <v>F3Q06A</v>
      </c>
      <c r="K9" s="19" t="str">
        <f>IS!K6</f>
        <v>F4Q06A</v>
      </c>
      <c r="L9" s="17" t="str">
        <f>IS!L6</f>
        <v>F1Q07A</v>
      </c>
      <c r="M9" s="18" t="str">
        <f>IS!M6</f>
        <v>F2Q07A</v>
      </c>
      <c r="N9" s="18" t="str">
        <f>IS!N6</f>
        <v>F3Q07A</v>
      </c>
      <c r="O9" s="19" t="str">
        <f>IS!O6</f>
        <v>F4Q07A</v>
      </c>
      <c r="P9" s="17" t="str">
        <f>IS!P6</f>
        <v>F1Q08A</v>
      </c>
      <c r="Q9" s="18" t="str">
        <f>IS!Q6</f>
        <v>F2Q08A</v>
      </c>
      <c r="R9" s="18" t="str">
        <f>IS!R6</f>
        <v>F3Q08A</v>
      </c>
      <c r="S9" s="19" t="str">
        <f>IS!S6</f>
        <v>F4Q08A</v>
      </c>
      <c r="T9" s="17" t="str">
        <f>IS!T6</f>
        <v>F1Q09A</v>
      </c>
      <c r="U9" s="18" t="str">
        <f>IS!U6</f>
        <v>F2Q09A</v>
      </c>
      <c r="V9" s="18" t="str">
        <f>IS!V6</f>
        <v>F3Q09A</v>
      </c>
      <c r="W9" s="19" t="str">
        <f>IS!W6</f>
        <v>F4Q09A</v>
      </c>
      <c r="X9" s="17" t="str">
        <f>IS!X6</f>
        <v>F1Q10A</v>
      </c>
      <c r="Y9" s="18" t="str">
        <f>IS!Y6</f>
        <v>F2Q10A</v>
      </c>
      <c r="Z9" s="18" t="str">
        <f>IS!Z6</f>
        <v>F3Q10A</v>
      </c>
      <c r="AA9" s="19" t="str">
        <f>IS!AA6</f>
        <v>F4Q10A</v>
      </c>
      <c r="AB9" s="17" t="str">
        <f>IS!AB6</f>
        <v>F1Q11A</v>
      </c>
      <c r="AC9" s="18" t="str">
        <f>IS!AC6</f>
        <v>F2Q11A</v>
      </c>
      <c r="AD9" s="18" t="str">
        <f>IS!AD6</f>
        <v>F3Q11A</v>
      </c>
      <c r="AE9" s="19" t="str">
        <f>IS!AE6</f>
        <v>F4Q11A</v>
      </c>
      <c r="AF9" s="17" t="str">
        <f>IS!AF6</f>
        <v>F1Q12A</v>
      </c>
      <c r="AG9" s="18" t="str">
        <f>IS!AG6</f>
        <v>F2Q12A</v>
      </c>
      <c r="AH9" s="18" t="str">
        <f>IS!AH6</f>
        <v>F3Q12A</v>
      </c>
      <c r="AI9" s="19" t="str">
        <f>IS!AI6</f>
        <v>F4Q12A</v>
      </c>
      <c r="AJ9" s="17" t="str">
        <f>IS!AJ6</f>
        <v>F1Q13A</v>
      </c>
      <c r="AK9" s="18" t="str">
        <f>IS!AK6</f>
        <v>F2Q13A</v>
      </c>
      <c r="AL9" s="18" t="str">
        <f>IS!AL6</f>
        <v>F3Q13A</v>
      </c>
      <c r="AM9" s="19" t="str">
        <f>IS!AM6</f>
        <v>F4Q13A</v>
      </c>
      <c r="AN9" s="17" t="str">
        <f>IS!AN6</f>
        <v>F1Q14A</v>
      </c>
      <c r="AO9" s="18" t="str">
        <f>IS!AO6</f>
        <v>F2Q14A</v>
      </c>
      <c r="AP9" s="18" t="str">
        <f>IS!AP6</f>
        <v>F3Q14A</v>
      </c>
      <c r="AQ9" s="19" t="str">
        <f>IS!AQ6</f>
        <v>F4Q14A</v>
      </c>
      <c r="AR9" s="17" t="str">
        <f>IS!AR6</f>
        <v>F1Q15A</v>
      </c>
      <c r="AS9" s="18" t="str">
        <f>IS!AS6</f>
        <v>F2Q15A</v>
      </c>
      <c r="AT9" s="18" t="str">
        <f>IS!AT6</f>
        <v>F3Q15A</v>
      </c>
      <c r="AU9" s="19" t="str">
        <f>IS!AU6</f>
        <v>F4Q15A</v>
      </c>
      <c r="AV9" s="17" t="str">
        <f>IS!AV6</f>
        <v>F1Q16A</v>
      </c>
      <c r="AW9" s="18" t="str">
        <f>IS!AW6</f>
        <v>F2Q16A</v>
      </c>
      <c r="AX9" s="18" t="str">
        <f>IS!AX6</f>
        <v>F3Q16A</v>
      </c>
      <c r="AY9" s="19" t="str">
        <f>IS!AY6</f>
        <v>F4Q16A</v>
      </c>
      <c r="AZ9" s="17" t="str">
        <f>IS!AZ6</f>
        <v>F1Q17A</v>
      </c>
      <c r="BA9" s="18" t="str">
        <f>IS!BA6</f>
        <v>F2Q17A</v>
      </c>
      <c r="BB9" s="18" t="str">
        <f>IS!BB6</f>
        <v>F3Q17A</v>
      </c>
      <c r="BC9" s="19" t="str">
        <f>IS!BC6</f>
        <v>F4Q17A</v>
      </c>
      <c r="BD9" s="17" t="str">
        <f>IS!BD6</f>
        <v>F1Q18A</v>
      </c>
      <c r="BE9" s="18" t="str">
        <f>IS!BE6</f>
        <v>F2Q18E</v>
      </c>
      <c r="BF9" s="18" t="str">
        <f>IS!BF6</f>
        <v>F3Q18E</v>
      </c>
      <c r="BG9" s="19" t="str">
        <f>IS!BG6</f>
        <v>F4Q18E</v>
      </c>
      <c r="BH9" s="17" t="str">
        <f>IS!BH6</f>
        <v>F1Q19E</v>
      </c>
      <c r="BI9" s="18" t="str">
        <f>IS!BI6</f>
        <v>F2Q19E</v>
      </c>
      <c r="BJ9" s="18" t="str">
        <f>IS!BJ6</f>
        <v>F3Q19E</v>
      </c>
      <c r="BK9" s="19" t="str">
        <f>IS!BK6</f>
        <v>F4Q19E</v>
      </c>
      <c r="BL9" s="17" t="str">
        <f>IS!BL6</f>
        <v>F1Q20E</v>
      </c>
      <c r="BM9" s="18" t="str">
        <f>IS!BM6</f>
        <v>F2Q20E</v>
      </c>
      <c r="BN9" s="18" t="str">
        <f>IS!BN6</f>
        <v>F3Q20E</v>
      </c>
      <c r="BO9" s="19" t="str">
        <f>IS!BO6</f>
        <v>F4Q20E</v>
      </c>
      <c r="BP9" s="20"/>
      <c r="BQ9" s="17" t="str">
        <f>IS!BQ6</f>
        <v>FY2005A</v>
      </c>
      <c r="BR9" s="18" t="str">
        <f>IS!BR6</f>
        <v>FY2006A</v>
      </c>
      <c r="BS9" s="18" t="str">
        <f>IS!BS6</f>
        <v>FY2007A</v>
      </c>
      <c r="BT9" s="18" t="str">
        <f>IS!BT6</f>
        <v>FY2008A</v>
      </c>
      <c r="BU9" s="18" t="str">
        <f>IS!BU6</f>
        <v>FY2009A</v>
      </c>
      <c r="BV9" s="18" t="str">
        <f>IS!BV6</f>
        <v>FY2010A</v>
      </c>
      <c r="BW9" s="17" t="str">
        <f>IS!BW6</f>
        <v>FY2011A</v>
      </c>
      <c r="BX9" s="17" t="str">
        <f>IS!BX6</f>
        <v>FY2012A</v>
      </c>
      <c r="BY9" s="18" t="str">
        <f>IS!BY6</f>
        <v>FY2013A</v>
      </c>
      <c r="BZ9" s="18" t="str">
        <f>IS!BZ6</f>
        <v>FY2014A</v>
      </c>
      <c r="CA9" s="18" t="str">
        <f>IS!CA6</f>
        <v>FY2015A</v>
      </c>
      <c r="CB9" s="18" t="str">
        <f>IS!CB6</f>
        <v>FY2016A</v>
      </c>
      <c r="CC9" s="18" t="str">
        <f>IS!CC6</f>
        <v>FY2017E</v>
      </c>
      <c r="CD9" s="18" t="str">
        <f>IS!CD6</f>
        <v>FY2018E</v>
      </c>
      <c r="CE9" s="18" t="str">
        <f>IS!CE6</f>
        <v>FY2019E</v>
      </c>
      <c r="CF9" s="19" t="str">
        <f>IS!CF6</f>
        <v>FY2020E</v>
      </c>
      <c r="CG9" s="297"/>
      <c r="CH9" s="8"/>
      <c r="CO9" s="12"/>
    </row>
    <row r="10" spans="1:93" ht="14.25" customHeight="1">
      <c r="A10" s="8"/>
      <c r="B10" s="498" t="s">
        <v>185</v>
      </c>
      <c r="C10" s="87"/>
      <c r="D10" s="88"/>
      <c r="E10" s="88"/>
      <c r="F10" s="88"/>
      <c r="G10" s="89"/>
      <c r="H10" s="499"/>
      <c r="I10" s="88"/>
      <c r="J10" s="88"/>
      <c r="K10" s="89"/>
      <c r="L10" s="499"/>
      <c r="M10" s="88"/>
      <c r="N10" s="88"/>
      <c r="O10" s="89"/>
      <c r="P10" s="499"/>
      <c r="Q10" s="88"/>
      <c r="R10" s="88"/>
      <c r="S10" s="89"/>
      <c r="T10" s="499"/>
      <c r="U10" s="88"/>
      <c r="V10" s="88"/>
      <c r="W10" s="89"/>
      <c r="X10" s="499"/>
      <c r="Y10" s="88"/>
      <c r="Z10" s="36"/>
      <c r="AA10" s="89"/>
      <c r="AB10" s="88"/>
      <c r="AC10" s="88"/>
      <c r="AD10" s="88"/>
      <c r="AE10" s="89"/>
      <c r="AF10" s="499"/>
      <c r="AG10" s="88"/>
      <c r="AH10" s="88"/>
      <c r="AI10" s="89"/>
      <c r="AJ10" s="499"/>
      <c r="AK10" s="88"/>
      <c r="AL10" s="88"/>
      <c r="AM10" s="89"/>
      <c r="AN10" s="499"/>
      <c r="AO10" s="88"/>
      <c r="AP10" s="88"/>
      <c r="AQ10" s="89"/>
      <c r="AR10" s="499"/>
      <c r="AS10" s="88"/>
      <c r="AT10" s="88"/>
      <c r="AU10" s="89"/>
      <c r="AV10" s="499"/>
      <c r="AW10" s="88"/>
      <c r="AX10" s="88"/>
      <c r="AY10" s="89"/>
      <c r="AZ10" s="499"/>
      <c r="BA10" s="88"/>
      <c r="BB10" s="88"/>
      <c r="BC10" s="89"/>
      <c r="BD10" s="499"/>
      <c r="BE10" s="88"/>
      <c r="BF10" s="88"/>
      <c r="BG10" s="89"/>
      <c r="BH10" s="499"/>
      <c r="BI10" s="88"/>
      <c r="BJ10" s="88"/>
      <c r="BK10" s="89"/>
      <c r="BL10" s="499"/>
      <c r="BM10" s="88"/>
      <c r="BN10" s="88"/>
      <c r="BO10" s="89"/>
      <c r="BP10" s="20"/>
      <c r="BQ10" s="88"/>
      <c r="BR10" s="88"/>
      <c r="BS10" s="88"/>
      <c r="BT10" s="88"/>
      <c r="BU10" s="88"/>
      <c r="BV10" s="88"/>
      <c r="BW10" s="499"/>
      <c r="BX10" s="499"/>
      <c r="BY10" s="88"/>
      <c r="BZ10" s="88"/>
      <c r="CA10" s="88"/>
      <c r="CB10" s="88"/>
      <c r="CC10" s="88"/>
      <c r="CD10" s="88"/>
      <c r="CE10" s="88"/>
      <c r="CF10" s="88"/>
      <c r="CG10" s="297"/>
      <c r="CH10" s="8"/>
      <c r="CO10" s="12"/>
    </row>
    <row r="11" spans="1:93" ht="14.25" customHeight="1">
      <c r="A11" s="8"/>
      <c r="B11" s="336" t="s">
        <v>186</v>
      </c>
      <c r="C11" s="24"/>
      <c r="D11" s="36">
        <v>1856</v>
      </c>
      <c r="E11" s="36">
        <v>2133</v>
      </c>
      <c r="F11" s="36">
        <v>1946</v>
      </c>
      <c r="G11" s="37">
        <v>1214</v>
      </c>
      <c r="H11" s="362">
        <v>722</v>
      </c>
      <c r="I11" s="36">
        <v>1678</v>
      </c>
      <c r="J11" s="36">
        <v>1430</v>
      </c>
      <c r="K11" s="37">
        <v>1183</v>
      </c>
      <c r="L11" s="362">
        <v>965</v>
      </c>
      <c r="M11" s="36">
        <v>1266</v>
      </c>
      <c r="N11" s="36">
        <v>807</v>
      </c>
      <c r="O11" s="37">
        <v>1328</v>
      </c>
      <c r="P11" s="362">
        <v>1450</v>
      </c>
      <c r="Q11" s="36">
        <v>1317</v>
      </c>
      <c r="R11" s="36">
        <v>1715</v>
      </c>
      <c r="S11" s="37">
        <v>1046</v>
      </c>
      <c r="T11" s="362">
        <v>1436</v>
      </c>
      <c r="U11" s="36">
        <v>1765</v>
      </c>
      <c r="V11" s="36">
        <v>1294</v>
      </c>
      <c r="W11" s="37">
        <v>1182</v>
      </c>
      <c r="X11" s="36">
        <v>1217</v>
      </c>
      <c r="Y11" s="36">
        <v>1138</v>
      </c>
      <c r="Z11" s="36">
        <v>1093</v>
      </c>
      <c r="AA11" s="37">
        <v>1319</v>
      </c>
      <c r="AB11" s="362">
        <v>1343</v>
      </c>
      <c r="AC11" s="36">
        <v>4501</v>
      </c>
      <c r="AD11" s="36">
        <v>1581</v>
      </c>
      <c r="AE11" s="37">
        <v>992</v>
      </c>
      <c r="AF11" s="362">
        <v>1193</v>
      </c>
      <c r="AG11" s="36">
        <v>1192</v>
      </c>
      <c r="AH11" s="36">
        <v>1210</v>
      </c>
      <c r="AI11" s="37">
        <v>1416</v>
      </c>
      <c r="AJ11" s="362">
        <v>1393</v>
      </c>
      <c r="AK11" s="36">
        <v>1180</v>
      </c>
      <c r="AL11" s="36">
        <v>1435</v>
      </c>
      <c r="AM11" s="37">
        <v>1627</v>
      </c>
      <c r="AN11" s="362">
        <v>1565</v>
      </c>
      <c r="AO11" s="36">
        <v>1216</v>
      </c>
      <c r="AP11" s="36">
        <v>1306</v>
      </c>
      <c r="AQ11" s="37">
        <v>1199</v>
      </c>
      <c r="AR11" s="362">
        <v>1242</v>
      </c>
      <c r="AS11" s="36">
        <v>1184</v>
      </c>
      <c r="AT11" s="36">
        <v>1133</v>
      </c>
      <c r="AU11" s="37">
        <v>1000</v>
      </c>
      <c r="AV11" s="362">
        <v>1281</v>
      </c>
      <c r="AW11" s="36">
        <v>1235</v>
      </c>
      <c r="AX11" s="36">
        <v>1369</v>
      </c>
      <c r="AY11" s="37">
        <v>1154</v>
      </c>
      <c r="AZ11" s="362">
        <v>1073</v>
      </c>
      <c r="BA11" s="36">
        <v>1140</v>
      </c>
      <c r="BB11" s="36">
        <v>1296</v>
      </c>
      <c r="BC11" s="37">
        <v>1656</v>
      </c>
      <c r="BD11" s="362">
        <v>1717</v>
      </c>
      <c r="BE11" s="81">
        <f>BD11+CFS!BE51</f>
        <v>1632.8016919910269</v>
      </c>
      <c r="BF11" s="81">
        <f>BE11+CFS!BF51</f>
        <v>1588.1940409265503</v>
      </c>
      <c r="BG11" s="82">
        <f>BF11+CFS!BG51</f>
        <v>1810.7193133421742</v>
      </c>
      <c r="BH11" s="500">
        <f>BG11+CFS!BH51</f>
        <v>1661.3100114877773</v>
      </c>
      <c r="BI11" s="81">
        <f>BH11+CFS!BI51</f>
        <v>1858.0076757262957</v>
      </c>
      <c r="BJ11" s="81">
        <f>BI11+CFS!BJ51</f>
        <v>2144.8835409091344</v>
      </c>
      <c r="BK11" s="82">
        <f>BJ11+CFS!BK51</f>
        <v>2662.2447526034139</v>
      </c>
      <c r="BL11" s="500">
        <f>BK11+CFS!BL51</f>
        <v>2993.4708538753248</v>
      </c>
      <c r="BM11" s="81">
        <f>BL11+CFS!BM51</f>
        <v>3239.482519721857</v>
      </c>
      <c r="BN11" s="81">
        <f>BM11+CFS!BN51</f>
        <v>3627.0838747555199</v>
      </c>
      <c r="BO11" s="82">
        <f>BN11+CFS!BO51</f>
        <v>4251.4436328220727</v>
      </c>
      <c r="BP11" s="20"/>
      <c r="BQ11" s="81">
        <f t="shared" ref="BQ11:BQ16" si="0">G11</f>
        <v>1214</v>
      </c>
      <c r="BR11" s="81">
        <f t="shared" ref="BR11:BR16" si="1">K11</f>
        <v>1183</v>
      </c>
      <c r="BS11" s="81">
        <f t="shared" ref="BS11:BS16" si="2">O11</f>
        <v>1328</v>
      </c>
      <c r="BT11" s="81">
        <f t="shared" ref="BT11:BT16" si="3">S11</f>
        <v>1046</v>
      </c>
      <c r="BU11" s="81">
        <f t="shared" ref="BU11:BU16" si="4">W11</f>
        <v>1182</v>
      </c>
      <c r="BV11" s="81">
        <f t="shared" ref="BV11:BV16" si="5">AA11</f>
        <v>1319</v>
      </c>
      <c r="BW11" s="500">
        <f t="shared" ref="BW11:BW16" si="6">AE11</f>
        <v>992</v>
      </c>
      <c r="BX11" s="500">
        <f t="shared" ref="BX11:BX16" si="7">AI11</f>
        <v>1416</v>
      </c>
      <c r="BY11" s="81">
        <f t="shared" ref="BY11:BY16" si="8">AM11</f>
        <v>1627</v>
      </c>
      <c r="BZ11" s="81">
        <f t="shared" ref="BZ11:BZ16" si="9">AQ11</f>
        <v>1199</v>
      </c>
      <c r="CA11" s="81">
        <f t="shared" ref="CA11:CA16" si="10">AU11</f>
        <v>1000</v>
      </c>
      <c r="CB11" s="81">
        <f t="shared" ref="CB11:CB16" si="11">AY11</f>
        <v>1154</v>
      </c>
      <c r="CC11" s="81">
        <f t="shared" ref="CC11:CC16" si="12">BC11</f>
        <v>1656</v>
      </c>
      <c r="CD11" s="81">
        <f t="shared" ref="CD11:CD16" si="13">BG11</f>
        <v>1810.7193133421742</v>
      </c>
      <c r="CE11" s="81">
        <f>BK11</f>
        <v>2662.2447526034139</v>
      </c>
      <c r="CF11" s="82">
        <f>BO11</f>
        <v>4251.4436328220727</v>
      </c>
      <c r="CG11" s="501"/>
      <c r="CH11" s="8"/>
      <c r="CO11" s="12"/>
    </row>
    <row r="12" spans="1:93" ht="14.25" customHeight="1">
      <c r="A12" s="8"/>
      <c r="B12" s="336" t="s">
        <v>300</v>
      </c>
      <c r="C12" s="24"/>
      <c r="D12" s="65">
        <v>3284</v>
      </c>
      <c r="E12" s="65">
        <v>2345</v>
      </c>
      <c r="F12" s="65">
        <v>3305</v>
      </c>
      <c r="G12" s="66">
        <v>4116</v>
      </c>
      <c r="H12" s="419">
        <v>2942</v>
      </c>
      <c r="I12" s="65">
        <v>3992</v>
      </c>
      <c r="J12" s="65">
        <v>2754</v>
      </c>
      <c r="K12" s="66">
        <v>2534</v>
      </c>
      <c r="L12" s="419">
        <v>2371</v>
      </c>
      <c r="M12" s="65">
        <v>2315</v>
      </c>
      <c r="N12" s="65">
        <v>2862</v>
      </c>
      <c r="O12" s="66">
        <v>1596</v>
      </c>
      <c r="P12" s="419">
        <v>426</v>
      </c>
      <c r="Q12" s="65">
        <v>331</v>
      </c>
      <c r="R12" s="65">
        <v>278</v>
      </c>
      <c r="S12" s="66">
        <v>1494</v>
      </c>
      <c r="T12" s="419">
        <v>990</v>
      </c>
      <c r="U12" s="65">
        <v>792</v>
      </c>
      <c r="V12" s="65">
        <v>1533</v>
      </c>
      <c r="W12" s="66">
        <v>1743</v>
      </c>
      <c r="X12" s="65">
        <v>1574</v>
      </c>
      <c r="Y12" s="65">
        <v>1167</v>
      </c>
      <c r="Z12" s="65">
        <v>1417</v>
      </c>
      <c r="AA12" s="66">
        <v>1753</v>
      </c>
      <c r="AB12" s="419">
        <v>1514</v>
      </c>
      <c r="AC12" s="502">
        <v>1899</v>
      </c>
      <c r="AD12" s="502">
        <v>1037</v>
      </c>
      <c r="AE12" s="66">
        <v>1943</v>
      </c>
      <c r="AF12" s="419">
        <v>1572</v>
      </c>
      <c r="AG12" s="65">
        <v>1141</v>
      </c>
      <c r="AH12" s="65">
        <v>2451</v>
      </c>
      <c r="AI12" s="66">
        <v>2549</v>
      </c>
      <c r="AJ12" s="65">
        <v>2469</v>
      </c>
      <c r="AK12" s="65">
        <v>2064</v>
      </c>
      <c r="AL12" s="65">
        <v>2158</v>
      </c>
      <c r="AM12" s="66">
        <v>2202</v>
      </c>
      <c r="AN12" s="65">
        <v>2467</v>
      </c>
      <c r="AO12" s="65">
        <v>1588</v>
      </c>
      <c r="AP12" s="65">
        <v>1880</v>
      </c>
      <c r="AQ12" s="66">
        <v>2342</v>
      </c>
      <c r="AR12" s="65">
        <v>2062</v>
      </c>
      <c r="AS12" s="65">
        <v>2122</v>
      </c>
      <c r="AT12" s="65">
        <v>1602</v>
      </c>
      <c r="AU12" s="66">
        <v>2218</v>
      </c>
      <c r="AV12" s="65">
        <v>1519</v>
      </c>
      <c r="AW12" s="65">
        <v>1304</v>
      </c>
      <c r="AX12" s="65">
        <v>1768</v>
      </c>
      <c r="AY12" s="66">
        <v>2336</v>
      </c>
      <c r="AZ12" s="65">
        <v>1976</v>
      </c>
      <c r="BA12" s="65">
        <v>1844</v>
      </c>
      <c r="BB12" s="65">
        <v>2148</v>
      </c>
      <c r="BC12" s="66">
        <v>2813</v>
      </c>
      <c r="BD12" s="65">
        <v>2362</v>
      </c>
      <c r="BE12" s="63">
        <f>BD12-CFS!BE31-CFS!BE32</f>
        <v>2362</v>
      </c>
      <c r="BF12" s="63">
        <f>BE12-CFS!BF31-CFS!BF32</f>
        <v>2362</v>
      </c>
      <c r="BG12" s="64">
        <f>BF12-CFS!BG31-CFS!BG32</f>
        <v>2362</v>
      </c>
      <c r="BH12" s="63">
        <f>BG12-CFS!BH31-CFS!BH32</f>
        <v>2362</v>
      </c>
      <c r="BI12" s="63">
        <f>BH12-CFS!BI31-CFS!BI32</f>
        <v>2362</v>
      </c>
      <c r="BJ12" s="63">
        <f>BI12-CFS!BJ31-CFS!BJ32</f>
        <v>2362</v>
      </c>
      <c r="BK12" s="64">
        <f>BJ12-CFS!BK31-CFS!BK32</f>
        <v>2362</v>
      </c>
      <c r="BL12" s="63">
        <f>BK12-CFS!BL31-CFS!BL32</f>
        <v>2362</v>
      </c>
      <c r="BM12" s="63">
        <f>BL12-CFS!BM31-CFS!BM32</f>
        <v>2362</v>
      </c>
      <c r="BN12" s="63">
        <f>BM12-CFS!BN31-CFS!BN32</f>
        <v>2362</v>
      </c>
      <c r="BO12" s="64">
        <f>BN12-CFS!BO31-CFS!BO32</f>
        <v>2362</v>
      </c>
      <c r="BP12" s="90"/>
      <c r="BQ12" s="63">
        <f t="shared" si="0"/>
        <v>4116</v>
      </c>
      <c r="BR12" s="63">
        <f t="shared" si="1"/>
        <v>2534</v>
      </c>
      <c r="BS12" s="63">
        <f t="shared" si="2"/>
        <v>1596</v>
      </c>
      <c r="BT12" s="63">
        <f t="shared" si="3"/>
        <v>1494</v>
      </c>
      <c r="BU12" s="63">
        <f t="shared" si="4"/>
        <v>1743</v>
      </c>
      <c r="BV12" s="63">
        <f t="shared" si="5"/>
        <v>1753</v>
      </c>
      <c r="BW12" s="503">
        <f t="shared" si="6"/>
        <v>1943</v>
      </c>
      <c r="BX12" s="503">
        <f t="shared" si="7"/>
        <v>2549</v>
      </c>
      <c r="BY12" s="63">
        <f t="shared" si="8"/>
        <v>2202</v>
      </c>
      <c r="BZ12" s="63">
        <f t="shared" si="9"/>
        <v>2342</v>
      </c>
      <c r="CA12" s="63">
        <f t="shared" si="10"/>
        <v>2218</v>
      </c>
      <c r="CB12" s="63">
        <f t="shared" si="11"/>
        <v>2336</v>
      </c>
      <c r="CC12" s="63">
        <f t="shared" si="12"/>
        <v>2813</v>
      </c>
      <c r="CD12" s="63">
        <f t="shared" si="13"/>
        <v>2362</v>
      </c>
      <c r="CE12" s="63">
        <f t="shared" ref="CE12:CE16" si="14">BK12</f>
        <v>2362</v>
      </c>
      <c r="CF12" s="64">
        <f t="shared" ref="CF12:CF16" si="15">BO12</f>
        <v>2362</v>
      </c>
      <c r="CG12" s="501"/>
      <c r="CH12" s="8"/>
      <c r="CO12" s="12"/>
    </row>
    <row r="13" spans="1:93" ht="14.25" customHeight="1">
      <c r="A13" s="8"/>
      <c r="B13" s="336" t="s">
        <v>231</v>
      </c>
      <c r="C13" s="24"/>
      <c r="D13" s="65">
        <v>1696</v>
      </c>
      <c r="E13" s="65">
        <v>1902</v>
      </c>
      <c r="F13" s="65">
        <v>1915</v>
      </c>
      <c r="G13" s="66">
        <v>1648</v>
      </c>
      <c r="H13" s="419">
        <v>1798</v>
      </c>
      <c r="I13" s="65">
        <v>1929</v>
      </c>
      <c r="J13" s="65">
        <v>2089</v>
      </c>
      <c r="K13" s="66">
        <v>1774</v>
      </c>
      <c r="L13" s="419">
        <v>1756</v>
      </c>
      <c r="M13" s="65">
        <v>1897</v>
      </c>
      <c r="N13" s="65">
        <v>2023</v>
      </c>
      <c r="O13" s="66">
        <v>1742</v>
      </c>
      <c r="P13" s="419">
        <v>1669</v>
      </c>
      <c r="Q13" s="65">
        <v>1811</v>
      </c>
      <c r="R13" s="65">
        <v>1774</v>
      </c>
      <c r="S13" s="66">
        <v>913</v>
      </c>
      <c r="T13" s="419">
        <v>1125</v>
      </c>
      <c r="U13" s="65">
        <v>1244</v>
      </c>
      <c r="V13" s="65">
        <v>1435</v>
      </c>
      <c r="W13" s="66">
        <v>1277</v>
      </c>
      <c r="X13" s="65">
        <v>1526</v>
      </c>
      <c r="Y13" s="65">
        <v>1715</v>
      </c>
      <c r="Z13" s="65">
        <v>1754</v>
      </c>
      <c r="AA13" s="66">
        <v>1518</v>
      </c>
      <c r="AB13" s="419">
        <v>1568</v>
      </c>
      <c r="AC13" s="502">
        <v>1672</v>
      </c>
      <c r="AD13" s="502">
        <v>1784</v>
      </c>
      <c r="AE13" s="66">
        <v>1545</v>
      </c>
      <c r="AF13" s="419">
        <v>1478</v>
      </c>
      <c r="AG13" s="65">
        <v>1629</v>
      </c>
      <c r="AH13" s="65">
        <v>1623</v>
      </c>
      <c r="AI13" s="66">
        <v>1230</v>
      </c>
      <c r="AJ13" s="419">
        <v>1333</v>
      </c>
      <c r="AK13" s="65">
        <v>1491</v>
      </c>
      <c r="AL13" s="65">
        <v>1524</v>
      </c>
      <c r="AM13" s="66">
        <v>1203</v>
      </c>
      <c r="AN13" s="419">
        <v>1355</v>
      </c>
      <c r="AO13" s="65">
        <v>1527</v>
      </c>
      <c r="AP13" s="65">
        <v>1477</v>
      </c>
      <c r="AQ13" s="66">
        <v>1246</v>
      </c>
      <c r="AR13" s="419">
        <v>1394</v>
      </c>
      <c r="AS13" s="65">
        <v>1434</v>
      </c>
      <c r="AT13" s="65">
        <v>1481</v>
      </c>
      <c r="AU13" s="66">
        <v>1165</v>
      </c>
      <c r="AV13" s="419">
        <v>1269</v>
      </c>
      <c r="AW13" s="65">
        <v>1348</v>
      </c>
      <c r="AX13" s="65">
        <v>1447</v>
      </c>
      <c r="AY13" s="66">
        <v>1267</v>
      </c>
      <c r="AZ13" s="419">
        <v>1337</v>
      </c>
      <c r="BA13" s="65">
        <v>1469</v>
      </c>
      <c r="BB13" s="65">
        <v>1576</v>
      </c>
      <c r="BC13" s="66">
        <v>1278</v>
      </c>
      <c r="BD13" s="419">
        <v>1454</v>
      </c>
      <c r="BE13" s="91">
        <f t="shared" ref="BE13:BG13" si="16">BE47/365*BE53*4</f>
        <v>1642.589692355486</v>
      </c>
      <c r="BF13" s="91">
        <f t="shared" si="16"/>
        <v>1747.7969435050563</v>
      </c>
      <c r="BG13" s="92">
        <f t="shared" si="16"/>
        <v>1646.8640767425034</v>
      </c>
      <c r="BH13" s="504">
        <f t="shared" ref="BH13:BK13" si="17">BH47/365*BH53*4</f>
        <v>1603.540925686721</v>
      </c>
      <c r="BI13" s="91">
        <f t="shared" si="17"/>
        <v>1702.9776163006866</v>
      </c>
      <c r="BJ13" s="91">
        <f t="shared" si="17"/>
        <v>1807.6480416098459</v>
      </c>
      <c r="BK13" s="92">
        <f t="shared" si="17"/>
        <v>1697.7420761322157</v>
      </c>
      <c r="BL13" s="504">
        <f t="shared" ref="BL13:BO13" si="18">BL47/365*BL53*4</f>
        <v>1654.9492133682515</v>
      </c>
      <c r="BM13" s="91">
        <f t="shared" si="18"/>
        <v>1757.0532840481787</v>
      </c>
      <c r="BN13" s="91">
        <f t="shared" si="18"/>
        <v>1863.9757330695409</v>
      </c>
      <c r="BO13" s="92">
        <f t="shared" si="18"/>
        <v>1751.6322535550235</v>
      </c>
      <c r="BP13" s="90"/>
      <c r="BQ13" s="63">
        <f t="shared" si="0"/>
        <v>1648</v>
      </c>
      <c r="BR13" s="63">
        <f t="shared" si="1"/>
        <v>1774</v>
      </c>
      <c r="BS13" s="63">
        <f t="shared" si="2"/>
        <v>1742</v>
      </c>
      <c r="BT13" s="63">
        <f t="shared" si="3"/>
        <v>913</v>
      </c>
      <c r="BU13" s="64">
        <f t="shared" si="4"/>
        <v>1277</v>
      </c>
      <c r="BV13" s="503">
        <f t="shared" si="5"/>
        <v>1518</v>
      </c>
      <c r="BW13" s="503">
        <f t="shared" si="6"/>
        <v>1545</v>
      </c>
      <c r="BX13" s="503">
        <f t="shared" si="7"/>
        <v>1230</v>
      </c>
      <c r="BY13" s="63">
        <f t="shared" si="8"/>
        <v>1203</v>
      </c>
      <c r="BZ13" s="63">
        <f t="shared" si="9"/>
        <v>1246</v>
      </c>
      <c r="CA13" s="63">
        <f t="shared" si="10"/>
        <v>1165</v>
      </c>
      <c r="CB13" s="63">
        <f t="shared" si="11"/>
        <v>1267</v>
      </c>
      <c r="CC13" s="63">
        <f t="shared" si="12"/>
        <v>1278</v>
      </c>
      <c r="CD13" s="63">
        <f t="shared" si="13"/>
        <v>1646.8640767425034</v>
      </c>
      <c r="CE13" s="63">
        <f t="shared" si="14"/>
        <v>1697.7420761322157</v>
      </c>
      <c r="CF13" s="64">
        <f t="shared" si="15"/>
        <v>1751.6322535550235</v>
      </c>
      <c r="CG13" s="501"/>
      <c r="CH13" s="8"/>
      <c r="CO13" s="12"/>
    </row>
    <row r="14" spans="1:93" ht="14.25" customHeight="1">
      <c r="A14" s="8"/>
      <c r="B14" s="336" t="s">
        <v>187</v>
      </c>
      <c r="C14" s="24"/>
      <c r="D14" s="65">
        <v>1245</v>
      </c>
      <c r="E14" s="65">
        <v>1202</v>
      </c>
      <c r="F14" s="65">
        <v>1158</v>
      </c>
      <c r="G14" s="66">
        <v>1185</v>
      </c>
      <c r="H14" s="419">
        <v>1246</v>
      </c>
      <c r="I14" s="65">
        <v>1335</v>
      </c>
      <c r="J14" s="65">
        <v>1491</v>
      </c>
      <c r="K14" s="66">
        <v>1437</v>
      </c>
      <c r="L14" s="419">
        <v>1409</v>
      </c>
      <c r="M14" s="65">
        <v>1424</v>
      </c>
      <c r="N14" s="65">
        <v>1450</v>
      </c>
      <c r="O14" s="66">
        <v>1418</v>
      </c>
      <c r="P14" s="419">
        <v>1578</v>
      </c>
      <c r="Q14" s="65">
        <v>1651</v>
      </c>
      <c r="R14" s="65">
        <v>1575</v>
      </c>
      <c r="S14" s="66">
        <v>1375</v>
      </c>
      <c r="T14" s="419">
        <v>1098</v>
      </c>
      <c r="U14" s="65">
        <v>1063</v>
      </c>
      <c r="V14" s="65">
        <v>1116</v>
      </c>
      <c r="W14" s="66">
        <v>1202</v>
      </c>
      <c r="X14" s="65">
        <v>1276</v>
      </c>
      <c r="Y14" s="65">
        <v>1349</v>
      </c>
      <c r="Z14" s="65">
        <v>1424</v>
      </c>
      <c r="AA14" s="66">
        <v>1520</v>
      </c>
      <c r="AB14" s="65">
        <v>1678</v>
      </c>
      <c r="AC14" s="502">
        <v>1762</v>
      </c>
      <c r="AD14" s="502">
        <v>1965</v>
      </c>
      <c r="AE14" s="66">
        <v>1788</v>
      </c>
      <c r="AF14" s="65">
        <v>1853</v>
      </c>
      <c r="AG14" s="65">
        <v>1885</v>
      </c>
      <c r="AH14" s="65">
        <v>1848</v>
      </c>
      <c r="AI14" s="66">
        <v>1757</v>
      </c>
      <c r="AJ14" s="419">
        <v>1700</v>
      </c>
      <c r="AK14" s="65">
        <v>1720</v>
      </c>
      <c r="AL14" s="65">
        <v>1726</v>
      </c>
      <c r="AM14" s="66">
        <v>1731</v>
      </c>
      <c r="AN14" s="419">
        <v>1714</v>
      </c>
      <c r="AO14" s="65">
        <v>1744</v>
      </c>
      <c r="AP14" s="65">
        <v>1751</v>
      </c>
      <c r="AQ14" s="66">
        <v>1784</v>
      </c>
      <c r="AR14" s="419">
        <v>1844</v>
      </c>
      <c r="AS14" s="65">
        <v>1885</v>
      </c>
      <c r="AT14" s="65">
        <v>1771</v>
      </c>
      <c r="AU14" s="66">
        <v>1691</v>
      </c>
      <c r="AV14" s="419">
        <v>1805</v>
      </c>
      <c r="AW14" s="65">
        <v>1876</v>
      </c>
      <c r="AX14" s="65">
        <v>1808</v>
      </c>
      <c r="AY14" s="66">
        <v>1790</v>
      </c>
      <c r="AZ14" s="419">
        <v>1843</v>
      </c>
      <c r="BA14" s="65">
        <v>1947</v>
      </c>
      <c r="BB14" s="65">
        <v>1908</v>
      </c>
      <c r="BC14" s="66">
        <v>1957</v>
      </c>
      <c r="BD14" s="419">
        <v>2032</v>
      </c>
      <c r="BE14" s="91">
        <f t="shared" ref="BE14:BG14" si="19">BE49/365*BE54*4</f>
        <v>1975.0327438778024</v>
      </c>
      <c r="BF14" s="91">
        <f t="shared" si="19"/>
        <v>2063.6088441073316</v>
      </c>
      <c r="BG14" s="92">
        <f t="shared" si="19"/>
        <v>1949.3513326375714</v>
      </c>
      <c r="BH14" s="505">
        <f t="shared" ref="BH14:BK14" si="20">BH49/365*BH54*4</f>
        <v>1932.7547327580407</v>
      </c>
      <c r="BI14" s="91">
        <f t="shared" si="20"/>
        <v>2015.3461348229041</v>
      </c>
      <c r="BJ14" s="91">
        <f t="shared" si="20"/>
        <v>2100.4277926051977</v>
      </c>
      <c r="BK14" s="92">
        <f t="shared" si="20"/>
        <v>1990.0093196718676</v>
      </c>
      <c r="BL14" s="505">
        <f t="shared" ref="BL14:BO14" si="21">BL49/365*BL54*4</f>
        <v>1964.1840064315156</v>
      </c>
      <c r="BM14" s="91">
        <f t="shared" si="21"/>
        <v>2051.6416324140946</v>
      </c>
      <c r="BN14" s="91">
        <f t="shared" si="21"/>
        <v>2138.8271455241365</v>
      </c>
      <c r="BO14" s="92">
        <f t="shared" si="21"/>
        <v>2027.3426509022695</v>
      </c>
      <c r="BP14" s="90"/>
      <c r="BQ14" s="63">
        <f t="shared" si="0"/>
        <v>1185</v>
      </c>
      <c r="BR14" s="63">
        <f t="shared" si="1"/>
        <v>1437</v>
      </c>
      <c r="BS14" s="63">
        <f t="shared" si="2"/>
        <v>1418</v>
      </c>
      <c r="BT14" s="63">
        <f t="shared" si="3"/>
        <v>1375</v>
      </c>
      <c r="BU14" s="64">
        <f t="shared" si="4"/>
        <v>1202</v>
      </c>
      <c r="BV14" s="503">
        <f t="shared" si="5"/>
        <v>1520</v>
      </c>
      <c r="BW14" s="503">
        <f t="shared" si="6"/>
        <v>1788</v>
      </c>
      <c r="BX14" s="503">
        <f t="shared" si="7"/>
        <v>1757</v>
      </c>
      <c r="BY14" s="63">
        <f t="shared" si="8"/>
        <v>1731</v>
      </c>
      <c r="BZ14" s="63">
        <f t="shared" si="9"/>
        <v>1784</v>
      </c>
      <c r="CA14" s="63">
        <f t="shared" si="10"/>
        <v>1691</v>
      </c>
      <c r="CB14" s="63">
        <f t="shared" si="11"/>
        <v>1790</v>
      </c>
      <c r="CC14" s="63">
        <f t="shared" si="12"/>
        <v>1957</v>
      </c>
      <c r="CD14" s="63">
        <f t="shared" si="13"/>
        <v>1949.3513326375714</v>
      </c>
      <c r="CE14" s="63">
        <f t="shared" si="14"/>
        <v>1990.0093196718676</v>
      </c>
      <c r="CF14" s="64">
        <f t="shared" si="15"/>
        <v>2027.3426509022695</v>
      </c>
      <c r="CG14" s="501"/>
      <c r="CH14" s="8"/>
      <c r="CO14" s="12"/>
    </row>
    <row r="15" spans="1:93" ht="14.25" customHeight="1">
      <c r="A15" s="8"/>
      <c r="B15" s="336" t="s">
        <v>315</v>
      </c>
      <c r="C15" s="24"/>
      <c r="D15" s="65">
        <v>577</v>
      </c>
      <c r="E15" s="65">
        <v>597</v>
      </c>
      <c r="F15" s="65">
        <v>581</v>
      </c>
      <c r="G15" s="66">
        <v>619</v>
      </c>
      <c r="H15" s="419">
        <v>626</v>
      </c>
      <c r="I15" s="65">
        <v>632</v>
      </c>
      <c r="J15" s="65">
        <v>666</v>
      </c>
      <c r="K15" s="66">
        <v>741</v>
      </c>
      <c r="L15" s="419">
        <v>1071</v>
      </c>
      <c r="M15" s="65">
        <v>1072</v>
      </c>
      <c r="N15" s="65">
        <v>702</v>
      </c>
      <c r="O15" s="66">
        <v>654</v>
      </c>
      <c r="P15" s="419">
        <v>659</v>
      </c>
      <c r="Q15" s="65">
        <v>641</v>
      </c>
      <c r="R15" s="65">
        <v>679</v>
      </c>
      <c r="S15" s="66">
        <v>695</v>
      </c>
      <c r="T15" s="419">
        <v>676</v>
      </c>
      <c r="U15" s="65">
        <v>668</v>
      </c>
      <c r="V15" s="65">
        <v>592</v>
      </c>
      <c r="W15" s="66">
        <v>546</v>
      </c>
      <c r="X15" s="65">
        <v>556</v>
      </c>
      <c r="Y15" s="65">
        <v>566</v>
      </c>
      <c r="Z15" s="65">
        <v>601</v>
      </c>
      <c r="AA15" s="66">
        <v>770</v>
      </c>
      <c r="AB15" s="419">
        <v>771</v>
      </c>
      <c r="AC15" s="502">
        <v>793</v>
      </c>
      <c r="AD15" s="502">
        <v>1046</v>
      </c>
      <c r="AE15" s="66">
        <v>1174</v>
      </c>
      <c r="AF15" s="419">
        <v>1192</v>
      </c>
      <c r="AG15" s="65">
        <v>1155</v>
      </c>
      <c r="AH15" s="65">
        <v>1043</v>
      </c>
      <c r="AI15" s="66">
        <v>1044</v>
      </c>
      <c r="AJ15" s="419">
        <v>1051</v>
      </c>
      <c r="AK15" s="65">
        <v>1070</v>
      </c>
      <c r="AL15" s="65">
        <v>1039</v>
      </c>
      <c r="AM15" s="66">
        <v>393</v>
      </c>
      <c r="AN15" s="419">
        <v>383</v>
      </c>
      <c r="AO15" s="65">
        <v>389</v>
      </c>
      <c r="AP15" s="65">
        <v>378</v>
      </c>
      <c r="AQ15" s="66">
        <v>347</v>
      </c>
      <c r="AR15" s="419">
        <v>340</v>
      </c>
      <c r="AS15" s="65">
        <v>347</v>
      </c>
      <c r="AT15" s="65">
        <v>357</v>
      </c>
      <c r="AU15" s="66">
        <v>0</v>
      </c>
      <c r="AV15" s="419">
        <v>0</v>
      </c>
      <c r="AW15" s="65">
        <v>0</v>
      </c>
      <c r="AX15" s="65">
        <v>0</v>
      </c>
      <c r="AY15" s="66">
        <v>0</v>
      </c>
      <c r="AZ15" s="419">
        <v>0</v>
      </c>
      <c r="BA15" s="65">
        <v>0</v>
      </c>
      <c r="BB15" s="65">
        <v>0</v>
      </c>
      <c r="BC15" s="66">
        <v>0</v>
      </c>
      <c r="BD15" s="419">
        <v>0</v>
      </c>
      <c r="BE15" s="63">
        <f t="shared" ref="BE15:BE16" si="22">BD15</f>
        <v>0</v>
      </c>
      <c r="BF15" s="63">
        <f t="shared" ref="BF15:BF16" si="23">BE15</f>
        <v>0</v>
      </c>
      <c r="BG15" s="64">
        <f t="shared" ref="BG15:BG16" si="24">BF15</f>
        <v>0</v>
      </c>
      <c r="BH15" s="503">
        <f t="shared" ref="BH15:BH16" si="25">BG15</f>
        <v>0</v>
      </c>
      <c r="BI15" s="63">
        <f t="shared" ref="BI15:BI16" si="26">BH15</f>
        <v>0</v>
      </c>
      <c r="BJ15" s="63">
        <f t="shared" ref="BJ15:BJ16" si="27">BI15</f>
        <v>0</v>
      </c>
      <c r="BK15" s="64">
        <f t="shared" ref="BK15:BK16" si="28">BJ15</f>
        <v>0</v>
      </c>
      <c r="BL15" s="503">
        <f t="shared" ref="BL15:BL16" si="29">BK15</f>
        <v>0</v>
      </c>
      <c r="BM15" s="63">
        <f t="shared" ref="BM15:BM16" si="30">BL15</f>
        <v>0</v>
      </c>
      <c r="BN15" s="63">
        <f t="shared" ref="BN15:BN16" si="31">BM15</f>
        <v>0</v>
      </c>
      <c r="BO15" s="64">
        <f t="shared" ref="BO15:BO16" si="32">BN15</f>
        <v>0</v>
      </c>
      <c r="BP15" s="90"/>
      <c r="BQ15" s="63">
        <f t="shared" si="0"/>
        <v>619</v>
      </c>
      <c r="BR15" s="63">
        <f t="shared" si="1"/>
        <v>741</v>
      </c>
      <c r="BS15" s="63">
        <f t="shared" si="2"/>
        <v>654</v>
      </c>
      <c r="BT15" s="63">
        <f t="shared" si="3"/>
        <v>695</v>
      </c>
      <c r="BU15" s="64">
        <f t="shared" si="4"/>
        <v>546</v>
      </c>
      <c r="BV15" s="503">
        <f t="shared" si="5"/>
        <v>770</v>
      </c>
      <c r="BW15" s="503">
        <f t="shared" si="6"/>
        <v>1174</v>
      </c>
      <c r="BX15" s="503">
        <f t="shared" si="7"/>
        <v>1044</v>
      </c>
      <c r="BY15" s="63">
        <f t="shared" si="8"/>
        <v>393</v>
      </c>
      <c r="BZ15" s="63">
        <f t="shared" si="9"/>
        <v>347</v>
      </c>
      <c r="CA15" s="63">
        <f t="shared" si="10"/>
        <v>0</v>
      </c>
      <c r="CB15" s="63">
        <f t="shared" si="11"/>
        <v>0</v>
      </c>
      <c r="CC15" s="63">
        <f t="shared" si="12"/>
        <v>0</v>
      </c>
      <c r="CD15" s="63">
        <f t="shared" si="13"/>
        <v>0</v>
      </c>
      <c r="CE15" s="63">
        <f t="shared" si="14"/>
        <v>0</v>
      </c>
      <c r="CF15" s="64">
        <f t="shared" si="15"/>
        <v>0</v>
      </c>
      <c r="CG15" s="501"/>
      <c r="CH15" s="8"/>
      <c r="CO15" s="12"/>
    </row>
    <row r="16" spans="1:93" ht="14.25" customHeight="1">
      <c r="A16" s="8"/>
      <c r="B16" s="93" t="s">
        <v>188</v>
      </c>
      <c r="C16" s="94"/>
      <c r="D16" s="65">
        <v>413</v>
      </c>
      <c r="E16" s="65">
        <v>320</v>
      </c>
      <c r="F16" s="65">
        <v>226</v>
      </c>
      <c r="G16" s="66">
        <f>135+495</f>
        <v>630</v>
      </c>
      <c r="H16" s="419">
        <f>248+495</f>
        <v>743</v>
      </c>
      <c r="I16" s="65">
        <f>215+11</f>
        <v>226</v>
      </c>
      <c r="J16" s="65">
        <f>190+1</f>
        <v>191</v>
      </c>
      <c r="K16" s="66">
        <f>181+4</f>
        <v>185</v>
      </c>
      <c r="L16" s="419">
        <f>257+4</f>
        <v>261</v>
      </c>
      <c r="M16" s="65">
        <v>246</v>
      </c>
      <c r="N16" s="65">
        <v>209</v>
      </c>
      <c r="O16" s="66">
        <v>180</v>
      </c>
      <c r="P16" s="419">
        <v>193</v>
      </c>
      <c r="Q16" s="65">
        <v>259</v>
      </c>
      <c r="R16" s="65">
        <v>191</v>
      </c>
      <c r="S16" s="66">
        <v>267</v>
      </c>
      <c r="T16" s="419">
        <v>207</v>
      </c>
      <c r="U16" s="65">
        <v>208</v>
      </c>
      <c r="V16" s="65">
        <v>168</v>
      </c>
      <c r="W16" s="66">
        <v>164</v>
      </c>
      <c r="X16" s="65">
        <v>174</v>
      </c>
      <c r="Y16" s="65">
        <v>195</v>
      </c>
      <c r="Z16" s="65">
        <v>179</v>
      </c>
      <c r="AA16" s="66">
        <v>180</v>
      </c>
      <c r="AB16" s="65">
        <v>170</v>
      </c>
      <c r="AC16" s="65">
        <v>233</v>
      </c>
      <c r="AD16" s="65">
        <v>303</v>
      </c>
      <c r="AE16" s="66">
        <v>386</v>
      </c>
      <c r="AF16" s="65">
        <v>303</v>
      </c>
      <c r="AG16" s="65">
        <v>351</v>
      </c>
      <c r="AH16" s="65">
        <v>409</v>
      </c>
      <c r="AI16" s="66">
        <v>234</v>
      </c>
      <c r="AJ16" s="419">
        <v>259</v>
      </c>
      <c r="AK16" s="65">
        <v>513</v>
      </c>
      <c r="AL16" s="65">
        <v>219</v>
      </c>
      <c r="AM16" s="66">
        <v>863</v>
      </c>
      <c r="AN16" s="419">
        <v>876</v>
      </c>
      <c r="AO16" s="65">
        <v>992</v>
      </c>
      <c r="AP16" s="65">
        <v>964</v>
      </c>
      <c r="AQ16" s="66">
        <v>850</v>
      </c>
      <c r="AR16" s="419">
        <v>810</v>
      </c>
      <c r="AS16" s="65">
        <v>1088</v>
      </c>
      <c r="AT16" s="65">
        <v>945</v>
      </c>
      <c r="AU16" s="66">
        <f>1000-AU15</f>
        <v>1000</v>
      </c>
      <c r="AV16" s="419">
        <v>785</v>
      </c>
      <c r="AW16" s="65">
        <v>926</v>
      </c>
      <c r="AX16" s="65">
        <v>789</v>
      </c>
      <c r="AY16" s="66">
        <v>910</v>
      </c>
      <c r="AZ16" s="419">
        <v>811</v>
      </c>
      <c r="BA16" s="65">
        <v>1111</v>
      </c>
      <c r="BB16" s="65">
        <v>1063</v>
      </c>
      <c r="BC16" s="66">
        <v>1030</v>
      </c>
      <c r="BD16" s="419">
        <v>1025</v>
      </c>
      <c r="BE16" s="63">
        <f t="shared" si="22"/>
        <v>1025</v>
      </c>
      <c r="BF16" s="63">
        <f t="shared" si="23"/>
        <v>1025</v>
      </c>
      <c r="BG16" s="64">
        <f t="shared" si="24"/>
        <v>1025</v>
      </c>
      <c r="BH16" s="503">
        <f t="shared" si="25"/>
        <v>1025</v>
      </c>
      <c r="BI16" s="63">
        <f t="shared" si="26"/>
        <v>1025</v>
      </c>
      <c r="BJ16" s="63">
        <f t="shared" si="27"/>
        <v>1025</v>
      </c>
      <c r="BK16" s="64">
        <f t="shared" si="28"/>
        <v>1025</v>
      </c>
      <c r="BL16" s="503">
        <f t="shared" si="29"/>
        <v>1025</v>
      </c>
      <c r="BM16" s="63">
        <f t="shared" si="30"/>
        <v>1025</v>
      </c>
      <c r="BN16" s="63">
        <f t="shared" si="31"/>
        <v>1025</v>
      </c>
      <c r="BO16" s="64">
        <f t="shared" si="32"/>
        <v>1025</v>
      </c>
      <c r="BP16" s="90"/>
      <c r="BQ16" s="95">
        <f t="shared" si="0"/>
        <v>630</v>
      </c>
      <c r="BR16" s="95">
        <f t="shared" si="1"/>
        <v>185</v>
      </c>
      <c r="BS16" s="95">
        <f t="shared" si="2"/>
        <v>180</v>
      </c>
      <c r="BT16" s="95">
        <f t="shared" si="3"/>
        <v>267</v>
      </c>
      <c r="BU16" s="96">
        <f t="shared" si="4"/>
        <v>164</v>
      </c>
      <c r="BV16" s="506">
        <f t="shared" si="5"/>
        <v>180</v>
      </c>
      <c r="BW16" s="506">
        <f t="shared" si="6"/>
        <v>386</v>
      </c>
      <c r="BX16" s="506">
        <f t="shared" si="7"/>
        <v>234</v>
      </c>
      <c r="BY16" s="95">
        <f t="shared" si="8"/>
        <v>863</v>
      </c>
      <c r="BZ16" s="95">
        <f t="shared" si="9"/>
        <v>850</v>
      </c>
      <c r="CA16" s="95">
        <f t="shared" si="10"/>
        <v>1000</v>
      </c>
      <c r="CB16" s="95">
        <f t="shared" si="11"/>
        <v>910</v>
      </c>
      <c r="CC16" s="95">
        <f t="shared" si="12"/>
        <v>1030</v>
      </c>
      <c r="CD16" s="95">
        <f t="shared" si="13"/>
        <v>1025</v>
      </c>
      <c r="CE16" s="95">
        <f t="shared" si="14"/>
        <v>1025</v>
      </c>
      <c r="CF16" s="96">
        <f t="shared" si="15"/>
        <v>1025</v>
      </c>
      <c r="CG16" s="501"/>
      <c r="CH16" s="8"/>
      <c r="CO16" s="12"/>
    </row>
    <row r="17" spans="1:93" ht="14.25" customHeight="1">
      <c r="A17" s="8"/>
      <c r="B17" s="507" t="s">
        <v>189</v>
      </c>
      <c r="C17" s="97"/>
      <c r="D17" s="98">
        <f t="shared" ref="D17:AQ17" si="33">SUM(D11:D16)</f>
        <v>9071</v>
      </c>
      <c r="E17" s="98">
        <f t="shared" si="33"/>
        <v>8499</v>
      </c>
      <c r="F17" s="98">
        <f t="shared" si="33"/>
        <v>9131</v>
      </c>
      <c r="G17" s="99">
        <f t="shared" si="33"/>
        <v>9412</v>
      </c>
      <c r="H17" s="100">
        <f t="shared" si="33"/>
        <v>8077</v>
      </c>
      <c r="I17" s="98">
        <f t="shared" si="33"/>
        <v>9792</v>
      </c>
      <c r="J17" s="98">
        <f t="shared" si="33"/>
        <v>8621</v>
      </c>
      <c r="K17" s="99">
        <f t="shared" si="33"/>
        <v>7854</v>
      </c>
      <c r="L17" s="100">
        <f t="shared" si="33"/>
        <v>7833</v>
      </c>
      <c r="M17" s="98">
        <f t="shared" si="33"/>
        <v>8220</v>
      </c>
      <c r="N17" s="98">
        <f t="shared" si="33"/>
        <v>8053</v>
      </c>
      <c r="O17" s="99">
        <f t="shared" si="33"/>
        <v>6918</v>
      </c>
      <c r="P17" s="100">
        <f t="shared" si="33"/>
        <v>5975</v>
      </c>
      <c r="Q17" s="98">
        <f t="shared" si="33"/>
        <v>6010</v>
      </c>
      <c r="R17" s="98">
        <f t="shared" si="33"/>
        <v>6212</v>
      </c>
      <c r="S17" s="99">
        <f t="shared" si="33"/>
        <v>5790</v>
      </c>
      <c r="T17" s="100">
        <f t="shared" si="33"/>
        <v>5532</v>
      </c>
      <c r="U17" s="98">
        <f t="shared" si="33"/>
        <v>5740</v>
      </c>
      <c r="V17" s="98">
        <f t="shared" si="33"/>
        <v>6138</v>
      </c>
      <c r="W17" s="99">
        <f t="shared" si="33"/>
        <v>6114</v>
      </c>
      <c r="X17" s="98">
        <f t="shared" si="33"/>
        <v>6323</v>
      </c>
      <c r="Y17" s="98">
        <f t="shared" si="33"/>
        <v>6130</v>
      </c>
      <c r="Z17" s="98">
        <f t="shared" si="33"/>
        <v>6468</v>
      </c>
      <c r="AA17" s="99">
        <f t="shared" si="33"/>
        <v>7060</v>
      </c>
      <c r="AB17" s="100">
        <f t="shared" si="33"/>
        <v>7044</v>
      </c>
      <c r="AC17" s="98">
        <f t="shared" si="33"/>
        <v>10860</v>
      </c>
      <c r="AD17" s="98">
        <f t="shared" si="33"/>
        <v>7716</v>
      </c>
      <c r="AE17" s="99">
        <f t="shared" si="33"/>
        <v>7828</v>
      </c>
      <c r="AF17" s="100">
        <f t="shared" si="33"/>
        <v>7591</v>
      </c>
      <c r="AG17" s="98">
        <f t="shared" si="33"/>
        <v>7353</v>
      </c>
      <c r="AH17" s="98">
        <f t="shared" si="33"/>
        <v>8584</v>
      </c>
      <c r="AI17" s="99">
        <f t="shared" si="33"/>
        <v>8230</v>
      </c>
      <c r="AJ17" s="100">
        <f t="shared" si="33"/>
        <v>8205</v>
      </c>
      <c r="AK17" s="98">
        <f t="shared" si="33"/>
        <v>8038</v>
      </c>
      <c r="AL17" s="98">
        <f t="shared" si="33"/>
        <v>8101</v>
      </c>
      <c r="AM17" s="99">
        <f t="shared" si="33"/>
        <v>8019</v>
      </c>
      <c r="AN17" s="100">
        <f>SUM(AN11:AN16)</f>
        <v>8360</v>
      </c>
      <c r="AO17" s="98">
        <f>SUM(AO11:AO16)</f>
        <v>7456</v>
      </c>
      <c r="AP17" s="98">
        <f t="shared" si="33"/>
        <v>7756</v>
      </c>
      <c r="AQ17" s="99">
        <f t="shared" si="33"/>
        <v>7768</v>
      </c>
      <c r="AR17" s="100">
        <f t="shared" ref="AR17:AX17" si="34">SUM(AR11:AR16)</f>
        <v>7692</v>
      </c>
      <c r="AS17" s="98">
        <f t="shared" si="34"/>
        <v>8060</v>
      </c>
      <c r="AT17" s="98">
        <f t="shared" si="34"/>
        <v>7289</v>
      </c>
      <c r="AU17" s="99">
        <f t="shared" si="34"/>
        <v>7074</v>
      </c>
      <c r="AV17" s="100">
        <f t="shared" si="34"/>
        <v>6659</v>
      </c>
      <c r="AW17" s="98">
        <f t="shared" si="34"/>
        <v>6689</v>
      </c>
      <c r="AX17" s="98">
        <f t="shared" si="34"/>
        <v>7181</v>
      </c>
      <c r="AY17" s="99">
        <f t="shared" ref="AY17:BB17" si="35">SUM(AY11:AY16)</f>
        <v>7457</v>
      </c>
      <c r="AZ17" s="100">
        <f t="shared" si="35"/>
        <v>7040</v>
      </c>
      <c r="BA17" s="98">
        <f t="shared" si="35"/>
        <v>7511</v>
      </c>
      <c r="BB17" s="98">
        <f t="shared" si="35"/>
        <v>7991</v>
      </c>
      <c r="BC17" s="99">
        <f t="shared" ref="BC17:BD17" si="36">SUM(BC11:BC16)</f>
        <v>8734</v>
      </c>
      <c r="BD17" s="100">
        <f t="shared" si="36"/>
        <v>8590</v>
      </c>
      <c r="BE17" s="98">
        <f t="shared" ref="BE17:BG17" si="37">SUM(BE11:BE16)</f>
        <v>8637.4241282243147</v>
      </c>
      <c r="BF17" s="98">
        <f t="shared" si="37"/>
        <v>8786.5998285389378</v>
      </c>
      <c r="BG17" s="99">
        <f t="shared" si="37"/>
        <v>8793.9347227222497</v>
      </c>
      <c r="BH17" s="100">
        <f t="shared" ref="BH17:BK17" si="38">SUM(BH11:BH16)</f>
        <v>8584.6056699325381</v>
      </c>
      <c r="BI17" s="98">
        <f t="shared" si="38"/>
        <v>8963.3314268498871</v>
      </c>
      <c r="BJ17" s="98">
        <f t="shared" si="38"/>
        <v>9439.9593751241773</v>
      </c>
      <c r="BK17" s="99">
        <f t="shared" si="38"/>
        <v>9736.9961484074975</v>
      </c>
      <c r="BL17" s="100">
        <f t="shared" ref="BL17:BO17" si="39">SUM(BL11:BL16)</f>
        <v>9999.6040736750911</v>
      </c>
      <c r="BM17" s="98">
        <f t="shared" si="39"/>
        <v>10435.177436184131</v>
      </c>
      <c r="BN17" s="98">
        <f t="shared" si="39"/>
        <v>11016.886753349198</v>
      </c>
      <c r="BO17" s="99">
        <f t="shared" si="39"/>
        <v>11417.418537279367</v>
      </c>
      <c r="BP17" s="90"/>
      <c r="BQ17" s="101">
        <f t="shared" ref="BQ17:CB17" si="40">SUM(BQ11:BQ16)</f>
        <v>9412</v>
      </c>
      <c r="BR17" s="101">
        <f t="shared" si="40"/>
        <v>7854</v>
      </c>
      <c r="BS17" s="101">
        <f t="shared" si="40"/>
        <v>6918</v>
      </c>
      <c r="BT17" s="101">
        <f t="shared" si="40"/>
        <v>5790</v>
      </c>
      <c r="BU17" s="101">
        <f t="shared" si="40"/>
        <v>6114</v>
      </c>
      <c r="BV17" s="508">
        <f t="shared" si="40"/>
        <v>7060</v>
      </c>
      <c r="BW17" s="508">
        <f t="shared" si="40"/>
        <v>7828</v>
      </c>
      <c r="BX17" s="508">
        <f t="shared" si="40"/>
        <v>8230</v>
      </c>
      <c r="BY17" s="101">
        <f t="shared" si="40"/>
        <v>8019</v>
      </c>
      <c r="BZ17" s="101">
        <f t="shared" si="40"/>
        <v>7768</v>
      </c>
      <c r="CA17" s="101">
        <f t="shared" si="40"/>
        <v>7074</v>
      </c>
      <c r="CB17" s="101">
        <f t="shared" si="40"/>
        <v>7457</v>
      </c>
      <c r="CC17" s="101">
        <f>SUM(CC11:CC16)</f>
        <v>8734</v>
      </c>
      <c r="CD17" s="101">
        <f>SUM(CD11:CD16)</f>
        <v>8793.9347227222497</v>
      </c>
      <c r="CE17" s="101">
        <f>SUM(CE11:CE16)</f>
        <v>9736.9961484074975</v>
      </c>
      <c r="CF17" s="102">
        <f>SUM(CF11:CF16)</f>
        <v>11417.418537279367</v>
      </c>
      <c r="CG17" s="501"/>
      <c r="CH17" s="8"/>
      <c r="CO17" s="12"/>
    </row>
    <row r="18" spans="1:93" ht="14.25" customHeight="1">
      <c r="A18" s="8"/>
      <c r="B18" s="342"/>
      <c r="C18" s="21"/>
      <c r="D18" s="65"/>
      <c r="E18" s="65"/>
      <c r="F18" s="65"/>
      <c r="G18" s="66"/>
      <c r="H18" s="419"/>
      <c r="I18" s="65"/>
      <c r="J18" s="65"/>
      <c r="K18" s="66"/>
      <c r="L18" s="419"/>
      <c r="M18" s="65"/>
      <c r="N18" s="65"/>
      <c r="O18" s="66"/>
      <c r="P18" s="419"/>
      <c r="Q18" s="65"/>
      <c r="R18" s="65"/>
      <c r="S18" s="66"/>
      <c r="T18" s="419"/>
      <c r="U18" s="65"/>
      <c r="V18" s="65"/>
      <c r="W18" s="66"/>
      <c r="X18" s="65"/>
      <c r="Y18" s="65"/>
      <c r="Z18" s="103"/>
      <c r="AA18" s="104"/>
      <c r="AB18" s="103"/>
      <c r="AC18" s="65"/>
      <c r="AD18" s="65"/>
      <c r="AE18" s="104"/>
      <c r="AF18" s="103"/>
      <c r="AG18" s="103"/>
      <c r="AH18" s="103"/>
      <c r="AI18" s="104"/>
      <c r="AJ18" s="509"/>
      <c r="AK18" s="103"/>
      <c r="AL18" s="103"/>
      <c r="AM18" s="104"/>
      <c r="AN18" s="509"/>
      <c r="AO18" s="103"/>
      <c r="AP18" s="103"/>
      <c r="AQ18" s="104"/>
      <c r="AR18" s="509"/>
      <c r="AS18" s="103"/>
      <c r="AT18" s="103"/>
      <c r="AU18" s="104"/>
      <c r="AV18" s="509"/>
      <c r="AW18" s="103"/>
      <c r="AX18" s="103"/>
      <c r="AY18" s="104"/>
      <c r="AZ18" s="509"/>
      <c r="BA18" s="103"/>
      <c r="BB18" s="103"/>
      <c r="BC18" s="104"/>
      <c r="BD18" s="509"/>
      <c r="BE18" s="103"/>
      <c r="BF18" s="103"/>
      <c r="BG18" s="104"/>
      <c r="BH18" s="509"/>
      <c r="BI18" s="103"/>
      <c r="BJ18" s="103"/>
      <c r="BK18" s="104"/>
      <c r="BL18" s="509"/>
      <c r="BM18" s="103"/>
      <c r="BN18" s="103"/>
      <c r="BO18" s="104"/>
      <c r="BP18" s="90"/>
      <c r="BQ18" s="65"/>
      <c r="BR18" s="65"/>
      <c r="BS18" s="65"/>
      <c r="BT18" s="65"/>
      <c r="BU18" s="65"/>
      <c r="BV18" s="65"/>
      <c r="BW18" s="419"/>
      <c r="BX18" s="419"/>
      <c r="BY18" s="65"/>
      <c r="BZ18" s="65"/>
      <c r="CA18" s="65"/>
      <c r="CB18" s="65"/>
      <c r="CC18" s="65"/>
      <c r="CD18" s="65"/>
      <c r="CE18" s="65"/>
      <c r="CF18" s="66"/>
      <c r="CG18" s="501"/>
      <c r="CH18" s="8"/>
      <c r="CO18" s="12"/>
    </row>
    <row r="19" spans="1:93" ht="14.25" customHeight="1">
      <c r="A19" s="8"/>
      <c r="B19" s="336" t="s">
        <v>299</v>
      </c>
      <c r="C19" s="24"/>
      <c r="D19" s="65">
        <v>3845</v>
      </c>
      <c r="E19" s="65">
        <v>3757</v>
      </c>
      <c r="F19" s="65">
        <v>3865</v>
      </c>
      <c r="G19" s="66">
        <v>3730</v>
      </c>
      <c r="H19" s="419">
        <v>3868</v>
      </c>
      <c r="I19" s="65">
        <v>3984</v>
      </c>
      <c r="J19" s="65">
        <v>3989</v>
      </c>
      <c r="K19" s="66">
        <v>3950</v>
      </c>
      <c r="L19" s="419">
        <v>3880</v>
      </c>
      <c r="M19" s="65">
        <v>3798</v>
      </c>
      <c r="N19" s="65">
        <v>3681</v>
      </c>
      <c r="O19" s="66">
        <v>3609</v>
      </c>
      <c r="P19" s="419">
        <v>3585</v>
      </c>
      <c r="Q19" s="65">
        <v>3604</v>
      </c>
      <c r="R19" s="65">
        <v>3517</v>
      </c>
      <c r="S19" s="66">
        <v>3304</v>
      </c>
      <c r="T19" s="419">
        <v>3115</v>
      </c>
      <c r="U19" s="65">
        <v>2940</v>
      </c>
      <c r="V19" s="65">
        <v>2945</v>
      </c>
      <c r="W19" s="66">
        <v>3158</v>
      </c>
      <c r="X19" s="65">
        <v>3162</v>
      </c>
      <c r="Y19" s="65">
        <v>3240</v>
      </c>
      <c r="Z19" s="65">
        <v>3456</v>
      </c>
      <c r="AA19" s="66">
        <v>3680</v>
      </c>
      <c r="AB19" s="65">
        <v>3657</v>
      </c>
      <c r="AC19" s="65">
        <v>3714</v>
      </c>
      <c r="AD19" s="65">
        <v>4572</v>
      </c>
      <c r="AE19" s="66">
        <v>4428</v>
      </c>
      <c r="AF19" s="65">
        <v>4278</v>
      </c>
      <c r="AG19" s="65">
        <v>4174</v>
      </c>
      <c r="AH19" s="65">
        <v>4055</v>
      </c>
      <c r="AI19" s="66">
        <v>3912</v>
      </c>
      <c r="AJ19" s="419">
        <v>3739</v>
      </c>
      <c r="AK19" s="65">
        <v>3611</v>
      </c>
      <c r="AL19" s="65">
        <v>3509</v>
      </c>
      <c r="AM19" s="66">
        <v>3399</v>
      </c>
      <c r="AN19" s="419">
        <v>3179</v>
      </c>
      <c r="AO19" s="65">
        <v>3044</v>
      </c>
      <c r="AP19" s="65">
        <v>2930</v>
      </c>
      <c r="AQ19" s="66">
        <v>2840</v>
      </c>
      <c r="AR19" s="419">
        <v>2758</v>
      </c>
      <c r="AS19" s="65">
        <v>2685</v>
      </c>
      <c r="AT19" s="65">
        <v>2629</v>
      </c>
      <c r="AU19" s="66">
        <v>2596</v>
      </c>
      <c r="AV19" s="419">
        <v>2554</v>
      </c>
      <c r="AW19" s="65">
        <v>2557</v>
      </c>
      <c r="AX19" s="65">
        <v>2545</v>
      </c>
      <c r="AY19" s="66">
        <v>2512</v>
      </c>
      <c r="AZ19" s="419">
        <v>2501</v>
      </c>
      <c r="BA19" s="65">
        <v>2514</v>
      </c>
      <c r="BB19" s="65">
        <v>2567</v>
      </c>
      <c r="BC19" s="66">
        <v>2664</v>
      </c>
      <c r="BD19" s="419">
        <v>2736</v>
      </c>
      <c r="BE19" s="63">
        <f>CFS!BE67</f>
        <v>2803.7503749203779</v>
      </c>
      <c r="BF19" s="63">
        <f>CFS!BF67</f>
        <v>2885.1025372526419</v>
      </c>
      <c r="BG19" s="64">
        <f>CFS!BG67</f>
        <v>2954.3649004891604</v>
      </c>
      <c r="BH19" s="503">
        <f>CFS!BH67</f>
        <v>2976.3892262459112</v>
      </c>
      <c r="BI19" s="63">
        <f>CFS!BI67</f>
        <v>3015.964707811635</v>
      </c>
      <c r="BJ19" s="63">
        <f>CFS!BJ67</f>
        <v>3066.5940591767912</v>
      </c>
      <c r="BK19" s="64">
        <f>CFS!BK67</f>
        <v>3106.6666533315965</v>
      </c>
      <c r="BL19" s="503">
        <f>CFS!BL67</f>
        <v>3138.6288804051255</v>
      </c>
      <c r="BM19" s="63">
        <f>CFS!BM67</f>
        <v>3188.3984721623847</v>
      </c>
      <c r="BN19" s="63">
        <f>CFS!BN67</f>
        <v>3249.4382465230119</v>
      </c>
      <c r="BO19" s="64">
        <f>CFS!BO67</f>
        <v>3299.6871340355337</v>
      </c>
      <c r="BP19" s="90"/>
      <c r="BQ19" s="63">
        <f t="shared" ref="BQ19:BQ25" si="41">G19</f>
        <v>3730</v>
      </c>
      <c r="BR19" s="63">
        <f t="shared" ref="BR19:BR25" si="42">K19</f>
        <v>3950</v>
      </c>
      <c r="BS19" s="63">
        <f t="shared" ref="BS19:BS25" si="43">O19</f>
        <v>3609</v>
      </c>
      <c r="BT19" s="63">
        <f t="shared" ref="BT19:BT25" si="44">S19</f>
        <v>3304</v>
      </c>
      <c r="BU19" s="63">
        <f t="shared" ref="BU19:BU25" si="45">W19</f>
        <v>3158</v>
      </c>
      <c r="BV19" s="63">
        <f t="shared" ref="BV19:BV25" si="46">AA19</f>
        <v>3680</v>
      </c>
      <c r="BW19" s="503">
        <f t="shared" ref="BW19:BW25" si="47">AE19</f>
        <v>4428</v>
      </c>
      <c r="BX19" s="503">
        <f t="shared" ref="BX19:BX25" si="48">AI19</f>
        <v>3912</v>
      </c>
      <c r="BY19" s="63">
        <f t="shared" ref="BY19:BY25" si="49">AM19</f>
        <v>3399</v>
      </c>
      <c r="BZ19" s="63">
        <f t="shared" ref="BZ19:BZ25" si="50">AQ19</f>
        <v>2840</v>
      </c>
      <c r="CA19" s="63">
        <f t="shared" ref="CA19:CA25" si="51">AU19</f>
        <v>2596</v>
      </c>
      <c r="CB19" s="63">
        <f t="shared" ref="CB19:CB25" si="52">AY19</f>
        <v>2512</v>
      </c>
      <c r="CC19" s="63">
        <f t="shared" ref="CC19:CC25" si="53">BC19</f>
        <v>2664</v>
      </c>
      <c r="CD19" s="63">
        <f t="shared" ref="CD19:CD25" si="54">BG19</f>
        <v>2954.3649004891604</v>
      </c>
      <c r="CE19" s="63">
        <f t="shared" ref="CE19:CE25" si="55">BK19</f>
        <v>3106.6666533315965</v>
      </c>
      <c r="CF19" s="64">
        <f t="shared" ref="CF19:CF25" si="56">BO19</f>
        <v>3299.6871340355337</v>
      </c>
      <c r="CG19" s="501"/>
      <c r="CH19" s="8"/>
      <c r="CO19" s="12"/>
    </row>
    <row r="20" spans="1:93" ht="14.25" customHeight="1">
      <c r="A20" s="8"/>
      <c r="B20" s="336" t="s">
        <v>316</v>
      </c>
      <c r="C20" s="24"/>
      <c r="D20" s="65">
        <v>260</v>
      </c>
      <c r="E20" s="65">
        <v>265</v>
      </c>
      <c r="F20" s="65">
        <v>234</v>
      </c>
      <c r="G20" s="66">
        <v>236</v>
      </c>
      <c r="H20" s="419">
        <v>240</v>
      </c>
      <c r="I20" s="65">
        <v>253</v>
      </c>
      <c r="J20" s="65">
        <v>270</v>
      </c>
      <c r="K20" s="66">
        <v>287</v>
      </c>
      <c r="L20" s="419">
        <v>250</v>
      </c>
      <c r="M20" s="65">
        <v>254</v>
      </c>
      <c r="N20" s="65">
        <v>265</v>
      </c>
      <c r="O20" s="66">
        <v>267</v>
      </c>
      <c r="P20" s="419">
        <v>791</v>
      </c>
      <c r="Q20" s="65">
        <v>766</v>
      </c>
      <c r="R20" s="65">
        <v>717</v>
      </c>
      <c r="S20" s="66">
        <v>653</v>
      </c>
      <c r="T20" s="419">
        <v>645</v>
      </c>
      <c r="U20" s="65">
        <v>632</v>
      </c>
      <c r="V20" s="65">
        <v>627</v>
      </c>
      <c r="W20" s="66">
        <v>637</v>
      </c>
      <c r="X20" s="65">
        <v>641</v>
      </c>
      <c r="Y20" s="65">
        <v>557</v>
      </c>
      <c r="Z20" s="65">
        <v>523</v>
      </c>
      <c r="AA20" s="66">
        <v>453</v>
      </c>
      <c r="AB20" s="65">
        <v>449</v>
      </c>
      <c r="AC20" s="65">
        <v>334</v>
      </c>
      <c r="AD20" s="65">
        <v>350</v>
      </c>
      <c r="AE20" s="66">
        <v>265</v>
      </c>
      <c r="AF20" s="65">
        <v>239</v>
      </c>
      <c r="AG20" s="65">
        <v>218</v>
      </c>
      <c r="AH20" s="65">
        <v>225</v>
      </c>
      <c r="AI20" s="66">
        <v>215</v>
      </c>
      <c r="AJ20" s="419">
        <v>204</v>
      </c>
      <c r="AK20" s="65">
        <v>203</v>
      </c>
      <c r="AL20" s="65">
        <v>210</v>
      </c>
      <c r="AM20" s="66">
        <v>216</v>
      </c>
      <c r="AN20" s="419">
        <v>212</v>
      </c>
      <c r="AO20" s="65">
        <v>219</v>
      </c>
      <c r="AP20" s="65">
        <v>219</v>
      </c>
      <c r="AQ20" s="66">
        <v>224</v>
      </c>
      <c r="AR20" s="419">
        <v>232</v>
      </c>
      <c r="AS20" s="65">
        <v>228</v>
      </c>
      <c r="AT20" s="65">
        <v>216</v>
      </c>
      <c r="AU20" s="66">
        <v>221</v>
      </c>
      <c r="AV20" s="419">
        <v>220</v>
      </c>
      <c r="AW20" s="65">
        <v>224</v>
      </c>
      <c r="AX20" s="65">
        <v>233</v>
      </c>
      <c r="AY20" s="66">
        <v>235</v>
      </c>
      <c r="AZ20" s="419">
        <v>241</v>
      </c>
      <c r="BA20" s="65">
        <v>250</v>
      </c>
      <c r="BB20" s="65">
        <v>258</v>
      </c>
      <c r="BC20" s="66">
        <v>268</v>
      </c>
      <c r="BD20" s="419">
        <v>271</v>
      </c>
      <c r="BE20" s="63">
        <f>BD20-CFS!BE33-CFS!BE34</f>
        <v>271</v>
      </c>
      <c r="BF20" s="63">
        <f>BE20-CFS!BF33-CFS!BF34</f>
        <v>271</v>
      </c>
      <c r="BG20" s="64">
        <f>BF20-CFS!BG33-CFS!BG34</f>
        <v>271</v>
      </c>
      <c r="BH20" s="503">
        <f>BG20-CFS!BH33-CFS!BH34</f>
        <v>271</v>
      </c>
      <c r="BI20" s="63">
        <f>BH20-CFS!BI33-CFS!BI34</f>
        <v>271</v>
      </c>
      <c r="BJ20" s="63">
        <f>BI20-CFS!BJ33-CFS!BJ34</f>
        <v>271</v>
      </c>
      <c r="BK20" s="64">
        <f>BJ20-CFS!BK33-CFS!BK34</f>
        <v>271</v>
      </c>
      <c r="BL20" s="503">
        <f>BK20-CFS!BL33-CFS!BL34</f>
        <v>271</v>
      </c>
      <c r="BM20" s="63">
        <f>BL20-CFS!BM33-CFS!BM34</f>
        <v>271</v>
      </c>
      <c r="BN20" s="63">
        <f>BM20-CFS!BN33-CFS!BN34</f>
        <v>271</v>
      </c>
      <c r="BO20" s="64">
        <f>BN20-CFS!BO33-CFS!BO34</f>
        <v>271</v>
      </c>
      <c r="BP20" s="90"/>
      <c r="BQ20" s="63">
        <f t="shared" si="41"/>
        <v>236</v>
      </c>
      <c r="BR20" s="63">
        <f t="shared" si="42"/>
        <v>287</v>
      </c>
      <c r="BS20" s="63">
        <f t="shared" si="43"/>
        <v>267</v>
      </c>
      <c r="BT20" s="63">
        <f t="shared" si="44"/>
        <v>653</v>
      </c>
      <c r="BU20" s="63">
        <f t="shared" si="45"/>
        <v>637</v>
      </c>
      <c r="BV20" s="63">
        <f t="shared" si="46"/>
        <v>453</v>
      </c>
      <c r="BW20" s="503">
        <f t="shared" si="47"/>
        <v>265</v>
      </c>
      <c r="BX20" s="503">
        <f t="shared" si="48"/>
        <v>215</v>
      </c>
      <c r="BY20" s="63">
        <f t="shared" si="49"/>
        <v>216</v>
      </c>
      <c r="BZ20" s="63">
        <f t="shared" si="50"/>
        <v>224</v>
      </c>
      <c r="CA20" s="63">
        <f t="shared" si="51"/>
        <v>221</v>
      </c>
      <c r="CB20" s="63">
        <f t="shared" si="52"/>
        <v>235</v>
      </c>
      <c r="CC20" s="63">
        <f t="shared" si="53"/>
        <v>268</v>
      </c>
      <c r="CD20" s="63">
        <f t="shared" si="54"/>
        <v>271</v>
      </c>
      <c r="CE20" s="63">
        <f t="shared" si="55"/>
        <v>271</v>
      </c>
      <c r="CF20" s="64">
        <f t="shared" si="56"/>
        <v>271</v>
      </c>
      <c r="CG20" s="501"/>
      <c r="CH20" s="8"/>
      <c r="CO20" s="12"/>
    </row>
    <row r="21" spans="1:93" ht="14.25" customHeight="1">
      <c r="A21" s="8"/>
      <c r="B21" s="336" t="s">
        <v>190</v>
      </c>
      <c r="C21" s="24"/>
      <c r="D21" s="65">
        <v>701</v>
      </c>
      <c r="E21" s="65">
        <v>708</v>
      </c>
      <c r="F21" s="65">
        <v>708</v>
      </c>
      <c r="G21" s="66">
        <v>677</v>
      </c>
      <c r="H21" s="419">
        <v>793</v>
      </c>
      <c r="I21" s="65">
        <v>792</v>
      </c>
      <c r="J21" s="65">
        <v>792</v>
      </c>
      <c r="K21" s="66">
        <v>792</v>
      </c>
      <c r="L21" s="419">
        <v>792</v>
      </c>
      <c r="M21" s="65">
        <v>792</v>
      </c>
      <c r="N21" s="65">
        <v>796</v>
      </c>
      <c r="O21" s="66">
        <v>838</v>
      </c>
      <c r="P21" s="419">
        <v>838</v>
      </c>
      <c r="Q21" s="65">
        <v>840</v>
      </c>
      <c r="R21" s="65">
        <v>840</v>
      </c>
      <c r="S21" s="66">
        <v>840</v>
      </c>
      <c r="T21" s="419">
        <v>912</v>
      </c>
      <c r="U21" s="65">
        <v>926</v>
      </c>
      <c r="V21" s="65">
        <v>926</v>
      </c>
      <c r="W21" s="66">
        <v>926</v>
      </c>
      <c r="X21" s="65">
        <v>926</v>
      </c>
      <c r="Y21" s="65">
        <v>926</v>
      </c>
      <c r="Z21" s="65">
        <v>926</v>
      </c>
      <c r="AA21" s="66">
        <v>924</v>
      </c>
      <c r="AB21" s="65">
        <v>924</v>
      </c>
      <c r="AC21" s="65">
        <v>924</v>
      </c>
      <c r="AD21" s="65">
        <v>4451</v>
      </c>
      <c r="AE21" s="66">
        <v>4432</v>
      </c>
      <c r="AF21" s="65">
        <v>4452</v>
      </c>
      <c r="AG21" s="65">
        <v>4452</v>
      </c>
      <c r="AH21" s="65">
        <v>4452</v>
      </c>
      <c r="AI21" s="66">
        <v>4362</v>
      </c>
      <c r="AJ21" s="419">
        <v>4362</v>
      </c>
      <c r="AK21" s="65">
        <v>4362</v>
      </c>
      <c r="AL21" s="65">
        <v>4362</v>
      </c>
      <c r="AM21" s="66">
        <v>4362</v>
      </c>
      <c r="AN21" s="419">
        <v>4362</v>
      </c>
      <c r="AO21" s="65">
        <v>4362</v>
      </c>
      <c r="AP21" s="65">
        <v>4362</v>
      </c>
      <c r="AQ21" s="66">
        <v>4362</v>
      </c>
      <c r="AR21" s="419">
        <v>4362</v>
      </c>
      <c r="AS21" s="65">
        <v>4362</v>
      </c>
      <c r="AT21" s="65">
        <v>4362</v>
      </c>
      <c r="AU21" s="66">
        <v>4362</v>
      </c>
      <c r="AV21" s="419">
        <v>4362</v>
      </c>
      <c r="AW21" s="65">
        <v>4362</v>
      </c>
      <c r="AX21" s="65">
        <v>4362</v>
      </c>
      <c r="AY21" s="66">
        <v>4362</v>
      </c>
      <c r="AZ21" s="419">
        <v>4362</v>
      </c>
      <c r="BA21" s="65">
        <v>4362</v>
      </c>
      <c r="BB21" s="65">
        <v>4362</v>
      </c>
      <c r="BC21" s="66">
        <v>4362</v>
      </c>
      <c r="BD21" s="419">
        <v>4362</v>
      </c>
      <c r="BE21" s="63">
        <f t="shared" ref="BE21:BG21" si="57">BD21</f>
        <v>4362</v>
      </c>
      <c r="BF21" s="63">
        <f t="shared" si="57"/>
        <v>4362</v>
      </c>
      <c r="BG21" s="64">
        <f t="shared" si="57"/>
        <v>4362</v>
      </c>
      <c r="BH21" s="503">
        <f t="shared" ref="BH21" si="58">BG21</f>
        <v>4362</v>
      </c>
      <c r="BI21" s="63">
        <f t="shared" ref="BI21" si="59">BH21</f>
        <v>4362</v>
      </c>
      <c r="BJ21" s="63">
        <f t="shared" ref="BJ21" si="60">BI21</f>
        <v>4362</v>
      </c>
      <c r="BK21" s="64">
        <f t="shared" ref="BK21" si="61">BJ21</f>
        <v>4362</v>
      </c>
      <c r="BL21" s="503">
        <f t="shared" ref="BL21" si="62">BK21</f>
        <v>4362</v>
      </c>
      <c r="BM21" s="63">
        <f t="shared" ref="BM21" si="63">BL21</f>
        <v>4362</v>
      </c>
      <c r="BN21" s="63">
        <f t="shared" ref="BN21" si="64">BM21</f>
        <v>4362</v>
      </c>
      <c r="BO21" s="64">
        <f t="shared" ref="BO21" si="65">BN21</f>
        <v>4362</v>
      </c>
      <c r="BP21" s="90"/>
      <c r="BQ21" s="63">
        <f t="shared" si="41"/>
        <v>677</v>
      </c>
      <c r="BR21" s="63">
        <f t="shared" si="42"/>
        <v>792</v>
      </c>
      <c r="BS21" s="63">
        <f t="shared" si="43"/>
        <v>838</v>
      </c>
      <c r="BT21" s="63">
        <f t="shared" si="44"/>
        <v>840</v>
      </c>
      <c r="BU21" s="63">
        <f t="shared" si="45"/>
        <v>926</v>
      </c>
      <c r="BV21" s="63">
        <f t="shared" si="46"/>
        <v>924</v>
      </c>
      <c r="BW21" s="503">
        <f t="shared" si="47"/>
        <v>4432</v>
      </c>
      <c r="BX21" s="503">
        <f t="shared" si="48"/>
        <v>4362</v>
      </c>
      <c r="BY21" s="63">
        <f t="shared" si="49"/>
        <v>4362</v>
      </c>
      <c r="BZ21" s="63">
        <f t="shared" si="50"/>
        <v>4362</v>
      </c>
      <c r="CA21" s="63">
        <f t="shared" si="51"/>
        <v>4362</v>
      </c>
      <c r="CB21" s="63">
        <f t="shared" si="52"/>
        <v>4362</v>
      </c>
      <c r="CC21" s="63">
        <f t="shared" si="53"/>
        <v>4362</v>
      </c>
      <c r="CD21" s="63">
        <f t="shared" si="54"/>
        <v>4362</v>
      </c>
      <c r="CE21" s="63">
        <f t="shared" si="55"/>
        <v>4362</v>
      </c>
      <c r="CF21" s="64">
        <f t="shared" si="56"/>
        <v>4362</v>
      </c>
      <c r="CG21" s="501"/>
      <c r="CH21" s="8"/>
      <c r="CO21" s="12"/>
    </row>
    <row r="22" spans="1:93" ht="14.25" customHeight="1">
      <c r="A22" s="8"/>
      <c r="B22" s="336" t="s">
        <v>317</v>
      </c>
      <c r="C22" s="24"/>
      <c r="D22" s="65">
        <v>98</v>
      </c>
      <c r="E22" s="65">
        <v>86</v>
      </c>
      <c r="F22" s="65">
        <v>76</v>
      </c>
      <c r="G22" s="66">
        <v>60</v>
      </c>
      <c r="H22" s="419">
        <v>131</v>
      </c>
      <c r="I22" s="65">
        <v>117</v>
      </c>
      <c r="J22" s="65">
        <v>131</v>
      </c>
      <c r="K22" s="66">
        <v>118</v>
      </c>
      <c r="L22" s="419">
        <v>131</v>
      </c>
      <c r="M22" s="65">
        <v>117</v>
      </c>
      <c r="N22" s="65">
        <v>108</v>
      </c>
      <c r="O22" s="66">
        <v>115</v>
      </c>
      <c r="P22" s="419">
        <v>105</v>
      </c>
      <c r="Q22" s="65">
        <v>108</v>
      </c>
      <c r="R22" s="65">
        <v>99</v>
      </c>
      <c r="S22" s="66">
        <v>91</v>
      </c>
      <c r="T22" s="419">
        <v>120</v>
      </c>
      <c r="U22" s="65">
        <v>150</v>
      </c>
      <c r="V22" s="65">
        <v>138</v>
      </c>
      <c r="W22" s="66">
        <v>124</v>
      </c>
      <c r="X22" s="65">
        <v>111</v>
      </c>
      <c r="Y22" s="65">
        <v>97</v>
      </c>
      <c r="Z22" s="65">
        <v>86</v>
      </c>
      <c r="AA22" s="66">
        <v>76</v>
      </c>
      <c r="AB22" s="65">
        <v>69</v>
      </c>
      <c r="AC22" s="65">
        <v>63</v>
      </c>
      <c r="AD22" s="65">
        <v>3024</v>
      </c>
      <c r="AE22" s="66">
        <v>2900</v>
      </c>
      <c r="AF22" s="65">
        <v>2815</v>
      </c>
      <c r="AG22" s="65">
        <v>2729</v>
      </c>
      <c r="AH22" s="65">
        <v>2643</v>
      </c>
      <c r="AI22" s="66">
        <v>2558</v>
      </c>
      <c r="AJ22" s="419">
        <v>2473</v>
      </c>
      <c r="AK22" s="65">
        <v>2388</v>
      </c>
      <c r="AL22" s="65">
        <v>2305</v>
      </c>
      <c r="AM22" s="66">
        <v>2223</v>
      </c>
      <c r="AN22" s="419">
        <v>2142</v>
      </c>
      <c r="AO22" s="65">
        <v>2062</v>
      </c>
      <c r="AP22" s="65">
        <v>1982</v>
      </c>
      <c r="AQ22" s="66">
        <v>1902</v>
      </c>
      <c r="AR22" s="419">
        <v>1822</v>
      </c>
      <c r="AS22" s="65">
        <v>1742</v>
      </c>
      <c r="AT22" s="65">
        <v>1662</v>
      </c>
      <c r="AU22" s="66">
        <v>1583</v>
      </c>
      <c r="AV22" s="419">
        <v>1503</v>
      </c>
      <c r="AW22" s="65">
        <v>1424</v>
      </c>
      <c r="AX22" s="65">
        <v>1344</v>
      </c>
      <c r="AY22" s="66">
        <v>1264</v>
      </c>
      <c r="AZ22" s="419">
        <v>1184</v>
      </c>
      <c r="BA22" s="65">
        <v>1105</v>
      </c>
      <c r="BB22" s="65">
        <v>1025</v>
      </c>
      <c r="BC22" s="66">
        <v>946</v>
      </c>
      <c r="BD22" s="419">
        <v>866</v>
      </c>
      <c r="BE22" s="63">
        <f>+BD22-CFS!BE15</f>
        <v>786</v>
      </c>
      <c r="BF22" s="63">
        <f>+BE22-CFS!BF15</f>
        <v>706</v>
      </c>
      <c r="BG22" s="64">
        <f>+BF22-CFS!BG15</f>
        <v>626</v>
      </c>
      <c r="BH22" s="503">
        <f>+BG22-CFS!BH15</f>
        <v>546</v>
      </c>
      <c r="BI22" s="63">
        <f>+BH22-CFS!BI15</f>
        <v>466</v>
      </c>
      <c r="BJ22" s="63">
        <f>+BI22-CFS!BJ15</f>
        <v>386</v>
      </c>
      <c r="BK22" s="64">
        <f>+BJ22-CFS!BK15</f>
        <v>306</v>
      </c>
      <c r="BL22" s="503">
        <f>+BK22-CFS!BL15</f>
        <v>236</v>
      </c>
      <c r="BM22" s="63">
        <f>+BL22-CFS!BM15</f>
        <v>166</v>
      </c>
      <c r="BN22" s="63">
        <f>+BM22-CFS!BN15</f>
        <v>96</v>
      </c>
      <c r="BO22" s="64">
        <f>+BN22-CFS!BO15</f>
        <v>26</v>
      </c>
      <c r="BP22" s="90"/>
      <c r="BQ22" s="63">
        <f t="shared" si="41"/>
        <v>60</v>
      </c>
      <c r="BR22" s="63">
        <f t="shared" si="42"/>
        <v>118</v>
      </c>
      <c r="BS22" s="63">
        <f t="shared" si="43"/>
        <v>115</v>
      </c>
      <c r="BT22" s="63">
        <f t="shared" si="44"/>
        <v>91</v>
      </c>
      <c r="BU22" s="63">
        <f t="shared" si="45"/>
        <v>124</v>
      </c>
      <c r="BV22" s="63">
        <f t="shared" si="46"/>
        <v>76</v>
      </c>
      <c r="BW22" s="503">
        <f t="shared" si="47"/>
        <v>2900</v>
      </c>
      <c r="BX22" s="503">
        <f t="shared" si="48"/>
        <v>2558</v>
      </c>
      <c r="BY22" s="63">
        <f t="shared" si="49"/>
        <v>2223</v>
      </c>
      <c r="BZ22" s="63">
        <f t="shared" si="50"/>
        <v>1902</v>
      </c>
      <c r="CA22" s="63">
        <f t="shared" si="51"/>
        <v>1583</v>
      </c>
      <c r="CB22" s="63">
        <f t="shared" si="52"/>
        <v>1264</v>
      </c>
      <c r="CC22" s="63">
        <f t="shared" si="53"/>
        <v>946</v>
      </c>
      <c r="CD22" s="63">
        <f t="shared" si="54"/>
        <v>626</v>
      </c>
      <c r="CE22" s="63">
        <f t="shared" si="55"/>
        <v>306</v>
      </c>
      <c r="CF22" s="64">
        <f t="shared" si="56"/>
        <v>26</v>
      </c>
      <c r="CG22" s="501"/>
      <c r="CH22" s="8"/>
      <c r="CO22" s="12"/>
    </row>
    <row r="23" spans="1:93" ht="14.25" customHeight="1">
      <c r="A23" s="8"/>
      <c r="B23" s="336" t="s">
        <v>315</v>
      </c>
      <c r="C23" s="24"/>
      <c r="D23" s="65">
        <v>457</v>
      </c>
      <c r="E23" s="65">
        <v>568</v>
      </c>
      <c r="F23" s="65">
        <v>413</v>
      </c>
      <c r="G23" s="66">
        <v>393</v>
      </c>
      <c r="H23" s="419">
        <v>390</v>
      </c>
      <c r="I23" s="65">
        <v>428</v>
      </c>
      <c r="J23" s="65">
        <v>411</v>
      </c>
      <c r="K23" s="66">
        <v>601</v>
      </c>
      <c r="L23" s="419">
        <v>436</v>
      </c>
      <c r="M23" s="65">
        <v>405</v>
      </c>
      <c r="N23" s="65">
        <v>425</v>
      </c>
      <c r="O23" s="66">
        <v>510</v>
      </c>
      <c r="P23" s="419">
        <v>618</v>
      </c>
      <c r="Q23" s="65">
        <v>626</v>
      </c>
      <c r="R23" s="65">
        <v>688</v>
      </c>
      <c r="S23" s="66">
        <v>990</v>
      </c>
      <c r="T23" s="419">
        <v>967</v>
      </c>
      <c r="U23" s="65">
        <v>909</v>
      </c>
      <c r="V23" s="65">
        <v>928</v>
      </c>
      <c r="W23" s="66">
        <v>926</v>
      </c>
      <c r="X23" s="65">
        <v>893</v>
      </c>
      <c r="Y23" s="65">
        <v>915</v>
      </c>
      <c r="Z23" s="65">
        <v>907</v>
      </c>
      <c r="AA23" s="66">
        <v>927</v>
      </c>
      <c r="AB23" s="65">
        <v>899</v>
      </c>
      <c r="AC23" s="65">
        <v>925</v>
      </c>
      <c r="AD23" s="65">
        <v>497</v>
      </c>
      <c r="AE23" s="66">
        <v>321</v>
      </c>
      <c r="AF23" s="65">
        <v>302</v>
      </c>
      <c r="AG23" s="65">
        <v>288</v>
      </c>
      <c r="AH23" s="65">
        <v>199</v>
      </c>
      <c r="AI23" s="66">
        <v>280</v>
      </c>
      <c r="AJ23" s="419">
        <v>264</v>
      </c>
      <c r="AK23" s="65">
        <v>253</v>
      </c>
      <c r="AL23" s="65">
        <v>227</v>
      </c>
      <c r="AM23" s="66">
        <v>207</v>
      </c>
      <c r="AN23" s="419">
        <v>200</v>
      </c>
      <c r="AO23" s="65">
        <v>194</v>
      </c>
      <c r="AP23" s="65">
        <v>177</v>
      </c>
      <c r="AQ23" s="66">
        <v>172</v>
      </c>
      <c r="AR23" s="419">
        <v>174</v>
      </c>
      <c r="AS23" s="65">
        <v>169</v>
      </c>
      <c r="AT23" s="65">
        <v>160</v>
      </c>
      <c r="AU23" s="66">
        <v>201</v>
      </c>
      <c r="AV23" s="419">
        <v>175</v>
      </c>
      <c r="AW23" s="65">
        <v>231</v>
      </c>
      <c r="AX23" s="65">
        <v>355</v>
      </c>
      <c r="AY23" s="66">
        <v>374</v>
      </c>
      <c r="AZ23" s="419">
        <v>361</v>
      </c>
      <c r="BA23" s="65">
        <v>412</v>
      </c>
      <c r="BB23" s="65">
        <v>414</v>
      </c>
      <c r="BC23" s="66">
        <v>264</v>
      </c>
      <c r="BD23" s="419">
        <v>218</v>
      </c>
      <c r="BE23" s="63">
        <f t="shared" ref="BE23:BE25" si="66">BD23</f>
        <v>218</v>
      </c>
      <c r="BF23" s="63">
        <f t="shared" ref="BF23:BF25" si="67">BE23</f>
        <v>218</v>
      </c>
      <c r="BG23" s="64">
        <f t="shared" ref="BG23:BG25" si="68">BF23</f>
        <v>218</v>
      </c>
      <c r="BH23" s="503">
        <f t="shared" ref="BH23:BH25" si="69">BG23</f>
        <v>218</v>
      </c>
      <c r="BI23" s="63">
        <f t="shared" ref="BI23:BI25" si="70">BH23</f>
        <v>218</v>
      </c>
      <c r="BJ23" s="63">
        <f t="shared" ref="BJ23:BJ25" si="71">BI23</f>
        <v>218</v>
      </c>
      <c r="BK23" s="64">
        <f t="shared" ref="BK23:BK25" si="72">BJ23</f>
        <v>218</v>
      </c>
      <c r="BL23" s="503">
        <f t="shared" ref="BL23:BL25" si="73">BK23</f>
        <v>218</v>
      </c>
      <c r="BM23" s="63">
        <f t="shared" ref="BM23:BM25" si="74">BL23</f>
        <v>218</v>
      </c>
      <c r="BN23" s="63">
        <f t="shared" ref="BN23:BN25" si="75">BM23</f>
        <v>218</v>
      </c>
      <c r="BO23" s="64">
        <f t="shared" ref="BO23:BO25" si="76">BN23</f>
        <v>218</v>
      </c>
      <c r="BP23" s="90"/>
      <c r="BQ23" s="63">
        <f t="shared" si="41"/>
        <v>393</v>
      </c>
      <c r="BR23" s="63">
        <f t="shared" si="42"/>
        <v>601</v>
      </c>
      <c r="BS23" s="63">
        <f t="shared" si="43"/>
        <v>510</v>
      </c>
      <c r="BT23" s="63">
        <f t="shared" si="44"/>
        <v>990</v>
      </c>
      <c r="BU23" s="63">
        <f t="shared" si="45"/>
        <v>926</v>
      </c>
      <c r="BV23" s="63">
        <f t="shared" si="46"/>
        <v>927</v>
      </c>
      <c r="BW23" s="503">
        <f t="shared" si="47"/>
        <v>321</v>
      </c>
      <c r="BX23" s="503">
        <f t="shared" si="48"/>
        <v>280</v>
      </c>
      <c r="BY23" s="63">
        <f t="shared" si="49"/>
        <v>207</v>
      </c>
      <c r="BZ23" s="63">
        <f t="shared" si="50"/>
        <v>172</v>
      </c>
      <c r="CA23" s="63">
        <f t="shared" si="51"/>
        <v>201</v>
      </c>
      <c r="CB23" s="63">
        <f t="shared" si="52"/>
        <v>374</v>
      </c>
      <c r="CC23" s="63">
        <f t="shared" si="53"/>
        <v>264</v>
      </c>
      <c r="CD23" s="63">
        <f t="shared" si="54"/>
        <v>218</v>
      </c>
      <c r="CE23" s="63">
        <f t="shared" si="55"/>
        <v>218</v>
      </c>
      <c r="CF23" s="64">
        <f t="shared" si="56"/>
        <v>218</v>
      </c>
      <c r="CG23" s="501"/>
      <c r="CH23" s="8"/>
      <c r="CO23" s="12"/>
    </row>
    <row r="24" spans="1:93" ht="14.25" customHeight="1">
      <c r="A24" s="8"/>
      <c r="B24" s="336" t="s">
        <v>318</v>
      </c>
      <c r="C24" s="24"/>
      <c r="D24" s="65">
        <v>292</v>
      </c>
      <c r="E24" s="65">
        <v>288</v>
      </c>
      <c r="F24" s="65">
        <v>262</v>
      </c>
      <c r="G24" s="66">
        <v>243</v>
      </c>
      <c r="H24" s="419">
        <v>222</v>
      </c>
      <c r="I24" s="65">
        <v>197</v>
      </c>
      <c r="J24" s="65">
        <v>175</v>
      </c>
      <c r="K24" s="66">
        <v>188</v>
      </c>
      <c r="L24" s="419">
        <v>280</v>
      </c>
      <c r="M24" s="65">
        <v>259</v>
      </c>
      <c r="N24" s="65">
        <v>242</v>
      </c>
      <c r="O24" s="66">
        <v>227</v>
      </c>
      <c r="P24" s="419">
        <v>225</v>
      </c>
      <c r="Q24" s="65">
        <v>220</v>
      </c>
      <c r="R24" s="65">
        <v>202</v>
      </c>
      <c r="S24" s="66">
        <v>182</v>
      </c>
      <c r="T24" s="419">
        <v>160</v>
      </c>
      <c r="U24" s="65">
        <v>140</v>
      </c>
      <c r="V24" s="65">
        <v>124</v>
      </c>
      <c r="W24" s="66">
        <v>119</v>
      </c>
      <c r="X24" s="65">
        <v>219</v>
      </c>
      <c r="Y24" s="65">
        <v>229</v>
      </c>
      <c r="Z24" s="65">
        <v>213</v>
      </c>
      <c r="AA24" s="66">
        <v>205</v>
      </c>
      <c r="AB24" s="65">
        <v>193</v>
      </c>
      <c r="AC24" s="65">
        <v>184</v>
      </c>
      <c r="AD24" s="65">
        <v>199</v>
      </c>
      <c r="AE24" s="66">
        <v>206</v>
      </c>
      <c r="AF24" s="65">
        <v>201</v>
      </c>
      <c r="AG24" s="65">
        <v>182</v>
      </c>
      <c r="AH24" s="65">
        <v>166</v>
      </c>
      <c r="AI24" s="66">
        <v>142</v>
      </c>
      <c r="AJ24" s="419">
        <v>169</v>
      </c>
      <c r="AK24" s="65">
        <v>159</v>
      </c>
      <c r="AL24" s="65">
        <v>139</v>
      </c>
      <c r="AM24" s="66">
        <v>118</v>
      </c>
      <c r="AN24" s="419">
        <v>111</v>
      </c>
      <c r="AO24" s="65">
        <v>101</v>
      </c>
      <c r="AP24" s="65">
        <v>93</v>
      </c>
      <c r="AQ24" s="66">
        <v>83</v>
      </c>
      <c r="AR24" s="419">
        <v>73</v>
      </c>
      <c r="AS24" s="65">
        <v>63</v>
      </c>
      <c r="AT24" s="65">
        <v>54</v>
      </c>
      <c r="AU24" s="66">
        <v>46</v>
      </c>
      <c r="AV24" s="419">
        <v>53</v>
      </c>
      <c r="AW24" s="65">
        <v>52</v>
      </c>
      <c r="AX24" s="65">
        <v>50</v>
      </c>
      <c r="AY24" s="66">
        <v>52</v>
      </c>
      <c r="AZ24" s="419">
        <v>116</v>
      </c>
      <c r="BA24" s="65">
        <v>114</v>
      </c>
      <c r="BB24" s="65">
        <v>111</v>
      </c>
      <c r="BC24" s="66">
        <v>110</v>
      </c>
      <c r="BD24" s="419">
        <v>102</v>
      </c>
      <c r="BE24" s="63">
        <f t="shared" si="66"/>
        <v>102</v>
      </c>
      <c r="BF24" s="63">
        <f t="shared" si="67"/>
        <v>102</v>
      </c>
      <c r="BG24" s="64">
        <f t="shared" si="68"/>
        <v>102</v>
      </c>
      <c r="BH24" s="503">
        <f t="shared" si="69"/>
        <v>102</v>
      </c>
      <c r="BI24" s="63">
        <f t="shared" si="70"/>
        <v>102</v>
      </c>
      <c r="BJ24" s="63">
        <f t="shared" si="71"/>
        <v>102</v>
      </c>
      <c r="BK24" s="64">
        <f t="shared" si="72"/>
        <v>102</v>
      </c>
      <c r="BL24" s="503">
        <f t="shared" si="73"/>
        <v>102</v>
      </c>
      <c r="BM24" s="63">
        <f t="shared" si="74"/>
        <v>102</v>
      </c>
      <c r="BN24" s="63">
        <f t="shared" si="75"/>
        <v>102</v>
      </c>
      <c r="BO24" s="64">
        <f t="shared" si="76"/>
        <v>102</v>
      </c>
      <c r="BP24" s="90"/>
      <c r="BQ24" s="63">
        <f t="shared" si="41"/>
        <v>243</v>
      </c>
      <c r="BR24" s="63">
        <f t="shared" si="42"/>
        <v>188</v>
      </c>
      <c r="BS24" s="63">
        <f t="shared" si="43"/>
        <v>227</v>
      </c>
      <c r="BT24" s="63">
        <f t="shared" si="44"/>
        <v>182</v>
      </c>
      <c r="BU24" s="63">
        <f t="shared" si="45"/>
        <v>119</v>
      </c>
      <c r="BV24" s="63">
        <f t="shared" si="46"/>
        <v>205</v>
      </c>
      <c r="BW24" s="503">
        <f t="shared" si="47"/>
        <v>206</v>
      </c>
      <c r="BX24" s="503">
        <f t="shared" si="48"/>
        <v>142</v>
      </c>
      <c r="BY24" s="63">
        <f t="shared" si="49"/>
        <v>118</v>
      </c>
      <c r="BZ24" s="63">
        <f t="shared" si="50"/>
        <v>83</v>
      </c>
      <c r="CA24" s="63">
        <f t="shared" si="51"/>
        <v>46</v>
      </c>
      <c r="CB24" s="63">
        <f t="shared" si="52"/>
        <v>52</v>
      </c>
      <c r="CC24" s="63">
        <f t="shared" si="53"/>
        <v>110</v>
      </c>
      <c r="CD24" s="63">
        <f t="shared" si="54"/>
        <v>102</v>
      </c>
      <c r="CE24" s="63">
        <f t="shared" si="55"/>
        <v>102</v>
      </c>
      <c r="CF24" s="64">
        <f t="shared" si="56"/>
        <v>102</v>
      </c>
      <c r="CG24" s="501"/>
      <c r="CH24" s="8"/>
      <c r="CO24" s="12"/>
    </row>
    <row r="25" spans="1:93" ht="14.25" customHeight="1">
      <c r="A25" s="8"/>
      <c r="B25" s="336" t="s">
        <v>319</v>
      </c>
      <c r="C25" s="24"/>
      <c r="D25" s="65">
        <f>259+62</f>
        <v>321</v>
      </c>
      <c r="E25" s="65">
        <f>246+69</f>
        <v>315</v>
      </c>
      <c r="F25" s="65">
        <f>224+71</f>
        <v>295</v>
      </c>
      <c r="G25" s="66">
        <f>199+113</f>
        <v>312</v>
      </c>
      <c r="H25" s="419">
        <f>205+112</f>
        <v>317</v>
      </c>
      <c r="I25" s="65">
        <f>219+146</f>
        <v>365</v>
      </c>
      <c r="J25" s="65">
        <f>308+88</f>
        <v>396</v>
      </c>
      <c r="K25" s="66">
        <f>58+82</f>
        <v>140</v>
      </c>
      <c r="L25" s="419">
        <f>54+94</f>
        <v>148</v>
      </c>
      <c r="M25" s="65">
        <f>79+96</f>
        <v>175</v>
      </c>
      <c r="N25" s="65">
        <f>77+77</f>
        <v>154</v>
      </c>
      <c r="O25" s="66">
        <f>105+78</f>
        <v>183</v>
      </c>
      <c r="P25" s="419">
        <f>122+79</f>
        <v>201</v>
      </c>
      <c r="Q25" s="65">
        <f>128+80</f>
        <v>208</v>
      </c>
      <c r="R25" s="65">
        <f>137+54</f>
        <v>191</v>
      </c>
      <c r="S25" s="66">
        <f>17+56</f>
        <v>73</v>
      </c>
      <c r="T25" s="419">
        <f>17+52</f>
        <v>69</v>
      </c>
      <c r="U25" s="65">
        <f>20+53</f>
        <v>73</v>
      </c>
      <c r="V25" s="65">
        <f>20+57</f>
        <v>77</v>
      </c>
      <c r="W25" s="66">
        <f>64+51</f>
        <v>115</v>
      </c>
      <c r="X25" s="419">
        <f>54+41</f>
        <v>95</v>
      </c>
      <c r="Y25" s="65">
        <f>22+48</f>
        <v>70</v>
      </c>
      <c r="Z25" s="65">
        <f>23+47</f>
        <v>70</v>
      </c>
      <c r="AA25" s="66">
        <f>31+45</f>
        <v>76</v>
      </c>
      <c r="AB25" s="419">
        <f>28+47</f>
        <v>75</v>
      </c>
      <c r="AC25" s="65">
        <f>25+69</f>
        <v>94</v>
      </c>
      <c r="AD25" s="65">
        <f>28+70</f>
        <v>98</v>
      </c>
      <c r="AE25" s="66">
        <f>40+57</f>
        <v>97</v>
      </c>
      <c r="AF25" s="419">
        <f>37+94</f>
        <v>131</v>
      </c>
      <c r="AG25" s="65">
        <f>32+93</f>
        <v>125</v>
      </c>
      <c r="AH25" s="65">
        <f>29+161</f>
        <v>190</v>
      </c>
      <c r="AI25" s="66">
        <f>68+254</f>
        <v>322</v>
      </c>
      <c r="AJ25" s="419">
        <f>62+223</f>
        <v>285</v>
      </c>
      <c r="AK25" s="65">
        <f>106+278</f>
        <v>384</v>
      </c>
      <c r="AL25" s="65">
        <f>119+272</f>
        <v>391</v>
      </c>
      <c r="AM25" s="66">
        <f>264+130</f>
        <v>394</v>
      </c>
      <c r="AN25" s="419">
        <f>129+240</f>
        <v>369</v>
      </c>
      <c r="AO25" s="65">
        <f>126+246</f>
        <v>372</v>
      </c>
      <c r="AP25" s="65">
        <f>246+135</f>
        <v>381</v>
      </c>
      <c r="AQ25" s="66">
        <f>127+244</f>
        <v>371</v>
      </c>
      <c r="AR25" s="419">
        <f>128+105</f>
        <v>233</v>
      </c>
      <c r="AS25" s="65">
        <f>127+96</f>
        <v>223</v>
      </c>
      <c r="AT25" s="65">
        <f>76+92</f>
        <v>168</v>
      </c>
      <c r="AU25" s="66">
        <f>85+62</f>
        <v>147</v>
      </c>
      <c r="AV25" s="419">
        <f>84+76</f>
        <v>160</v>
      </c>
      <c r="AW25" s="65">
        <f>85+69</f>
        <v>154</v>
      </c>
      <c r="AX25" s="65">
        <f>64+82</f>
        <v>146</v>
      </c>
      <c r="AY25" s="66">
        <f>96+79</f>
        <v>175</v>
      </c>
      <c r="AZ25" s="419">
        <f>102+71</f>
        <v>173</v>
      </c>
      <c r="BA25" s="65">
        <f>99+71</f>
        <v>170</v>
      </c>
      <c r="BB25" s="65">
        <f>112+89</f>
        <v>201</v>
      </c>
      <c r="BC25" s="66">
        <f>208+86</f>
        <v>294</v>
      </c>
      <c r="BD25" s="419">
        <f>215+147</f>
        <v>362</v>
      </c>
      <c r="BE25" s="63">
        <f t="shared" si="66"/>
        <v>362</v>
      </c>
      <c r="BF25" s="63">
        <f t="shared" si="67"/>
        <v>362</v>
      </c>
      <c r="BG25" s="64">
        <f t="shared" si="68"/>
        <v>362</v>
      </c>
      <c r="BH25" s="503">
        <f t="shared" si="69"/>
        <v>362</v>
      </c>
      <c r="BI25" s="63">
        <f t="shared" si="70"/>
        <v>362</v>
      </c>
      <c r="BJ25" s="63">
        <f t="shared" si="71"/>
        <v>362</v>
      </c>
      <c r="BK25" s="64">
        <f t="shared" si="72"/>
        <v>362</v>
      </c>
      <c r="BL25" s="503">
        <f t="shared" si="73"/>
        <v>362</v>
      </c>
      <c r="BM25" s="63">
        <f t="shared" si="74"/>
        <v>362</v>
      </c>
      <c r="BN25" s="63">
        <f t="shared" si="75"/>
        <v>362</v>
      </c>
      <c r="BO25" s="64">
        <f t="shared" si="76"/>
        <v>362</v>
      </c>
      <c r="BP25" s="90"/>
      <c r="BQ25" s="63">
        <f t="shared" si="41"/>
        <v>312</v>
      </c>
      <c r="BR25" s="63">
        <f t="shared" si="42"/>
        <v>140</v>
      </c>
      <c r="BS25" s="63">
        <f t="shared" si="43"/>
        <v>183</v>
      </c>
      <c r="BT25" s="63">
        <f t="shared" si="44"/>
        <v>73</v>
      </c>
      <c r="BU25" s="63">
        <f t="shared" si="45"/>
        <v>115</v>
      </c>
      <c r="BV25" s="63">
        <f t="shared" si="46"/>
        <v>76</v>
      </c>
      <c r="BW25" s="503">
        <f t="shared" si="47"/>
        <v>97</v>
      </c>
      <c r="BX25" s="503">
        <f t="shared" si="48"/>
        <v>322</v>
      </c>
      <c r="BY25" s="63">
        <f t="shared" si="49"/>
        <v>394</v>
      </c>
      <c r="BZ25" s="63">
        <f t="shared" si="50"/>
        <v>371</v>
      </c>
      <c r="CA25" s="63">
        <f t="shared" si="51"/>
        <v>147</v>
      </c>
      <c r="CB25" s="63">
        <f t="shared" si="52"/>
        <v>175</v>
      </c>
      <c r="CC25" s="63">
        <f t="shared" si="53"/>
        <v>294</v>
      </c>
      <c r="CD25" s="63">
        <f t="shared" si="54"/>
        <v>362</v>
      </c>
      <c r="CE25" s="63">
        <f t="shared" si="55"/>
        <v>362</v>
      </c>
      <c r="CF25" s="64">
        <f t="shared" si="56"/>
        <v>362</v>
      </c>
      <c r="CG25" s="501"/>
      <c r="CH25" s="8"/>
      <c r="CO25" s="12"/>
    </row>
    <row r="26" spans="1:93" ht="14.25" customHeight="1">
      <c r="A26" s="8"/>
      <c r="B26" s="105" t="s">
        <v>191</v>
      </c>
      <c r="C26" s="106"/>
      <c r="D26" s="107">
        <f t="shared" ref="D26:AQ26" si="77">SUM(D19:D25)+D17</f>
        <v>15045</v>
      </c>
      <c r="E26" s="107">
        <f t="shared" si="77"/>
        <v>14486</v>
      </c>
      <c r="F26" s="107">
        <f t="shared" si="77"/>
        <v>14984</v>
      </c>
      <c r="G26" s="108">
        <f t="shared" si="77"/>
        <v>15063</v>
      </c>
      <c r="H26" s="109">
        <f t="shared" si="77"/>
        <v>14038</v>
      </c>
      <c r="I26" s="107">
        <f t="shared" si="77"/>
        <v>15928</v>
      </c>
      <c r="J26" s="107">
        <f t="shared" si="77"/>
        <v>14785</v>
      </c>
      <c r="K26" s="108">
        <f t="shared" si="77"/>
        <v>13930</v>
      </c>
      <c r="L26" s="109">
        <f t="shared" si="77"/>
        <v>13750</v>
      </c>
      <c r="M26" s="107">
        <f t="shared" si="77"/>
        <v>14020</v>
      </c>
      <c r="N26" s="107">
        <f t="shared" si="77"/>
        <v>13724</v>
      </c>
      <c r="O26" s="108">
        <f t="shared" si="77"/>
        <v>12667</v>
      </c>
      <c r="P26" s="109">
        <f t="shared" si="77"/>
        <v>12338</v>
      </c>
      <c r="Q26" s="107">
        <f t="shared" si="77"/>
        <v>12382</v>
      </c>
      <c r="R26" s="107">
        <f t="shared" si="77"/>
        <v>12466</v>
      </c>
      <c r="S26" s="108">
        <f t="shared" si="77"/>
        <v>11923</v>
      </c>
      <c r="T26" s="107">
        <f t="shared" si="77"/>
        <v>11520</v>
      </c>
      <c r="U26" s="107">
        <f t="shared" si="77"/>
        <v>11510</v>
      </c>
      <c r="V26" s="107">
        <f t="shared" si="77"/>
        <v>11903</v>
      </c>
      <c r="W26" s="108">
        <f t="shared" si="77"/>
        <v>12119</v>
      </c>
      <c r="X26" s="107">
        <f t="shared" si="77"/>
        <v>12370</v>
      </c>
      <c r="Y26" s="107">
        <f t="shared" si="77"/>
        <v>12164</v>
      </c>
      <c r="Z26" s="107">
        <f t="shared" si="77"/>
        <v>12649</v>
      </c>
      <c r="AA26" s="108">
        <f t="shared" si="77"/>
        <v>13401</v>
      </c>
      <c r="AB26" s="109">
        <f t="shared" si="77"/>
        <v>13310</v>
      </c>
      <c r="AC26" s="107">
        <f t="shared" si="77"/>
        <v>17098</v>
      </c>
      <c r="AD26" s="107">
        <f t="shared" si="77"/>
        <v>20907</v>
      </c>
      <c r="AE26" s="108">
        <f t="shared" si="77"/>
        <v>20477</v>
      </c>
      <c r="AF26" s="109">
        <f t="shared" si="77"/>
        <v>20009</v>
      </c>
      <c r="AG26" s="107">
        <f t="shared" si="77"/>
        <v>19521</v>
      </c>
      <c r="AH26" s="107">
        <f t="shared" si="77"/>
        <v>20514</v>
      </c>
      <c r="AI26" s="108">
        <f t="shared" si="77"/>
        <v>20021</v>
      </c>
      <c r="AJ26" s="109">
        <f t="shared" si="77"/>
        <v>19701</v>
      </c>
      <c r="AK26" s="107">
        <f t="shared" si="77"/>
        <v>19398</v>
      </c>
      <c r="AL26" s="107">
        <f t="shared" si="77"/>
        <v>19244</v>
      </c>
      <c r="AM26" s="108">
        <f t="shared" si="77"/>
        <v>18938</v>
      </c>
      <c r="AN26" s="109">
        <f>SUM(AN19:AN25)+AN17</f>
        <v>18935</v>
      </c>
      <c r="AO26" s="107">
        <f>SUM(AO19:AO25)+AO17</f>
        <v>17810</v>
      </c>
      <c r="AP26" s="107">
        <f t="shared" si="77"/>
        <v>17900</v>
      </c>
      <c r="AQ26" s="108">
        <f t="shared" si="77"/>
        <v>17722</v>
      </c>
      <c r="AR26" s="109">
        <f t="shared" ref="AR26:AX26" si="78">SUM(AR19:AR25)+AR17</f>
        <v>17346</v>
      </c>
      <c r="AS26" s="107">
        <f t="shared" si="78"/>
        <v>17532</v>
      </c>
      <c r="AT26" s="107">
        <f t="shared" si="78"/>
        <v>16540</v>
      </c>
      <c r="AU26" s="108">
        <f t="shared" si="78"/>
        <v>16230</v>
      </c>
      <c r="AV26" s="109">
        <f t="shared" si="78"/>
        <v>15686</v>
      </c>
      <c r="AW26" s="107">
        <f t="shared" si="78"/>
        <v>15693</v>
      </c>
      <c r="AX26" s="107">
        <f t="shared" si="78"/>
        <v>16216</v>
      </c>
      <c r="AY26" s="108">
        <f t="shared" ref="AY26" si="79">SUM(AY19:AY25)+AY17</f>
        <v>16431</v>
      </c>
      <c r="AZ26" s="109">
        <f t="shared" ref="AZ26" si="80">SUM(AZ19:AZ25)+AZ17</f>
        <v>15978</v>
      </c>
      <c r="BA26" s="107">
        <f t="shared" ref="BA26" si="81">SUM(BA19:BA25)+BA17</f>
        <v>16438</v>
      </c>
      <c r="BB26" s="107">
        <f t="shared" ref="BB26" si="82">SUM(BB19:BB25)+BB17</f>
        <v>16929</v>
      </c>
      <c r="BC26" s="108">
        <f t="shared" ref="BC26:BD26" si="83">SUM(BC19:BC25)+BC17</f>
        <v>17642</v>
      </c>
      <c r="BD26" s="109">
        <f t="shared" si="83"/>
        <v>17507</v>
      </c>
      <c r="BE26" s="107">
        <f t="shared" ref="BE26:BG26" si="84">SUM(BE19:BE25)+BE17</f>
        <v>17542.174503144692</v>
      </c>
      <c r="BF26" s="107">
        <f t="shared" si="84"/>
        <v>17692.702365791578</v>
      </c>
      <c r="BG26" s="108">
        <f t="shared" si="84"/>
        <v>17689.299623211409</v>
      </c>
      <c r="BH26" s="109">
        <f t="shared" ref="BH26:BK26" si="85">SUM(BH19:BH25)+BH17</f>
        <v>17421.99489617845</v>
      </c>
      <c r="BI26" s="107">
        <f t="shared" si="85"/>
        <v>17760.296134661523</v>
      </c>
      <c r="BJ26" s="107">
        <f t="shared" si="85"/>
        <v>18207.553434300968</v>
      </c>
      <c r="BK26" s="108">
        <f t="shared" si="85"/>
        <v>18464.662801739094</v>
      </c>
      <c r="BL26" s="109">
        <f t="shared" ref="BL26:BO26" si="86">SUM(BL19:BL25)+BL17</f>
        <v>18689.232954080217</v>
      </c>
      <c r="BM26" s="107">
        <f t="shared" si="86"/>
        <v>19104.575908346516</v>
      </c>
      <c r="BN26" s="107">
        <f t="shared" si="86"/>
        <v>19677.324999872209</v>
      </c>
      <c r="BO26" s="108">
        <f t="shared" si="86"/>
        <v>20058.105671314901</v>
      </c>
      <c r="BP26" s="90"/>
      <c r="BQ26" s="107">
        <f t="shared" ref="BQ26:CB26" si="87">SUM(BQ19:BQ25)+BQ17</f>
        <v>15063</v>
      </c>
      <c r="BR26" s="107">
        <f t="shared" si="87"/>
        <v>13930</v>
      </c>
      <c r="BS26" s="107">
        <f t="shared" si="87"/>
        <v>12667</v>
      </c>
      <c r="BT26" s="107">
        <f t="shared" si="87"/>
        <v>11923</v>
      </c>
      <c r="BU26" s="107">
        <f t="shared" si="87"/>
        <v>12119</v>
      </c>
      <c r="BV26" s="107">
        <f t="shared" si="87"/>
        <v>13401</v>
      </c>
      <c r="BW26" s="109">
        <f t="shared" si="87"/>
        <v>20477</v>
      </c>
      <c r="BX26" s="109">
        <f t="shared" si="87"/>
        <v>20021</v>
      </c>
      <c r="BY26" s="107">
        <f t="shared" si="87"/>
        <v>18938</v>
      </c>
      <c r="BZ26" s="107">
        <f t="shared" si="87"/>
        <v>17722</v>
      </c>
      <c r="CA26" s="107">
        <f t="shared" si="87"/>
        <v>16230</v>
      </c>
      <c r="CB26" s="107">
        <f t="shared" si="87"/>
        <v>16431</v>
      </c>
      <c r="CC26" s="107">
        <f>SUM(CC19:CC25)+CC17</f>
        <v>17642</v>
      </c>
      <c r="CD26" s="107">
        <f>SUM(CD19:CD25)+CD17</f>
        <v>17689.299623211409</v>
      </c>
      <c r="CE26" s="107">
        <f>SUM(CE19:CE25)+CE17</f>
        <v>18464.662801739094</v>
      </c>
      <c r="CF26" s="108">
        <f>SUM(CF19:CF25)+CF17</f>
        <v>20058.105671314901</v>
      </c>
      <c r="CG26" s="501"/>
      <c r="CH26" s="8"/>
      <c r="CO26" s="12"/>
    </row>
    <row r="27" spans="1:93" ht="14.25" customHeight="1">
      <c r="A27" s="8"/>
      <c r="B27" s="342"/>
      <c r="C27" s="21"/>
      <c r="D27" s="65"/>
      <c r="E27" s="65"/>
      <c r="F27" s="65"/>
      <c r="G27" s="66"/>
      <c r="H27" s="419"/>
      <c r="I27" s="65"/>
      <c r="J27" s="65"/>
      <c r="K27" s="66"/>
      <c r="L27" s="419"/>
      <c r="M27" s="65"/>
      <c r="N27" s="65"/>
      <c r="O27" s="66"/>
      <c r="P27" s="419"/>
      <c r="Q27" s="65"/>
      <c r="R27" s="65"/>
      <c r="S27" s="66"/>
      <c r="T27" s="419"/>
      <c r="U27" s="65"/>
      <c r="V27" s="65"/>
      <c r="W27" s="66"/>
      <c r="X27" s="65"/>
      <c r="Y27" s="65"/>
      <c r="Z27" s="65"/>
      <c r="AA27" s="66"/>
      <c r="AB27" s="65"/>
      <c r="AC27" s="65"/>
      <c r="AD27" s="65"/>
      <c r="AE27" s="66"/>
      <c r="AF27" s="65"/>
      <c r="AG27" s="65"/>
      <c r="AH27" s="65"/>
      <c r="AI27" s="66"/>
      <c r="AJ27" s="419"/>
      <c r="AK27" s="65"/>
      <c r="AL27" s="65"/>
      <c r="AM27" s="66"/>
      <c r="AN27" s="419"/>
      <c r="AO27" s="65"/>
      <c r="AP27" s="65"/>
      <c r="AQ27" s="66"/>
      <c r="AR27" s="419"/>
      <c r="AS27" s="65"/>
      <c r="AT27" s="65"/>
      <c r="AU27" s="66"/>
      <c r="AV27" s="419"/>
      <c r="AW27" s="65"/>
      <c r="AX27" s="65"/>
      <c r="AY27" s="66"/>
      <c r="AZ27" s="419"/>
      <c r="BA27" s="65"/>
      <c r="BB27" s="65"/>
      <c r="BC27" s="66"/>
      <c r="BD27" s="419"/>
      <c r="BE27" s="65"/>
      <c r="BF27" s="65"/>
      <c r="BG27" s="66"/>
      <c r="BH27" s="419"/>
      <c r="BI27" s="65"/>
      <c r="BJ27" s="65"/>
      <c r="BK27" s="66"/>
      <c r="BL27" s="419"/>
      <c r="BM27" s="65"/>
      <c r="BN27" s="65"/>
      <c r="BO27" s="66"/>
      <c r="BP27" s="90"/>
      <c r="BQ27" s="65"/>
      <c r="BR27" s="65"/>
      <c r="BS27" s="65"/>
      <c r="BT27" s="65"/>
      <c r="BU27" s="65"/>
      <c r="BV27" s="65"/>
      <c r="BW27" s="419"/>
      <c r="BX27" s="419"/>
      <c r="BY27" s="65"/>
      <c r="BZ27" s="65"/>
      <c r="CA27" s="65"/>
      <c r="CB27" s="65"/>
      <c r="CC27" s="65"/>
      <c r="CD27" s="65"/>
      <c r="CE27" s="65"/>
      <c r="CF27" s="66"/>
      <c r="CG27" s="501"/>
      <c r="CH27" s="8"/>
      <c r="CO27" s="12"/>
    </row>
    <row r="28" spans="1:93" ht="14.25" customHeight="1">
      <c r="A28" s="8"/>
      <c r="B28" s="498" t="s">
        <v>192</v>
      </c>
      <c r="C28" s="87"/>
      <c r="D28" s="65"/>
      <c r="E28" s="65"/>
      <c r="F28" s="65"/>
      <c r="G28" s="66"/>
      <c r="H28" s="419"/>
      <c r="I28" s="65"/>
      <c r="J28" s="65"/>
      <c r="K28" s="66"/>
      <c r="L28" s="419"/>
      <c r="M28" s="65"/>
      <c r="N28" s="65"/>
      <c r="O28" s="66"/>
      <c r="P28" s="419"/>
      <c r="Q28" s="65"/>
      <c r="R28" s="65"/>
      <c r="S28" s="66"/>
      <c r="T28" s="419"/>
      <c r="U28" s="65"/>
      <c r="V28" s="65"/>
      <c r="W28" s="66"/>
      <c r="X28" s="65"/>
      <c r="Y28" s="65"/>
      <c r="Z28" s="65"/>
      <c r="AA28" s="66"/>
      <c r="AB28" s="65"/>
      <c r="AC28" s="65"/>
      <c r="AD28" s="65"/>
      <c r="AE28" s="66"/>
      <c r="AF28" s="65"/>
      <c r="AG28" s="65"/>
      <c r="AH28" s="65"/>
      <c r="AI28" s="66"/>
      <c r="AJ28" s="419"/>
      <c r="AK28" s="65"/>
      <c r="AL28" s="65"/>
      <c r="AM28" s="66"/>
      <c r="AN28" s="419"/>
      <c r="AO28" s="65"/>
      <c r="AP28" s="65"/>
      <c r="AQ28" s="66"/>
      <c r="AR28" s="419"/>
      <c r="AS28" s="65"/>
      <c r="AT28" s="65"/>
      <c r="AU28" s="66"/>
      <c r="AV28" s="419"/>
      <c r="AW28" s="65"/>
      <c r="AX28" s="65"/>
      <c r="AY28" s="66"/>
      <c r="AZ28" s="419"/>
      <c r="BA28" s="65"/>
      <c r="BB28" s="65"/>
      <c r="BC28" s="66"/>
      <c r="BD28" s="419"/>
      <c r="BE28" s="65"/>
      <c r="BF28" s="65"/>
      <c r="BG28" s="66"/>
      <c r="BH28" s="419"/>
      <c r="BI28" s="65"/>
      <c r="BJ28" s="65"/>
      <c r="BK28" s="66"/>
      <c r="BL28" s="419"/>
      <c r="BM28" s="65"/>
      <c r="BN28" s="65"/>
      <c r="BO28" s="66"/>
      <c r="BP28" s="90"/>
      <c r="BQ28" s="65"/>
      <c r="BR28" s="65"/>
      <c r="BS28" s="65"/>
      <c r="BT28" s="65"/>
      <c r="BU28" s="65"/>
      <c r="BV28" s="65"/>
      <c r="BW28" s="419"/>
      <c r="BX28" s="419"/>
      <c r="BY28" s="65"/>
      <c r="BZ28" s="65"/>
      <c r="CA28" s="65"/>
      <c r="CB28" s="65"/>
      <c r="CC28" s="65"/>
      <c r="CD28" s="65"/>
      <c r="CE28" s="65"/>
      <c r="CF28" s="66"/>
      <c r="CG28" s="501"/>
      <c r="CH28" s="8"/>
      <c r="CO28" s="12"/>
    </row>
    <row r="29" spans="1:93" ht="14.25" customHeight="1">
      <c r="A29" s="8"/>
      <c r="B29" s="336" t="s">
        <v>320</v>
      </c>
      <c r="C29" s="24"/>
      <c r="D29" s="65">
        <v>1573</v>
      </c>
      <c r="E29" s="65">
        <v>1479</v>
      </c>
      <c r="F29" s="65">
        <v>796</v>
      </c>
      <c r="G29" s="66">
        <v>702</v>
      </c>
      <c r="H29" s="419">
        <v>720</v>
      </c>
      <c r="I29" s="65">
        <v>788</v>
      </c>
      <c r="J29" s="65">
        <v>744</v>
      </c>
      <c r="K29" s="66">
        <v>560</v>
      </c>
      <c r="L29" s="419">
        <v>550</v>
      </c>
      <c r="M29" s="65">
        <v>622</v>
      </c>
      <c r="N29" s="65">
        <v>644</v>
      </c>
      <c r="O29" s="66">
        <v>657</v>
      </c>
      <c r="P29" s="419">
        <v>680</v>
      </c>
      <c r="Q29" s="65">
        <v>677</v>
      </c>
      <c r="R29" s="65">
        <v>601</v>
      </c>
      <c r="S29" s="66">
        <v>324</v>
      </c>
      <c r="T29" s="419">
        <v>326</v>
      </c>
      <c r="U29" s="65">
        <v>421</v>
      </c>
      <c r="V29" s="65">
        <v>467</v>
      </c>
      <c r="W29" s="66">
        <v>503</v>
      </c>
      <c r="X29" s="65">
        <v>556</v>
      </c>
      <c r="Y29" s="65">
        <v>542</v>
      </c>
      <c r="Z29" s="65">
        <v>623</v>
      </c>
      <c r="AA29" s="66">
        <v>621</v>
      </c>
      <c r="AB29" s="419">
        <v>605</v>
      </c>
      <c r="AC29" s="65">
        <v>623</v>
      </c>
      <c r="AD29" s="65">
        <v>627</v>
      </c>
      <c r="AE29" s="66">
        <v>625</v>
      </c>
      <c r="AF29" s="419">
        <v>589</v>
      </c>
      <c r="AG29" s="65">
        <v>555</v>
      </c>
      <c r="AH29" s="65">
        <v>501</v>
      </c>
      <c r="AI29" s="66">
        <v>444</v>
      </c>
      <c r="AJ29" s="419">
        <v>440</v>
      </c>
      <c r="AK29" s="65">
        <v>437</v>
      </c>
      <c r="AL29" s="65">
        <v>426</v>
      </c>
      <c r="AM29" s="66">
        <v>422</v>
      </c>
      <c r="AN29" s="419">
        <v>405</v>
      </c>
      <c r="AO29" s="65">
        <v>402</v>
      </c>
      <c r="AP29" s="65">
        <v>393</v>
      </c>
      <c r="AQ29" s="66">
        <v>437</v>
      </c>
      <c r="AR29" s="419">
        <v>432</v>
      </c>
      <c r="AS29" s="65">
        <v>417</v>
      </c>
      <c r="AT29" s="65">
        <v>367</v>
      </c>
      <c r="AU29" s="66">
        <v>386</v>
      </c>
      <c r="AV29" s="419">
        <v>387</v>
      </c>
      <c r="AW29" s="65">
        <v>416</v>
      </c>
      <c r="AX29" s="65">
        <v>428</v>
      </c>
      <c r="AY29" s="66">
        <v>396</v>
      </c>
      <c r="AZ29" s="419">
        <v>429</v>
      </c>
      <c r="BA29" s="65">
        <v>450</v>
      </c>
      <c r="BB29" s="65">
        <v>430</v>
      </c>
      <c r="BC29" s="66">
        <v>466</v>
      </c>
      <c r="BD29" s="419">
        <v>488</v>
      </c>
      <c r="BE29" s="91">
        <f t="shared" ref="BE29:BG29" si="88">BE50/365*BE54*4</f>
        <v>459.30994043669818</v>
      </c>
      <c r="BF29" s="91">
        <f t="shared" si="88"/>
        <v>479.90903351333299</v>
      </c>
      <c r="BG29" s="92">
        <f t="shared" si="88"/>
        <v>453.33751921803986</v>
      </c>
      <c r="BH29" s="505">
        <f t="shared" ref="BH29:BK29" si="89">BH50/365*BH54*4</f>
        <v>449.47784482745135</v>
      </c>
      <c r="BI29" s="91">
        <f t="shared" si="89"/>
        <v>468.6851476332335</v>
      </c>
      <c r="BJ29" s="91">
        <f t="shared" si="89"/>
        <v>488.47157967562731</v>
      </c>
      <c r="BK29" s="92">
        <f t="shared" si="89"/>
        <v>462.79286503996917</v>
      </c>
      <c r="BL29" s="505">
        <f t="shared" ref="BL29:BO29" si="90">BL50/365*BL54*4</f>
        <v>456.78697823988733</v>
      </c>
      <c r="BM29" s="91">
        <f t="shared" si="90"/>
        <v>477.12596102653362</v>
      </c>
      <c r="BN29" s="91">
        <f t="shared" si="90"/>
        <v>497.40166174979919</v>
      </c>
      <c r="BO29" s="92">
        <f t="shared" si="90"/>
        <v>471.47503509355101</v>
      </c>
      <c r="BP29" s="90"/>
      <c r="BQ29" s="63">
        <f>G29</f>
        <v>702</v>
      </c>
      <c r="BR29" s="63">
        <f>K29</f>
        <v>560</v>
      </c>
      <c r="BS29" s="63">
        <f>O29</f>
        <v>657</v>
      </c>
      <c r="BT29" s="63">
        <f>S29</f>
        <v>324</v>
      </c>
      <c r="BU29" s="63">
        <f>W29</f>
        <v>503</v>
      </c>
      <c r="BV29" s="63">
        <f>AA29</f>
        <v>621</v>
      </c>
      <c r="BW29" s="503">
        <f>AE29</f>
        <v>625</v>
      </c>
      <c r="BX29" s="503">
        <f>AI29</f>
        <v>444</v>
      </c>
      <c r="BY29" s="63">
        <f>AM29</f>
        <v>422</v>
      </c>
      <c r="BZ29" s="63">
        <f>AQ29</f>
        <v>437</v>
      </c>
      <c r="CA29" s="63">
        <f t="shared" ref="CA29:CA37" si="91">AU29</f>
        <v>386</v>
      </c>
      <c r="CB29" s="63">
        <f t="shared" ref="CB29:CB37" si="92">AY29</f>
        <v>396</v>
      </c>
      <c r="CC29" s="63">
        <f t="shared" ref="CC29:CC37" si="93">BC29</f>
        <v>466</v>
      </c>
      <c r="CD29" s="63">
        <f t="shared" ref="CD29:CD37" si="94">BG29</f>
        <v>453.33751921803986</v>
      </c>
      <c r="CE29" s="63">
        <f t="shared" ref="CE29:CE32" si="95">BK29</f>
        <v>462.79286503996917</v>
      </c>
      <c r="CF29" s="64">
        <f t="shared" ref="CF29:CF32" si="96">BO29</f>
        <v>471.47503509355101</v>
      </c>
      <c r="CG29" s="501"/>
      <c r="CH29" s="8"/>
      <c r="CO29" s="12"/>
    </row>
    <row r="30" spans="1:93" ht="14.25" customHeight="1">
      <c r="A30" s="8"/>
      <c r="B30" s="336" t="s">
        <v>323</v>
      </c>
      <c r="C30" s="24"/>
      <c r="D30" s="65">
        <v>0</v>
      </c>
      <c r="E30" s="65">
        <v>0</v>
      </c>
      <c r="F30" s="65">
        <v>962</v>
      </c>
      <c r="G30" s="66">
        <v>948</v>
      </c>
      <c r="H30" s="419">
        <v>895</v>
      </c>
      <c r="I30" s="65">
        <v>994</v>
      </c>
      <c r="J30" s="65">
        <v>1066</v>
      </c>
      <c r="K30" s="66">
        <v>1029</v>
      </c>
      <c r="L30" s="419">
        <v>877</v>
      </c>
      <c r="M30" s="65">
        <v>1048</v>
      </c>
      <c r="N30" s="65">
        <v>1092</v>
      </c>
      <c r="O30" s="66">
        <v>1117</v>
      </c>
      <c r="P30" s="419">
        <v>871</v>
      </c>
      <c r="Q30" s="65">
        <v>955</v>
      </c>
      <c r="R30" s="65">
        <v>976</v>
      </c>
      <c r="S30" s="66">
        <v>1034</v>
      </c>
      <c r="T30" s="419">
        <v>907</v>
      </c>
      <c r="U30" s="65">
        <v>931</v>
      </c>
      <c r="V30" s="65">
        <v>959</v>
      </c>
      <c r="W30" s="66">
        <v>841</v>
      </c>
      <c r="X30" s="65">
        <v>756</v>
      </c>
      <c r="Y30" s="65">
        <v>823</v>
      </c>
      <c r="Z30" s="65">
        <v>965</v>
      </c>
      <c r="AA30" s="66">
        <v>629</v>
      </c>
      <c r="AB30" s="419">
        <v>348</v>
      </c>
      <c r="AC30" s="65">
        <v>428</v>
      </c>
      <c r="AD30" s="65">
        <v>532</v>
      </c>
      <c r="AE30" s="66">
        <v>597</v>
      </c>
      <c r="AF30" s="419">
        <v>382</v>
      </c>
      <c r="AG30" s="65">
        <v>454</v>
      </c>
      <c r="AH30" s="65">
        <v>552</v>
      </c>
      <c r="AI30" s="66">
        <v>524</v>
      </c>
      <c r="AJ30" s="419">
        <v>365</v>
      </c>
      <c r="AK30" s="65">
        <v>463</v>
      </c>
      <c r="AL30" s="65">
        <v>567</v>
      </c>
      <c r="AM30" s="66">
        <v>554</v>
      </c>
      <c r="AN30" s="419">
        <v>364</v>
      </c>
      <c r="AO30" s="65">
        <v>484</v>
      </c>
      <c r="AP30" s="65">
        <v>613</v>
      </c>
      <c r="AQ30" s="66">
        <v>651</v>
      </c>
      <c r="AR30" s="419">
        <v>349</v>
      </c>
      <c r="AS30" s="65">
        <v>481</v>
      </c>
      <c r="AT30" s="65">
        <v>615</v>
      </c>
      <c r="AU30" s="66">
        <v>664</v>
      </c>
      <c r="AV30" s="419">
        <v>340</v>
      </c>
      <c r="AW30" s="65">
        <v>493</v>
      </c>
      <c r="AX30" s="65">
        <v>647</v>
      </c>
      <c r="AY30" s="66">
        <v>710</v>
      </c>
      <c r="AZ30" s="419">
        <v>352</v>
      </c>
      <c r="BA30" s="65">
        <v>489</v>
      </c>
      <c r="BB30" s="65">
        <v>635</v>
      </c>
      <c r="BC30" s="66">
        <v>722</v>
      </c>
      <c r="BD30" s="419">
        <v>344</v>
      </c>
      <c r="BE30" s="63">
        <f>BD30+150</f>
        <v>494</v>
      </c>
      <c r="BF30" s="63">
        <f>BE30+100</f>
        <v>594</v>
      </c>
      <c r="BG30" s="64">
        <f>BF30+80</f>
        <v>674</v>
      </c>
      <c r="BH30" s="503">
        <f>BG30-300</f>
        <v>374</v>
      </c>
      <c r="BI30" s="63">
        <f>BH30+150</f>
        <v>524</v>
      </c>
      <c r="BJ30" s="63">
        <f>BI30+100</f>
        <v>624</v>
      </c>
      <c r="BK30" s="64">
        <f>BJ30+80</f>
        <v>704</v>
      </c>
      <c r="BL30" s="503">
        <f t="shared" ref="BL30:BO30" si="97">BK30+80</f>
        <v>784</v>
      </c>
      <c r="BM30" s="63">
        <f t="shared" si="97"/>
        <v>864</v>
      </c>
      <c r="BN30" s="63">
        <f t="shared" si="97"/>
        <v>944</v>
      </c>
      <c r="BO30" s="64">
        <f t="shared" si="97"/>
        <v>1024</v>
      </c>
      <c r="BP30" s="90"/>
      <c r="BQ30" s="63">
        <f>G30</f>
        <v>948</v>
      </c>
      <c r="BR30" s="63">
        <f>K30</f>
        <v>1029</v>
      </c>
      <c r="BS30" s="63">
        <f>O30</f>
        <v>1117</v>
      </c>
      <c r="BT30" s="63">
        <f>S30</f>
        <v>1034</v>
      </c>
      <c r="BU30" s="63">
        <f>W30</f>
        <v>841</v>
      </c>
      <c r="BV30" s="63">
        <f>AA30</f>
        <v>629</v>
      </c>
      <c r="BW30" s="503">
        <f>AE30</f>
        <v>597</v>
      </c>
      <c r="BX30" s="503">
        <f>AI30</f>
        <v>524</v>
      </c>
      <c r="BY30" s="63">
        <f>AM30</f>
        <v>554</v>
      </c>
      <c r="BZ30" s="63">
        <f>AQ30</f>
        <v>651</v>
      </c>
      <c r="CA30" s="63">
        <f t="shared" si="91"/>
        <v>664</v>
      </c>
      <c r="CB30" s="63">
        <f t="shared" si="92"/>
        <v>710</v>
      </c>
      <c r="CC30" s="63">
        <f t="shared" si="93"/>
        <v>722</v>
      </c>
      <c r="CD30" s="63">
        <f t="shared" si="94"/>
        <v>674</v>
      </c>
      <c r="CE30" s="63">
        <f t="shared" si="95"/>
        <v>704</v>
      </c>
      <c r="CF30" s="64">
        <f t="shared" si="96"/>
        <v>1024</v>
      </c>
      <c r="CG30" s="501"/>
      <c r="CH30" s="8"/>
      <c r="CO30" s="12"/>
    </row>
    <row r="31" spans="1:93" ht="14.25" customHeight="1">
      <c r="A31" s="8"/>
      <c r="B31" s="336" t="s">
        <v>322</v>
      </c>
      <c r="C31" s="24"/>
      <c r="D31" s="65">
        <v>262</v>
      </c>
      <c r="E31" s="65">
        <v>255</v>
      </c>
      <c r="F31" s="65">
        <v>82</v>
      </c>
      <c r="G31" s="66">
        <v>154</v>
      </c>
      <c r="H31" s="65">
        <v>280</v>
      </c>
      <c r="I31" s="65">
        <v>870</v>
      </c>
      <c r="J31" s="65">
        <v>458</v>
      </c>
      <c r="K31" s="66">
        <v>284</v>
      </c>
      <c r="L31" s="65">
        <v>286</v>
      </c>
      <c r="M31" s="65">
        <v>187</v>
      </c>
      <c r="N31" s="65">
        <v>152</v>
      </c>
      <c r="O31" s="66">
        <v>53</v>
      </c>
      <c r="P31" s="65">
        <v>218</v>
      </c>
      <c r="Q31" s="65">
        <v>26</v>
      </c>
      <c r="R31" s="65">
        <v>35</v>
      </c>
      <c r="S31" s="66">
        <v>40</v>
      </c>
      <c r="T31" s="65">
        <v>21</v>
      </c>
      <c r="U31" s="65">
        <v>56</v>
      </c>
      <c r="V31" s="65">
        <v>148</v>
      </c>
      <c r="W31" s="66">
        <v>128</v>
      </c>
      <c r="X31" s="65">
        <v>317</v>
      </c>
      <c r="Y31" s="65">
        <v>18</v>
      </c>
      <c r="Z31" s="65">
        <v>31</v>
      </c>
      <c r="AA31" s="66">
        <v>109</v>
      </c>
      <c r="AB31" s="65">
        <v>247</v>
      </c>
      <c r="AC31" s="65">
        <v>65</v>
      </c>
      <c r="AD31" s="65">
        <v>60</v>
      </c>
      <c r="AE31" s="66">
        <v>101</v>
      </c>
      <c r="AF31" s="65">
        <v>106</v>
      </c>
      <c r="AG31" s="65">
        <v>101</v>
      </c>
      <c r="AH31" s="65">
        <v>106</v>
      </c>
      <c r="AI31" s="66">
        <f>79+2</f>
        <v>81</v>
      </c>
      <c r="AJ31" s="419">
        <v>109</v>
      </c>
      <c r="AK31" s="65">
        <f>218+2</f>
        <v>220</v>
      </c>
      <c r="AL31" s="65">
        <f>37+2</f>
        <v>39</v>
      </c>
      <c r="AM31" s="66">
        <f>119+1</f>
        <v>120</v>
      </c>
      <c r="AN31" s="419">
        <v>101</v>
      </c>
      <c r="AO31" s="65">
        <v>109</v>
      </c>
      <c r="AP31" s="65">
        <v>106</v>
      </c>
      <c r="AQ31" s="66">
        <v>71</v>
      </c>
      <c r="AR31" s="419">
        <v>75</v>
      </c>
      <c r="AS31" s="65">
        <v>117</v>
      </c>
      <c r="AT31" s="65">
        <v>84</v>
      </c>
      <c r="AU31" s="66">
        <v>95</v>
      </c>
      <c r="AV31" s="419">
        <v>67</v>
      </c>
      <c r="AW31" s="65">
        <v>58</v>
      </c>
      <c r="AX31" s="65">
        <v>68</v>
      </c>
      <c r="AY31" s="66">
        <v>83</v>
      </c>
      <c r="AZ31" s="419">
        <v>77</v>
      </c>
      <c r="BA31" s="65">
        <v>86</v>
      </c>
      <c r="BB31" s="65">
        <v>74</v>
      </c>
      <c r="BC31" s="66">
        <v>128</v>
      </c>
      <c r="BD31" s="419">
        <v>133</v>
      </c>
      <c r="BE31" s="63">
        <f t="shared" ref="BE31:BE32" si="98">BD31</f>
        <v>133</v>
      </c>
      <c r="BF31" s="63">
        <f t="shared" ref="BF31:BF32" si="99">BE31</f>
        <v>133</v>
      </c>
      <c r="BG31" s="64">
        <f t="shared" ref="BG31:BG32" si="100">BF31</f>
        <v>133</v>
      </c>
      <c r="BH31" s="503">
        <f t="shared" ref="BH31:BH32" si="101">BG31</f>
        <v>133</v>
      </c>
      <c r="BI31" s="63">
        <f t="shared" ref="BI31:BI32" si="102">BH31</f>
        <v>133</v>
      </c>
      <c r="BJ31" s="63">
        <f t="shared" ref="BJ31:BJ32" si="103">BI31</f>
        <v>133</v>
      </c>
      <c r="BK31" s="64">
        <f t="shared" ref="BK31:BK32" si="104">BJ31</f>
        <v>133</v>
      </c>
      <c r="BL31" s="503">
        <f t="shared" ref="BL31:BL32" si="105">BK31</f>
        <v>133</v>
      </c>
      <c r="BM31" s="63">
        <f t="shared" ref="BM31:BM32" si="106">BL31</f>
        <v>133</v>
      </c>
      <c r="BN31" s="63">
        <f t="shared" ref="BN31:BN32" si="107">BM31</f>
        <v>133</v>
      </c>
      <c r="BO31" s="64">
        <f t="shared" ref="BO31:BO32" si="108">BN31</f>
        <v>133</v>
      </c>
      <c r="BP31" s="90"/>
      <c r="BQ31" s="503">
        <f>G31</f>
        <v>154</v>
      </c>
      <c r="BR31" s="63">
        <f>K31</f>
        <v>284</v>
      </c>
      <c r="BS31" s="63">
        <f>O31</f>
        <v>53</v>
      </c>
      <c r="BT31" s="63">
        <f>S31</f>
        <v>40</v>
      </c>
      <c r="BU31" s="63">
        <f>W31</f>
        <v>128</v>
      </c>
      <c r="BV31" s="63">
        <f>AA31</f>
        <v>109</v>
      </c>
      <c r="BW31" s="503">
        <f>AE31</f>
        <v>101</v>
      </c>
      <c r="BX31" s="503">
        <f>AI31</f>
        <v>81</v>
      </c>
      <c r="BY31" s="63">
        <f>AM31</f>
        <v>120</v>
      </c>
      <c r="BZ31" s="63">
        <f>AQ31</f>
        <v>71</v>
      </c>
      <c r="CA31" s="63">
        <f t="shared" si="91"/>
        <v>95</v>
      </c>
      <c r="CB31" s="63">
        <f t="shared" si="92"/>
        <v>83</v>
      </c>
      <c r="CC31" s="63">
        <f t="shared" si="93"/>
        <v>128</v>
      </c>
      <c r="CD31" s="63">
        <f t="shared" si="94"/>
        <v>133</v>
      </c>
      <c r="CE31" s="63">
        <f t="shared" si="95"/>
        <v>133</v>
      </c>
      <c r="CF31" s="64">
        <f t="shared" si="96"/>
        <v>133</v>
      </c>
      <c r="CG31" s="501"/>
      <c r="CH31" s="8"/>
      <c r="CO31" s="12"/>
    </row>
    <row r="32" spans="1:93" ht="14.25" customHeight="1">
      <c r="A32" s="8"/>
      <c r="B32" s="93" t="s">
        <v>321</v>
      </c>
      <c r="C32" s="94"/>
      <c r="D32" s="510">
        <v>40</v>
      </c>
      <c r="E32" s="65">
        <v>70</v>
      </c>
      <c r="F32" s="65">
        <v>103</v>
      </c>
      <c r="G32" s="66">
        <f>121+151</f>
        <v>272</v>
      </c>
      <c r="H32" s="65">
        <f>43+157</f>
        <v>200</v>
      </c>
      <c r="I32" s="65">
        <f>77+11</f>
        <v>88</v>
      </c>
      <c r="J32" s="65">
        <v>118</v>
      </c>
      <c r="K32" s="66">
        <v>162</v>
      </c>
      <c r="L32" s="65">
        <v>51</v>
      </c>
      <c r="M32" s="65">
        <v>98</v>
      </c>
      <c r="N32" s="65">
        <v>143</v>
      </c>
      <c r="O32" s="66">
        <v>198</v>
      </c>
      <c r="P32" s="65">
        <v>79</v>
      </c>
      <c r="Q32" s="65">
        <v>102</v>
      </c>
      <c r="R32" s="65">
        <v>126</v>
      </c>
      <c r="S32" s="66">
        <v>134</v>
      </c>
      <c r="T32" s="65">
        <v>33</v>
      </c>
      <c r="U32" s="65">
        <v>60</v>
      </c>
      <c r="V32" s="65">
        <v>88</v>
      </c>
      <c r="W32" s="66">
        <v>115</v>
      </c>
      <c r="X32" s="65">
        <v>90</v>
      </c>
      <c r="Y32" s="65">
        <v>155</v>
      </c>
      <c r="Z32" s="65">
        <v>219</v>
      </c>
      <c r="AA32" s="66">
        <v>622</v>
      </c>
      <c r="AB32" s="65">
        <v>593</v>
      </c>
      <c r="AC32" s="65">
        <v>637</v>
      </c>
      <c r="AD32" s="65">
        <v>863</v>
      </c>
      <c r="AE32" s="66">
        <v>795</v>
      </c>
      <c r="AF32" s="65">
        <v>754</v>
      </c>
      <c r="AG32" s="65">
        <v>711</v>
      </c>
      <c r="AH32" s="65">
        <v>766</v>
      </c>
      <c r="AI32" s="66">
        <v>881</v>
      </c>
      <c r="AJ32" s="419">
        <f>694+2</f>
        <v>696</v>
      </c>
      <c r="AK32" s="65">
        <v>682</v>
      </c>
      <c r="AL32" s="65">
        <v>691</v>
      </c>
      <c r="AM32" s="66">
        <v>651</v>
      </c>
      <c r="AN32" s="419">
        <f>600+1</f>
        <v>601</v>
      </c>
      <c r="AO32" s="65">
        <f>552+2</f>
        <v>554</v>
      </c>
      <c r="AP32" s="65">
        <f>2+527</f>
        <v>529</v>
      </c>
      <c r="AQ32" s="66">
        <f>4+498</f>
        <v>502</v>
      </c>
      <c r="AR32" s="419">
        <f>4+426</f>
        <v>430</v>
      </c>
      <c r="AS32" s="65">
        <f>425+3</f>
        <v>428</v>
      </c>
      <c r="AT32" s="65">
        <f>3+431</f>
        <v>434</v>
      </c>
      <c r="AU32" s="66">
        <v>410</v>
      </c>
      <c r="AV32" s="419">
        <v>377</v>
      </c>
      <c r="AW32" s="65">
        <v>387</v>
      </c>
      <c r="AX32" s="65">
        <v>393</v>
      </c>
      <c r="AY32" s="66">
        <v>444</v>
      </c>
      <c r="AZ32" s="419">
        <v>366</v>
      </c>
      <c r="BA32" s="65">
        <v>353</v>
      </c>
      <c r="BB32" s="65">
        <v>417</v>
      </c>
      <c r="BC32" s="66">
        <v>442</v>
      </c>
      <c r="BD32" s="419">
        <v>395</v>
      </c>
      <c r="BE32" s="63">
        <f t="shared" si="98"/>
        <v>395</v>
      </c>
      <c r="BF32" s="63">
        <f t="shared" si="99"/>
        <v>395</v>
      </c>
      <c r="BG32" s="64">
        <f t="shared" si="100"/>
        <v>395</v>
      </c>
      <c r="BH32" s="503">
        <f t="shared" si="101"/>
        <v>395</v>
      </c>
      <c r="BI32" s="63">
        <f t="shared" si="102"/>
        <v>395</v>
      </c>
      <c r="BJ32" s="63">
        <f t="shared" si="103"/>
        <v>395</v>
      </c>
      <c r="BK32" s="64">
        <f t="shared" si="104"/>
        <v>395</v>
      </c>
      <c r="BL32" s="503">
        <f t="shared" si="105"/>
        <v>395</v>
      </c>
      <c r="BM32" s="63">
        <f t="shared" si="106"/>
        <v>395</v>
      </c>
      <c r="BN32" s="63">
        <f t="shared" si="107"/>
        <v>395</v>
      </c>
      <c r="BO32" s="64">
        <f t="shared" si="108"/>
        <v>395</v>
      </c>
      <c r="BP32" s="90"/>
      <c r="BQ32" s="506">
        <f>G32</f>
        <v>272</v>
      </c>
      <c r="BR32" s="95">
        <f>K32</f>
        <v>162</v>
      </c>
      <c r="BS32" s="95">
        <f>O32</f>
        <v>198</v>
      </c>
      <c r="BT32" s="95">
        <f>S32</f>
        <v>134</v>
      </c>
      <c r="BU32" s="95">
        <f>W32</f>
        <v>115</v>
      </c>
      <c r="BV32" s="95">
        <f>AA32</f>
        <v>622</v>
      </c>
      <c r="BW32" s="506">
        <f>AE32</f>
        <v>795</v>
      </c>
      <c r="BX32" s="506">
        <f>AI32</f>
        <v>881</v>
      </c>
      <c r="BY32" s="95">
        <f>AM32</f>
        <v>651</v>
      </c>
      <c r="BZ32" s="95">
        <f>AQ32</f>
        <v>502</v>
      </c>
      <c r="CA32" s="95">
        <f t="shared" si="91"/>
        <v>410</v>
      </c>
      <c r="CB32" s="95">
        <f t="shared" si="92"/>
        <v>444</v>
      </c>
      <c r="CC32" s="95">
        <f t="shared" si="93"/>
        <v>442</v>
      </c>
      <c r="CD32" s="95">
        <f t="shared" si="94"/>
        <v>395</v>
      </c>
      <c r="CE32" s="95">
        <f t="shared" si="95"/>
        <v>395</v>
      </c>
      <c r="CF32" s="96">
        <f t="shared" si="96"/>
        <v>395</v>
      </c>
      <c r="CG32" s="501"/>
      <c r="CH32" s="8"/>
      <c r="CO32" s="12"/>
    </row>
    <row r="33" spans="1:93" ht="14.25" customHeight="1">
      <c r="A33" s="8"/>
      <c r="B33" s="511" t="s">
        <v>193</v>
      </c>
      <c r="C33" s="110"/>
      <c r="D33" s="101">
        <f t="shared" ref="D33:AQ33" si="109">SUM(D29:D32)</f>
        <v>1875</v>
      </c>
      <c r="E33" s="98">
        <f t="shared" si="109"/>
        <v>1804</v>
      </c>
      <c r="F33" s="98">
        <f t="shared" si="109"/>
        <v>1943</v>
      </c>
      <c r="G33" s="99">
        <f t="shared" si="109"/>
        <v>2076</v>
      </c>
      <c r="H33" s="100">
        <f t="shared" si="109"/>
        <v>2095</v>
      </c>
      <c r="I33" s="98">
        <f t="shared" si="109"/>
        <v>2740</v>
      </c>
      <c r="J33" s="98">
        <f t="shared" si="109"/>
        <v>2386</v>
      </c>
      <c r="K33" s="99">
        <f t="shared" si="109"/>
        <v>2035</v>
      </c>
      <c r="L33" s="100">
        <f t="shared" si="109"/>
        <v>1764</v>
      </c>
      <c r="M33" s="98">
        <f t="shared" si="109"/>
        <v>1955</v>
      </c>
      <c r="N33" s="98">
        <f t="shared" si="109"/>
        <v>2031</v>
      </c>
      <c r="O33" s="99">
        <f t="shared" si="109"/>
        <v>2025</v>
      </c>
      <c r="P33" s="100">
        <f t="shared" si="109"/>
        <v>1848</v>
      </c>
      <c r="Q33" s="98">
        <f t="shared" si="109"/>
        <v>1760</v>
      </c>
      <c r="R33" s="98">
        <f t="shared" si="109"/>
        <v>1738</v>
      </c>
      <c r="S33" s="99">
        <f t="shared" si="109"/>
        <v>1532</v>
      </c>
      <c r="T33" s="100">
        <f t="shared" si="109"/>
        <v>1287</v>
      </c>
      <c r="U33" s="98">
        <f t="shared" si="109"/>
        <v>1468</v>
      </c>
      <c r="V33" s="98">
        <f t="shared" si="109"/>
        <v>1662</v>
      </c>
      <c r="W33" s="99">
        <f t="shared" si="109"/>
        <v>1587</v>
      </c>
      <c r="X33" s="98">
        <f t="shared" si="109"/>
        <v>1719</v>
      </c>
      <c r="Y33" s="98">
        <f t="shared" si="109"/>
        <v>1538</v>
      </c>
      <c r="Z33" s="98">
        <f t="shared" si="109"/>
        <v>1838</v>
      </c>
      <c r="AA33" s="99">
        <f t="shared" si="109"/>
        <v>1981</v>
      </c>
      <c r="AB33" s="100">
        <f t="shared" si="109"/>
        <v>1793</v>
      </c>
      <c r="AC33" s="98">
        <f t="shared" si="109"/>
        <v>1753</v>
      </c>
      <c r="AD33" s="98">
        <f t="shared" si="109"/>
        <v>2082</v>
      </c>
      <c r="AE33" s="99">
        <f t="shared" si="109"/>
        <v>2118</v>
      </c>
      <c r="AF33" s="100">
        <f t="shared" si="109"/>
        <v>1831</v>
      </c>
      <c r="AG33" s="98">
        <f t="shared" si="109"/>
        <v>1821</v>
      </c>
      <c r="AH33" s="98">
        <f t="shared" si="109"/>
        <v>1925</v>
      </c>
      <c r="AI33" s="99">
        <f t="shared" si="109"/>
        <v>1930</v>
      </c>
      <c r="AJ33" s="100">
        <f t="shared" si="109"/>
        <v>1610</v>
      </c>
      <c r="AK33" s="98">
        <f t="shared" si="109"/>
        <v>1802</v>
      </c>
      <c r="AL33" s="98">
        <f t="shared" si="109"/>
        <v>1723</v>
      </c>
      <c r="AM33" s="99">
        <f t="shared" si="109"/>
        <v>1747</v>
      </c>
      <c r="AN33" s="100">
        <f>SUM(AN29:AN32)</f>
        <v>1471</v>
      </c>
      <c r="AO33" s="98">
        <f>SUM(AO29:AO32)</f>
        <v>1549</v>
      </c>
      <c r="AP33" s="98">
        <f t="shared" si="109"/>
        <v>1641</v>
      </c>
      <c r="AQ33" s="99">
        <f t="shared" si="109"/>
        <v>1661</v>
      </c>
      <c r="AR33" s="100">
        <f t="shared" ref="AR33:AX33" si="110">SUM(AR29:AR32)</f>
        <v>1286</v>
      </c>
      <c r="AS33" s="98">
        <f t="shared" si="110"/>
        <v>1443</v>
      </c>
      <c r="AT33" s="98">
        <f t="shared" si="110"/>
        <v>1500</v>
      </c>
      <c r="AU33" s="99">
        <f t="shared" si="110"/>
        <v>1555</v>
      </c>
      <c r="AV33" s="100">
        <f t="shared" si="110"/>
        <v>1171</v>
      </c>
      <c r="AW33" s="98">
        <f t="shared" si="110"/>
        <v>1354</v>
      </c>
      <c r="AX33" s="98">
        <f t="shared" si="110"/>
        <v>1536</v>
      </c>
      <c r="AY33" s="99">
        <f t="shared" ref="AY33:BB33" si="111">SUM(AY29:AY32)</f>
        <v>1633</v>
      </c>
      <c r="AZ33" s="100">
        <f t="shared" si="111"/>
        <v>1224</v>
      </c>
      <c r="BA33" s="98">
        <f t="shared" si="111"/>
        <v>1378</v>
      </c>
      <c r="BB33" s="98">
        <f t="shared" si="111"/>
        <v>1556</v>
      </c>
      <c r="BC33" s="99">
        <f t="shared" ref="BC33:BD33" si="112">SUM(BC29:BC32)</f>
        <v>1758</v>
      </c>
      <c r="BD33" s="100">
        <f t="shared" si="112"/>
        <v>1360</v>
      </c>
      <c r="BE33" s="98">
        <f t="shared" ref="BE33:BG33" si="113">SUM(BE29:BE32)</f>
        <v>1481.3099404366981</v>
      </c>
      <c r="BF33" s="98">
        <f t="shared" si="113"/>
        <v>1601.909033513333</v>
      </c>
      <c r="BG33" s="99">
        <f t="shared" si="113"/>
        <v>1655.3375192180399</v>
      </c>
      <c r="BH33" s="100">
        <f t="shared" ref="BH33:BK33" si="114">SUM(BH29:BH32)</f>
        <v>1351.4778448274515</v>
      </c>
      <c r="BI33" s="98">
        <f t="shared" si="114"/>
        <v>1520.6851476332336</v>
      </c>
      <c r="BJ33" s="98">
        <f t="shared" si="114"/>
        <v>1640.4715796756273</v>
      </c>
      <c r="BK33" s="99">
        <f t="shared" si="114"/>
        <v>1694.7928650399692</v>
      </c>
      <c r="BL33" s="100">
        <f t="shared" ref="BL33:BO33" si="115">SUM(BL29:BL32)</f>
        <v>1768.7869782398873</v>
      </c>
      <c r="BM33" s="98">
        <f t="shared" si="115"/>
        <v>1869.1259610265336</v>
      </c>
      <c r="BN33" s="98">
        <f t="shared" si="115"/>
        <v>1969.4016617497991</v>
      </c>
      <c r="BO33" s="99">
        <f t="shared" si="115"/>
        <v>2023.475035093551</v>
      </c>
      <c r="BP33" s="90"/>
      <c r="BQ33" s="101">
        <f t="shared" ref="BQ33:CE33" si="116">SUM(BQ29:BQ32)</f>
        <v>2076</v>
      </c>
      <c r="BR33" s="101">
        <f t="shared" si="116"/>
        <v>2035</v>
      </c>
      <c r="BS33" s="101">
        <f t="shared" si="116"/>
        <v>2025</v>
      </c>
      <c r="BT33" s="101">
        <f t="shared" si="116"/>
        <v>1532</v>
      </c>
      <c r="BU33" s="101">
        <f t="shared" si="116"/>
        <v>1587</v>
      </c>
      <c r="BV33" s="101">
        <f t="shared" si="116"/>
        <v>1981</v>
      </c>
      <c r="BW33" s="508">
        <f t="shared" si="116"/>
        <v>2118</v>
      </c>
      <c r="BX33" s="508">
        <f t="shared" si="116"/>
        <v>1930</v>
      </c>
      <c r="BY33" s="101">
        <f t="shared" si="116"/>
        <v>1747</v>
      </c>
      <c r="BZ33" s="101">
        <f t="shared" si="116"/>
        <v>1661</v>
      </c>
      <c r="CA33" s="101">
        <f t="shared" si="116"/>
        <v>1555</v>
      </c>
      <c r="CB33" s="101">
        <f t="shared" si="116"/>
        <v>1633</v>
      </c>
      <c r="CC33" s="101">
        <f t="shared" si="116"/>
        <v>1758</v>
      </c>
      <c r="CD33" s="101">
        <f t="shared" si="116"/>
        <v>1655.3375192180399</v>
      </c>
      <c r="CE33" s="101">
        <f t="shared" si="116"/>
        <v>1694.7928650399692</v>
      </c>
      <c r="CF33" s="102">
        <f t="shared" ref="CF33" si="117">SUM(CF29:CF32)</f>
        <v>2023.475035093551</v>
      </c>
      <c r="CG33" s="501"/>
      <c r="CH33" s="8"/>
      <c r="CO33" s="8"/>
    </row>
    <row r="34" spans="1:93" ht="14.25" customHeight="1">
      <c r="A34" s="8"/>
      <c r="B34" s="342"/>
      <c r="C34" s="21"/>
      <c r="D34" s="65"/>
      <c r="E34" s="65"/>
      <c r="F34" s="65"/>
      <c r="G34" s="66"/>
      <c r="H34" s="419"/>
      <c r="I34" s="65"/>
      <c r="J34" s="65"/>
      <c r="K34" s="66"/>
      <c r="L34" s="419"/>
      <c r="M34" s="65"/>
      <c r="N34" s="65"/>
      <c r="O34" s="66"/>
      <c r="P34" s="419"/>
      <c r="Q34" s="65"/>
      <c r="R34" s="65"/>
      <c r="S34" s="66"/>
      <c r="T34" s="419"/>
      <c r="U34" s="65"/>
      <c r="V34" s="65"/>
      <c r="W34" s="66"/>
      <c r="X34" s="65"/>
      <c r="Y34" s="65"/>
      <c r="Z34" s="65"/>
      <c r="AA34" s="66"/>
      <c r="AB34" s="65"/>
      <c r="AC34" s="65"/>
      <c r="AD34" s="65"/>
      <c r="AE34" s="66"/>
      <c r="AF34" s="65"/>
      <c r="AG34" s="65"/>
      <c r="AH34" s="65"/>
      <c r="AI34" s="66"/>
      <c r="AJ34" s="419"/>
      <c r="AK34" s="65"/>
      <c r="AL34" s="65"/>
      <c r="AM34" s="66"/>
      <c r="AN34" s="419"/>
      <c r="AO34" s="65"/>
      <c r="AP34" s="65"/>
      <c r="AQ34" s="66"/>
      <c r="AR34" s="419"/>
      <c r="AS34" s="65"/>
      <c r="AT34" s="65"/>
      <c r="AU34" s="66"/>
      <c r="AV34" s="419"/>
      <c r="AW34" s="65"/>
      <c r="AX34" s="65"/>
      <c r="AY34" s="66"/>
      <c r="AZ34" s="419"/>
      <c r="BA34" s="65"/>
      <c r="BB34" s="65"/>
      <c r="BC34" s="66"/>
      <c r="BD34" s="419"/>
      <c r="BE34" s="65"/>
      <c r="BF34" s="65"/>
      <c r="BG34" s="66"/>
      <c r="BH34" s="419"/>
      <c r="BI34" s="65"/>
      <c r="BJ34" s="65"/>
      <c r="BK34" s="66"/>
      <c r="BL34" s="419"/>
      <c r="BM34" s="65"/>
      <c r="BN34" s="65"/>
      <c r="BO34" s="66"/>
      <c r="BP34" s="90"/>
      <c r="BQ34" s="65"/>
      <c r="BR34" s="65"/>
      <c r="BS34" s="65"/>
      <c r="BT34" s="65"/>
      <c r="BU34" s="65"/>
      <c r="BV34" s="65"/>
      <c r="BW34" s="419"/>
      <c r="BX34" s="419"/>
      <c r="BY34" s="65"/>
      <c r="BZ34" s="65"/>
      <c r="CA34" s="65"/>
      <c r="CB34" s="65"/>
      <c r="CC34" s="65"/>
      <c r="CD34" s="65"/>
      <c r="CE34" s="65"/>
      <c r="CF34" s="66"/>
      <c r="CG34" s="501"/>
      <c r="CH34" s="8"/>
      <c r="CO34" s="8"/>
    </row>
    <row r="35" spans="1:93" ht="14.25" customHeight="1">
      <c r="A35" s="8"/>
      <c r="B35" s="336" t="s">
        <v>40</v>
      </c>
      <c r="C35" s="24"/>
      <c r="D35" s="65">
        <v>373</v>
      </c>
      <c r="E35" s="65">
        <v>361</v>
      </c>
      <c r="F35" s="65">
        <v>358</v>
      </c>
      <c r="G35" s="66">
        <v>630</v>
      </c>
      <c r="H35" s="65">
        <v>318</v>
      </c>
      <c r="I35" s="65">
        <v>43</v>
      </c>
      <c r="J35" s="65">
        <v>43</v>
      </c>
      <c r="K35" s="66">
        <v>43</v>
      </c>
      <c r="L35" s="419">
        <v>43</v>
      </c>
      <c r="M35" s="65">
        <v>0</v>
      </c>
      <c r="N35" s="65">
        <v>0</v>
      </c>
      <c r="O35" s="66">
        <v>0</v>
      </c>
      <c r="P35" s="419">
        <v>0</v>
      </c>
      <c r="Q35" s="65">
        <v>0</v>
      </c>
      <c r="R35" s="65">
        <v>0</v>
      </c>
      <c r="S35" s="66">
        <v>0</v>
      </c>
      <c r="T35" s="419">
        <v>0</v>
      </c>
      <c r="U35" s="65">
        <v>0</v>
      </c>
      <c r="V35" s="65">
        <v>0</v>
      </c>
      <c r="W35" s="66">
        <v>0</v>
      </c>
      <c r="X35" s="65">
        <v>0</v>
      </c>
      <c r="Y35" s="65">
        <v>0</v>
      </c>
      <c r="Z35" s="65">
        <v>0</v>
      </c>
      <c r="AA35" s="66">
        <v>0</v>
      </c>
      <c r="AB35" s="419">
        <v>0</v>
      </c>
      <c r="AC35" s="65">
        <v>3498</v>
      </c>
      <c r="AD35" s="65">
        <v>5801</v>
      </c>
      <c r="AE35" s="66">
        <v>5592</v>
      </c>
      <c r="AF35" s="419">
        <v>5285</v>
      </c>
      <c r="AG35" s="65">
        <v>4703</v>
      </c>
      <c r="AH35" s="65">
        <v>5690</v>
      </c>
      <c r="AI35" s="66">
        <f>1500+4186</f>
        <v>5686</v>
      </c>
      <c r="AJ35" s="65">
        <f>4183+1500</f>
        <v>5683</v>
      </c>
      <c r="AK35" s="65">
        <f>4165+1000</f>
        <v>5165</v>
      </c>
      <c r="AL35" s="65">
        <f>4161+1000</f>
        <v>5161</v>
      </c>
      <c r="AM35" s="66">
        <f>4158+1000</f>
        <v>5158</v>
      </c>
      <c r="AN35" s="65">
        <f>4652+1000</f>
        <v>5652</v>
      </c>
      <c r="AO35" s="65">
        <f>4394+254</f>
        <v>4648</v>
      </c>
      <c r="AP35" s="65">
        <f>1002+3643</f>
        <v>4645</v>
      </c>
      <c r="AQ35" s="66">
        <f>1001+3641</f>
        <v>4642</v>
      </c>
      <c r="AR35" s="65">
        <f>3638+1000</f>
        <v>4638</v>
      </c>
      <c r="AS35" s="65">
        <f>3134+1750</f>
        <v>4884</v>
      </c>
      <c r="AT35" s="65">
        <f>3132+1000</f>
        <v>4132</v>
      </c>
      <c r="AU35" s="66">
        <f>3120+1000</f>
        <v>4120</v>
      </c>
      <c r="AV35" s="65">
        <f>1249+2869</f>
        <v>4118</v>
      </c>
      <c r="AW35" s="65">
        <f>2975+637</f>
        <v>3612</v>
      </c>
      <c r="AX35" s="65">
        <f>634+2977</f>
        <v>3611</v>
      </c>
      <c r="AY35" s="66">
        <f>631+2978</f>
        <v>3609</v>
      </c>
      <c r="AZ35" s="65">
        <f>2980+378</f>
        <v>3358</v>
      </c>
      <c r="BA35" s="65">
        <f>3084+499</f>
        <v>3583</v>
      </c>
      <c r="BB35" s="65">
        <f>499+3084</f>
        <v>3583</v>
      </c>
      <c r="BC35" s="66">
        <f>500+3577</f>
        <v>4077</v>
      </c>
      <c r="BD35" s="65">
        <f>3578+500</f>
        <v>4078</v>
      </c>
      <c r="BE35" s="63">
        <f t="shared" ref="BE35:BG35" si="118">+BD35</f>
        <v>4078</v>
      </c>
      <c r="BF35" s="63">
        <f t="shared" si="118"/>
        <v>4078</v>
      </c>
      <c r="BG35" s="64">
        <f t="shared" si="118"/>
        <v>4078</v>
      </c>
      <c r="BH35" s="63">
        <f t="shared" ref="BH35" si="119">+BG35</f>
        <v>4078</v>
      </c>
      <c r="BI35" s="63">
        <f t="shared" ref="BI35" si="120">+BH35</f>
        <v>4078</v>
      </c>
      <c r="BJ35" s="63">
        <f t="shared" ref="BJ35" si="121">+BI35</f>
        <v>4078</v>
      </c>
      <c r="BK35" s="64">
        <f t="shared" ref="BK35" si="122">+BJ35</f>
        <v>4078</v>
      </c>
      <c r="BL35" s="63">
        <f t="shared" ref="BL35" si="123">+BK35</f>
        <v>4078</v>
      </c>
      <c r="BM35" s="63">
        <f t="shared" ref="BM35" si="124">+BL35</f>
        <v>4078</v>
      </c>
      <c r="BN35" s="63">
        <f t="shared" ref="BN35" si="125">+BM35</f>
        <v>4078</v>
      </c>
      <c r="BO35" s="64">
        <f t="shared" ref="BO35" si="126">+BN35</f>
        <v>4078</v>
      </c>
      <c r="BP35" s="90"/>
      <c r="BQ35" s="63">
        <f>G35</f>
        <v>630</v>
      </c>
      <c r="BR35" s="63">
        <f>K35</f>
        <v>43</v>
      </c>
      <c r="BS35" s="63">
        <f>O35</f>
        <v>0</v>
      </c>
      <c r="BT35" s="63">
        <f>S35</f>
        <v>0</v>
      </c>
      <c r="BU35" s="63">
        <f>W35</f>
        <v>0</v>
      </c>
      <c r="BV35" s="63">
        <f>AA35</f>
        <v>0</v>
      </c>
      <c r="BW35" s="503">
        <f>AE35</f>
        <v>5592</v>
      </c>
      <c r="BX35" s="503">
        <f>AI35</f>
        <v>5686</v>
      </c>
      <c r="BY35" s="63">
        <f>AM35</f>
        <v>5158</v>
      </c>
      <c r="BZ35" s="63">
        <f>AQ35</f>
        <v>4642</v>
      </c>
      <c r="CA35" s="63">
        <f t="shared" si="91"/>
        <v>4120</v>
      </c>
      <c r="CB35" s="63">
        <f t="shared" si="92"/>
        <v>3609</v>
      </c>
      <c r="CC35" s="63">
        <f t="shared" si="93"/>
        <v>4077</v>
      </c>
      <c r="CD35" s="63">
        <f t="shared" si="94"/>
        <v>4078</v>
      </c>
      <c r="CE35" s="63">
        <f t="shared" ref="CE35:CE37" si="127">BK35</f>
        <v>4078</v>
      </c>
      <c r="CF35" s="64">
        <f t="shared" ref="CF35:CF37" si="128">BO35</f>
        <v>4078</v>
      </c>
      <c r="CG35" s="501"/>
      <c r="CH35" s="8"/>
      <c r="CO35" s="8"/>
    </row>
    <row r="36" spans="1:93" ht="14.25" customHeight="1">
      <c r="A36" s="8"/>
      <c r="B36" s="336" t="s">
        <v>315</v>
      </c>
      <c r="C36" s="24"/>
      <c r="D36" s="65">
        <v>40</v>
      </c>
      <c r="E36" s="65">
        <v>35</v>
      </c>
      <c r="F36" s="65">
        <v>33</v>
      </c>
      <c r="G36" s="66">
        <v>23</v>
      </c>
      <c r="H36" s="419">
        <v>17</v>
      </c>
      <c r="I36" s="65">
        <v>15</v>
      </c>
      <c r="J36" s="65">
        <v>14</v>
      </c>
      <c r="K36" s="66">
        <v>23</v>
      </c>
      <c r="L36" s="419">
        <v>10</v>
      </c>
      <c r="M36" s="65">
        <v>20</v>
      </c>
      <c r="N36" s="65">
        <v>27</v>
      </c>
      <c r="O36" s="66">
        <v>49</v>
      </c>
      <c r="P36" s="419">
        <v>60</v>
      </c>
      <c r="Q36" s="65">
        <v>57</v>
      </c>
      <c r="R36" s="65">
        <v>52</v>
      </c>
      <c r="S36" s="66">
        <v>59</v>
      </c>
      <c r="T36" s="419">
        <v>61</v>
      </c>
      <c r="U36" s="65">
        <v>54</v>
      </c>
      <c r="V36" s="65">
        <v>60</v>
      </c>
      <c r="W36" s="66">
        <v>67</v>
      </c>
      <c r="X36" s="65">
        <v>68</v>
      </c>
      <c r="Y36" s="65">
        <v>70</v>
      </c>
      <c r="Z36" s="65">
        <v>82</v>
      </c>
      <c r="AA36" s="66">
        <v>86</v>
      </c>
      <c r="AB36" s="65">
        <v>82</v>
      </c>
      <c r="AC36" s="65">
        <v>92</v>
      </c>
      <c r="AD36" s="65">
        <v>822</v>
      </c>
      <c r="AE36" s="66">
        <v>587</v>
      </c>
      <c r="AF36" s="65">
        <v>622</v>
      </c>
      <c r="AG36" s="65">
        <v>596</v>
      </c>
      <c r="AH36" s="65">
        <v>596</v>
      </c>
      <c r="AI36" s="66">
        <v>572</v>
      </c>
      <c r="AJ36" s="419">
        <v>598</v>
      </c>
      <c r="AK36" s="65">
        <v>584</v>
      </c>
      <c r="AL36" s="65">
        <v>564</v>
      </c>
      <c r="AM36" s="66">
        <v>548</v>
      </c>
      <c r="AN36" s="419">
        <v>536</v>
      </c>
      <c r="AO36" s="65">
        <v>484</v>
      </c>
      <c r="AP36" s="65">
        <v>450</v>
      </c>
      <c r="AQ36" s="66">
        <v>399</v>
      </c>
      <c r="AR36" s="419">
        <v>403</v>
      </c>
      <c r="AS36" s="65">
        <v>355</v>
      </c>
      <c r="AT36" s="65">
        <v>308</v>
      </c>
      <c r="AU36" s="66">
        <f>37+376</f>
        <v>413</v>
      </c>
      <c r="AV36" s="419">
        <f>38+382</f>
        <v>420</v>
      </c>
      <c r="AW36" s="65">
        <v>40</v>
      </c>
      <c r="AX36" s="65">
        <v>35</v>
      </c>
      <c r="AY36" s="66">
        <f>33+554</f>
        <v>587</v>
      </c>
      <c r="AZ36" s="419">
        <f>36+624</f>
        <v>660</v>
      </c>
      <c r="BA36" s="65">
        <v>33</v>
      </c>
      <c r="BB36" s="65">
        <v>38</v>
      </c>
      <c r="BC36" s="66">
        <f>78+1303</f>
        <v>1381</v>
      </c>
      <c r="BD36" s="419">
        <f>53+1282</f>
        <v>1335</v>
      </c>
      <c r="BE36" s="63">
        <f t="shared" ref="BE36:BE37" si="129">BD36</f>
        <v>1335</v>
      </c>
      <c r="BF36" s="63">
        <f t="shared" ref="BF36:BF37" si="130">BE36</f>
        <v>1335</v>
      </c>
      <c r="BG36" s="64">
        <f t="shared" ref="BG36:BG37" si="131">BF36</f>
        <v>1335</v>
      </c>
      <c r="BH36" s="503">
        <f t="shared" ref="BH36:BH37" si="132">BG36</f>
        <v>1335</v>
      </c>
      <c r="BI36" s="63">
        <f t="shared" ref="BI36:BI37" si="133">BH36</f>
        <v>1335</v>
      </c>
      <c r="BJ36" s="63">
        <f t="shared" ref="BJ36:BJ37" si="134">BI36</f>
        <v>1335</v>
      </c>
      <c r="BK36" s="64">
        <f t="shared" ref="BK36:BK37" si="135">BJ36</f>
        <v>1335</v>
      </c>
      <c r="BL36" s="503">
        <f t="shared" ref="BL36:BL37" si="136">BK36</f>
        <v>1335</v>
      </c>
      <c r="BM36" s="63">
        <f t="shared" ref="BM36:BM37" si="137">BL36</f>
        <v>1335</v>
      </c>
      <c r="BN36" s="63">
        <f t="shared" ref="BN36:BN37" si="138">BM36</f>
        <v>1335</v>
      </c>
      <c r="BO36" s="64">
        <f t="shared" ref="BO36:BO37" si="139">BN36</f>
        <v>1335</v>
      </c>
      <c r="BP36" s="90"/>
      <c r="BQ36" s="63">
        <f>G36</f>
        <v>23</v>
      </c>
      <c r="BR36" s="63">
        <f>K36</f>
        <v>23</v>
      </c>
      <c r="BS36" s="63">
        <f>O36</f>
        <v>49</v>
      </c>
      <c r="BT36" s="63">
        <f>S36</f>
        <v>59</v>
      </c>
      <c r="BU36" s="63">
        <f>W36</f>
        <v>67</v>
      </c>
      <c r="BV36" s="63">
        <f>AA36</f>
        <v>86</v>
      </c>
      <c r="BW36" s="503">
        <f>AE36</f>
        <v>587</v>
      </c>
      <c r="BX36" s="503">
        <f>AI36</f>
        <v>572</v>
      </c>
      <c r="BY36" s="63">
        <f>AM36</f>
        <v>548</v>
      </c>
      <c r="BZ36" s="63">
        <f>AQ36</f>
        <v>399</v>
      </c>
      <c r="CA36" s="63">
        <f t="shared" si="91"/>
        <v>413</v>
      </c>
      <c r="CB36" s="63">
        <f t="shared" si="92"/>
        <v>587</v>
      </c>
      <c r="CC36" s="63">
        <f t="shared" si="93"/>
        <v>1381</v>
      </c>
      <c r="CD36" s="63">
        <f t="shared" si="94"/>
        <v>1335</v>
      </c>
      <c r="CE36" s="63">
        <f t="shared" si="127"/>
        <v>1335</v>
      </c>
      <c r="CF36" s="64">
        <f t="shared" si="128"/>
        <v>1335</v>
      </c>
      <c r="CG36" s="501"/>
      <c r="CH36" s="8"/>
      <c r="CO36" s="8"/>
    </row>
    <row r="37" spans="1:93" ht="14.25" customHeight="1">
      <c r="A37" s="8"/>
      <c r="B37" s="336" t="s">
        <v>291</v>
      </c>
      <c r="C37" s="24"/>
      <c r="D37" s="65">
        <f>564+289</f>
        <v>853</v>
      </c>
      <c r="E37" s="65">
        <f>534+289</f>
        <v>823</v>
      </c>
      <c r="F37" s="65">
        <f>510+267</f>
        <v>777</v>
      </c>
      <c r="G37" s="66">
        <f>136+261</f>
        <v>397</v>
      </c>
      <c r="H37" s="419">
        <f>116+254</f>
        <v>370</v>
      </c>
      <c r="I37" s="65">
        <f>103+239</f>
        <v>342</v>
      </c>
      <c r="J37" s="65">
        <f>67+248</f>
        <v>315</v>
      </c>
      <c r="K37" s="66">
        <f>208+261</f>
        <v>469</v>
      </c>
      <c r="L37" s="419">
        <f>197+453</f>
        <v>650</v>
      </c>
      <c r="M37" s="65">
        <f>115+436</f>
        <v>551</v>
      </c>
      <c r="N37" s="65">
        <f>95+434</f>
        <v>529</v>
      </c>
      <c r="O37" s="66">
        <f>184+434</f>
        <v>618</v>
      </c>
      <c r="P37" s="419">
        <f>191+382</f>
        <v>573</v>
      </c>
      <c r="Q37" s="65">
        <f>187+394</f>
        <v>581</v>
      </c>
      <c r="R37" s="65">
        <f>186+396</f>
        <v>582</v>
      </c>
      <c r="S37" s="66">
        <f>640+366</f>
        <v>1006</v>
      </c>
      <c r="T37" s="419">
        <f>608+354</f>
        <v>962</v>
      </c>
      <c r="U37" s="65">
        <f>502+273</f>
        <v>775</v>
      </c>
      <c r="V37" s="65">
        <f>464+279</f>
        <v>743</v>
      </c>
      <c r="W37" s="66">
        <f>425+318</f>
        <v>743</v>
      </c>
      <c r="X37" s="65">
        <f>425+353</f>
        <v>778</v>
      </c>
      <c r="Y37" s="65">
        <f>470+331</f>
        <v>801</v>
      </c>
      <c r="Z37" s="65">
        <f>447+320</f>
        <v>767</v>
      </c>
      <c r="AA37" s="66">
        <f>519+378</f>
        <v>897</v>
      </c>
      <c r="AB37" s="65">
        <f>527+334</f>
        <v>861</v>
      </c>
      <c r="AC37" s="65">
        <f>532+320</f>
        <v>852</v>
      </c>
      <c r="AD37" s="65">
        <f>617+559</f>
        <v>1176</v>
      </c>
      <c r="AE37" s="66">
        <f>701+527</f>
        <v>1228</v>
      </c>
      <c r="AF37" s="65">
        <f>684+516</f>
        <v>1200</v>
      </c>
      <c r="AG37" s="65">
        <f>543+700</f>
        <v>1243</v>
      </c>
      <c r="AH37" s="65">
        <f>550+350</f>
        <v>900</v>
      </c>
      <c r="AI37" s="66">
        <f>269+603</f>
        <v>872</v>
      </c>
      <c r="AJ37" s="419">
        <f>600+258</f>
        <v>858</v>
      </c>
      <c r="AK37" s="65">
        <f>240+539</f>
        <v>779</v>
      </c>
      <c r="AL37" s="65">
        <f>492+253</f>
        <v>745</v>
      </c>
      <c r="AM37" s="66">
        <f>216+462</f>
        <v>678</v>
      </c>
      <c r="AN37" s="419">
        <f>438+218</f>
        <v>656</v>
      </c>
      <c r="AO37" s="65">
        <f>224+439</f>
        <v>663</v>
      </c>
      <c r="AP37" s="65">
        <f>471+222</f>
        <v>693</v>
      </c>
      <c r="AQ37" s="66">
        <f>225+405</f>
        <v>630</v>
      </c>
      <c r="AR37" s="419">
        <f>253+397</f>
        <v>650</v>
      </c>
      <c r="AS37" s="65">
        <f>254+391</f>
        <v>645</v>
      </c>
      <c r="AT37" s="65">
        <f>247+383</f>
        <v>630</v>
      </c>
      <c r="AU37" s="66">
        <f>196</f>
        <v>196</v>
      </c>
      <c r="AV37" s="419">
        <v>195</v>
      </c>
      <c r="AW37" s="65">
        <f>193+532</f>
        <v>725</v>
      </c>
      <c r="AX37" s="65">
        <f>201+547</f>
        <v>748</v>
      </c>
      <c r="AY37" s="66">
        <v>129</v>
      </c>
      <c r="AZ37" s="419">
        <v>97</v>
      </c>
      <c r="BA37" s="65">
        <f>101+635</f>
        <v>736</v>
      </c>
      <c r="BB37" s="65">
        <f>108+656</f>
        <v>764</v>
      </c>
      <c r="BC37" s="66">
        <v>89</v>
      </c>
      <c r="BD37" s="419">
        <v>92</v>
      </c>
      <c r="BE37" s="63">
        <f t="shared" si="129"/>
        <v>92</v>
      </c>
      <c r="BF37" s="63">
        <f t="shared" si="130"/>
        <v>92</v>
      </c>
      <c r="BG37" s="64">
        <f t="shared" si="131"/>
        <v>92</v>
      </c>
      <c r="BH37" s="503">
        <f t="shared" si="132"/>
        <v>92</v>
      </c>
      <c r="BI37" s="63">
        <f t="shared" si="133"/>
        <v>92</v>
      </c>
      <c r="BJ37" s="63">
        <f t="shared" si="134"/>
        <v>92</v>
      </c>
      <c r="BK37" s="64">
        <f t="shared" si="135"/>
        <v>92</v>
      </c>
      <c r="BL37" s="503">
        <f t="shared" si="136"/>
        <v>92</v>
      </c>
      <c r="BM37" s="63">
        <f t="shared" si="137"/>
        <v>92</v>
      </c>
      <c r="BN37" s="63">
        <f t="shared" si="138"/>
        <v>92</v>
      </c>
      <c r="BO37" s="64">
        <f t="shared" si="139"/>
        <v>92</v>
      </c>
      <c r="BP37" s="90"/>
      <c r="BQ37" s="63">
        <f>G37</f>
        <v>397</v>
      </c>
      <c r="BR37" s="63">
        <f>K37</f>
        <v>469</v>
      </c>
      <c r="BS37" s="63">
        <f>O37</f>
        <v>618</v>
      </c>
      <c r="BT37" s="63">
        <f>S37</f>
        <v>1006</v>
      </c>
      <c r="BU37" s="63">
        <f>W37</f>
        <v>743</v>
      </c>
      <c r="BV37" s="63">
        <f>AA37</f>
        <v>897</v>
      </c>
      <c r="BW37" s="503">
        <f>AE37</f>
        <v>1228</v>
      </c>
      <c r="BX37" s="503">
        <f>AI37</f>
        <v>872</v>
      </c>
      <c r="BY37" s="63">
        <f>AM37</f>
        <v>678</v>
      </c>
      <c r="BZ37" s="63">
        <f>AQ37</f>
        <v>630</v>
      </c>
      <c r="CA37" s="63">
        <f t="shared" si="91"/>
        <v>196</v>
      </c>
      <c r="CB37" s="63">
        <f t="shared" si="92"/>
        <v>129</v>
      </c>
      <c r="CC37" s="63">
        <f t="shared" si="93"/>
        <v>89</v>
      </c>
      <c r="CD37" s="63">
        <f t="shared" si="94"/>
        <v>92</v>
      </c>
      <c r="CE37" s="63">
        <f t="shared" si="127"/>
        <v>92</v>
      </c>
      <c r="CF37" s="64">
        <f t="shared" si="128"/>
        <v>92</v>
      </c>
      <c r="CG37" s="501"/>
      <c r="CH37" s="8"/>
      <c r="CO37" s="8"/>
    </row>
    <row r="38" spans="1:93" ht="14.25" customHeight="1">
      <c r="A38" s="8"/>
      <c r="B38" s="342"/>
      <c r="C38" s="21"/>
      <c r="D38" s="65"/>
      <c r="E38" s="65"/>
      <c r="F38" s="65"/>
      <c r="G38" s="66"/>
      <c r="H38" s="419"/>
      <c r="I38" s="65"/>
      <c r="J38" s="65"/>
      <c r="K38" s="66"/>
      <c r="L38" s="419"/>
      <c r="M38" s="65"/>
      <c r="N38" s="65"/>
      <c r="O38" s="66"/>
      <c r="P38" s="419"/>
      <c r="Q38" s="65"/>
      <c r="R38" s="65"/>
      <c r="S38" s="66"/>
      <c r="T38" s="419"/>
      <c r="U38" s="65"/>
      <c r="V38" s="65"/>
      <c r="W38" s="66"/>
      <c r="X38" s="65"/>
      <c r="Y38" s="65"/>
      <c r="Z38" s="65"/>
      <c r="AA38" s="66"/>
      <c r="AB38" s="65"/>
      <c r="AC38" s="65"/>
      <c r="AD38" s="65"/>
      <c r="AE38" s="66"/>
      <c r="AF38" s="65"/>
      <c r="AG38" s="65"/>
      <c r="AH38" s="65"/>
      <c r="AI38" s="66"/>
      <c r="AJ38" s="419"/>
      <c r="AK38" s="65"/>
      <c r="AL38" s="65"/>
      <c r="AM38" s="66"/>
      <c r="AN38" s="419"/>
      <c r="AO38" s="65"/>
      <c r="AP38" s="65"/>
      <c r="AQ38" s="66"/>
      <c r="AR38" s="419"/>
      <c r="AS38" s="65"/>
      <c r="AT38" s="65"/>
      <c r="AU38" s="66"/>
      <c r="AV38" s="419"/>
      <c r="AW38" s="65"/>
      <c r="AX38" s="65"/>
      <c r="AY38" s="66"/>
      <c r="AZ38" s="419"/>
      <c r="BA38" s="65"/>
      <c r="BB38" s="65"/>
      <c r="BC38" s="66"/>
      <c r="BD38" s="419"/>
      <c r="BE38" s="65"/>
      <c r="BF38" s="65"/>
      <c r="BG38" s="66"/>
      <c r="BH38" s="419"/>
      <c r="BI38" s="65"/>
      <c r="BJ38" s="65"/>
      <c r="BK38" s="66"/>
      <c r="BL38" s="419"/>
      <c r="BM38" s="65"/>
      <c r="BN38" s="65"/>
      <c r="BO38" s="66"/>
      <c r="BP38" s="90"/>
      <c r="BQ38" s="65"/>
      <c r="BR38" s="65"/>
      <c r="BS38" s="65"/>
      <c r="BT38" s="65"/>
      <c r="BU38" s="65"/>
      <c r="BV38" s="65"/>
      <c r="BW38" s="419"/>
      <c r="BX38" s="419"/>
      <c r="BY38" s="65"/>
      <c r="BZ38" s="65"/>
      <c r="CA38" s="65"/>
      <c r="CB38" s="65"/>
      <c r="CC38" s="65"/>
      <c r="CD38" s="65"/>
      <c r="CE38" s="65"/>
      <c r="CF38" s="66"/>
      <c r="CG38" s="501"/>
      <c r="CH38" s="8"/>
      <c r="CO38" s="8"/>
    </row>
    <row r="39" spans="1:93" ht="14.25" customHeight="1">
      <c r="A39" s="8"/>
      <c r="B39" s="511" t="s">
        <v>194</v>
      </c>
      <c r="C39" s="110"/>
      <c r="D39" s="111">
        <v>11904</v>
      </c>
      <c r="E39" s="111">
        <v>11463</v>
      </c>
      <c r="F39" s="111">
        <v>11873</v>
      </c>
      <c r="G39" s="112">
        <v>11937</v>
      </c>
      <c r="H39" s="512">
        <v>11238</v>
      </c>
      <c r="I39" s="111">
        <v>12788</v>
      </c>
      <c r="J39" s="111">
        <v>12027</v>
      </c>
      <c r="K39" s="112">
        <v>11360</v>
      </c>
      <c r="L39" s="512">
        <v>11283</v>
      </c>
      <c r="M39" s="111">
        <v>11494</v>
      </c>
      <c r="N39" s="111">
        <v>11137</v>
      </c>
      <c r="O39" s="112">
        <v>9975</v>
      </c>
      <c r="P39" s="512">
        <v>9857</v>
      </c>
      <c r="Q39" s="111">
        <v>9984</v>
      </c>
      <c r="R39" s="111">
        <v>10094</v>
      </c>
      <c r="S39" s="112">
        <v>9326</v>
      </c>
      <c r="T39" s="512">
        <v>9210</v>
      </c>
      <c r="U39" s="111">
        <v>9213</v>
      </c>
      <c r="V39" s="111">
        <v>9438</v>
      </c>
      <c r="W39" s="112">
        <v>9722</v>
      </c>
      <c r="X39" s="111">
        <v>9805</v>
      </c>
      <c r="Y39" s="111">
        <v>9755</v>
      </c>
      <c r="Z39" s="111">
        <v>9962</v>
      </c>
      <c r="AA39" s="112">
        <v>10437</v>
      </c>
      <c r="AB39" s="111">
        <v>10574</v>
      </c>
      <c r="AC39" s="111">
        <v>10903</v>
      </c>
      <c r="AD39" s="111">
        <v>11026</v>
      </c>
      <c r="AE39" s="112">
        <v>10952</v>
      </c>
      <c r="AF39" s="111">
        <v>11071</v>
      </c>
      <c r="AG39" s="111">
        <v>11158</v>
      </c>
      <c r="AH39" s="111">
        <v>11403</v>
      </c>
      <c r="AI39" s="112">
        <v>10961</v>
      </c>
      <c r="AJ39" s="512">
        <v>10952</v>
      </c>
      <c r="AK39" s="111">
        <v>11068</v>
      </c>
      <c r="AL39" s="111">
        <v>11051</v>
      </c>
      <c r="AM39" s="112">
        <v>10807</v>
      </c>
      <c r="AN39" s="512">
        <v>10620</v>
      </c>
      <c r="AO39" s="111">
        <v>10466</v>
      </c>
      <c r="AP39" s="111">
        <v>10471</v>
      </c>
      <c r="AQ39" s="112">
        <v>10390</v>
      </c>
      <c r="AR39" s="512">
        <v>10369</v>
      </c>
      <c r="AS39" s="111">
        <v>10205</v>
      </c>
      <c r="AT39" s="111">
        <v>9970</v>
      </c>
      <c r="AU39" s="112">
        <v>9946</v>
      </c>
      <c r="AV39" s="512">
        <v>9782</v>
      </c>
      <c r="AW39" s="111">
        <v>9962</v>
      </c>
      <c r="AX39" s="111">
        <v>10286</v>
      </c>
      <c r="AY39" s="112">
        <v>10473</v>
      </c>
      <c r="AZ39" s="512">
        <v>10639</v>
      </c>
      <c r="BA39" s="111">
        <v>10708</v>
      </c>
      <c r="BB39" s="111">
        <v>10988</v>
      </c>
      <c r="BC39" s="112">
        <v>10337</v>
      </c>
      <c r="BD39" s="512">
        <v>10642</v>
      </c>
      <c r="BE39" s="101">
        <f t="shared" ref="BE39:BG39" si="140">BE68</f>
        <v>10555.86456270799</v>
      </c>
      <c r="BF39" s="101">
        <f t="shared" si="140"/>
        <v>10585.793332278241</v>
      </c>
      <c r="BG39" s="102">
        <f t="shared" si="140"/>
        <v>10528.96210399337</v>
      </c>
      <c r="BH39" s="508">
        <f t="shared" ref="BH39:BK39" si="141">BH68</f>
        <v>10565.517051351002</v>
      </c>
      <c r="BI39" s="101">
        <f t="shared" si="141"/>
        <v>10734.610987028289</v>
      </c>
      <c r="BJ39" s="101">
        <f t="shared" si="141"/>
        <v>11062.081854625343</v>
      </c>
      <c r="BK39" s="102">
        <f t="shared" si="141"/>
        <v>11264.869936699128</v>
      </c>
      <c r="BL39" s="508">
        <f t="shared" ref="BL39:BO39" si="142">BL68</f>
        <v>11415.445975840332</v>
      </c>
      <c r="BM39" s="101">
        <f t="shared" si="142"/>
        <v>11730.449947319983</v>
      </c>
      <c r="BN39" s="101">
        <f t="shared" si="142"/>
        <v>12202.923338122411</v>
      </c>
      <c r="BO39" s="102">
        <f t="shared" si="142"/>
        <v>12529.630636221351</v>
      </c>
      <c r="BP39" s="90"/>
      <c r="BQ39" s="63">
        <f>G39</f>
        <v>11937</v>
      </c>
      <c r="BR39" s="63">
        <f>K39</f>
        <v>11360</v>
      </c>
      <c r="BS39" s="63">
        <f>O39</f>
        <v>9975</v>
      </c>
      <c r="BT39" s="63">
        <f>S39</f>
        <v>9326</v>
      </c>
      <c r="BU39" s="63">
        <f>W39</f>
        <v>9722</v>
      </c>
      <c r="BV39" s="63">
        <f>AA39</f>
        <v>10437</v>
      </c>
      <c r="BW39" s="503">
        <f>AE39</f>
        <v>10952</v>
      </c>
      <c r="BX39" s="503">
        <f>AI39</f>
        <v>10961</v>
      </c>
      <c r="BY39" s="63">
        <f>AM39</f>
        <v>10807</v>
      </c>
      <c r="BZ39" s="63">
        <f>AQ39</f>
        <v>10390</v>
      </c>
      <c r="CA39" s="63">
        <f>AU39</f>
        <v>9946</v>
      </c>
      <c r="CB39" s="63">
        <f>AY39</f>
        <v>10473</v>
      </c>
      <c r="CC39" s="63">
        <f>BC39</f>
        <v>10337</v>
      </c>
      <c r="CD39" s="63">
        <f>BG39</f>
        <v>10528.96210399337</v>
      </c>
      <c r="CE39" s="63">
        <f>BK39</f>
        <v>11264.869936699128</v>
      </c>
      <c r="CF39" s="64">
        <f>BO39</f>
        <v>12529.630636221351</v>
      </c>
      <c r="CG39" s="501"/>
      <c r="CH39" s="8"/>
      <c r="CO39" s="8"/>
    </row>
    <row r="40" spans="1:93" ht="14.25" customHeight="1">
      <c r="A40" s="8"/>
      <c r="B40" s="51"/>
      <c r="C40" s="21"/>
      <c r="D40" s="65"/>
      <c r="E40" s="65"/>
      <c r="F40" s="65"/>
      <c r="G40" s="65"/>
      <c r="H40" s="419"/>
      <c r="I40" s="65"/>
      <c r="J40" s="65"/>
      <c r="K40" s="65"/>
      <c r="L40" s="419"/>
      <c r="M40" s="65"/>
      <c r="N40" s="65"/>
      <c r="O40" s="65"/>
      <c r="P40" s="419"/>
      <c r="Q40" s="65"/>
      <c r="R40" s="65"/>
      <c r="S40" s="65"/>
      <c r="T40" s="419"/>
      <c r="U40" s="65"/>
      <c r="V40" s="65"/>
      <c r="W40" s="65"/>
      <c r="X40" s="419"/>
      <c r="Y40" s="65"/>
      <c r="Z40" s="65"/>
      <c r="AA40" s="66"/>
      <c r="AB40" s="65"/>
      <c r="AC40" s="65"/>
      <c r="AD40" s="65"/>
      <c r="AE40" s="66"/>
      <c r="AF40" s="65"/>
      <c r="AG40" s="65"/>
      <c r="AH40" s="65"/>
      <c r="AI40" s="66"/>
      <c r="AJ40" s="419"/>
      <c r="AK40" s="65"/>
      <c r="AL40" s="65"/>
      <c r="AM40" s="66"/>
      <c r="AN40" s="419"/>
      <c r="AO40" s="65"/>
      <c r="AP40" s="65"/>
      <c r="AQ40" s="66"/>
      <c r="AR40" s="419"/>
      <c r="AS40" s="65"/>
      <c r="AT40" s="65"/>
      <c r="AU40" s="66"/>
      <c r="AV40" s="419"/>
      <c r="AW40" s="65"/>
      <c r="AX40" s="65"/>
      <c r="AY40" s="66"/>
      <c r="AZ40" s="419"/>
      <c r="BA40" s="65"/>
      <c r="BB40" s="65"/>
      <c r="BC40" s="66"/>
      <c r="BD40" s="419"/>
      <c r="BE40" s="65"/>
      <c r="BF40" s="65"/>
      <c r="BG40" s="66"/>
      <c r="BH40" s="419"/>
      <c r="BI40" s="65"/>
      <c r="BJ40" s="65"/>
      <c r="BK40" s="66"/>
      <c r="BL40" s="419"/>
      <c r="BM40" s="65"/>
      <c r="BN40" s="65"/>
      <c r="BO40" s="66"/>
      <c r="BP40" s="90"/>
      <c r="BQ40" s="65"/>
      <c r="BR40" s="65"/>
      <c r="BS40" s="65"/>
      <c r="BT40" s="65"/>
      <c r="BU40" s="65"/>
      <c r="BV40" s="65"/>
      <c r="BW40" s="419"/>
      <c r="BX40" s="419"/>
      <c r="BY40" s="513"/>
      <c r="BZ40" s="513"/>
      <c r="CA40" s="513"/>
      <c r="CB40" s="513"/>
      <c r="CC40" s="513"/>
      <c r="CD40" s="513"/>
      <c r="CE40" s="513"/>
      <c r="CF40" s="66"/>
      <c r="CG40" s="501"/>
      <c r="CH40" s="8"/>
      <c r="CO40" s="8"/>
    </row>
    <row r="41" spans="1:93" ht="14.25" customHeight="1">
      <c r="A41" s="8"/>
      <c r="B41" s="113" t="s">
        <v>195</v>
      </c>
      <c r="C41" s="114"/>
      <c r="D41" s="107">
        <f t="shared" ref="D41:AP41" si="143">D39+D33+SUM(D35:D37)</f>
        <v>15045</v>
      </c>
      <c r="E41" s="107">
        <f t="shared" si="143"/>
        <v>14486</v>
      </c>
      <c r="F41" s="107">
        <f t="shared" si="143"/>
        <v>14984</v>
      </c>
      <c r="G41" s="108">
        <f t="shared" si="143"/>
        <v>15063</v>
      </c>
      <c r="H41" s="109">
        <f t="shared" si="143"/>
        <v>14038</v>
      </c>
      <c r="I41" s="107">
        <f t="shared" si="143"/>
        <v>15928</v>
      </c>
      <c r="J41" s="107">
        <f t="shared" si="143"/>
        <v>14785</v>
      </c>
      <c r="K41" s="108">
        <f t="shared" si="143"/>
        <v>13930</v>
      </c>
      <c r="L41" s="109">
        <f t="shared" si="143"/>
        <v>13750</v>
      </c>
      <c r="M41" s="107">
        <f t="shared" si="143"/>
        <v>14020</v>
      </c>
      <c r="N41" s="107">
        <f t="shared" si="143"/>
        <v>13724</v>
      </c>
      <c r="O41" s="108">
        <f t="shared" si="143"/>
        <v>12667</v>
      </c>
      <c r="P41" s="109">
        <f t="shared" si="143"/>
        <v>12338</v>
      </c>
      <c r="Q41" s="107">
        <f t="shared" si="143"/>
        <v>12382</v>
      </c>
      <c r="R41" s="107">
        <f t="shared" si="143"/>
        <v>12466</v>
      </c>
      <c r="S41" s="108">
        <f t="shared" si="143"/>
        <v>11923</v>
      </c>
      <c r="T41" s="109">
        <f t="shared" si="143"/>
        <v>11520</v>
      </c>
      <c r="U41" s="107">
        <f t="shared" si="143"/>
        <v>11510</v>
      </c>
      <c r="V41" s="107">
        <f t="shared" si="143"/>
        <v>11903</v>
      </c>
      <c r="W41" s="108">
        <f t="shared" si="143"/>
        <v>12119</v>
      </c>
      <c r="X41" s="107">
        <f t="shared" si="143"/>
        <v>12370</v>
      </c>
      <c r="Y41" s="107">
        <f t="shared" si="143"/>
        <v>12164</v>
      </c>
      <c r="Z41" s="107">
        <f t="shared" si="143"/>
        <v>12649</v>
      </c>
      <c r="AA41" s="108">
        <f t="shared" si="143"/>
        <v>13401</v>
      </c>
      <c r="AB41" s="109">
        <f t="shared" si="143"/>
        <v>13310</v>
      </c>
      <c r="AC41" s="107">
        <f t="shared" si="143"/>
        <v>17098</v>
      </c>
      <c r="AD41" s="107">
        <f t="shared" si="143"/>
        <v>20907</v>
      </c>
      <c r="AE41" s="108">
        <f>AE39+AE33+SUM(AE35:AE37)</f>
        <v>20477</v>
      </c>
      <c r="AF41" s="109">
        <f>AF39+AF33+SUM(AF35:AF37)</f>
        <v>20009</v>
      </c>
      <c r="AG41" s="107">
        <f t="shared" si="143"/>
        <v>19521</v>
      </c>
      <c r="AH41" s="107">
        <f t="shared" si="143"/>
        <v>20514</v>
      </c>
      <c r="AI41" s="108">
        <f>AI39+AI33+SUM(AI35:AI37)</f>
        <v>20021</v>
      </c>
      <c r="AJ41" s="109">
        <f t="shared" si="143"/>
        <v>19701</v>
      </c>
      <c r="AK41" s="107">
        <f>AK39+AK33+SUM(AK35:AK37)</f>
        <v>19398</v>
      </c>
      <c r="AL41" s="107">
        <f t="shared" si="143"/>
        <v>19244</v>
      </c>
      <c r="AM41" s="108">
        <f>AM39+AM33+SUM(AM35:AM37)</f>
        <v>18938</v>
      </c>
      <c r="AN41" s="109">
        <f>AN39+AN33+SUM(AN35:AN37)</f>
        <v>18935</v>
      </c>
      <c r="AO41" s="107">
        <f>AO39+AO33+SUM(AO35:AO37)</f>
        <v>17810</v>
      </c>
      <c r="AP41" s="107">
        <f t="shared" si="143"/>
        <v>17900</v>
      </c>
      <c r="AQ41" s="108">
        <f t="shared" ref="AQ41:AW41" si="144">AQ39+AQ33+SUM(AQ35:AQ37)</f>
        <v>17722</v>
      </c>
      <c r="AR41" s="109">
        <f t="shared" si="144"/>
        <v>17346</v>
      </c>
      <c r="AS41" s="107">
        <f t="shared" si="144"/>
        <v>17532</v>
      </c>
      <c r="AT41" s="107">
        <f t="shared" si="144"/>
        <v>16540</v>
      </c>
      <c r="AU41" s="108">
        <f t="shared" si="144"/>
        <v>16230</v>
      </c>
      <c r="AV41" s="109">
        <f t="shared" si="144"/>
        <v>15686</v>
      </c>
      <c r="AW41" s="107">
        <f t="shared" si="144"/>
        <v>15693</v>
      </c>
      <c r="AX41" s="107">
        <f>AX39+AX33+SUM(AX35:AX37)</f>
        <v>16216</v>
      </c>
      <c r="AY41" s="108">
        <f t="shared" ref="AY41:BA41" si="145">AY39+AY33+SUM(AY35:AY37)</f>
        <v>16431</v>
      </c>
      <c r="AZ41" s="109">
        <f t="shared" si="145"/>
        <v>15978</v>
      </c>
      <c r="BA41" s="107">
        <f t="shared" si="145"/>
        <v>16438</v>
      </c>
      <c r="BB41" s="107">
        <f>BB39+BB33+SUM(BB35:BB37)</f>
        <v>16929</v>
      </c>
      <c r="BC41" s="108">
        <f t="shared" ref="BC41" si="146">BC39+BC33+SUM(BC35:BC37)</f>
        <v>17642</v>
      </c>
      <c r="BD41" s="109">
        <f t="shared" ref="BD41:BG41" si="147">BD39+BD33+SUM(BD35:BD37)</f>
        <v>17507</v>
      </c>
      <c r="BE41" s="107">
        <f t="shared" si="147"/>
        <v>17542.174503144688</v>
      </c>
      <c r="BF41" s="107">
        <f t="shared" si="147"/>
        <v>17692.702365791574</v>
      </c>
      <c r="BG41" s="108">
        <f t="shared" si="147"/>
        <v>17689.299623211409</v>
      </c>
      <c r="BH41" s="109">
        <f t="shared" ref="BH41:BK41" si="148">BH39+BH33+SUM(BH35:BH37)</f>
        <v>17421.994896178454</v>
      </c>
      <c r="BI41" s="107">
        <f t="shared" si="148"/>
        <v>17760.296134661523</v>
      </c>
      <c r="BJ41" s="107">
        <f t="shared" si="148"/>
        <v>18207.553434300971</v>
      </c>
      <c r="BK41" s="108">
        <f t="shared" si="148"/>
        <v>18464.662801739098</v>
      </c>
      <c r="BL41" s="109">
        <f t="shared" ref="BL41:BO41" si="149">BL39+BL33+SUM(BL35:BL37)</f>
        <v>18689.232954080217</v>
      </c>
      <c r="BM41" s="107">
        <f t="shared" si="149"/>
        <v>19104.575908346516</v>
      </c>
      <c r="BN41" s="107">
        <f t="shared" si="149"/>
        <v>19677.324999872209</v>
      </c>
      <c r="BO41" s="108">
        <f t="shared" si="149"/>
        <v>20058.105671314901</v>
      </c>
      <c r="BP41" s="90"/>
      <c r="BQ41" s="107">
        <f t="shared" ref="BQ41:BZ41" si="150">BQ39+BQ33+SUM(BQ35:BQ37)</f>
        <v>15063</v>
      </c>
      <c r="BR41" s="107">
        <f t="shared" si="150"/>
        <v>13930</v>
      </c>
      <c r="BS41" s="107">
        <f t="shared" si="150"/>
        <v>12667</v>
      </c>
      <c r="BT41" s="107">
        <f t="shared" si="150"/>
        <v>11923</v>
      </c>
      <c r="BU41" s="107">
        <f t="shared" si="150"/>
        <v>12119</v>
      </c>
      <c r="BV41" s="107">
        <f t="shared" si="150"/>
        <v>13401</v>
      </c>
      <c r="BW41" s="109">
        <f t="shared" si="150"/>
        <v>20477</v>
      </c>
      <c r="BX41" s="109">
        <f t="shared" si="150"/>
        <v>20021</v>
      </c>
      <c r="BY41" s="107">
        <f t="shared" si="150"/>
        <v>18938</v>
      </c>
      <c r="BZ41" s="107">
        <f t="shared" si="150"/>
        <v>17722</v>
      </c>
      <c r="CA41" s="107">
        <f t="shared" ref="CA41:CF41" si="151">CA39+CA33+SUM(CA35:CA37)</f>
        <v>16230</v>
      </c>
      <c r="CB41" s="107">
        <f t="shared" si="151"/>
        <v>16431</v>
      </c>
      <c r="CC41" s="107">
        <f t="shared" si="151"/>
        <v>17642</v>
      </c>
      <c r="CD41" s="107">
        <f t="shared" si="151"/>
        <v>17689.299623211409</v>
      </c>
      <c r="CE41" s="107">
        <f t="shared" si="151"/>
        <v>18464.662801739098</v>
      </c>
      <c r="CF41" s="108">
        <f t="shared" si="151"/>
        <v>20058.105671314901</v>
      </c>
      <c r="CG41" s="501"/>
      <c r="CH41" s="8"/>
      <c r="CO41" s="8"/>
    </row>
    <row r="42" spans="1:93" ht="14.25" customHeight="1">
      <c r="A42" s="8"/>
      <c r="B42" s="115"/>
      <c r="C42" s="54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55"/>
      <c r="Y42" s="88"/>
      <c r="Z42" s="55"/>
      <c r="AA42" s="116"/>
      <c r="AB42" s="55"/>
      <c r="AC42" s="88"/>
      <c r="AD42" s="55"/>
      <c r="AE42" s="116"/>
      <c r="AF42" s="55"/>
      <c r="AG42" s="55"/>
      <c r="AH42" s="55"/>
      <c r="AI42" s="116"/>
      <c r="AJ42" s="116"/>
      <c r="AK42" s="55"/>
      <c r="AL42" s="55"/>
      <c r="AM42" s="116"/>
      <c r="AN42" s="116"/>
      <c r="AO42" s="55"/>
      <c r="AP42" s="55"/>
      <c r="AQ42" s="116"/>
      <c r="AR42" s="116"/>
      <c r="AS42" s="55"/>
      <c r="AT42" s="55"/>
      <c r="AU42" s="116"/>
      <c r="AV42" s="116"/>
      <c r="AW42" s="55"/>
      <c r="AX42" s="55"/>
      <c r="AY42" s="116"/>
      <c r="AZ42" s="116"/>
      <c r="BA42" s="55"/>
      <c r="BB42" s="55"/>
      <c r="BC42" s="116"/>
      <c r="BD42" s="116"/>
      <c r="BE42" s="55"/>
      <c r="BF42" s="55"/>
      <c r="BG42" s="116"/>
      <c r="BH42" s="116"/>
      <c r="BI42" s="55"/>
      <c r="BJ42" s="55"/>
      <c r="BK42" s="116"/>
      <c r="BL42" s="116"/>
      <c r="BM42" s="55"/>
      <c r="BN42" s="55"/>
      <c r="BO42" s="116"/>
      <c r="BP42" s="14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8"/>
      <c r="CC42" s="88"/>
      <c r="CD42" s="88"/>
      <c r="CE42" s="88"/>
      <c r="CF42" s="88"/>
      <c r="CG42" s="8"/>
      <c r="CH42" s="8"/>
      <c r="CO42" s="8"/>
    </row>
    <row r="43" spans="1:93" ht="14.25" customHeight="1">
      <c r="A43" s="8"/>
      <c r="B43" s="117" t="s">
        <v>196</v>
      </c>
      <c r="C43" s="118"/>
      <c r="D43" s="119">
        <f t="shared" ref="D43:AQ43" si="152">IF(ROUND(D41,4)=ROUND(D26,4),0,D41-D26)</f>
        <v>0</v>
      </c>
      <c r="E43" s="119">
        <f t="shared" si="152"/>
        <v>0</v>
      </c>
      <c r="F43" s="119">
        <f t="shared" si="152"/>
        <v>0</v>
      </c>
      <c r="G43" s="120">
        <f t="shared" si="152"/>
        <v>0</v>
      </c>
      <c r="H43" s="121">
        <f t="shared" si="152"/>
        <v>0</v>
      </c>
      <c r="I43" s="119">
        <f t="shared" si="152"/>
        <v>0</v>
      </c>
      <c r="J43" s="119">
        <f t="shared" si="152"/>
        <v>0</v>
      </c>
      <c r="K43" s="120">
        <f t="shared" si="152"/>
        <v>0</v>
      </c>
      <c r="L43" s="121">
        <f t="shared" si="152"/>
        <v>0</v>
      </c>
      <c r="M43" s="119">
        <f t="shared" si="152"/>
        <v>0</v>
      </c>
      <c r="N43" s="119">
        <f t="shared" si="152"/>
        <v>0</v>
      </c>
      <c r="O43" s="120">
        <f t="shared" si="152"/>
        <v>0</v>
      </c>
      <c r="P43" s="121">
        <f t="shared" si="152"/>
        <v>0</v>
      </c>
      <c r="Q43" s="119">
        <f t="shared" si="152"/>
        <v>0</v>
      </c>
      <c r="R43" s="119">
        <f t="shared" si="152"/>
        <v>0</v>
      </c>
      <c r="S43" s="120">
        <f t="shared" si="152"/>
        <v>0</v>
      </c>
      <c r="T43" s="121">
        <f t="shared" si="152"/>
        <v>0</v>
      </c>
      <c r="U43" s="119">
        <f t="shared" si="152"/>
        <v>0</v>
      </c>
      <c r="V43" s="119">
        <f t="shared" si="152"/>
        <v>0</v>
      </c>
      <c r="W43" s="120">
        <f t="shared" si="152"/>
        <v>0</v>
      </c>
      <c r="X43" s="119">
        <f t="shared" si="152"/>
        <v>0</v>
      </c>
      <c r="Y43" s="119">
        <f t="shared" si="152"/>
        <v>0</v>
      </c>
      <c r="Z43" s="119">
        <f t="shared" si="152"/>
        <v>0</v>
      </c>
      <c r="AA43" s="120">
        <f t="shared" si="152"/>
        <v>0</v>
      </c>
      <c r="AB43" s="119">
        <f t="shared" si="152"/>
        <v>0</v>
      </c>
      <c r="AC43" s="119">
        <f t="shared" si="152"/>
        <v>0</v>
      </c>
      <c r="AD43" s="119">
        <f t="shared" si="152"/>
        <v>0</v>
      </c>
      <c r="AE43" s="120">
        <f t="shared" si="152"/>
        <v>0</v>
      </c>
      <c r="AF43" s="119">
        <f t="shared" si="152"/>
        <v>0</v>
      </c>
      <c r="AG43" s="119">
        <f t="shared" si="152"/>
        <v>0</v>
      </c>
      <c r="AH43" s="119">
        <f t="shared" si="152"/>
        <v>0</v>
      </c>
      <c r="AI43" s="120">
        <f t="shared" si="152"/>
        <v>0</v>
      </c>
      <c r="AJ43" s="121">
        <f t="shared" si="152"/>
        <v>0</v>
      </c>
      <c r="AK43" s="119">
        <f>IF(ROUND(AK41,4)=ROUND(AK26,4),0,AK41-AK26)</f>
        <v>0</v>
      </c>
      <c r="AL43" s="119">
        <f t="shared" si="152"/>
        <v>0</v>
      </c>
      <c r="AM43" s="120">
        <f>IF(ROUND(AM41,4)=ROUND(AM26,4),0,AM41-AM26)</f>
        <v>0</v>
      </c>
      <c r="AN43" s="121">
        <f t="shared" si="152"/>
        <v>0</v>
      </c>
      <c r="AO43" s="119">
        <f>IF(ROUND(AO41,4)=ROUND(AO26,4),0,AO41-AO26)</f>
        <v>0</v>
      </c>
      <c r="AP43" s="119">
        <f>IF(ROUND(AP41,4)=ROUND(AP26,4),0,AP41-AP26)</f>
        <v>0</v>
      </c>
      <c r="AQ43" s="120">
        <f t="shared" si="152"/>
        <v>0</v>
      </c>
      <c r="AR43" s="121">
        <f t="shared" ref="AR43:BC43" si="153">IF(ROUND(AR41,4)=ROUND(AR26,4),0,AR41-AR26)</f>
        <v>0</v>
      </c>
      <c r="AS43" s="119">
        <f t="shared" si="153"/>
        <v>0</v>
      </c>
      <c r="AT43" s="119">
        <f t="shared" si="153"/>
        <v>0</v>
      </c>
      <c r="AU43" s="120">
        <f t="shared" si="153"/>
        <v>0</v>
      </c>
      <c r="AV43" s="121">
        <f t="shared" si="153"/>
        <v>0</v>
      </c>
      <c r="AW43" s="119">
        <f t="shared" si="153"/>
        <v>0</v>
      </c>
      <c r="AX43" s="119">
        <f>IF(ROUND(AX41,4)=ROUND(AX26,4),0,AX41-AX26)</f>
        <v>0</v>
      </c>
      <c r="AY43" s="120">
        <f t="shared" ref="AY43:BA43" si="154">IF(ROUND(AY41,4)=ROUND(AY26,4),0,AY41-AY26)</f>
        <v>0</v>
      </c>
      <c r="AZ43" s="121">
        <f t="shared" si="154"/>
        <v>0</v>
      </c>
      <c r="BA43" s="119">
        <f t="shared" si="154"/>
        <v>0</v>
      </c>
      <c r="BB43" s="119">
        <f>IF(ROUND(BB41,4)=ROUND(BB26,4),0,BB41-BB26)</f>
        <v>0</v>
      </c>
      <c r="BC43" s="120">
        <f t="shared" si="153"/>
        <v>0</v>
      </c>
      <c r="BD43" s="121">
        <f t="shared" ref="BD43:BG43" si="155">IF(ROUND(BD41,4)=ROUND(BD26,4),0,BD41-BD26)</f>
        <v>0</v>
      </c>
      <c r="BE43" s="119">
        <f t="shared" si="155"/>
        <v>0</v>
      </c>
      <c r="BF43" s="119">
        <f t="shared" si="155"/>
        <v>0</v>
      </c>
      <c r="BG43" s="120">
        <f t="shared" si="155"/>
        <v>0</v>
      </c>
      <c r="BH43" s="121">
        <f t="shared" ref="BH43:BK43" si="156">IF(ROUND(BH41,4)=ROUND(BH26,4),0,BH41-BH26)</f>
        <v>0</v>
      </c>
      <c r="BI43" s="119">
        <f t="shared" si="156"/>
        <v>0</v>
      </c>
      <c r="BJ43" s="119">
        <f t="shared" si="156"/>
        <v>0</v>
      </c>
      <c r="BK43" s="120">
        <f t="shared" si="156"/>
        <v>0</v>
      </c>
      <c r="BL43" s="121">
        <f t="shared" ref="BL43:BO43" si="157">IF(ROUND(BL41,4)=ROUND(BL26,4),0,BL41-BL26)</f>
        <v>0</v>
      </c>
      <c r="BM43" s="119">
        <f t="shared" si="157"/>
        <v>0</v>
      </c>
      <c r="BN43" s="119">
        <f t="shared" si="157"/>
        <v>0</v>
      </c>
      <c r="BO43" s="120">
        <f t="shared" si="157"/>
        <v>0</v>
      </c>
      <c r="BP43" s="20"/>
      <c r="BQ43" s="119">
        <f t="shared" ref="BQ43:BZ43" si="158">IF(ROUND(BQ41,4)=ROUND(BQ26,4),0,BQ41-BQ26)</f>
        <v>0</v>
      </c>
      <c r="BR43" s="119">
        <f t="shared" si="158"/>
        <v>0</v>
      </c>
      <c r="BS43" s="119">
        <f t="shared" si="158"/>
        <v>0</v>
      </c>
      <c r="BT43" s="119">
        <f t="shared" si="158"/>
        <v>0</v>
      </c>
      <c r="BU43" s="119">
        <f t="shared" si="158"/>
        <v>0</v>
      </c>
      <c r="BV43" s="119">
        <f t="shared" si="158"/>
        <v>0</v>
      </c>
      <c r="BW43" s="119">
        <f t="shared" si="158"/>
        <v>0</v>
      </c>
      <c r="BX43" s="119">
        <f t="shared" si="158"/>
        <v>0</v>
      </c>
      <c r="BY43" s="119">
        <f t="shared" si="158"/>
        <v>0</v>
      </c>
      <c r="BZ43" s="119">
        <f t="shared" si="158"/>
        <v>0</v>
      </c>
      <c r="CA43" s="119">
        <f t="shared" ref="CA43:CF43" si="159">IF(ROUND(CA41,4)=ROUND(CA26,4),0,CA41-CA26)</f>
        <v>0</v>
      </c>
      <c r="CB43" s="119">
        <f t="shared" si="159"/>
        <v>0</v>
      </c>
      <c r="CC43" s="119">
        <f t="shared" si="159"/>
        <v>0</v>
      </c>
      <c r="CD43" s="119">
        <f t="shared" si="159"/>
        <v>0</v>
      </c>
      <c r="CE43" s="119">
        <f t="shared" si="159"/>
        <v>0</v>
      </c>
      <c r="CF43" s="120">
        <f t="shared" si="159"/>
        <v>0</v>
      </c>
      <c r="CG43" s="297"/>
      <c r="CH43" s="8"/>
      <c r="CO43" s="8"/>
    </row>
    <row r="44" spans="1:93" ht="14.25" customHeight="1">
      <c r="A44" s="8"/>
      <c r="B44" s="53"/>
      <c r="C44" s="54"/>
      <c r="D44" s="410"/>
      <c r="E44" s="410"/>
      <c r="F44" s="410"/>
      <c r="G44" s="410"/>
      <c r="H44" s="410"/>
      <c r="I44" s="410"/>
      <c r="J44" s="410"/>
      <c r="K44" s="410"/>
      <c r="L44" s="410"/>
      <c r="M44" s="410"/>
      <c r="N44" s="410"/>
      <c r="O44" s="410"/>
      <c r="P44" s="410"/>
      <c r="Q44" s="410"/>
      <c r="R44" s="410"/>
      <c r="S44" s="410"/>
      <c r="T44" s="410"/>
      <c r="U44" s="410"/>
      <c r="V44" s="410"/>
      <c r="W44" s="410"/>
      <c r="X44" s="410"/>
      <c r="Y44" s="410"/>
      <c r="Z44" s="410"/>
      <c r="AA44" s="410"/>
      <c r="AB44" s="410"/>
      <c r="AC44" s="410"/>
      <c r="AD44" s="410"/>
      <c r="AE44" s="410"/>
      <c r="AF44" s="410"/>
      <c r="AG44" s="410"/>
      <c r="AH44" s="410"/>
      <c r="AI44" s="410"/>
      <c r="AJ44" s="410"/>
      <c r="AK44" s="410"/>
      <c r="AL44" s="410"/>
      <c r="AM44" s="410"/>
      <c r="AN44" s="122"/>
      <c r="AO44" s="410"/>
      <c r="AP44" s="122"/>
      <c r="AQ44" s="410"/>
      <c r="AR44" s="122"/>
      <c r="AS44" s="410"/>
      <c r="AT44" s="122"/>
      <c r="AU44" s="410"/>
      <c r="AV44" s="122"/>
      <c r="AW44" s="410"/>
      <c r="AX44" s="122"/>
      <c r="AY44" s="410"/>
      <c r="AZ44" s="122"/>
      <c r="BA44" s="122"/>
      <c r="BB44" s="122"/>
      <c r="BC44" s="123"/>
      <c r="BD44" s="122"/>
      <c r="BE44" s="122"/>
      <c r="BF44" s="122"/>
      <c r="BG44" s="123"/>
      <c r="BH44" s="122"/>
      <c r="BI44" s="122"/>
      <c r="BJ44" s="122"/>
      <c r="BK44" s="123"/>
      <c r="BL44" s="122"/>
      <c r="BM44" s="122"/>
      <c r="BN44" s="122"/>
      <c r="BO44" s="123"/>
      <c r="BP44" s="14"/>
      <c r="BQ44" s="88"/>
      <c r="BR44" s="88"/>
      <c r="BS44" s="88"/>
      <c r="BT44" s="88"/>
      <c r="BU44" s="88"/>
      <c r="BV44" s="88"/>
      <c r="BW44" s="56"/>
      <c r="BX44" s="124"/>
      <c r="BY44" s="124"/>
      <c r="BZ44" s="124"/>
      <c r="CA44" s="124"/>
      <c r="CB44" s="124"/>
      <c r="CC44" s="124"/>
      <c r="CD44" s="124"/>
      <c r="CE44" s="124"/>
      <c r="CF44" s="124"/>
      <c r="CG44" s="8"/>
      <c r="CH44" s="8"/>
      <c r="CO44" s="8"/>
    </row>
    <row r="45" spans="1:93" ht="14.25" customHeight="1">
      <c r="A45" s="8"/>
      <c r="B45" s="57"/>
      <c r="C45" s="54"/>
      <c r="D45" s="514"/>
      <c r="E45" s="514"/>
      <c r="F45" s="514"/>
      <c r="G45" s="514"/>
      <c r="H45" s="514"/>
      <c r="I45" s="514"/>
      <c r="J45" s="514"/>
      <c r="K45" s="514"/>
      <c r="L45" s="514"/>
      <c r="M45" s="514"/>
      <c r="N45" s="514"/>
      <c r="O45" s="514"/>
      <c r="P45" s="514"/>
      <c r="Q45" s="514"/>
      <c r="R45" s="514"/>
      <c r="S45" s="514"/>
      <c r="T45" s="514"/>
      <c r="U45" s="514"/>
      <c r="V45" s="514"/>
      <c r="W45" s="514"/>
      <c r="X45" s="514"/>
      <c r="Y45" s="514"/>
      <c r="Z45" s="514"/>
      <c r="AA45" s="515"/>
      <c r="AB45" s="514"/>
      <c r="AC45" s="514"/>
      <c r="AD45" s="514"/>
      <c r="AE45" s="515"/>
      <c r="AF45" s="514"/>
      <c r="AG45" s="514"/>
      <c r="AH45" s="514"/>
      <c r="AI45" s="515"/>
      <c r="AJ45" s="514"/>
      <c r="AK45" s="514"/>
      <c r="AL45" s="514"/>
      <c r="AM45" s="515"/>
      <c r="AN45" s="55"/>
      <c r="AO45" s="514"/>
      <c r="AP45" s="55"/>
      <c r="AQ45" s="515"/>
      <c r="AR45" s="55"/>
      <c r="AS45" s="514"/>
      <c r="AT45" s="55"/>
      <c r="AU45" s="515"/>
      <c r="AV45" s="55"/>
      <c r="AW45" s="514"/>
      <c r="AX45" s="55"/>
      <c r="AY45" s="515"/>
      <c r="AZ45" s="55"/>
      <c r="BA45" s="55"/>
      <c r="BB45" s="55"/>
      <c r="BC45" s="125"/>
      <c r="BD45" s="55"/>
      <c r="BE45" s="55"/>
      <c r="BF45" s="55"/>
      <c r="BG45" s="125"/>
      <c r="BH45" s="55"/>
      <c r="BI45" s="55"/>
      <c r="BJ45" s="55"/>
      <c r="BK45" s="125"/>
      <c r="BL45" s="55"/>
      <c r="BM45" s="55"/>
      <c r="BN45" s="55"/>
      <c r="BO45" s="125"/>
      <c r="BP45" s="14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8"/>
      <c r="CC45" s="88"/>
      <c r="CD45" s="88"/>
      <c r="CE45" s="88"/>
      <c r="CF45" s="88"/>
      <c r="CG45" s="8"/>
      <c r="CH45" s="8"/>
      <c r="CO45" s="8"/>
    </row>
    <row r="46" spans="1:93" ht="14.25" customHeight="1">
      <c r="A46" s="8"/>
      <c r="B46" s="126" t="s">
        <v>197</v>
      </c>
      <c r="C46" s="127"/>
      <c r="D46" s="18" t="str">
        <f t="shared" ref="D46:AQ46" si="160">D9</f>
        <v>F1Q05A</v>
      </c>
      <c r="E46" s="18" t="str">
        <f t="shared" si="160"/>
        <v>F2Q05A</v>
      </c>
      <c r="F46" s="18" t="str">
        <f t="shared" si="160"/>
        <v>F3Q05A</v>
      </c>
      <c r="G46" s="19" t="str">
        <f t="shared" si="160"/>
        <v>F4Q05A</v>
      </c>
      <c r="H46" s="17" t="str">
        <f t="shared" si="160"/>
        <v>F1Q06A</v>
      </c>
      <c r="I46" s="18" t="str">
        <f t="shared" si="160"/>
        <v>F2Q06A</v>
      </c>
      <c r="J46" s="18" t="str">
        <f t="shared" si="160"/>
        <v>F3Q06A</v>
      </c>
      <c r="K46" s="19" t="str">
        <f t="shared" si="160"/>
        <v>F4Q06A</v>
      </c>
      <c r="L46" s="17" t="str">
        <f t="shared" si="160"/>
        <v>F1Q07A</v>
      </c>
      <c r="M46" s="18" t="str">
        <f t="shared" si="160"/>
        <v>F2Q07A</v>
      </c>
      <c r="N46" s="18" t="str">
        <f t="shared" si="160"/>
        <v>F3Q07A</v>
      </c>
      <c r="O46" s="19" t="str">
        <f t="shared" si="160"/>
        <v>F4Q07A</v>
      </c>
      <c r="P46" s="17" t="str">
        <f t="shared" si="160"/>
        <v>F1Q08A</v>
      </c>
      <c r="Q46" s="18" t="str">
        <f t="shared" si="160"/>
        <v>F2Q08A</v>
      </c>
      <c r="R46" s="18" t="str">
        <f t="shared" si="160"/>
        <v>F3Q08A</v>
      </c>
      <c r="S46" s="19" t="str">
        <f t="shared" si="160"/>
        <v>F4Q08A</v>
      </c>
      <c r="T46" s="17" t="str">
        <f t="shared" si="160"/>
        <v>F1Q09A</v>
      </c>
      <c r="U46" s="18" t="str">
        <f t="shared" si="160"/>
        <v>F2Q09A</v>
      </c>
      <c r="V46" s="18" t="str">
        <f t="shared" si="160"/>
        <v>F3Q09A</v>
      </c>
      <c r="W46" s="19" t="str">
        <f t="shared" si="160"/>
        <v>F4Q09A</v>
      </c>
      <c r="X46" s="17" t="str">
        <f>X9</f>
        <v>F1Q10A</v>
      </c>
      <c r="Y46" s="18" t="str">
        <f t="shared" si="160"/>
        <v>F2Q10A</v>
      </c>
      <c r="Z46" s="18" t="str">
        <f t="shared" si="160"/>
        <v>F3Q10A</v>
      </c>
      <c r="AA46" s="19" t="str">
        <f t="shared" si="160"/>
        <v>F4Q10A</v>
      </c>
      <c r="AB46" s="17" t="str">
        <f>AB9</f>
        <v>F1Q11A</v>
      </c>
      <c r="AC46" s="18" t="str">
        <f t="shared" si="160"/>
        <v>F2Q11A</v>
      </c>
      <c r="AD46" s="18" t="str">
        <f t="shared" si="160"/>
        <v>F3Q11A</v>
      </c>
      <c r="AE46" s="19" t="str">
        <f>AE9</f>
        <v>F4Q11A</v>
      </c>
      <c r="AF46" s="17" t="str">
        <f>AF9</f>
        <v>F1Q12A</v>
      </c>
      <c r="AG46" s="18" t="str">
        <f t="shared" si="160"/>
        <v>F2Q12A</v>
      </c>
      <c r="AH46" s="18" t="str">
        <f t="shared" si="160"/>
        <v>F3Q12A</v>
      </c>
      <c r="AI46" s="19" t="str">
        <f>AI9</f>
        <v>F4Q12A</v>
      </c>
      <c r="AJ46" s="17" t="str">
        <f t="shared" si="160"/>
        <v>F1Q13A</v>
      </c>
      <c r="AK46" s="18" t="str">
        <f>AK9</f>
        <v>F2Q13A</v>
      </c>
      <c r="AL46" s="18" t="str">
        <f t="shared" si="160"/>
        <v>F3Q13A</v>
      </c>
      <c r="AM46" s="19" t="str">
        <f t="shared" si="160"/>
        <v>F4Q13A</v>
      </c>
      <c r="AN46" s="17" t="str">
        <f t="shared" si="160"/>
        <v>F1Q14A</v>
      </c>
      <c r="AO46" s="18" t="str">
        <f t="shared" si="160"/>
        <v>F2Q14A</v>
      </c>
      <c r="AP46" s="18" t="str">
        <f t="shared" si="160"/>
        <v>F3Q14A</v>
      </c>
      <c r="AQ46" s="19" t="str">
        <f t="shared" si="160"/>
        <v>F4Q14A</v>
      </c>
      <c r="AR46" s="17" t="str">
        <f t="shared" ref="AR46:AV46" si="161">AR9</f>
        <v>F1Q15A</v>
      </c>
      <c r="AS46" s="18" t="str">
        <f t="shared" si="161"/>
        <v>F2Q15A</v>
      </c>
      <c r="AT46" s="18" t="str">
        <f t="shared" si="161"/>
        <v>F3Q15A</v>
      </c>
      <c r="AU46" s="19" t="str">
        <f t="shared" si="161"/>
        <v>F4Q15A</v>
      </c>
      <c r="AV46" s="17" t="str">
        <f t="shared" si="161"/>
        <v>F1Q16A</v>
      </c>
      <c r="AW46" s="18" t="str">
        <f>AW9</f>
        <v>F2Q16A</v>
      </c>
      <c r="AX46" s="18" t="str">
        <f>AX9</f>
        <v>F3Q16A</v>
      </c>
      <c r="AY46" s="19" t="str">
        <f t="shared" ref="AY46:AZ46" si="162">AY9</f>
        <v>F4Q16A</v>
      </c>
      <c r="AZ46" s="17" t="str">
        <f t="shared" si="162"/>
        <v>F1Q17A</v>
      </c>
      <c r="BA46" s="18" t="str">
        <f t="shared" ref="BA46:BG46" si="163">BA9</f>
        <v>F2Q17A</v>
      </c>
      <c r="BB46" s="18" t="str">
        <f t="shared" si="163"/>
        <v>F3Q17A</v>
      </c>
      <c r="BC46" s="19" t="str">
        <f t="shared" si="163"/>
        <v>F4Q17A</v>
      </c>
      <c r="BD46" s="17" t="str">
        <f t="shared" si="163"/>
        <v>F1Q18A</v>
      </c>
      <c r="BE46" s="18" t="str">
        <f t="shared" si="163"/>
        <v>F2Q18E</v>
      </c>
      <c r="BF46" s="18" t="str">
        <f t="shared" si="163"/>
        <v>F3Q18E</v>
      </c>
      <c r="BG46" s="19" t="str">
        <f t="shared" si="163"/>
        <v>F4Q18E</v>
      </c>
      <c r="BH46" s="17" t="str">
        <f t="shared" ref="BH46:BK46" si="164">BH9</f>
        <v>F1Q19E</v>
      </c>
      <c r="BI46" s="18" t="str">
        <f t="shared" si="164"/>
        <v>F2Q19E</v>
      </c>
      <c r="BJ46" s="18" t="str">
        <f t="shared" si="164"/>
        <v>F3Q19E</v>
      </c>
      <c r="BK46" s="19" t="str">
        <f t="shared" si="164"/>
        <v>F4Q19E</v>
      </c>
      <c r="BL46" s="17" t="str">
        <f t="shared" ref="BL46:BO46" si="165">BL9</f>
        <v>F1Q20E</v>
      </c>
      <c r="BM46" s="18" t="str">
        <f t="shared" si="165"/>
        <v>F2Q20E</v>
      </c>
      <c r="BN46" s="18" t="str">
        <f t="shared" si="165"/>
        <v>F3Q20E</v>
      </c>
      <c r="BO46" s="19" t="str">
        <f t="shared" si="165"/>
        <v>F4Q20E</v>
      </c>
      <c r="BP46" s="297"/>
      <c r="BQ46" s="17" t="str">
        <f>BQ9</f>
        <v>FY2005A</v>
      </c>
      <c r="BR46" s="18" t="str">
        <f>BR9</f>
        <v>FY2006A</v>
      </c>
      <c r="BS46" s="18" t="str">
        <f>BS9</f>
        <v>FY2007A</v>
      </c>
      <c r="BT46" s="18" t="str">
        <f>BT9</f>
        <v>FY2008A</v>
      </c>
      <c r="BU46" s="18" t="str">
        <f t="shared" ref="BU46:CA46" si="166">BU9</f>
        <v>FY2009A</v>
      </c>
      <c r="BV46" s="17" t="str">
        <f t="shared" si="166"/>
        <v>FY2010A</v>
      </c>
      <c r="BW46" s="18" t="str">
        <f t="shared" si="166"/>
        <v>FY2011A</v>
      </c>
      <c r="BX46" s="18" t="str">
        <f t="shared" si="166"/>
        <v>FY2012A</v>
      </c>
      <c r="BY46" s="18" t="str">
        <f t="shared" si="166"/>
        <v>FY2013A</v>
      </c>
      <c r="BZ46" s="18" t="str">
        <f t="shared" si="166"/>
        <v>FY2014A</v>
      </c>
      <c r="CA46" s="18" t="str">
        <f t="shared" si="166"/>
        <v>FY2015A</v>
      </c>
      <c r="CB46" s="18" t="str">
        <f>CB9</f>
        <v>FY2016A</v>
      </c>
      <c r="CC46" s="18" t="str">
        <f>CC9</f>
        <v>FY2017E</v>
      </c>
      <c r="CD46" s="18" t="str">
        <f>CD9</f>
        <v>FY2018E</v>
      </c>
      <c r="CE46" s="18" t="str">
        <f>CE9</f>
        <v>FY2019E</v>
      </c>
      <c r="CF46" s="19" t="str">
        <f>CF9</f>
        <v>FY2020E</v>
      </c>
      <c r="CG46" s="297"/>
      <c r="CH46" s="8"/>
      <c r="CO46" s="8"/>
    </row>
    <row r="47" spans="1:93" ht="14.25" customHeight="1">
      <c r="A47" s="12"/>
      <c r="B47" s="342" t="s">
        <v>198</v>
      </c>
      <c r="C47" s="21"/>
      <c r="D47" s="63">
        <f t="shared" ref="D47:AJ47" si="167">D13/(D53*4)*365</f>
        <v>57.276091783863805</v>
      </c>
      <c r="E47" s="63">
        <f t="shared" si="167"/>
        <v>58.417199596095585</v>
      </c>
      <c r="F47" s="63">
        <f t="shared" si="167"/>
        <v>52.334156933213535</v>
      </c>
      <c r="G47" s="64">
        <f t="shared" si="167"/>
        <v>45.240673886883272</v>
      </c>
      <c r="H47" s="503">
        <f t="shared" si="167"/>
        <v>49.210407918416323</v>
      </c>
      <c r="I47" s="63">
        <f t="shared" si="167"/>
        <v>47.611915066269951</v>
      </c>
      <c r="J47" s="63">
        <f t="shared" si="167"/>
        <v>50.683661260303111</v>
      </c>
      <c r="K47" s="64">
        <f t="shared" si="167"/>
        <v>46.744874386370199</v>
      </c>
      <c r="L47" s="503">
        <f t="shared" si="167"/>
        <v>50.21466624882482</v>
      </c>
      <c r="M47" s="63">
        <f t="shared" si="167"/>
        <v>50.555271612149532</v>
      </c>
      <c r="N47" s="63">
        <f t="shared" si="167"/>
        <v>50.395509145509145</v>
      </c>
      <c r="O47" s="64">
        <f t="shared" si="167"/>
        <v>44.701209223847023</v>
      </c>
      <c r="P47" s="503">
        <f t="shared" si="167"/>
        <v>46.545308679706601</v>
      </c>
      <c r="Q47" s="63">
        <f t="shared" si="167"/>
        <v>49.314756789018205</v>
      </c>
      <c r="R47" s="63">
        <f t="shared" si="167"/>
        <v>47.793770298199</v>
      </c>
      <c r="S47" s="64">
        <f t="shared" si="167"/>
        <v>33.444901645925327</v>
      </c>
      <c r="T47" s="503">
        <f t="shared" si="167"/>
        <v>49.212008628954941</v>
      </c>
      <c r="U47" s="63">
        <f t="shared" si="167"/>
        <v>46.200651200651201</v>
      </c>
      <c r="V47" s="63">
        <f t="shared" si="167"/>
        <v>45.466579861111114</v>
      </c>
      <c r="W47" s="64">
        <f t="shared" si="167"/>
        <v>38.790362849533949</v>
      </c>
      <c r="X47" s="503">
        <f t="shared" si="167"/>
        <v>43.446957878315132</v>
      </c>
      <c r="Y47" s="63">
        <f t="shared" si="167"/>
        <v>44.763658466819223</v>
      </c>
      <c r="Z47" s="63">
        <f t="shared" si="167"/>
        <v>42.794786096256686</v>
      </c>
      <c r="AA47" s="64">
        <f t="shared" si="167"/>
        <v>39.295744680851065</v>
      </c>
      <c r="AB47" s="503">
        <f t="shared" si="167"/>
        <v>42.181603773584904</v>
      </c>
      <c r="AC47" s="63">
        <f t="shared" si="167"/>
        <v>44.120879120879124</v>
      </c>
      <c r="AD47" s="63">
        <f t="shared" si="167"/>
        <v>46.967686093479522</v>
      </c>
      <c r="AE47" s="64">
        <f t="shared" si="167"/>
        <v>41.222587719298247</v>
      </c>
      <c r="AF47" s="503">
        <f t="shared" si="167"/>
        <v>43.212912528035886</v>
      </c>
      <c r="AG47" s="516">
        <f t="shared" si="167"/>
        <v>44.571589205397302</v>
      </c>
      <c r="AH47" s="516">
        <f t="shared" si="167"/>
        <v>43.686946902654867</v>
      </c>
      <c r="AI47" s="64">
        <f t="shared" si="167"/>
        <v>37.676233635448142</v>
      </c>
      <c r="AJ47" s="503">
        <f t="shared" si="167"/>
        <v>42.161611785095324</v>
      </c>
      <c r="AK47" s="516">
        <f t="shared" ref="AK47:AQ47" si="168">AK13/(AK53*4)*365</f>
        <v>44.651706596652446</v>
      </c>
      <c r="AL47" s="516">
        <f t="shared" si="168"/>
        <v>42.868372379778052</v>
      </c>
      <c r="AM47" s="64">
        <f t="shared" si="168"/>
        <v>36.252889696169085</v>
      </c>
      <c r="AN47" s="503">
        <f t="shared" si="168"/>
        <v>41.449463627220915</v>
      </c>
      <c r="AO47" s="516">
        <f t="shared" si="168"/>
        <v>42.326473268529767</v>
      </c>
      <c r="AP47" s="516">
        <f t="shared" si="168"/>
        <v>38.496500999714364</v>
      </c>
      <c r="AQ47" s="64">
        <f t="shared" si="168"/>
        <v>34.780513918629552</v>
      </c>
      <c r="AR47" s="503">
        <f t="shared" ref="AR47:AW47" si="169">AR13/(AR53*4)*365</f>
        <v>40.381746031746033</v>
      </c>
      <c r="AS47" s="516">
        <f t="shared" si="169"/>
        <v>40.486540841584159</v>
      </c>
      <c r="AT47" s="516">
        <f t="shared" si="169"/>
        <v>39.411271507728202</v>
      </c>
      <c r="AU47" s="64">
        <f t="shared" si="169"/>
        <v>33.33529319535905</v>
      </c>
      <c r="AV47" s="503">
        <f t="shared" si="169"/>
        <v>38.49609375</v>
      </c>
      <c r="AW47" s="516">
        <f t="shared" si="169"/>
        <v>37.581729300336079</v>
      </c>
      <c r="AX47" s="516">
        <f>AX13/(AX53*4)*365</f>
        <v>35.928911564625849</v>
      </c>
      <c r="AY47" s="64">
        <f t="shared" ref="AY47:BA47" si="170">AY13/(AY53*4)*365</f>
        <v>33.864601640304627</v>
      </c>
      <c r="AZ47" s="503">
        <f t="shared" si="170"/>
        <v>35.861625514403293</v>
      </c>
      <c r="BA47" s="516">
        <f t="shared" si="170"/>
        <v>36.297386948280526</v>
      </c>
      <c r="BB47" s="516">
        <f t="shared" ref="BB47:BD47" si="171">BB13/(BB53*4)*365</f>
        <v>34.939261418853256</v>
      </c>
      <c r="BC47" s="64">
        <f t="shared" si="171"/>
        <v>31.097999999999999</v>
      </c>
      <c r="BD47" s="503">
        <f t="shared" si="171"/>
        <v>35.016495117445238</v>
      </c>
      <c r="BE47" s="519">
        <v>38</v>
      </c>
      <c r="BF47" s="519">
        <v>38</v>
      </c>
      <c r="BG47" s="517">
        <v>38</v>
      </c>
      <c r="BH47" s="518">
        <v>38</v>
      </c>
      <c r="BI47" s="519">
        <v>38</v>
      </c>
      <c r="BJ47" s="519">
        <v>38</v>
      </c>
      <c r="BK47" s="517">
        <v>38</v>
      </c>
      <c r="BL47" s="518">
        <v>38</v>
      </c>
      <c r="BM47" s="519">
        <v>38</v>
      </c>
      <c r="BN47" s="519">
        <v>38</v>
      </c>
      <c r="BO47" s="517">
        <v>38</v>
      </c>
      <c r="BP47" s="520"/>
      <c r="BQ47" s="63">
        <f t="shared" ref="BQ47:BZ47" si="172">BQ13/BQ53*365</f>
        <v>48.761348897535669</v>
      </c>
      <c r="BR47" s="63">
        <f t="shared" si="172"/>
        <v>45.423360224482636</v>
      </c>
      <c r="BS47" s="63">
        <f t="shared" si="172"/>
        <v>45.961399450628889</v>
      </c>
      <c r="BT47" s="63">
        <f t="shared" si="172"/>
        <v>26.657467402607789</v>
      </c>
      <c r="BU47" s="63">
        <f t="shared" si="172"/>
        <v>44.701735878009011</v>
      </c>
      <c r="BV47" s="63">
        <f t="shared" si="172"/>
        <v>39.672776743519975</v>
      </c>
      <c r="BW47" s="63">
        <f t="shared" si="172"/>
        <v>41.054528246942347</v>
      </c>
      <c r="BX47" s="63">
        <f t="shared" si="172"/>
        <v>35.005847953216374</v>
      </c>
      <c r="BY47" s="63">
        <f t="shared" si="172"/>
        <v>35.979596853490655</v>
      </c>
      <c r="BZ47" s="63">
        <f t="shared" si="172"/>
        <v>34.863165963970872</v>
      </c>
      <c r="CA47" s="63">
        <f t="shared" ref="CA47:CF47" si="173">CA13/CA53*365</f>
        <v>32.709615384615383</v>
      </c>
      <c r="CB47" s="63">
        <f t="shared" si="173"/>
        <v>34.589005235602095</v>
      </c>
      <c r="CC47" s="63">
        <f t="shared" si="173"/>
        <v>31.179065570483257</v>
      </c>
      <c r="CD47" s="63">
        <f t="shared" si="173"/>
        <v>37.840998753781861</v>
      </c>
      <c r="CE47" s="63">
        <f t="shared" si="173"/>
        <v>37.883184943108937</v>
      </c>
      <c r="CF47" s="64">
        <f t="shared" si="173"/>
        <v>37.886007362671364</v>
      </c>
      <c r="CG47" s="342"/>
      <c r="CH47" s="12"/>
      <c r="CO47" s="12"/>
    </row>
    <row r="48" spans="1:93" ht="14.25" customHeight="1">
      <c r="A48" s="12"/>
      <c r="B48" s="342" t="s">
        <v>199</v>
      </c>
      <c r="C48" s="21"/>
      <c r="D48" s="63">
        <f t="shared" ref="D48:BO48" si="174">365/D49</f>
        <v>4.7294231872545129</v>
      </c>
      <c r="E48" s="63">
        <f t="shared" si="174"/>
        <v>5.1555557587171563</v>
      </c>
      <c r="F48" s="63">
        <f t="shared" si="174"/>
        <v>5.7116760614169948</v>
      </c>
      <c r="G48" s="64">
        <f t="shared" si="174"/>
        <v>5.6424630222098582</v>
      </c>
      <c r="H48" s="503">
        <f t="shared" si="174"/>
        <v>5.3501314095214578</v>
      </c>
      <c r="I48" s="63">
        <f t="shared" si="174"/>
        <v>5.3780302094908841</v>
      </c>
      <c r="J48" s="63">
        <f t="shared" si="174"/>
        <v>4.9202541254855143</v>
      </c>
      <c r="K48" s="64">
        <f t="shared" si="174"/>
        <v>4.7869493067822928</v>
      </c>
      <c r="L48" s="503">
        <f t="shared" si="174"/>
        <v>4.3981391213470697</v>
      </c>
      <c r="M48" s="63">
        <f t="shared" si="174"/>
        <v>4.5884136930485244</v>
      </c>
      <c r="N48" s="63">
        <f t="shared" si="174"/>
        <v>4.7163698370594922</v>
      </c>
      <c r="O48" s="64">
        <f t="shared" si="174"/>
        <v>4.596514205117872</v>
      </c>
      <c r="P48" s="503">
        <f t="shared" si="174"/>
        <v>3.8533962868563632</v>
      </c>
      <c r="Q48" s="63">
        <f t="shared" si="174"/>
        <v>3.89194693858534</v>
      </c>
      <c r="R48" s="63">
        <f t="shared" si="174"/>
        <v>4.441374498517356</v>
      </c>
      <c r="S48" s="64">
        <f t="shared" si="174"/>
        <v>4.0664135864135869</v>
      </c>
      <c r="T48" s="503">
        <f t="shared" si="174"/>
        <v>4.6758341840309061</v>
      </c>
      <c r="U48" s="63">
        <f t="shared" si="174"/>
        <v>5.0297726732345733</v>
      </c>
      <c r="V48" s="63">
        <f t="shared" si="174"/>
        <v>5.0281125684351498</v>
      </c>
      <c r="W48" s="64">
        <f t="shared" si="174"/>
        <v>4.7250918798339763</v>
      </c>
      <c r="X48" s="503">
        <f t="shared" si="174"/>
        <v>4.765407006786317</v>
      </c>
      <c r="Y48" s="63">
        <f t="shared" si="174"/>
        <v>4.7632352821381732</v>
      </c>
      <c r="Z48" s="63">
        <f t="shared" si="174"/>
        <v>4.7912165082108897</v>
      </c>
      <c r="AA48" s="64">
        <f t="shared" si="174"/>
        <v>4.3672281665702721</v>
      </c>
      <c r="AB48" s="503">
        <f t="shared" si="174"/>
        <v>3.9775242635790913</v>
      </c>
      <c r="AC48" s="63">
        <f t="shared" si="174"/>
        <v>3.8812351099524762</v>
      </c>
      <c r="AD48" s="63">
        <f t="shared" si="174"/>
        <v>3.5149735760422782</v>
      </c>
      <c r="AE48" s="64">
        <f t="shared" si="174"/>
        <v>3.968366644541141</v>
      </c>
      <c r="AF48" s="503">
        <f>365/AF49</f>
        <v>3.3962448776264216</v>
      </c>
      <c r="AG48" s="63">
        <f>365/AG49</f>
        <v>3.5832920395254613</v>
      </c>
      <c r="AH48" s="63">
        <f>365/AH49</f>
        <v>3.5812401883830449</v>
      </c>
      <c r="AI48" s="64">
        <f t="shared" si="174"/>
        <v>3.5019107244491425</v>
      </c>
      <c r="AJ48" s="503">
        <f t="shared" si="174"/>
        <v>3.565061409179056</v>
      </c>
      <c r="AK48" s="63">
        <f>365/AK49</f>
        <v>3.4443202146690521</v>
      </c>
      <c r="AL48" s="63">
        <f>365/AL49</f>
        <v>3.4044605452484946</v>
      </c>
      <c r="AM48" s="64">
        <f t="shared" si="174"/>
        <v>3.2162060931558334</v>
      </c>
      <c r="AN48" s="503">
        <f t="shared" si="174"/>
        <v>3.2200238501288676</v>
      </c>
      <c r="AO48" s="63">
        <f t="shared" si="174"/>
        <v>3.2451292973081962</v>
      </c>
      <c r="AP48" s="63">
        <f t="shared" si="174"/>
        <v>3.3375276921821753</v>
      </c>
      <c r="AQ48" s="64">
        <f t="shared" si="174"/>
        <v>3.089180998373823</v>
      </c>
      <c r="AR48" s="503">
        <f t="shared" si="174"/>
        <v>2.9016590784486662</v>
      </c>
      <c r="AS48" s="63">
        <f t="shared" si="174"/>
        <v>2.8747194450112219</v>
      </c>
      <c r="AT48" s="63">
        <f t="shared" si="174"/>
        <v>3.243216410918274</v>
      </c>
      <c r="AU48" s="64">
        <f t="shared" si="174"/>
        <v>3.1381067188281855</v>
      </c>
      <c r="AV48" s="503">
        <f t="shared" si="174"/>
        <v>2.6310310188426533</v>
      </c>
      <c r="AW48" s="63">
        <f t="shared" si="174"/>
        <v>2.7153283816396825</v>
      </c>
      <c r="AX48" s="63">
        <f t="shared" si="174"/>
        <v>3.0947619858018092</v>
      </c>
      <c r="AY48" s="64">
        <f t="shared" si="174"/>
        <v>2.8704340352385045</v>
      </c>
      <c r="AZ48" s="503">
        <f t="shared" si="174"/>
        <v>2.7378318913858792</v>
      </c>
      <c r="BA48" s="63">
        <f t="shared" si="174"/>
        <v>2.7172544969155137</v>
      </c>
      <c r="BB48" s="63">
        <f t="shared" si="174"/>
        <v>3.0692054276959935</v>
      </c>
      <c r="BC48" s="64">
        <f t="shared" si="174"/>
        <v>2.6849236609073093</v>
      </c>
      <c r="BD48" s="503">
        <f t="shared" si="174"/>
        <v>2.6489897897378212</v>
      </c>
      <c r="BE48" s="63">
        <f t="shared" si="174"/>
        <v>2.8294573643410854</v>
      </c>
      <c r="BF48" s="63">
        <f t="shared" si="174"/>
        <v>2.8294573643410854</v>
      </c>
      <c r="BG48" s="64">
        <f t="shared" si="174"/>
        <v>2.8294573643410854</v>
      </c>
      <c r="BH48" s="503">
        <f t="shared" si="174"/>
        <v>2.8294573643410854</v>
      </c>
      <c r="BI48" s="63">
        <f t="shared" si="174"/>
        <v>2.8294573643410854</v>
      </c>
      <c r="BJ48" s="63">
        <f t="shared" si="174"/>
        <v>2.8294573643410854</v>
      </c>
      <c r="BK48" s="64">
        <f t="shared" si="174"/>
        <v>2.8294573643410854</v>
      </c>
      <c r="BL48" s="503">
        <f t="shared" si="174"/>
        <v>2.8294573643410854</v>
      </c>
      <c r="BM48" s="63">
        <f t="shared" si="174"/>
        <v>2.8294573643410854</v>
      </c>
      <c r="BN48" s="63">
        <f t="shared" si="174"/>
        <v>2.8294573643410854</v>
      </c>
      <c r="BO48" s="64">
        <f t="shared" si="174"/>
        <v>2.8294573643410854</v>
      </c>
      <c r="BP48" s="520"/>
      <c r="BQ48" s="63">
        <f t="shared" ref="BQ48:CF48" si="175">365/BQ49</f>
        <v>21.422404599619792</v>
      </c>
      <c r="BR48" s="63">
        <f t="shared" si="175"/>
        <v>19.527403702769046</v>
      </c>
      <c r="BS48" s="63">
        <f t="shared" si="175"/>
        <v>18.397371316976397</v>
      </c>
      <c r="BT48" s="63">
        <f t="shared" si="175"/>
        <v>18.24927072927073</v>
      </c>
      <c r="BU48" s="63">
        <f t="shared" si="175"/>
        <v>4.578526529857645</v>
      </c>
      <c r="BV48" s="63">
        <f t="shared" si="175"/>
        <v>4.3183662280701753</v>
      </c>
      <c r="BW48" s="63">
        <f t="shared" si="175"/>
        <v>3.8899763857817549</v>
      </c>
      <c r="BX48" s="63">
        <f t="shared" si="175"/>
        <v>3.7145149560488204</v>
      </c>
      <c r="BY48" s="63">
        <f t="shared" si="175"/>
        <v>3.4212160600808783</v>
      </c>
      <c r="BZ48" s="63">
        <f t="shared" si="175"/>
        <v>3.192840682610862</v>
      </c>
      <c r="CA48" s="63">
        <f t="shared" si="175"/>
        <v>3.2617123332676261</v>
      </c>
      <c r="CB48" s="63">
        <f t="shared" si="175"/>
        <v>2.9057262569832405</v>
      </c>
      <c r="CC48" s="63">
        <f t="shared" si="175"/>
        <v>2.7701910520638164</v>
      </c>
      <c r="CD48" s="63">
        <f t="shared" si="175"/>
        <v>2.9010474026620274</v>
      </c>
      <c r="CE48" s="63">
        <f t="shared" si="175"/>
        <v>2.8970466212820791</v>
      </c>
      <c r="CF48" s="64">
        <f t="shared" si="175"/>
        <v>2.894447004376234</v>
      </c>
      <c r="CG48" s="342"/>
      <c r="CH48" s="12"/>
      <c r="CO48" s="12"/>
    </row>
    <row r="49" spans="1:93" ht="14.25" customHeight="1">
      <c r="A49" s="12"/>
      <c r="B49" s="342" t="s">
        <v>200</v>
      </c>
      <c r="C49" s="21"/>
      <c r="D49" s="63">
        <f t="shared" ref="D49:AJ49" si="176">(D14/D54)*91</f>
        <v>77.176430517711168</v>
      </c>
      <c r="E49" s="63">
        <f t="shared" si="176"/>
        <v>70.797411003236249</v>
      </c>
      <c r="F49" s="63">
        <f t="shared" si="176"/>
        <v>63.904184354154026</v>
      </c>
      <c r="G49" s="64">
        <f t="shared" si="176"/>
        <v>64.688062387522493</v>
      </c>
      <c r="H49" s="503">
        <f t="shared" si="176"/>
        <v>68.222623345367026</v>
      </c>
      <c r="I49" s="63">
        <f t="shared" si="176"/>
        <v>67.868715083798875</v>
      </c>
      <c r="J49" s="63">
        <f t="shared" si="176"/>
        <v>74.183160196828865</v>
      </c>
      <c r="K49" s="64">
        <f t="shared" si="176"/>
        <v>76.248979591836729</v>
      </c>
      <c r="L49" s="503">
        <f t="shared" si="176"/>
        <v>82.989644012944993</v>
      </c>
      <c r="M49" s="63">
        <f t="shared" si="176"/>
        <v>79.548189073050949</v>
      </c>
      <c r="N49" s="63">
        <f t="shared" si="176"/>
        <v>77.390029325513197</v>
      </c>
      <c r="O49" s="64">
        <f t="shared" si="176"/>
        <v>79.408000000000001</v>
      </c>
      <c r="P49" s="503">
        <f t="shared" si="176"/>
        <v>94.721635883905009</v>
      </c>
      <c r="Q49" s="63">
        <f t="shared" si="176"/>
        <v>93.783395755305861</v>
      </c>
      <c r="R49" s="63">
        <f t="shared" si="176"/>
        <v>82.18176605504587</v>
      </c>
      <c r="S49" s="64">
        <f t="shared" si="176"/>
        <v>89.759684361549489</v>
      </c>
      <c r="T49" s="503">
        <f t="shared" si="176"/>
        <v>78.060937499999994</v>
      </c>
      <c r="U49" s="63">
        <f t="shared" si="176"/>
        <v>72.567891972993252</v>
      </c>
      <c r="V49" s="63">
        <f t="shared" si="176"/>
        <v>72.591851322373117</v>
      </c>
      <c r="W49" s="64">
        <f t="shared" si="176"/>
        <v>77.247175141242934</v>
      </c>
      <c r="X49" s="503">
        <f t="shared" si="176"/>
        <v>76.593667546174146</v>
      </c>
      <c r="Y49" s="63">
        <f t="shared" si="176"/>
        <v>76.628589263420722</v>
      </c>
      <c r="Z49" s="63">
        <f t="shared" si="176"/>
        <v>76.181069958847743</v>
      </c>
      <c r="AA49" s="64">
        <f t="shared" si="176"/>
        <v>83.577039274924473</v>
      </c>
      <c r="AB49" s="503">
        <f t="shared" si="176"/>
        <v>91.765624999999986</v>
      </c>
      <c r="AC49" s="63">
        <f t="shared" si="176"/>
        <v>94.042228739002937</v>
      </c>
      <c r="AD49" s="63">
        <f t="shared" si="176"/>
        <v>103.84146341463415</v>
      </c>
      <c r="AE49" s="64">
        <f t="shared" si="176"/>
        <v>91.97738835500283</v>
      </c>
      <c r="AF49" s="503">
        <f t="shared" si="176"/>
        <v>107.47163798597832</v>
      </c>
      <c r="AG49" s="516">
        <f t="shared" si="176"/>
        <v>101.86163895486936</v>
      </c>
      <c r="AH49" s="516">
        <f t="shared" si="176"/>
        <v>101.92000000000002</v>
      </c>
      <c r="AI49" s="64">
        <f t="shared" si="176"/>
        <v>104.22881355932202</v>
      </c>
      <c r="AJ49" s="503">
        <f t="shared" si="176"/>
        <v>102.38252812706817</v>
      </c>
      <c r="AK49" s="516">
        <f t="shared" ref="AK49:AQ49" si="177">(AK14/AK54)*91</f>
        <v>105.97156398104265</v>
      </c>
      <c r="AL49" s="503">
        <f t="shared" si="177"/>
        <v>107.21228668941978</v>
      </c>
      <c r="AM49" s="64">
        <f t="shared" si="177"/>
        <v>113.48775216138328</v>
      </c>
      <c r="AN49" s="503">
        <f t="shared" si="177"/>
        <v>113.35319767441861</v>
      </c>
      <c r="AO49" s="516">
        <f t="shared" si="177"/>
        <v>112.47625797306875</v>
      </c>
      <c r="AP49" s="516">
        <f t="shared" si="177"/>
        <v>109.3623884694578</v>
      </c>
      <c r="AQ49" s="64">
        <f t="shared" si="177"/>
        <v>118.1542940320233</v>
      </c>
      <c r="AR49" s="503">
        <f t="shared" ref="AR49:AW49" si="178">(AR14/AR54)*91</f>
        <v>125.79010494752625</v>
      </c>
      <c r="AS49" s="516">
        <f t="shared" si="178"/>
        <v>126.96891191709845</v>
      </c>
      <c r="AT49" s="516">
        <f t="shared" si="178"/>
        <v>112.54259776536314</v>
      </c>
      <c r="AU49" s="64">
        <f t="shared" si="178"/>
        <v>116.3121693121693</v>
      </c>
      <c r="AV49" s="503">
        <f t="shared" si="178"/>
        <v>138.72888513513513</v>
      </c>
      <c r="AW49" s="516">
        <f t="shared" si="178"/>
        <v>134.42204724409447</v>
      </c>
      <c r="AX49" s="516">
        <f>(AX14/AX54)*91</f>
        <v>117.94121863799282</v>
      </c>
      <c r="AY49" s="64">
        <f t="shared" ref="AY49:BA49" si="179">(AY14/AY54)*91</f>
        <v>127.15846994535519</v>
      </c>
      <c r="AZ49" s="503">
        <f t="shared" si="179"/>
        <v>133.31717011128777</v>
      </c>
      <c r="BA49" s="516">
        <f t="shared" si="179"/>
        <v>134.32676269901441</v>
      </c>
      <c r="BB49" s="516">
        <f t="shared" ref="BB49:BD49" si="180">(BB14/BB54)*91</f>
        <v>118.92328767123288</v>
      </c>
      <c r="BC49" s="64">
        <f t="shared" si="180"/>
        <v>135.94427480916031</v>
      </c>
      <c r="BD49" s="503">
        <f t="shared" si="180"/>
        <v>137.78837555886736</v>
      </c>
      <c r="BE49" s="519">
        <v>129</v>
      </c>
      <c r="BF49" s="519">
        <v>129</v>
      </c>
      <c r="BG49" s="517">
        <v>129</v>
      </c>
      <c r="BH49" s="518">
        <v>129</v>
      </c>
      <c r="BI49" s="519">
        <v>129</v>
      </c>
      <c r="BJ49" s="519">
        <v>129</v>
      </c>
      <c r="BK49" s="517">
        <v>129</v>
      </c>
      <c r="BL49" s="518">
        <v>129</v>
      </c>
      <c r="BM49" s="519">
        <v>129</v>
      </c>
      <c r="BN49" s="519">
        <v>129</v>
      </c>
      <c r="BO49" s="517">
        <v>129</v>
      </c>
      <c r="BP49" s="520"/>
      <c r="BQ49" s="63">
        <f>(BQ14/BQ54)*91</f>
        <v>17.038236688260387</v>
      </c>
      <c r="BR49" s="63">
        <f>(BR14/BR54)*91</f>
        <v>18.691680960548887</v>
      </c>
      <c r="BS49" s="63">
        <f>(BS14/BS54)*91</f>
        <v>19.839790897908976</v>
      </c>
      <c r="BT49" s="63">
        <f>(BT14/BT54)*91</f>
        <v>20.000799232736572</v>
      </c>
      <c r="BU49" s="63">
        <f t="shared" ref="BU49:BZ49" si="181">(BU14/BU54)*360</f>
        <v>79.719970523212965</v>
      </c>
      <c r="BV49" s="63">
        <f t="shared" si="181"/>
        <v>84.522706209453204</v>
      </c>
      <c r="BW49" s="63">
        <f t="shared" si="181"/>
        <v>93.830903790087461</v>
      </c>
      <c r="BX49" s="63">
        <f t="shared" si="181"/>
        <v>98.263166071151161</v>
      </c>
      <c r="BY49" s="63">
        <f t="shared" si="181"/>
        <v>106.68721109399075</v>
      </c>
      <c r="BZ49" s="63">
        <f t="shared" si="181"/>
        <v>114.3182627269491</v>
      </c>
      <c r="CA49" s="63">
        <f t="shared" ref="CA49:CF49" si="182">(CA14/CA54)*360</f>
        <v>111.90441176470588</v>
      </c>
      <c r="CB49" s="63">
        <f t="shared" si="182"/>
        <v>125.61403508771929</v>
      </c>
      <c r="CC49" s="63">
        <f t="shared" si="182"/>
        <v>131.7598653450533</v>
      </c>
      <c r="CD49" s="63">
        <f t="shared" si="182"/>
        <v>125.81662735502795</v>
      </c>
      <c r="CE49" s="63">
        <f t="shared" si="182"/>
        <v>125.99037838005877</v>
      </c>
      <c r="CF49" s="64">
        <f t="shared" si="182"/>
        <v>126.10353530333822</v>
      </c>
      <c r="CG49" s="342"/>
      <c r="CH49" s="12"/>
      <c r="CO49" s="12"/>
    </row>
    <row r="50" spans="1:93" ht="14.25" customHeight="1">
      <c r="A50" s="12"/>
      <c r="B50" s="342" t="s">
        <v>201</v>
      </c>
      <c r="C50" s="21"/>
      <c r="D50" s="63">
        <f t="shared" ref="D50:AC50" si="183">(D29/D54)*365/4</f>
        <v>97.776737057220714</v>
      </c>
      <c r="E50" s="63">
        <f t="shared" si="183"/>
        <v>87.351941747572809</v>
      </c>
      <c r="F50" s="63">
        <f t="shared" si="183"/>
        <v>44.047907822922987</v>
      </c>
      <c r="G50" s="64">
        <f t="shared" si="183"/>
        <v>38.426814637072589</v>
      </c>
      <c r="H50" s="503">
        <f t="shared" si="183"/>
        <v>39.530685920577618</v>
      </c>
      <c r="I50" s="63">
        <f t="shared" si="183"/>
        <v>40.170391061452513</v>
      </c>
      <c r="J50" s="63">
        <f t="shared" si="183"/>
        <v>37.118644067796616</v>
      </c>
      <c r="K50" s="64">
        <f t="shared" si="183"/>
        <v>29.795918367346935</v>
      </c>
      <c r="L50" s="503">
        <f t="shared" si="183"/>
        <v>32.483818770226534</v>
      </c>
      <c r="M50" s="63">
        <f t="shared" si="183"/>
        <v>34.841927562922038</v>
      </c>
      <c r="N50" s="63">
        <f t="shared" si="183"/>
        <v>34.466275659824042</v>
      </c>
      <c r="O50" s="64">
        <f t="shared" si="183"/>
        <v>36.893076923076926</v>
      </c>
      <c r="P50" s="503">
        <f t="shared" si="183"/>
        <v>40.930079155672821</v>
      </c>
      <c r="Q50" s="63">
        <f t="shared" si="183"/>
        <v>38.561953807740323</v>
      </c>
      <c r="R50" s="63">
        <f t="shared" si="183"/>
        <v>31.445670871559631</v>
      </c>
      <c r="S50" s="64">
        <f t="shared" si="183"/>
        <v>21.208751793400285</v>
      </c>
      <c r="T50" s="503">
        <f t="shared" si="183"/>
        <v>23.240234375</v>
      </c>
      <c r="U50" s="63">
        <f t="shared" si="183"/>
        <v>28.819392348087021</v>
      </c>
      <c r="V50" s="63">
        <f t="shared" si="183"/>
        <v>30.460150107219444</v>
      </c>
      <c r="W50" s="64">
        <f t="shared" si="183"/>
        <v>32.414371468926554</v>
      </c>
      <c r="X50" s="503">
        <f t="shared" si="183"/>
        <v>33.46635883905013</v>
      </c>
      <c r="Y50" s="63">
        <f t="shared" si="183"/>
        <v>30.87234706616729</v>
      </c>
      <c r="Z50" s="63">
        <f t="shared" si="183"/>
        <v>33.420781893004119</v>
      </c>
      <c r="AA50" s="64">
        <f t="shared" si="183"/>
        <v>34.239425981873111</v>
      </c>
      <c r="AB50" s="503">
        <f t="shared" si="183"/>
        <v>33.176832932692307</v>
      </c>
      <c r="AC50" s="63">
        <f t="shared" si="183"/>
        <v>33.342375366568916</v>
      </c>
      <c r="AD50" s="63">
        <f t="shared" ref="AD50:AI50" si="184">(AD29/AD54)*365/4</f>
        <v>33.225174216027874</v>
      </c>
      <c r="AE50" s="64">
        <f t="shared" si="184"/>
        <v>32.239259468626344</v>
      </c>
      <c r="AF50" s="503">
        <f t="shared" si="184"/>
        <v>34.255098789037604</v>
      </c>
      <c r="AG50" s="516">
        <f t="shared" si="184"/>
        <v>30.073485748218527</v>
      </c>
      <c r="AH50" s="516">
        <f t="shared" si="184"/>
        <v>27.706818181818182</v>
      </c>
      <c r="AI50" s="64">
        <f t="shared" si="184"/>
        <v>26.411342894393741</v>
      </c>
      <c r="AJ50" s="521">
        <f>AI50</f>
        <v>26.411342894393741</v>
      </c>
      <c r="AK50" s="516">
        <f>(AK29/AK54)*365/4</f>
        <v>26.998138117806363</v>
      </c>
      <c r="AL50" s="516">
        <f>(AL29/AL54)*365/4</f>
        <v>26.534129692832764</v>
      </c>
      <c r="AM50" s="64">
        <f>(AM29/AM54)*365/4</f>
        <v>27.743155619596543</v>
      </c>
      <c r="AN50" s="521">
        <f>AM50</f>
        <v>27.743155619596543</v>
      </c>
      <c r="AO50" s="516">
        <f>(AO29/AO54)*365/4</f>
        <v>25.997519489723601</v>
      </c>
      <c r="AP50" s="516">
        <f>(AP29/AP54)*365/4</f>
        <v>24.613074811256006</v>
      </c>
      <c r="AQ50" s="64">
        <f>(AQ29/AQ54)*365/4</f>
        <v>29.022016011644833</v>
      </c>
      <c r="AR50" s="521">
        <f>AQ50</f>
        <v>29.022016011644833</v>
      </c>
      <c r="AS50" s="516">
        <f>(AS29/AS54)*365/4</f>
        <v>28.165247964470765</v>
      </c>
      <c r="AT50" s="516">
        <f>(AT29/AT54)*365/4</f>
        <v>23.385998603351954</v>
      </c>
      <c r="AU50" s="64">
        <f>(AU29/AU54)*365/4</f>
        <v>26.623204837490555</v>
      </c>
      <c r="AV50" s="521">
        <f>AU50</f>
        <v>26.623204837490555</v>
      </c>
      <c r="AW50" s="516">
        <f>(AW29/AW54)*365/4</f>
        <v>29.889763779527559</v>
      </c>
      <c r="AX50" s="516">
        <f>(AX29/AX54)*365/4</f>
        <v>27.996415770609318</v>
      </c>
      <c r="AY50" s="64">
        <f>(AY29/AY54)*365/4</f>
        <v>28.208430913348948</v>
      </c>
      <c r="AZ50" s="521">
        <f>AY50</f>
        <v>28.208430913348948</v>
      </c>
      <c r="BA50" s="516">
        <f>(BA29/BA54)*365/4</f>
        <v>31.131539044730857</v>
      </c>
      <c r="BB50" s="516">
        <f>(BB29/BB54)*365/4</f>
        <v>26.875</v>
      </c>
      <c r="BC50" s="64">
        <f>(BC29/BC54)*365/4</f>
        <v>32.459923664122137</v>
      </c>
      <c r="BD50" s="521">
        <f>BC50</f>
        <v>32.459923664122137</v>
      </c>
      <c r="BE50" s="519">
        <v>30</v>
      </c>
      <c r="BF50" s="519">
        <v>30</v>
      </c>
      <c r="BG50" s="517">
        <v>30</v>
      </c>
      <c r="BH50" s="518">
        <v>30</v>
      </c>
      <c r="BI50" s="519">
        <v>30</v>
      </c>
      <c r="BJ50" s="519">
        <v>30</v>
      </c>
      <c r="BK50" s="517">
        <v>30</v>
      </c>
      <c r="BL50" s="518">
        <v>30</v>
      </c>
      <c r="BM50" s="519">
        <v>30</v>
      </c>
      <c r="BN50" s="519">
        <v>30</v>
      </c>
      <c r="BO50" s="517">
        <v>30</v>
      </c>
      <c r="BP50" s="520"/>
      <c r="BQ50" s="63">
        <f>(BQ29/BQ54)*91</f>
        <v>10.093537683678306</v>
      </c>
      <c r="BR50" s="63">
        <f>(BR29/BR54)*91</f>
        <v>7.2841623785020007</v>
      </c>
      <c r="BS50" s="63">
        <f>(BS29/BS54)*91</f>
        <v>9.192343173431734</v>
      </c>
      <c r="BT50" s="63">
        <f>(BT29/BT54)*91</f>
        <v>4.7129156010230178</v>
      </c>
      <c r="BU50" s="63">
        <f t="shared" ref="BU50:BZ50" si="185">(BU29/BU54)*360</f>
        <v>33.360353721444362</v>
      </c>
      <c r="BV50" s="63">
        <f t="shared" si="185"/>
        <v>34.531974050046344</v>
      </c>
      <c r="BW50" s="63">
        <f t="shared" si="185"/>
        <v>32.798833819241977</v>
      </c>
      <c r="BX50" s="63">
        <f t="shared" si="185"/>
        <v>24.831443218890787</v>
      </c>
      <c r="BY50" s="63">
        <f t="shared" si="185"/>
        <v>26.009244992295841</v>
      </c>
      <c r="BZ50" s="63">
        <f t="shared" si="185"/>
        <v>28.002847988608046</v>
      </c>
      <c r="CA50" s="63">
        <f t="shared" ref="CA50:CF50" si="186">(CA29/CA54)*360</f>
        <v>25.544117647058822</v>
      </c>
      <c r="CB50" s="63">
        <f t="shared" si="186"/>
        <v>27.789473684210527</v>
      </c>
      <c r="CC50" s="63">
        <f t="shared" si="186"/>
        <v>31.374602580886481</v>
      </c>
      <c r="CD50" s="63">
        <f t="shared" si="186"/>
        <v>29.259680780239062</v>
      </c>
      <c r="CE50" s="63">
        <f t="shared" si="186"/>
        <v>29.3000879953625</v>
      </c>
      <c r="CF50" s="64">
        <f t="shared" si="186"/>
        <v>29.326403558915864</v>
      </c>
      <c r="CG50" s="342"/>
      <c r="CH50" s="12"/>
      <c r="CO50" s="12"/>
    </row>
    <row r="51" spans="1:93" ht="14.25" customHeight="1">
      <c r="A51" s="12"/>
      <c r="B51" s="342" t="s">
        <v>202</v>
      </c>
      <c r="C51" s="21"/>
      <c r="D51" s="76">
        <f t="shared" ref="D51:AI51" si="187">D16/D53</f>
        <v>0.15284974093264247</v>
      </c>
      <c r="E51" s="76">
        <f t="shared" si="187"/>
        <v>0.10770784247728038</v>
      </c>
      <c r="F51" s="76">
        <f t="shared" si="187"/>
        <v>6.7684935609463912E-2</v>
      </c>
      <c r="G51" s="77">
        <f t="shared" si="187"/>
        <v>0.18953068592057762</v>
      </c>
      <c r="H51" s="522">
        <f t="shared" si="187"/>
        <v>0.22285542891421717</v>
      </c>
      <c r="I51" s="76">
        <f t="shared" si="187"/>
        <v>6.1130646470110898E-2</v>
      </c>
      <c r="J51" s="76">
        <f t="shared" si="187"/>
        <v>5.0784365860143579E-2</v>
      </c>
      <c r="K51" s="77">
        <f t="shared" si="187"/>
        <v>5.3421888535951485E-2</v>
      </c>
      <c r="L51" s="522">
        <f t="shared" si="187"/>
        <v>8.179254152303353E-2</v>
      </c>
      <c r="M51" s="76">
        <f t="shared" si="187"/>
        <v>7.1845794392523366E-2</v>
      </c>
      <c r="N51" s="76">
        <f t="shared" si="187"/>
        <v>5.7057057057057055E-2</v>
      </c>
      <c r="O51" s="77">
        <f t="shared" si="187"/>
        <v>5.0618672665916763E-2</v>
      </c>
      <c r="P51" s="522">
        <f t="shared" si="187"/>
        <v>5.8985330073349634E-2</v>
      </c>
      <c r="Q51" s="76">
        <f t="shared" si="187"/>
        <v>7.7290361086242917E-2</v>
      </c>
      <c r="R51" s="76">
        <f t="shared" si="187"/>
        <v>5.6392087392973134E-2</v>
      </c>
      <c r="S51" s="77">
        <f t="shared" si="187"/>
        <v>0.10718586912886391</v>
      </c>
      <c r="T51" s="522">
        <f t="shared" si="187"/>
        <v>9.9232981783317353E-2</v>
      </c>
      <c r="U51" s="76">
        <f t="shared" si="187"/>
        <v>8.4656084656084651E-2</v>
      </c>
      <c r="V51" s="76">
        <f t="shared" si="187"/>
        <v>5.8333333333333334E-2</v>
      </c>
      <c r="W51" s="77">
        <f t="shared" si="187"/>
        <v>5.459387483355526E-2</v>
      </c>
      <c r="X51" s="76">
        <f t="shared" si="187"/>
        <v>5.4290171606864272E-2</v>
      </c>
      <c r="Y51" s="76">
        <f t="shared" si="187"/>
        <v>5.5778032036613273E-2</v>
      </c>
      <c r="Z51" s="76">
        <f t="shared" si="187"/>
        <v>4.7860962566844918E-2</v>
      </c>
      <c r="AA51" s="77">
        <f t="shared" si="187"/>
        <v>5.106382978723404E-2</v>
      </c>
      <c r="AB51" s="522">
        <f t="shared" si="187"/>
        <v>5.011792452830189E-2</v>
      </c>
      <c r="AC51" s="76">
        <f t="shared" si="187"/>
        <v>6.7379988432620011E-2</v>
      </c>
      <c r="AD51" s="76">
        <f t="shared" si="187"/>
        <v>8.7420657818811309E-2</v>
      </c>
      <c r="AE51" s="77">
        <f t="shared" si="187"/>
        <v>0.11286549707602339</v>
      </c>
      <c r="AF51" s="522">
        <f t="shared" si="187"/>
        <v>9.7084267862864462E-2</v>
      </c>
      <c r="AG51" s="76">
        <f t="shared" si="187"/>
        <v>0.10524737631184408</v>
      </c>
      <c r="AH51" s="76">
        <f t="shared" si="187"/>
        <v>0.12064896755162242</v>
      </c>
      <c r="AI51" s="77">
        <f t="shared" si="187"/>
        <v>7.8549848942598186E-2</v>
      </c>
      <c r="AJ51" s="522">
        <f>+AI51</f>
        <v>7.8549848942598186E-2</v>
      </c>
      <c r="AK51" s="76">
        <f>AK16/AK53</f>
        <v>0.16836232359698064</v>
      </c>
      <c r="AL51" s="76">
        <f>AL16/AL53</f>
        <v>6.7509247842170161E-2</v>
      </c>
      <c r="AM51" s="77">
        <f>AM16/AM53</f>
        <v>0.28500660501981506</v>
      </c>
      <c r="AN51" s="522">
        <f>+AM51</f>
        <v>0.28500660501981506</v>
      </c>
      <c r="AO51" s="76">
        <f>AO16/AO53</f>
        <v>0.30133657351154314</v>
      </c>
      <c r="AP51" s="76">
        <f>AP16/AP53</f>
        <v>0.27534990002856324</v>
      </c>
      <c r="AQ51" s="77">
        <f>AQ16/AQ53</f>
        <v>0.26001835423676967</v>
      </c>
      <c r="AR51" s="522">
        <f>+AQ51</f>
        <v>0.26001835423676967</v>
      </c>
      <c r="AS51" s="76">
        <f>AS16/AS53</f>
        <v>0.33663366336633666</v>
      </c>
      <c r="AT51" s="76">
        <f>AT16/AT53</f>
        <v>0.27559055118110237</v>
      </c>
      <c r="AU51" s="77">
        <f>AU16/AU53</f>
        <v>0.31357792411414237</v>
      </c>
      <c r="AV51" s="522">
        <f>+AU51</f>
        <v>0.31357792411414237</v>
      </c>
      <c r="AW51" s="76">
        <f t="shared" ref="AW51:AX51" si="188">AW16/AW53</f>
        <v>0.28292086770546898</v>
      </c>
      <c r="AX51" s="76">
        <f t="shared" si="188"/>
        <v>0.2146938775510204</v>
      </c>
      <c r="AY51" s="77">
        <f>AY16/AY53</f>
        <v>0.2665495020503808</v>
      </c>
      <c r="AZ51" s="522">
        <f>+AY51</f>
        <v>0.2665495020503808</v>
      </c>
      <c r="BA51" s="76">
        <f t="shared" ref="BA51:BB51" si="189">BA16/BA53</f>
        <v>0.30083942594096941</v>
      </c>
      <c r="BB51" s="76">
        <f t="shared" si="189"/>
        <v>0.25826044703595724</v>
      </c>
      <c r="BC51" s="77">
        <f>BC16/BC53</f>
        <v>0.27466666666666667</v>
      </c>
      <c r="BD51" s="522">
        <f>+BC51</f>
        <v>0.27466666666666667</v>
      </c>
      <c r="BE51" s="76">
        <f t="shared" ref="BE51:BG51" si="190">BE16/BE53</f>
        <v>0.25986362696358334</v>
      </c>
      <c r="BF51" s="76">
        <f t="shared" si="190"/>
        <v>0.2442213419898101</v>
      </c>
      <c r="BG51" s="77">
        <f t="shared" si="190"/>
        <v>0.2591891590183939</v>
      </c>
      <c r="BH51" s="522">
        <f t="shared" ref="BH51:BK51" si="191">BH16/BH53</f>
        <v>0.26619171873377268</v>
      </c>
      <c r="BI51" s="76">
        <f t="shared" si="191"/>
        <v>0.25064881122496585</v>
      </c>
      <c r="BJ51" s="76">
        <f t="shared" si="191"/>
        <v>0.23613519072460137</v>
      </c>
      <c r="BK51" s="77">
        <f t="shared" si="191"/>
        <v>0.25142176840014374</v>
      </c>
      <c r="BL51" s="522">
        <f t="shared" ref="BL51:BO51" si="192">BL16/BL53</f>
        <v>0.25792290882434021</v>
      </c>
      <c r="BM51" s="76">
        <f t="shared" si="192"/>
        <v>0.24293475840701306</v>
      </c>
      <c r="BN51" s="76">
        <f t="shared" si="192"/>
        <v>0.228999394946827</v>
      </c>
      <c r="BO51" s="77">
        <f t="shared" si="192"/>
        <v>0.24368660385316701</v>
      </c>
      <c r="BP51" s="523"/>
      <c r="BQ51" s="76">
        <f t="shared" ref="BQ51:CC51" si="193">BQ16/BQ53</f>
        <v>5.1070038910505836E-2</v>
      </c>
      <c r="BR51" s="76">
        <f t="shared" si="193"/>
        <v>1.2977902490354262E-2</v>
      </c>
      <c r="BS51" s="76">
        <f t="shared" si="193"/>
        <v>1.3011421136330779E-2</v>
      </c>
      <c r="BT51" s="76">
        <f t="shared" si="193"/>
        <v>2.1358291336693064E-2</v>
      </c>
      <c r="BU51" s="76">
        <f t="shared" si="193"/>
        <v>1.5728397429749689E-2</v>
      </c>
      <c r="BV51" s="76">
        <f t="shared" si="193"/>
        <v>1.2888443362451669E-2</v>
      </c>
      <c r="BW51" s="76">
        <f t="shared" si="193"/>
        <v>2.8101339545719278E-2</v>
      </c>
      <c r="BX51" s="76">
        <f t="shared" si="193"/>
        <v>1.8245614035087718E-2</v>
      </c>
      <c r="BY51" s="76">
        <f t="shared" si="193"/>
        <v>7.0714519829564074E-2</v>
      </c>
      <c r="BZ51" s="76">
        <f t="shared" si="193"/>
        <v>6.5159064775776154E-2</v>
      </c>
      <c r="CA51" s="76">
        <f t="shared" si="193"/>
        <v>7.6923076923076927E-2</v>
      </c>
      <c r="CB51" s="76">
        <f t="shared" si="193"/>
        <v>6.8062827225130892E-2</v>
      </c>
      <c r="CC51" s="76">
        <f t="shared" si="193"/>
        <v>6.8845665396698077E-2</v>
      </c>
      <c r="CD51" s="76">
        <f t="shared" ref="CD51" si="194">CD16/CD53</f>
        <v>6.4526162127689551E-2</v>
      </c>
      <c r="CE51" s="76">
        <f t="shared" ref="CE51:CF51" si="195">CE16/CE53</f>
        <v>6.2662219414645712E-2</v>
      </c>
      <c r="CF51" s="77">
        <f t="shared" si="195"/>
        <v>6.0738897814246469E-2</v>
      </c>
      <c r="CG51" s="342"/>
      <c r="CH51" s="12"/>
      <c r="CO51" s="12"/>
    </row>
    <row r="52" spans="1:93" ht="14.25" customHeight="1">
      <c r="A52" s="8"/>
      <c r="B52" s="342"/>
      <c r="C52" s="21"/>
      <c r="D52" s="88"/>
      <c r="E52" s="88"/>
      <c r="F52" s="88"/>
      <c r="G52" s="89"/>
      <c r="H52" s="499"/>
      <c r="I52" s="88"/>
      <c r="J52" s="88"/>
      <c r="K52" s="89"/>
      <c r="L52" s="499"/>
      <c r="M52" s="88"/>
      <c r="N52" s="88"/>
      <c r="O52" s="89"/>
      <c r="P52" s="499"/>
      <c r="Q52" s="88"/>
      <c r="R52" s="88"/>
      <c r="S52" s="89"/>
      <c r="T52" s="499"/>
      <c r="U52" s="88"/>
      <c r="V52" s="88"/>
      <c r="W52" s="89"/>
      <c r="X52" s="499"/>
      <c r="Y52" s="88"/>
      <c r="Z52" s="88"/>
      <c r="AA52" s="89"/>
      <c r="AB52" s="499"/>
      <c r="AC52" s="88"/>
      <c r="AD52" s="88"/>
      <c r="AE52" s="89"/>
      <c r="AF52" s="499"/>
      <c r="AG52" s="88"/>
      <c r="AH52" s="88"/>
      <c r="AI52" s="89"/>
      <c r="AJ52" s="499"/>
      <c r="AK52" s="88"/>
      <c r="AL52" s="88"/>
      <c r="AM52" s="89"/>
      <c r="AN52" s="499"/>
      <c r="AO52" s="88"/>
      <c r="AP52" s="88"/>
      <c r="AQ52" s="89"/>
      <c r="AR52" s="499"/>
      <c r="AS52" s="88"/>
      <c r="AT52" s="88"/>
      <c r="AU52" s="89"/>
      <c r="AV52" s="499"/>
      <c r="AW52" s="88"/>
      <c r="AX52" s="88"/>
      <c r="AY52" s="89"/>
      <c r="AZ52" s="499"/>
      <c r="BA52" s="88"/>
      <c r="BB52" s="88"/>
      <c r="BC52" s="89"/>
      <c r="BD52" s="499"/>
      <c r="BE52" s="88"/>
      <c r="BF52" s="88"/>
      <c r="BG52" s="89"/>
      <c r="BH52" s="499"/>
      <c r="BI52" s="88"/>
      <c r="BJ52" s="88"/>
      <c r="BK52" s="89"/>
      <c r="BL52" s="499"/>
      <c r="BM52" s="88"/>
      <c r="BN52" s="88"/>
      <c r="BO52" s="89"/>
      <c r="BP52" s="20"/>
      <c r="BQ52" s="88"/>
      <c r="BR52" s="88"/>
      <c r="BS52" s="88"/>
      <c r="BT52" s="88"/>
      <c r="BU52" s="88"/>
      <c r="BV52" s="88"/>
      <c r="BW52" s="88"/>
      <c r="BX52" s="88"/>
      <c r="BY52" s="88"/>
      <c r="BZ52" s="88"/>
      <c r="CA52" s="88"/>
      <c r="CB52" s="88"/>
      <c r="CC52" s="88"/>
      <c r="CD52" s="88"/>
      <c r="CE52" s="88"/>
      <c r="CF52" s="89"/>
      <c r="CG52" s="297"/>
      <c r="CH52" s="8"/>
      <c r="CO52" s="8"/>
    </row>
    <row r="53" spans="1:93" ht="14.25" customHeight="1">
      <c r="A53" s="8"/>
      <c r="B53" s="342" t="s">
        <v>203</v>
      </c>
      <c r="C53" s="21"/>
      <c r="D53" s="131">
        <f>IS!D7</f>
        <v>2702</v>
      </c>
      <c r="E53" s="131">
        <f>IS!E7</f>
        <v>2971</v>
      </c>
      <c r="F53" s="131">
        <f>IS!F7</f>
        <v>3339</v>
      </c>
      <c r="G53" s="132">
        <f>IS!G7</f>
        <v>3324</v>
      </c>
      <c r="H53" s="524">
        <f>IS!H7</f>
        <v>3334</v>
      </c>
      <c r="I53" s="131">
        <f>IS!I7</f>
        <v>3697</v>
      </c>
      <c r="J53" s="131">
        <f>IS!J7</f>
        <v>3761</v>
      </c>
      <c r="K53" s="132">
        <f>IS!K7</f>
        <v>3463</v>
      </c>
      <c r="L53" s="524">
        <f>IS!L7</f>
        <v>3191</v>
      </c>
      <c r="M53" s="131">
        <f>IS!M7</f>
        <v>3424</v>
      </c>
      <c r="N53" s="131">
        <f>IS!N7</f>
        <v>3663</v>
      </c>
      <c r="O53" s="132">
        <f>IS!O7</f>
        <v>3556</v>
      </c>
      <c r="P53" s="524">
        <f>IS!P7</f>
        <v>3272</v>
      </c>
      <c r="Q53" s="131">
        <f>IS!Q7</f>
        <v>3351</v>
      </c>
      <c r="R53" s="131">
        <f>IS!R7</f>
        <v>3387</v>
      </c>
      <c r="S53" s="132">
        <f>IS!S7</f>
        <v>2491</v>
      </c>
      <c r="T53" s="524">
        <f>IS!T7</f>
        <v>2086</v>
      </c>
      <c r="U53" s="131">
        <f>IS!U7</f>
        <v>2457</v>
      </c>
      <c r="V53" s="131">
        <f>IS!V7</f>
        <v>2880</v>
      </c>
      <c r="W53" s="132">
        <f>IS!W7</f>
        <v>3004</v>
      </c>
      <c r="X53" s="524">
        <f>IS!X7</f>
        <v>3205</v>
      </c>
      <c r="Y53" s="131">
        <f>IS!Y7</f>
        <v>3496</v>
      </c>
      <c r="Z53" s="131">
        <f>IS!Z7</f>
        <v>3740</v>
      </c>
      <c r="AA53" s="132">
        <f>IS!AA7</f>
        <v>3525</v>
      </c>
      <c r="AB53" s="131">
        <f>IS!AB7</f>
        <v>3392</v>
      </c>
      <c r="AC53" s="131">
        <f>IS!AC7</f>
        <v>3458</v>
      </c>
      <c r="AD53" s="131">
        <f>IS!AD7</f>
        <v>3466</v>
      </c>
      <c r="AE53" s="132">
        <f>IS!AE7</f>
        <v>3420</v>
      </c>
      <c r="AF53" s="131">
        <f>IS!AF7</f>
        <v>3121</v>
      </c>
      <c r="AG53" s="131">
        <f>IS!AG7</f>
        <v>3335</v>
      </c>
      <c r="AH53" s="131">
        <f>IS!AH7</f>
        <v>3390</v>
      </c>
      <c r="AI53" s="132">
        <f>IS!AI7</f>
        <v>2979</v>
      </c>
      <c r="AJ53" s="524">
        <f>IS!AJ7</f>
        <v>2885</v>
      </c>
      <c r="AK53" s="131">
        <f>IS!AK7</f>
        <v>3047</v>
      </c>
      <c r="AL53" s="131">
        <f>IS!AL7</f>
        <v>3244</v>
      </c>
      <c r="AM53" s="132">
        <f>IS!AM7</f>
        <v>3028</v>
      </c>
      <c r="AN53" s="524">
        <f>IS!AN7</f>
        <v>2983</v>
      </c>
      <c r="AO53" s="131">
        <f>IS!AO7</f>
        <v>3292</v>
      </c>
      <c r="AP53" s="131">
        <f>IS!AP7</f>
        <v>3501</v>
      </c>
      <c r="AQ53" s="132">
        <f>IS!AQ7</f>
        <v>3269</v>
      </c>
      <c r="AR53" s="524">
        <f>IS!AR7</f>
        <v>3150</v>
      </c>
      <c r="AS53" s="131">
        <f>IS!AS7</f>
        <v>3232</v>
      </c>
      <c r="AT53" s="131">
        <f>IS!AT7</f>
        <v>3429</v>
      </c>
      <c r="AU53" s="132">
        <f>IS!AU7</f>
        <v>3189</v>
      </c>
      <c r="AV53" s="524">
        <f>IS!AV7</f>
        <v>3008</v>
      </c>
      <c r="AW53" s="131">
        <f>IS!AW7</f>
        <v>3273</v>
      </c>
      <c r="AX53" s="131">
        <f>IS!AX7</f>
        <v>3675</v>
      </c>
      <c r="AY53" s="132">
        <f>IS!AY7</f>
        <v>3414</v>
      </c>
      <c r="AZ53" s="524">
        <f>IS!AZ7</f>
        <v>3402</v>
      </c>
      <c r="BA53" s="131">
        <f>IS!BA7</f>
        <v>3693</v>
      </c>
      <c r="BB53" s="131">
        <f>IS!BB7</f>
        <v>4116</v>
      </c>
      <c r="BC53" s="132">
        <f>IS!BC7</f>
        <v>3750</v>
      </c>
      <c r="BD53" s="524">
        <f>IS!BD7</f>
        <v>3789</v>
      </c>
      <c r="BE53" s="131">
        <f>IS!BE7</f>
        <v>3944.37656387995</v>
      </c>
      <c r="BF53" s="131">
        <f>IS!BF7</f>
        <v>4197.0123972325364</v>
      </c>
      <c r="BG53" s="132">
        <f>IS!BG7</f>
        <v>3954.6407105987741</v>
      </c>
      <c r="BH53" s="524">
        <f>IS!BH7</f>
        <v>3850.608143918771</v>
      </c>
      <c r="BI53" s="131">
        <f>IS!BI7</f>
        <v>4089.387039143096</v>
      </c>
      <c r="BJ53" s="131">
        <f>IS!BJ7</f>
        <v>4340.7337841289063</v>
      </c>
      <c r="BK53" s="132">
        <f>IS!BK7</f>
        <v>4076.8148538701234</v>
      </c>
      <c r="BL53" s="524">
        <f>IS!BL7</f>
        <v>3974.0556768382357</v>
      </c>
      <c r="BM53" s="131">
        <f>IS!BM7</f>
        <v>4219.2397939314815</v>
      </c>
      <c r="BN53" s="131">
        <f>IS!BN7</f>
        <v>4475.9943590156736</v>
      </c>
      <c r="BO53" s="132">
        <f>IS!BO7</f>
        <v>4206.2221878130495</v>
      </c>
      <c r="BP53" s="20"/>
      <c r="BQ53" s="131">
        <f>IS!BQ7</f>
        <v>12336</v>
      </c>
      <c r="BR53" s="131">
        <f>IS!BR7</f>
        <v>14255</v>
      </c>
      <c r="BS53" s="131">
        <f>IS!BS7</f>
        <v>13834</v>
      </c>
      <c r="BT53" s="131">
        <f>IS!BT7</f>
        <v>12501</v>
      </c>
      <c r="BU53" s="131">
        <f>IS!BU7</f>
        <v>10427</v>
      </c>
      <c r="BV53" s="131">
        <f>IS!BV7</f>
        <v>13966</v>
      </c>
      <c r="BW53" s="131">
        <f>IS!BW7</f>
        <v>13736</v>
      </c>
      <c r="BX53" s="131">
        <f>IS!BX7</f>
        <v>12825</v>
      </c>
      <c r="BY53" s="131">
        <f>IS!BY7</f>
        <v>12204</v>
      </c>
      <c r="BZ53" s="131">
        <f>IS!BZ7</f>
        <v>13045</v>
      </c>
      <c r="CA53" s="131">
        <f>IS!CA7</f>
        <v>13000</v>
      </c>
      <c r="CB53" s="131">
        <f>IS!CB7</f>
        <v>13370</v>
      </c>
      <c r="CC53" s="131">
        <f>IS!CC7</f>
        <v>14961</v>
      </c>
      <c r="CD53" s="131">
        <f>IS!CD7</f>
        <v>15885.029671711261</v>
      </c>
      <c r="CE53" s="131">
        <f>IS!CE7</f>
        <v>16357.543821060895</v>
      </c>
      <c r="CF53" s="132">
        <f>IS!CF7</f>
        <v>16875.512017598441</v>
      </c>
      <c r="CG53" s="297"/>
      <c r="CH53" s="8"/>
      <c r="CO53" s="8"/>
    </row>
    <row r="54" spans="1:93" ht="14.25" customHeight="1">
      <c r="A54" s="8"/>
      <c r="B54" s="51" t="s">
        <v>204</v>
      </c>
      <c r="C54" s="52"/>
      <c r="D54" s="133">
        <f>+IS!D17</f>
        <v>1468</v>
      </c>
      <c r="E54" s="133">
        <f>+IS!E17</f>
        <v>1545</v>
      </c>
      <c r="F54" s="133">
        <f>+IS!F17</f>
        <v>1649</v>
      </c>
      <c r="G54" s="134">
        <f>+IS!G17</f>
        <v>1667</v>
      </c>
      <c r="H54" s="135">
        <f>+IS!H17</f>
        <v>1662</v>
      </c>
      <c r="I54" s="133">
        <f>+IS!I17</f>
        <v>1790</v>
      </c>
      <c r="J54" s="133">
        <f>+IS!J17</f>
        <v>1829</v>
      </c>
      <c r="K54" s="134">
        <f>+IS!K17</f>
        <v>1715</v>
      </c>
      <c r="L54" s="135">
        <f>+IS!L17</f>
        <v>1545</v>
      </c>
      <c r="M54" s="133">
        <f>+IS!M17</f>
        <v>1629</v>
      </c>
      <c r="N54" s="133">
        <f>+IS!N17</f>
        <v>1705</v>
      </c>
      <c r="O54" s="134">
        <f>+IS!O17</f>
        <v>1625</v>
      </c>
      <c r="P54" s="135">
        <f>+IS!P17</f>
        <v>1516</v>
      </c>
      <c r="Q54" s="133">
        <f>+IS!Q17</f>
        <v>1602</v>
      </c>
      <c r="R54" s="133">
        <f>+IS!R17</f>
        <v>1744</v>
      </c>
      <c r="S54" s="134">
        <f>+IS!S17</f>
        <v>1394</v>
      </c>
      <c r="T54" s="135">
        <f>+IS!T17</f>
        <v>1280</v>
      </c>
      <c r="U54" s="133">
        <f>+IS!U17</f>
        <v>1333</v>
      </c>
      <c r="V54" s="133">
        <f>+IS!V17</f>
        <v>1399</v>
      </c>
      <c r="W54" s="134">
        <f>+IS!W17</f>
        <v>1416</v>
      </c>
      <c r="X54" s="135">
        <f>+IS!X17</f>
        <v>1516</v>
      </c>
      <c r="Y54" s="133">
        <f>+IS!Y17</f>
        <v>1602</v>
      </c>
      <c r="Z54" s="133">
        <f>+IS!Z17</f>
        <v>1701</v>
      </c>
      <c r="AA54" s="134">
        <f>+IS!AA17</f>
        <v>1655</v>
      </c>
      <c r="AB54" s="133">
        <f>+IS!AB17</f>
        <v>1664</v>
      </c>
      <c r="AC54" s="133">
        <f>+IS!AC17</f>
        <v>1705</v>
      </c>
      <c r="AD54" s="133">
        <f>+IS!AD17</f>
        <v>1722</v>
      </c>
      <c r="AE54" s="134">
        <f>+IS!AE17</f>
        <v>1769</v>
      </c>
      <c r="AF54" s="133">
        <f>+IS!AF17</f>
        <v>1569</v>
      </c>
      <c r="AG54" s="133">
        <f>+IS!AG17</f>
        <v>1684</v>
      </c>
      <c r="AH54" s="133">
        <f>+IS!AH17</f>
        <v>1650</v>
      </c>
      <c r="AI54" s="134">
        <f>+IS!AI17</f>
        <v>1534</v>
      </c>
      <c r="AJ54" s="135">
        <f>+IS!AJ17</f>
        <v>1511</v>
      </c>
      <c r="AK54" s="133">
        <f>+IS!AK17</f>
        <v>1477</v>
      </c>
      <c r="AL54" s="133">
        <f>+IS!AL17</f>
        <v>1465</v>
      </c>
      <c r="AM54" s="134">
        <f>+IS!AM17</f>
        <v>1388</v>
      </c>
      <c r="AN54" s="135">
        <f>+IS!AN17</f>
        <v>1376</v>
      </c>
      <c r="AO54" s="133">
        <f>+IS!AO17</f>
        <v>1411</v>
      </c>
      <c r="AP54" s="133">
        <f>+IS!AP17</f>
        <v>1457</v>
      </c>
      <c r="AQ54" s="134">
        <f>+IS!AQ17</f>
        <v>1374</v>
      </c>
      <c r="AR54" s="135">
        <f>+IS!AR17</f>
        <v>1334</v>
      </c>
      <c r="AS54" s="133">
        <f>+IS!AS17</f>
        <v>1351</v>
      </c>
      <c r="AT54" s="133">
        <f>+IS!AT17</f>
        <v>1432</v>
      </c>
      <c r="AU54" s="134">
        <f>+IS!AU17</f>
        <v>1323</v>
      </c>
      <c r="AV54" s="135">
        <f>+IS!AV17</f>
        <v>1184</v>
      </c>
      <c r="AW54" s="133">
        <f>+IS!AW17</f>
        <v>1270</v>
      </c>
      <c r="AX54" s="133">
        <f>+IS!AX17</f>
        <v>1395</v>
      </c>
      <c r="AY54" s="134">
        <f>+IS!AY17</f>
        <v>1281</v>
      </c>
      <c r="AZ54" s="135">
        <f>+IS!AZ17</f>
        <v>1258</v>
      </c>
      <c r="BA54" s="133">
        <f>+IS!BA17</f>
        <v>1319</v>
      </c>
      <c r="BB54" s="133">
        <f>+IS!BB17</f>
        <v>1460</v>
      </c>
      <c r="BC54" s="134">
        <f>+IS!BC17</f>
        <v>1310</v>
      </c>
      <c r="BD54" s="135">
        <f>+IS!BD17</f>
        <v>1342</v>
      </c>
      <c r="BE54" s="133">
        <f>+IS!BE17</f>
        <v>1397.0677354949571</v>
      </c>
      <c r="BF54" s="133">
        <f>+IS!BF17</f>
        <v>1459.7233102697212</v>
      </c>
      <c r="BG54" s="134">
        <f>+IS!BG17</f>
        <v>1378.9016209548713</v>
      </c>
      <c r="BH54" s="135">
        <f>+IS!BH17</f>
        <v>1367.1617780168312</v>
      </c>
      <c r="BI54" s="133">
        <f>+IS!BI17</f>
        <v>1425.5839907177519</v>
      </c>
      <c r="BJ54" s="133">
        <f>+IS!BJ17</f>
        <v>1485.7677215133665</v>
      </c>
      <c r="BK54" s="134">
        <f>+IS!BK17</f>
        <v>1407.6616311632397</v>
      </c>
      <c r="BL54" s="135">
        <f>+IS!BL17</f>
        <v>1389.3937254796574</v>
      </c>
      <c r="BM54" s="133">
        <f>+IS!BM17</f>
        <v>1451.2581314557065</v>
      </c>
      <c r="BN54" s="133">
        <f>+IS!BN17</f>
        <v>1512.9300544889727</v>
      </c>
      <c r="BO54" s="134">
        <f>+IS!BO17</f>
        <v>1434.0698984095511</v>
      </c>
      <c r="BP54" s="20"/>
      <c r="BQ54" s="133">
        <f>+IS!BQ17</f>
        <v>6329</v>
      </c>
      <c r="BR54" s="133">
        <f>+IS!BR17</f>
        <v>6996</v>
      </c>
      <c r="BS54" s="133">
        <f>+IS!BS17</f>
        <v>6504</v>
      </c>
      <c r="BT54" s="133">
        <f>+IS!BT17</f>
        <v>6256</v>
      </c>
      <c r="BU54" s="133">
        <f>+IS!BU17</f>
        <v>5428</v>
      </c>
      <c r="BV54" s="133">
        <f>+IS!BV17</f>
        <v>6474</v>
      </c>
      <c r="BW54" s="133">
        <f>+IS!BW17</f>
        <v>6860</v>
      </c>
      <c r="BX54" s="133">
        <f>+IS!BX17</f>
        <v>6437</v>
      </c>
      <c r="BY54" s="133">
        <f>+IS!BY17</f>
        <v>5841</v>
      </c>
      <c r="BZ54" s="133">
        <f>+IS!BZ17</f>
        <v>5618</v>
      </c>
      <c r="CA54" s="133">
        <f>+IS!CA17</f>
        <v>5440</v>
      </c>
      <c r="CB54" s="133">
        <f>+IS!CB17</f>
        <v>5130</v>
      </c>
      <c r="CC54" s="133">
        <f>+IS!CC17</f>
        <v>5347</v>
      </c>
      <c r="CD54" s="133">
        <f>+IS!CD17</f>
        <v>5577.6926667195494</v>
      </c>
      <c r="CE54" s="133">
        <f>+IS!CE17</f>
        <v>5686.1751214111891</v>
      </c>
      <c r="CF54" s="134">
        <f>+IS!CF17</f>
        <v>5787.6518098338875</v>
      </c>
      <c r="CG54" s="297"/>
      <c r="CH54" s="8"/>
      <c r="CO54" s="8"/>
    </row>
    <row r="55" spans="1:93" ht="14.25" customHeight="1">
      <c r="A55" s="8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3"/>
      <c r="AB55" s="54"/>
      <c r="AC55" s="54"/>
      <c r="AD55" s="54"/>
      <c r="AE55" s="53"/>
      <c r="AF55" s="54"/>
      <c r="AG55" s="54"/>
      <c r="AH55" s="54"/>
      <c r="AI55" s="53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14"/>
      <c r="BQ55" s="54"/>
      <c r="BR55" s="54"/>
      <c r="BS55" s="54"/>
      <c r="BT55" s="54"/>
      <c r="BU55" s="54"/>
      <c r="BV55" s="54"/>
      <c r="BW55" s="54"/>
      <c r="BX55" s="54"/>
      <c r="BY55" s="136"/>
      <c r="BZ55" s="136"/>
      <c r="CA55" s="136"/>
      <c r="CB55" s="136"/>
      <c r="CC55" s="136"/>
      <c r="CD55" s="136"/>
      <c r="CE55" s="136"/>
      <c r="CF55" s="136"/>
      <c r="CG55" s="8"/>
      <c r="CH55" s="8"/>
      <c r="CO55" s="8"/>
    </row>
    <row r="56" spans="1:93" ht="14.25" customHeight="1">
      <c r="A56" s="8"/>
      <c r="B56" s="57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7"/>
      <c r="AB56" s="54"/>
      <c r="AC56" s="54"/>
      <c r="AD56" s="54"/>
      <c r="AE56" s="57"/>
      <c r="AF56" s="54"/>
      <c r="AG56" s="54"/>
      <c r="AH56" s="54"/>
      <c r="AI56" s="57"/>
      <c r="AJ56" s="54"/>
      <c r="AK56" s="54"/>
      <c r="AL56" s="54"/>
      <c r="AM56" s="57"/>
      <c r="AN56" s="54"/>
      <c r="AO56" s="54"/>
      <c r="AP56" s="54"/>
      <c r="AQ56" s="57"/>
      <c r="AR56" s="54"/>
      <c r="AS56" s="54"/>
      <c r="AT56" s="54"/>
      <c r="AU56" s="57"/>
      <c r="AV56" s="54"/>
      <c r="AW56" s="54"/>
      <c r="AX56" s="54"/>
      <c r="AY56" s="57"/>
      <c r="AZ56" s="54"/>
      <c r="BA56" s="54"/>
      <c r="BB56" s="54"/>
      <c r="BC56" s="57"/>
      <c r="BD56" s="54"/>
      <c r="BE56" s="54"/>
      <c r="BF56" s="54"/>
      <c r="BG56" s="57"/>
      <c r="BH56" s="54"/>
      <c r="BI56" s="54"/>
      <c r="BJ56" s="54"/>
      <c r="BK56" s="57"/>
      <c r="BL56" s="54"/>
      <c r="BM56" s="54"/>
      <c r="BN56" s="54"/>
      <c r="BO56" s="57"/>
      <c r="BP56" s="14"/>
      <c r="BQ56" s="54"/>
      <c r="BR56" s="54"/>
      <c r="BS56" s="54"/>
      <c r="BT56" s="54"/>
      <c r="BU56" s="54"/>
      <c r="BV56" s="54"/>
      <c r="BW56" s="54"/>
      <c r="BX56" s="54"/>
      <c r="BY56" s="525"/>
      <c r="BZ56" s="525"/>
      <c r="CA56" s="525"/>
      <c r="CB56" s="525"/>
      <c r="CC56" s="525"/>
      <c r="CD56" s="525"/>
      <c r="CE56" s="525"/>
      <c r="CF56" s="525"/>
      <c r="CG56" s="8"/>
      <c r="CH56" s="8"/>
      <c r="CO56" s="8"/>
    </row>
    <row r="57" spans="1:93" ht="14.25" customHeight="1">
      <c r="A57" s="8"/>
      <c r="B57" s="126" t="s">
        <v>205</v>
      </c>
      <c r="C57" s="127"/>
      <c r="D57" s="18" t="str">
        <f t="shared" ref="D57:AQ57" si="196">D46</f>
        <v>F1Q05A</v>
      </c>
      <c r="E57" s="18" t="str">
        <f t="shared" si="196"/>
        <v>F2Q05A</v>
      </c>
      <c r="F57" s="18" t="str">
        <f t="shared" si="196"/>
        <v>F3Q05A</v>
      </c>
      <c r="G57" s="19" t="str">
        <f t="shared" si="196"/>
        <v>F4Q05A</v>
      </c>
      <c r="H57" s="17" t="str">
        <f t="shared" si="196"/>
        <v>F1Q06A</v>
      </c>
      <c r="I57" s="18" t="str">
        <f t="shared" si="196"/>
        <v>F2Q06A</v>
      </c>
      <c r="J57" s="18" t="str">
        <f t="shared" si="196"/>
        <v>F3Q06A</v>
      </c>
      <c r="K57" s="19" t="str">
        <f t="shared" si="196"/>
        <v>F4Q06A</v>
      </c>
      <c r="L57" s="17" t="str">
        <f t="shared" si="196"/>
        <v>F1Q07A</v>
      </c>
      <c r="M57" s="18" t="str">
        <f t="shared" si="196"/>
        <v>F2Q07A</v>
      </c>
      <c r="N57" s="18" t="str">
        <f t="shared" si="196"/>
        <v>F3Q07A</v>
      </c>
      <c r="O57" s="19" t="str">
        <f t="shared" si="196"/>
        <v>F4Q07A</v>
      </c>
      <c r="P57" s="17" t="str">
        <f t="shared" si="196"/>
        <v>F1Q08A</v>
      </c>
      <c r="Q57" s="18" t="str">
        <f t="shared" si="196"/>
        <v>F2Q08A</v>
      </c>
      <c r="R57" s="18" t="str">
        <f t="shared" si="196"/>
        <v>F3Q08A</v>
      </c>
      <c r="S57" s="19" t="str">
        <f t="shared" si="196"/>
        <v>F4Q08A</v>
      </c>
      <c r="T57" s="17" t="str">
        <f t="shared" si="196"/>
        <v>F1Q09A</v>
      </c>
      <c r="U57" s="18" t="str">
        <f t="shared" si="196"/>
        <v>F2Q09A</v>
      </c>
      <c r="V57" s="18" t="str">
        <f t="shared" si="196"/>
        <v>F3Q09A</v>
      </c>
      <c r="W57" s="19" t="str">
        <f t="shared" si="196"/>
        <v>F4Q09A</v>
      </c>
      <c r="X57" s="17" t="str">
        <f t="shared" si="196"/>
        <v>F1Q10A</v>
      </c>
      <c r="Y57" s="18" t="str">
        <f t="shared" si="196"/>
        <v>F2Q10A</v>
      </c>
      <c r="Z57" s="18" t="str">
        <f t="shared" si="196"/>
        <v>F3Q10A</v>
      </c>
      <c r="AA57" s="19" t="str">
        <f t="shared" si="196"/>
        <v>F4Q10A</v>
      </c>
      <c r="AB57" s="17" t="str">
        <f>AB46</f>
        <v>F1Q11A</v>
      </c>
      <c r="AC57" s="18" t="str">
        <f t="shared" si="196"/>
        <v>F2Q11A</v>
      </c>
      <c r="AD57" s="18" t="str">
        <f t="shared" si="196"/>
        <v>F3Q11A</v>
      </c>
      <c r="AE57" s="19" t="str">
        <f>AE46</f>
        <v>F4Q11A</v>
      </c>
      <c r="AF57" s="17" t="str">
        <f>AF46</f>
        <v>F1Q12A</v>
      </c>
      <c r="AG57" s="18" t="str">
        <f t="shared" si="196"/>
        <v>F2Q12A</v>
      </c>
      <c r="AH57" s="18" t="str">
        <f>AH46</f>
        <v>F3Q12A</v>
      </c>
      <c r="AI57" s="19" t="str">
        <f>AI46</f>
        <v>F4Q12A</v>
      </c>
      <c r="AJ57" s="17" t="str">
        <f t="shared" si="196"/>
        <v>F1Q13A</v>
      </c>
      <c r="AK57" s="18" t="str">
        <f>AK46</f>
        <v>F2Q13A</v>
      </c>
      <c r="AL57" s="18" t="str">
        <f t="shared" si="196"/>
        <v>F3Q13A</v>
      </c>
      <c r="AM57" s="19" t="str">
        <f t="shared" si="196"/>
        <v>F4Q13A</v>
      </c>
      <c r="AN57" s="17" t="str">
        <f t="shared" si="196"/>
        <v>F1Q14A</v>
      </c>
      <c r="AO57" s="18" t="str">
        <f t="shared" si="196"/>
        <v>F2Q14A</v>
      </c>
      <c r="AP57" s="18" t="str">
        <f t="shared" si="196"/>
        <v>F3Q14A</v>
      </c>
      <c r="AQ57" s="19" t="str">
        <f t="shared" si="196"/>
        <v>F4Q14A</v>
      </c>
      <c r="AR57" s="17" t="str">
        <f t="shared" ref="AR57:AV57" si="197">AR46</f>
        <v>F1Q15A</v>
      </c>
      <c r="AS57" s="18" t="str">
        <f t="shared" si="197"/>
        <v>F2Q15A</v>
      </c>
      <c r="AT57" s="18" t="str">
        <f t="shared" si="197"/>
        <v>F3Q15A</v>
      </c>
      <c r="AU57" s="19" t="str">
        <f t="shared" si="197"/>
        <v>F4Q15A</v>
      </c>
      <c r="AV57" s="17" t="str">
        <f t="shared" si="197"/>
        <v>F1Q16A</v>
      </c>
      <c r="AW57" s="18" t="str">
        <f>AW46</f>
        <v>F2Q16A</v>
      </c>
      <c r="AX57" s="18" t="str">
        <f>AX46</f>
        <v>F3Q16A</v>
      </c>
      <c r="AY57" s="19" t="str">
        <f t="shared" ref="AY57:AZ57" si="198">AY46</f>
        <v>F4Q16A</v>
      </c>
      <c r="AZ57" s="17" t="str">
        <f t="shared" si="198"/>
        <v>F1Q17A</v>
      </c>
      <c r="BA57" s="18" t="str">
        <f t="shared" ref="BA57:BG57" si="199">BA46</f>
        <v>F2Q17A</v>
      </c>
      <c r="BB57" s="18" t="str">
        <f t="shared" si="199"/>
        <v>F3Q17A</v>
      </c>
      <c r="BC57" s="19" t="str">
        <f t="shared" si="199"/>
        <v>F4Q17A</v>
      </c>
      <c r="BD57" s="17" t="str">
        <f t="shared" si="199"/>
        <v>F1Q18A</v>
      </c>
      <c r="BE57" s="18" t="str">
        <f t="shared" si="199"/>
        <v>F2Q18E</v>
      </c>
      <c r="BF57" s="18" t="str">
        <f t="shared" si="199"/>
        <v>F3Q18E</v>
      </c>
      <c r="BG57" s="19" t="str">
        <f t="shared" si="199"/>
        <v>F4Q18E</v>
      </c>
      <c r="BH57" s="17" t="str">
        <f t="shared" ref="BH57:BK57" si="200">BH46</f>
        <v>F1Q19E</v>
      </c>
      <c r="BI57" s="18" t="str">
        <f t="shared" si="200"/>
        <v>F2Q19E</v>
      </c>
      <c r="BJ57" s="18" t="str">
        <f t="shared" si="200"/>
        <v>F3Q19E</v>
      </c>
      <c r="BK57" s="19" t="str">
        <f t="shared" si="200"/>
        <v>F4Q19E</v>
      </c>
      <c r="BL57" s="17" t="str">
        <f t="shared" ref="BL57:BO57" si="201">BL46</f>
        <v>F1Q20E</v>
      </c>
      <c r="BM57" s="18" t="str">
        <f t="shared" si="201"/>
        <v>F2Q20E</v>
      </c>
      <c r="BN57" s="18" t="str">
        <f t="shared" si="201"/>
        <v>F3Q20E</v>
      </c>
      <c r="BO57" s="19" t="str">
        <f t="shared" si="201"/>
        <v>F4Q20E</v>
      </c>
      <c r="BP57" s="297"/>
      <c r="BQ57" s="17" t="str">
        <f>BQ46</f>
        <v>FY2005A</v>
      </c>
      <c r="BR57" s="18" t="str">
        <f>BR46</f>
        <v>FY2006A</v>
      </c>
      <c r="BS57" s="18" t="str">
        <f>BS46</f>
        <v>FY2007A</v>
      </c>
      <c r="BT57" s="18" t="str">
        <f>BT46</f>
        <v>FY2008A</v>
      </c>
      <c r="BU57" s="18" t="str">
        <f t="shared" ref="BU57:CA57" si="202">BU46</f>
        <v>FY2009A</v>
      </c>
      <c r="BV57" s="17" t="str">
        <f t="shared" si="202"/>
        <v>FY2010A</v>
      </c>
      <c r="BW57" s="18" t="str">
        <f t="shared" si="202"/>
        <v>FY2011A</v>
      </c>
      <c r="BX57" s="18" t="str">
        <f t="shared" si="202"/>
        <v>FY2012A</v>
      </c>
      <c r="BY57" s="18" t="str">
        <f t="shared" si="202"/>
        <v>FY2013A</v>
      </c>
      <c r="BZ57" s="18" t="str">
        <f t="shared" si="202"/>
        <v>FY2014A</v>
      </c>
      <c r="CA57" s="18" t="str">
        <f t="shared" si="202"/>
        <v>FY2015A</v>
      </c>
      <c r="CB57" s="18" t="str">
        <f>CB46</f>
        <v>FY2016A</v>
      </c>
      <c r="CC57" s="18" t="str">
        <f>CC46</f>
        <v>FY2017E</v>
      </c>
      <c r="CD57" s="18" t="str">
        <f>CD46</f>
        <v>FY2018E</v>
      </c>
      <c r="CE57" s="18" t="str">
        <f>CE46</f>
        <v>FY2019E</v>
      </c>
      <c r="CF57" s="19" t="str">
        <f>CF46</f>
        <v>FY2020E</v>
      </c>
      <c r="CG57" s="297"/>
      <c r="CH57" s="8"/>
      <c r="CO57" s="8"/>
    </row>
    <row r="58" spans="1:93" ht="14.25" customHeight="1">
      <c r="A58" s="8"/>
      <c r="B58" s="137" t="s">
        <v>206</v>
      </c>
      <c r="C58" s="138"/>
      <c r="D58" s="61">
        <v>0</v>
      </c>
      <c r="E58" s="61">
        <v>0</v>
      </c>
      <c r="F58" s="61">
        <v>0</v>
      </c>
      <c r="G58" s="62">
        <v>0</v>
      </c>
      <c r="H58" s="60">
        <v>0</v>
      </c>
      <c r="I58" s="61">
        <v>0</v>
      </c>
      <c r="J58" s="61">
        <v>0</v>
      </c>
      <c r="K58" s="62">
        <v>0</v>
      </c>
      <c r="L58" s="60">
        <v>0</v>
      </c>
      <c r="M58" s="61">
        <v>0</v>
      </c>
      <c r="N58" s="61">
        <v>0</v>
      </c>
      <c r="O58" s="62">
        <v>0</v>
      </c>
      <c r="P58" s="60">
        <v>0</v>
      </c>
      <c r="Q58" s="61">
        <v>0</v>
      </c>
      <c r="R58" s="61">
        <v>0</v>
      </c>
      <c r="S58" s="62">
        <v>0</v>
      </c>
      <c r="T58" s="60">
        <v>0</v>
      </c>
      <c r="U58" s="61">
        <v>0</v>
      </c>
      <c r="V58" s="61">
        <v>0</v>
      </c>
      <c r="W58" s="62">
        <v>0</v>
      </c>
      <c r="X58" s="61">
        <v>0</v>
      </c>
      <c r="Y58" s="61">
        <v>0</v>
      </c>
      <c r="Z58" s="61">
        <v>0</v>
      </c>
      <c r="AA58" s="66">
        <v>0</v>
      </c>
      <c r="AB58" s="65">
        <v>0</v>
      </c>
      <c r="AC58" s="61">
        <v>0</v>
      </c>
      <c r="AD58" s="61">
        <v>0</v>
      </c>
      <c r="AE58" s="66">
        <v>0</v>
      </c>
      <c r="AF58" s="65">
        <v>0</v>
      </c>
      <c r="AG58" s="65">
        <v>0</v>
      </c>
      <c r="AH58" s="65">
        <v>0</v>
      </c>
      <c r="AI58" s="66">
        <v>0</v>
      </c>
      <c r="AJ58" s="65">
        <v>0</v>
      </c>
      <c r="AK58" s="65">
        <v>0</v>
      </c>
      <c r="AL58" s="65">
        <v>0</v>
      </c>
      <c r="AM58" s="66">
        <v>0</v>
      </c>
      <c r="AN58" s="65">
        <v>0</v>
      </c>
      <c r="AO58" s="65">
        <v>0</v>
      </c>
      <c r="AP58" s="65">
        <v>0</v>
      </c>
      <c r="AQ58" s="66">
        <v>0</v>
      </c>
      <c r="AR58" s="65">
        <v>0</v>
      </c>
      <c r="AS58" s="65">
        <v>0</v>
      </c>
      <c r="AT58" s="65">
        <v>0</v>
      </c>
      <c r="AU58" s="66">
        <v>0</v>
      </c>
      <c r="AV58" s="65">
        <v>0</v>
      </c>
      <c r="AW58" s="65">
        <v>0</v>
      </c>
      <c r="AX58" s="65">
        <v>0</v>
      </c>
      <c r="AY58" s="66">
        <v>0</v>
      </c>
      <c r="AZ58" s="65">
        <v>0</v>
      </c>
      <c r="BA58" s="65">
        <v>0</v>
      </c>
      <c r="BB58" s="65">
        <f t="shared" ref="BB58:BG58" si="203">BA58</f>
        <v>0</v>
      </c>
      <c r="BC58" s="139">
        <f t="shared" si="203"/>
        <v>0</v>
      </c>
      <c r="BD58" s="65">
        <v>0</v>
      </c>
      <c r="BE58" s="63">
        <f t="shared" si="203"/>
        <v>0</v>
      </c>
      <c r="BF58" s="63">
        <f t="shared" si="203"/>
        <v>0</v>
      </c>
      <c r="BG58" s="139">
        <f t="shared" si="203"/>
        <v>0</v>
      </c>
      <c r="BH58" s="63">
        <f t="shared" ref="BH58" si="204">BG58</f>
        <v>0</v>
      </c>
      <c r="BI58" s="63">
        <f t="shared" ref="BI58" si="205">BH58</f>
        <v>0</v>
      </c>
      <c r="BJ58" s="63">
        <f t="shared" ref="BJ58" si="206">BI58</f>
        <v>0</v>
      </c>
      <c r="BK58" s="139">
        <f t="shared" ref="BK58" si="207">BJ58</f>
        <v>0</v>
      </c>
      <c r="BL58" s="63">
        <f t="shared" ref="BL58" si="208">BK58</f>
        <v>0</v>
      </c>
      <c r="BM58" s="63">
        <f t="shared" ref="BM58" si="209">BL58</f>
        <v>0</v>
      </c>
      <c r="BN58" s="63">
        <f t="shared" ref="BN58" si="210">BM58</f>
        <v>0</v>
      </c>
      <c r="BO58" s="139">
        <f t="shared" ref="BO58" si="211">BN58</f>
        <v>0</v>
      </c>
      <c r="BP58" s="20"/>
      <c r="BQ58" s="63">
        <f>G58</f>
        <v>0</v>
      </c>
      <c r="BR58" s="63">
        <f>K58</f>
        <v>0</v>
      </c>
      <c r="BS58" s="63">
        <f>O58</f>
        <v>0</v>
      </c>
      <c r="BT58" s="63">
        <f>S58</f>
        <v>0</v>
      </c>
      <c r="BU58" s="63">
        <f>W58</f>
        <v>0</v>
      </c>
      <c r="BV58" s="63">
        <f>AA58</f>
        <v>0</v>
      </c>
      <c r="BW58" s="63">
        <f>AE58</f>
        <v>0</v>
      </c>
      <c r="BX58" s="63">
        <f>AI58</f>
        <v>0</v>
      </c>
      <c r="BY58" s="63">
        <f>AM58</f>
        <v>0</v>
      </c>
      <c r="BZ58" s="63">
        <f>AQ58</f>
        <v>0</v>
      </c>
      <c r="CA58" s="63">
        <f t="shared" ref="CA58:CF58" si="212">BZ58</f>
        <v>0</v>
      </c>
      <c r="CB58" s="63">
        <f t="shared" si="212"/>
        <v>0</v>
      </c>
      <c r="CC58" s="63">
        <f t="shared" si="212"/>
        <v>0</v>
      </c>
      <c r="CD58" s="63">
        <f t="shared" si="212"/>
        <v>0</v>
      </c>
      <c r="CE58" s="63">
        <f t="shared" si="212"/>
        <v>0</v>
      </c>
      <c r="CF58" s="64">
        <f t="shared" si="212"/>
        <v>0</v>
      </c>
      <c r="CG58" s="297"/>
      <c r="CH58" s="8"/>
      <c r="CO58" s="8"/>
    </row>
    <row r="59" spans="1:93" ht="14.25" customHeight="1">
      <c r="A59" s="8"/>
      <c r="B59" s="356" t="s">
        <v>207</v>
      </c>
      <c r="C59" s="80"/>
      <c r="D59" s="65">
        <v>1738</v>
      </c>
      <c r="E59" s="65">
        <v>1739</v>
      </c>
      <c r="F59" s="65">
        <v>1739</v>
      </c>
      <c r="G59" s="66">
        <v>1739</v>
      </c>
      <c r="H59" s="419">
        <v>1739</v>
      </c>
      <c r="I59" s="65">
        <v>1739</v>
      </c>
      <c r="J59" s="65">
        <v>1739</v>
      </c>
      <c r="K59" s="66">
        <v>1739</v>
      </c>
      <c r="L59" s="419">
        <v>1739</v>
      </c>
      <c r="M59" s="65">
        <v>1739</v>
      </c>
      <c r="N59" s="65">
        <v>1740</v>
      </c>
      <c r="O59" s="66">
        <v>1740</v>
      </c>
      <c r="P59" s="419">
        <v>1740</v>
      </c>
      <c r="Q59" s="65">
        <v>1740</v>
      </c>
      <c r="R59" s="65">
        <v>1740</v>
      </c>
      <c r="S59" s="66">
        <v>1740</v>
      </c>
      <c r="T59" s="419">
        <v>1740</v>
      </c>
      <c r="U59" s="65">
        <v>1740</v>
      </c>
      <c r="V59" s="65">
        <v>1740</v>
      </c>
      <c r="W59" s="66">
        <v>1740</v>
      </c>
      <c r="X59" s="65">
        <v>1740</v>
      </c>
      <c r="Y59" s="65">
        <v>1740</v>
      </c>
      <c r="Z59" s="65">
        <v>1740</v>
      </c>
      <c r="AA59" s="66">
        <v>1740</v>
      </c>
      <c r="AB59" s="65">
        <v>1740</v>
      </c>
      <c r="AC59" s="65">
        <v>1741</v>
      </c>
      <c r="AD59" s="65">
        <v>1741</v>
      </c>
      <c r="AE59" s="66">
        <v>1741</v>
      </c>
      <c r="AF59" s="65">
        <v>1741</v>
      </c>
      <c r="AG59" s="65">
        <v>1741</v>
      </c>
      <c r="AH59" s="65">
        <v>1741</v>
      </c>
      <c r="AI59" s="66">
        <v>1741</v>
      </c>
      <c r="AJ59" s="65">
        <v>1741</v>
      </c>
      <c r="AK59" s="65">
        <v>1741</v>
      </c>
      <c r="AL59" s="65">
        <v>1741</v>
      </c>
      <c r="AM59" s="66">
        <v>1741</v>
      </c>
      <c r="AN59" s="65">
        <v>1741</v>
      </c>
      <c r="AO59" s="65">
        <v>1741</v>
      </c>
      <c r="AP59" s="65">
        <v>1741</v>
      </c>
      <c r="AQ59" s="66">
        <v>1741</v>
      </c>
      <c r="AR59" s="65">
        <v>1741</v>
      </c>
      <c r="AS59" s="65">
        <v>1741</v>
      </c>
      <c r="AT59" s="65">
        <v>1741</v>
      </c>
      <c r="AU59" s="66">
        <v>1741</v>
      </c>
      <c r="AV59" s="65">
        <v>1741</v>
      </c>
      <c r="AW59" s="65">
        <v>1741</v>
      </c>
      <c r="AX59" s="65">
        <v>1741</v>
      </c>
      <c r="AY59" s="66">
        <v>1741</v>
      </c>
      <c r="AZ59" s="65">
        <v>1741</v>
      </c>
      <c r="BA59" s="65">
        <v>1741</v>
      </c>
      <c r="BB59" s="65">
        <v>1741</v>
      </c>
      <c r="BC59" s="66">
        <v>1741</v>
      </c>
      <c r="BD59" s="65">
        <v>1741</v>
      </c>
      <c r="BE59" s="63">
        <f>BD59+CFS!BE41</f>
        <v>1741</v>
      </c>
      <c r="BF59" s="63">
        <f>BE59+CFS!BF41</f>
        <v>1741</v>
      </c>
      <c r="BG59" s="64">
        <f>BF59+CFS!BG41</f>
        <v>1741</v>
      </c>
      <c r="BH59" s="63">
        <f>BG59+CFS!BH41</f>
        <v>1741</v>
      </c>
      <c r="BI59" s="63">
        <f>BH59+CFS!BI41</f>
        <v>1741</v>
      </c>
      <c r="BJ59" s="63">
        <f>BI59+CFS!BJ41</f>
        <v>1741</v>
      </c>
      <c r="BK59" s="64">
        <f>BJ59+CFS!BK41</f>
        <v>1741</v>
      </c>
      <c r="BL59" s="63">
        <f>BK59+CFS!BL41</f>
        <v>1741</v>
      </c>
      <c r="BM59" s="63">
        <f>BL59+CFS!BM41</f>
        <v>1741</v>
      </c>
      <c r="BN59" s="63">
        <f>BM59+CFS!BN41</f>
        <v>1741</v>
      </c>
      <c r="BO59" s="64">
        <f>BN59+CFS!BO41</f>
        <v>1741</v>
      </c>
      <c r="BP59" s="20"/>
      <c r="BQ59" s="63">
        <f>G59</f>
        <v>1739</v>
      </c>
      <c r="BR59" s="63">
        <f>K59</f>
        <v>1739</v>
      </c>
      <c r="BS59" s="63">
        <f>O59</f>
        <v>1740</v>
      </c>
      <c r="BT59" s="63">
        <f>S59</f>
        <v>1740</v>
      </c>
      <c r="BU59" s="63">
        <f>W59</f>
        <v>1740</v>
      </c>
      <c r="BV59" s="63">
        <f>AA59</f>
        <v>1740</v>
      </c>
      <c r="BW59" s="63">
        <f>AE59</f>
        <v>1741</v>
      </c>
      <c r="BX59" s="63">
        <f>AI59</f>
        <v>1741</v>
      </c>
      <c r="BY59" s="63">
        <f>AM59</f>
        <v>1741</v>
      </c>
      <c r="BZ59" s="63">
        <f>AQ59</f>
        <v>1741</v>
      </c>
      <c r="CA59" s="63">
        <f>AU59</f>
        <v>1741</v>
      </c>
      <c r="CB59" s="63">
        <f>AY59</f>
        <v>1741</v>
      </c>
      <c r="CC59" s="63">
        <f>BC59</f>
        <v>1741</v>
      </c>
      <c r="CD59" s="63">
        <f>BG59</f>
        <v>1741</v>
      </c>
      <c r="CE59" s="63">
        <f>BK59</f>
        <v>1741</v>
      </c>
      <c r="CF59" s="64">
        <f>BO59</f>
        <v>1741</v>
      </c>
      <c r="CG59" s="501"/>
      <c r="CH59" s="8"/>
      <c r="CO59" s="8"/>
    </row>
    <row r="60" spans="1:93" ht="14.25" customHeight="1">
      <c r="A60" s="12"/>
      <c r="B60" s="356" t="s">
        <v>208</v>
      </c>
      <c r="C60" s="80"/>
      <c r="D60" s="65">
        <v>0</v>
      </c>
      <c r="E60" s="65">
        <v>0</v>
      </c>
      <c r="F60" s="65">
        <v>0</v>
      </c>
      <c r="G60" s="66">
        <v>0</v>
      </c>
      <c r="H60" s="419">
        <v>0</v>
      </c>
      <c r="I60" s="65">
        <v>0</v>
      </c>
      <c r="J60" s="65">
        <v>0</v>
      </c>
      <c r="K60" s="66">
        <v>0</v>
      </c>
      <c r="L60" s="419">
        <v>0</v>
      </c>
      <c r="M60" s="65">
        <v>0</v>
      </c>
      <c r="N60" s="65">
        <v>0</v>
      </c>
      <c r="O60" s="66">
        <v>0</v>
      </c>
      <c r="P60" s="419">
        <v>0</v>
      </c>
      <c r="Q60" s="65">
        <v>0</v>
      </c>
      <c r="R60" s="65">
        <v>0</v>
      </c>
      <c r="S60" s="66">
        <v>0</v>
      </c>
      <c r="T60" s="419">
        <v>0</v>
      </c>
      <c r="U60" s="65">
        <v>0</v>
      </c>
      <c r="V60" s="65">
        <v>0</v>
      </c>
      <c r="W60" s="66">
        <v>0</v>
      </c>
      <c r="X60" s="65">
        <v>0</v>
      </c>
      <c r="Y60" s="65">
        <v>0</v>
      </c>
      <c r="Z60" s="65">
        <v>0</v>
      </c>
      <c r="AA60" s="66">
        <v>0</v>
      </c>
      <c r="AB60" s="65">
        <v>0</v>
      </c>
      <c r="AC60" s="65">
        <v>0</v>
      </c>
      <c r="AD60" s="65">
        <v>0</v>
      </c>
      <c r="AE60" s="66">
        <v>0</v>
      </c>
      <c r="AF60" s="65">
        <v>0</v>
      </c>
      <c r="AG60" s="65">
        <v>0</v>
      </c>
      <c r="AH60" s="65">
        <v>0</v>
      </c>
      <c r="AI60" s="66">
        <v>0</v>
      </c>
      <c r="AJ60" s="65">
        <v>0</v>
      </c>
      <c r="AK60" s="65">
        <v>0</v>
      </c>
      <c r="AL60" s="65">
        <v>0</v>
      </c>
      <c r="AM60" s="66">
        <v>0</v>
      </c>
      <c r="AN60" s="65">
        <v>0</v>
      </c>
      <c r="AO60" s="65">
        <v>0</v>
      </c>
      <c r="AP60" s="65">
        <v>0</v>
      </c>
      <c r="AQ60" s="66">
        <v>0</v>
      </c>
      <c r="AR60" s="65">
        <v>0</v>
      </c>
      <c r="AS60" s="65">
        <v>0</v>
      </c>
      <c r="AT60" s="65">
        <v>0</v>
      </c>
      <c r="AU60" s="66">
        <v>0</v>
      </c>
      <c r="AV60" s="65">
        <v>0</v>
      </c>
      <c r="AW60" s="65">
        <v>0</v>
      </c>
      <c r="AX60" s="65">
        <v>0</v>
      </c>
      <c r="AY60" s="66">
        <v>0</v>
      </c>
      <c r="AZ60" s="65">
        <v>0</v>
      </c>
      <c r="BA60" s="65">
        <v>0</v>
      </c>
      <c r="BB60" s="65">
        <v>0</v>
      </c>
      <c r="BC60" s="66">
        <v>0</v>
      </c>
      <c r="BD60" s="65">
        <v>0</v>
      </c>
      <c r="BE60" s="65">
        <v>0</v>
      </c>
      <c r="BF60" s="65">
        <v>0</v>
      </c>
      <c r="BG60" s="66">
        <v>0</v>
      </c>
      <c r="BH60" s="65">
        <v>0</v>
      </c>
      <c r="BI60" s="65">
        <v>0</v>
      </c>
      <c r="BJ60" s="65">
        <v>0</v>
      </c>
      <c r="BK60" s="66">
        <v>0</v>
      </c>
      <c r="BL60" s="65">
        <v>0</v>
      </c>
      <c r="BM60" s="65">
        <v>0</v>
      </c>
      <c r="BN60" s="65">
        <v>0</v>
      </c>
      <c r="BO60" s="66">
        <v>0</v>
      </c>
      <c r="BP60" s="152"/>
      <c r="BQ60" s="63">
        <f>G60</f>
        <v>0</v>
      </c>
      <c r="BR60" s="63">
        <f>K60</f>
        <v>0</v>
      </c>
      <c r="BS60" s="63">
        <f>O60</f>
        <v>0</v>
      </c>
      <c r="BT60" s="63">
        <f>S60</f>
        <v>0</v>
      </c>
      <c r="BU60" s="63">
        <f>W60</f>
        <v>0</v>
      </c>
      <c r="BV60" s="63">
        <f>AA60</f>
        <v>0</v>
      </c>
      <c r="BW60" s="63">
        <f>AE60</f>
        <v>0</v>
      </c>
      <c r="BX60" s="63">
        <f>AI60</f>
        <v>0</v>
      </c>
      <c r="BY60" s="63">
        <f>AM60</f>
        <v>0</v>
      </c>
      <c r="BZ60" s="63">
        <f>AQ60</f>
        <v>0</v>
      </c>
      <c r="CA60" s="63">
        <f t="shared" ref="CA60:CF60" si="213">BZ60</f>
        <v>0</v>
      </c>
      <c r="CB60" s="63">
        <f t="shared" si="213"/>
        <v>0</v>
      </c>
      <c r="CC60" s="63">
        <f t="shared" si="213"/>
        <v>0</v>
      </c>
      <c r="CD60" s="63">
        <f t="shared" si="213"/>
        <v>0</v>
      </c>
      <c r="CE60" s="63">
        <f t="shared" si="213"/>
        <v>0</v>
      </c>
      <c r="CF60" s="64">
        <f t="shared" si="213"/>
        <v>0</v>
      </c>
      <c r="CG60" s="501"/>
      <c r="CH60" s="12"/>
      <c r="CO60" s="12"/>
    </row>
    <row r="61" spans="1:93" ht="14.25" customHeight="1">
      <c r="A61" s="8"/>
      <c r="B61" s="356" t="s">
        <v>209</v>
      </c>
      <c r="C61" s="80"/>
      <c r="D61" s="65">
        <v>679</v>
      </c>
      <c r="E61" s="65">
        <v>611</v>
      </c>
      <c r="F61" s="65">
        <v>674</v>
      </c>
      <c r="G61" s="66">
        <v>742</v>
      </c>
      <c r="H61" s="419">
        <v>744</v>
      </c>
      <c r="I61" s="65">
        <v>779</v>
      </c>
      <c r="J61" s="65">
        <v>820</v>
      </c>
      <c r="K61" s="66">
        <v>885</v>
      </c>
      <c r="L61" s="419">
        <v>822</v>
      </c>
      <c r="M61" s="65">
        <v>761</v>
      </c>
      <c r="N61" s="65">
        <v>853</v>
      </c>
      <c r="O61" s="66">
        <v>931</v>
      </c>
      <c r="P61" s="419">
        <v>926</v>
      </c>
      <c r="Q61" s="65">
        <v>940</v>
      </c>
      <c r="R61" s="65">
        <v>973</v>
      </c>
      <c r="S61" s="66">
        <v>1022</v>
      </c>
      <c r="T61" s="419">
        <v>1020</v>
      </c>
      <c r="U61" s="65">
        <v>1045</v>
      </c>
      <c r="V61" s="65">
        <v>1071</v>
      </c>
      <c r="W61" s="66">
        <v>1086</v>
      </c>
      <c r="X61" s="65">
        <v>1095</v>
      </c>
      <c r="Y61" s="65">
        <v>1127</v>
      </c>
      <c r="Z61" s="65">
        <v>1128</v>
      </c>
      <c r="AA61" s="66">
        <v>1114</v>
      </c>
      <c r="AB61" s="65">
        <v>1068</v>
      </c>
      <c r="AC61" s="65">
        <v>1108</v>
      </c>
      <c r="AD61" s="65">
        <v>1172</v>
      </c>
      <c r="AE61" s="66">
        <v>1194</v>
      </c>
      <c r="AF61" s="65">
        <v>1112</v>
      </c>
      <c r="AG61" s="65">
        <v>1164</v>
      </c>
      <c r="AH61" s="65">
        <v>1193</v>
      </c>
      <c r="AI61" s="66">
        <v>1176</v>
      </c>
      <c r="AJ61" s="65">
        <v>1049</v>
      </c>
      <c r="AK61" s="65">
        <v>1117</v>
      </c>
      <c r="AL61" s="65">
        <v>1125</v>
      </c>
      <c r="AM61" s="66">
        <v>1211</v>
      </c>
      <c r="AN61" s="65">
        <v>1181</v>
      </c>
      <c r="AO61" s="65">
        <v>1273</v>
      </c>
      <c r="AP61" s="65">
        <v>1314</v>
      </c>
      <c r="AQ61" s="66">
        <v>1368</v>
      </c>
      <c r="AR61" s="65">
        <v>1410</v>
      </c>
      <c r="AS61" s="65">
        <v>1504</v>
      </c>
      <c r="AT61" s="65">
        <v>1562</v>
      </c>
      <c r="AU61" s="66">
        <v>1629</v>
      </c>
      <c r="AV61" s="65">
        <v>1558</v>
      </c>
      <c r="AW61" s="65">
        <v>1681</v>
      </c>
      <c r="AX61" s="65">
        <v>1757</v>
      </c>
      <c r="AY61" s="66">
        <v>1674</v>
      </c>
      <c r="AZ61" s="65">
        <v>1597</v>
      </c>
      <c r="BA61" s="65">
        <v>1683</v>
      </c>
      <c r="BB61" s="65">
        <v>1718</v>
      </c>
      <c r="BC61" s="66">
        <v>1776</v>
      </c>
      <c r="BD61" s="65">
        <v>1770</v>
      </c>
      <c r="BE61" s="63">
        <f>BD61+CFS!BE14</f>
        <v>1870</v>
      </c>
      <c r="BF61" s="63">
        <f>BE61+CFS!BF14</f>
        <v>1970</v>
      </c>
      <c r="BG61" s="64">
        <f>BF61+CFS!BG14</f>
        <v>2070</v>
      </c>
      <c r="BH61" s="63">
        <f>BG61+CFS!BH14</f>
        <v>2170</v>
      </c>
      <c r="BI61" s="63">
        <f>BH61+CFS!BI14</f>
        <v>2270</v>
      </c>
      <c r="BJ61" s="63">
        <f>BI61+CFS!BJ14</f>
        <v>2370</v>
      </c>
      <c r="BK61" s="64">
        <f>BJ61+CFS!BK14</f>
        <v>2470</v>
      </c>
      <c r="BL61" s="63">
        <f>BK61+CFS!BL14</f>
        <v>2570</v>
      </c>
      <c r="BM61" s="63">
        <f>BL61+CFS!BM14</f>
        <v>2670</v>
      </c>
      <c r="BN61" s="63">
        <f>BM61+CFS!BN14</f>
        <v>2770</v>
      </c>
      <c r="BO61" s="64">
        <f>BN61+CFS!BO14</f>
        <v>2870</v>
      </c>
      <c r="BP61" s="20"/>
      <c r="BQ61" s="63">
        <f>G61</f>
        <v>742</v>
      </c>
      <c r="BR61" s="63">
        <f>K61</f>
        <v>885</v>
      </c>
      <c r="BS61" s="63">
        <f>O61</f>
        <v>931</v>
      </c>
      <c r="BT61" s="63">
        <f>S61</f>
        <v>1022</v>
      </c>
      <c r="BU61" s="63">
        <f>W61</f>
        <v>1086</v>
      </c>
      <c r="BV61" s="63">
        <f>AA61</f>
        <v>1114</v>
      </c>
      <c r="BW61" s="63">
        <f>AE61</f>
        <v>1194</v>
      </c>
      <c r="BX61" s="63">
        <f>AI61</f>
        <v>1176</v>
      </c>
      <c r="BY61" s="63">
        <f>AM61</f>
        <v>1211</v>
      </c>
      <c r="BZ61" s="63">
        <f>AQ61</f>
        <v>1368</v>
      </c>
      <c r="CA61" s="63">
        <f>AU61</f>
        <v>1629</v>
      </c>
      <c r="CB61" s="63">
        <f>AY61</f>
        <v>1674</v>
      </c>
      <c r="CC61" s="63">
        <f>BC61</f>
        <v>1776</v>
      </c>
      <c r="CD61" s="63">
        <f>BG61</f>
        <v>2070</v>
      </c>
      <c r="CE61" s="63">
        <f>BK61</f>
        <v>2470</v>
      </c>
      <c r="CF61" s="64">
        <f>BO61</f>
        <v>2870</v>
      </c>
      <c r="CG61" s="501"/>
      <c r="CH61" s="8"/>
      <c r="CO61" s="8"/>
    </row>
    <row r="62" spans="1:93" ht="14.25" customHeight="1">
      <c r="A62" s="8"/>
      <c r="B62" s="140" t="s">
        <v>210</v>
      </c>
      <c r="C62" s="141"/>
      <c r="D62" s="142">
        <f t="shared" ref="D62:AQ62" si="214">SUM(D58:D61)</f>
        <v>2417</v>
      </c>
      <c r="E62" s="142">
        <f t="shared" si="214"/>
        <v>2350</v>
      </c>
      <c r="F62" s="142">
        <f t="shared" si="214"/>
        <v>2413</v>
      </c>
      <c r="G62" s="143">
        <f t="shared" si="214"/>
        <v>2481</v>
      </c>
      <c r="H62" s="144">
        <f t="shared" si="214"/>
        <v>2483</v>
      </c>
      <c r="I62" s="142">
        <f t="shared" si="214"/>
        <v>2518</v>
      </c>
      <c r="J62" s="142">
        <f t="shared" si="214"/>
        <v>2559</v>
      </c>
      <c r="K62" s="143">
        <f t="shared" si="214"/>
        <v>2624</v>
      </c>
      <c r="L62" s="144">
        <f t="shared" si="214"/>
        <v>2561</v>
      </c>
      <c r="M62" s="142">
        <f t="shared" si="214"/>
        <v>2500</v>
      </c>
      <c r="N62" s="142">
        <f t="shared" si="214"/>
        <v>2593</v>
      </c>
      <c r="O62" s="143">
        <f t="shared" si="214"/>
        <v>2671</v>
      </c>
      <c r="P62" s="144">
        <f t="shared" si="214"/>
        <v>2666</v>
      </c>
      <c r="Q62" s="142">
        <f t="shared" si="214"/>
        <v>2680</v>
      </c>
      <c r="R62" s="142">
        <f t="shared" si="214"/>
        <v>2713</v>
      </c>
      <c r="S62" s="143">
        <f t="shared" si="214"/>
        <v>2762</v>
      </c>
      <c r="T62" s="144">
        <f t="shared" si="214"/>
        <v>2760</v>
      </c>
      <c r="U62" s="142">
        <f t="shared" si="214"/>
        <v>2785</v>
      </c>
      <c r="V62" s="142">
        <f t="shared" si="214"/>
        <v>2811</v>
      </c>
      <c r="W62" s="143">
        <f t="shared" si="214"/>
        <v>2826</v>
      </c>
      <c r="X62" s="142">
        <f t="shared" si="214"/>
        <v>2835</v>
      </c>
      <c r="Y62" s="142">
        <f t="shared" si="214"/>
        <v>2867</v>
      </c>
      <c r="Z62" s="142">
        <f t="shared" si="214"/>
        <v>2868</v>
      </c>
      <c r="AA62" s="143">
        <f t="shared" si="214"/>
        <v>2854</v>
      </c>
      <c r="AB62" s="142">
        <f t="shared" si="214"/>
        <v>2808</v>
      </c>
      <c r="AC62" s="142">
        <f t="shared" si="214"/>
        <v>2849</v>
      </c>
      <c r="AD62" s="142">
        <f t="shared" si="214"/>
        <v>2913</v>
      </c>
      <c r="AE62" s="143">
        <f t="shared" si="214"/>
        <v>2935</v>
      </c>
      <c r="AF62" s="142">
        <f t="shared" si="214"/>
        <v>2853</v>
      </c>
      <c r="AG62" s="142">
        <f t="shared" si="214"/>
        <v>2905</v>
      </c>
      <c r="AH62" s="142">
        <f t="shared" si="214"/>
        <v>2934</v>
      </c>
      <c r="AI62" s="143">
        <f t="shared" si="214"/>
        <v>2917</v>
      </c>
      <c r="AJ62" s="142">
        <f t="shared" si="214"/>
        <v>2790</v>
      </c>
      <c r="AK62" s="142">
        <f t="shared" si="214"/>
        <v>2858</v>
      </c>
      <c r="AL62" s="142">
        <f t="shared" si="214"/>
        <v>2866</v>
      </c>
      <c r="AM62" s="143">
        <f>SUM(AM58:AM61)</f>
        <v>2952</v>
      </c>
      <c r="AN62" s="142">
        <f>SUM(AN58:AN61)</f>
        <v>2922</v>
      </c>
      <c r="AO62" s="142">
        <f>SUM(AO58:AO61)</f>
        <v>3014</v>
      </c>
      <c r="AP62" s="142">
        <f t="shared" si="214"/>
        <v>3055</v>
      </c>
      <c r="AQ62" s="143">
        <f t="shared" si="214"/>
        <v>3109</v>
      </c>
      <c r="AR62" s="142">
        <f t="shared" ref="AR62:BD62" si="215">SUM(AR58:AR61)</f>
        <v>3151</v>
      </c>
      <c r="AS62" s="142">
        <f t="shared" si="215"/>
        <v>3245</v>
      </c>
      <c r="AT62" s="142">
        <f t="shared" si="215"/>
        <v>3303</v>
      </c>
      <c r="AU62" s="143">
        <f t="shared" si="215"/>
        <v>3370</v>
      </c>
      <c r="AV62" s="142">
        <f t="shared" si="215"/>
        <v>3299</v>
      </c>
      <c r="AW62" s="142">
        <f t="shared" si="215"/>
        <v>3422</v>
      </c>
      <c r="AX62" s="142">
        <f t="shared" si="215"/>
        <v>3498</v>
      </c>
      <c r="AY62" s="143">
        <f t="shared" ref="AY62:BA62" si="216">SUM(AY58:AY61)</f>
        <v>3415</v>
      </c>
      <c r="AZ62" s="142">
        <f t="shared" si="216"/>
        <v>3338</v>
      </c>
      <c r="BA62" s="142">
        <f t="shared" si="216"/>
        <v>3424</v>
      </c>
      <c r="BB62" s="142">
        <f t="shared" si="215"/>
        <v>3459</v>
      </c>
      <c r="BC62" s="143">
        <f t="shared" si="215"/>
        <v>3517</v>
      </c>
      <c r="BD62" s="142">
        <f t="shared" si="215"/>
        <v>3511</v>
      </c>
      <c r="BE62" s="142">
        <f t="shared" ref="BE62:BG62" si="217">SUM(BE58:BE61)</f>
        <v>3611</v>
      </c>
      <c r="BF62" s="142">
        <f t="shared" si="217"/>
        <v>3711</v>
      </c>
      <c r="BG62" s="143">
        <f t="shared" si="217"/>
        <v>3811</v>
      </c>
      <c r="BH62" s="142">
        <f t="shared" ref="BH62:BK62" si="218">SUM(BH58:BH61)</f>
        <v>3911</v>
      </c>
      <c r="BI62" s="142">
        <f t="shared" si="218"/>
        <v>4011</v>
      </c>
      <c r="BJ62" s="142">
        <f t="shared" si="218"/>
        <v>4111</v>
      </c>
      <c r="BK62" s="143">
        <f t="shared" si="218"/>
        <v>4211</v>
      </c>
      <c r="BL62" s="142">
        <f t="shared" ref="BL62:BO62" si="219">SUM(BL58:BL61)</f>
        <v>4311</v>
      </c>
      <c r="BM62" s="142">
        <f t="shared" si="219"/>
        <v>4411</v>
      </c>
      <c r="BN62" s="142">
        <f t="shared" si="219"/>
        <v>4511</v>
      </c>
      <c r="BO62" s="143">
        <f t="shared" si="219"/>
        <v>4611</v>
      </c>
      <c r="BP62" s="20"/>
      <c r="BQ62" s="142">
        <f t="shared" ref="BQ62:BZ62" si="220">SUM(BQ58:BQ61)</f>
        <v>2481</v>
      </c>
      <c r="BR62" s="142">
        <f t="shared" si="220"/>
        <v>2624</v>
      </c>
      <c r="BS62" s="142">
        <f t="shared" si="220"/>
        <v>2671</v>
      </c>
      <c r="BT62" s="142">
        <f t="shared" si="220"/>
        <v>2762</v>
      </c>
      <c r="BU62" s="142">
        <f t="shared" si="220"/>
        <v>2826</v>
      </c>
      <c r="BV62" s="142">
        <f t="shared" si="220"/>
        <v>2854</v>
      </c>
      <c r="BW62" s="142">
        <f t="shared" si="220"/>
        <v>2935</v>
      </c>
      <c r="BX62" s="142">
        <f t="shared" si="220"/>
        <v>2917</v>
      </c>
      <c r="BY62" s="142">
        <f t="shared" si="220"/>
        <v>2952</v>
      </c>
      <c r="BZ62" s="142">
        <f t="shared" si="220"/>
        <v>3109</v>
      </c>
      <c r="CA62" s="142">
        <f t="shared" ref="CA62:CF62" si="221">SUM(CA58:CA61)</f>
        <v>3370</v>
      </c>
      <c r="CB62" s="142">
        <f t="shared" si="221"/>
        <v>3415</v>
      </c>
      <c r="CC62" s="142">
        <f t="shared" si="221"/>
        <v>3517</v>
      </c>
      <c r="CD62" s="142">
        <f t="shared" si="221"/>
        <v>3811</v>
      </c>
      <c r="CE62" s="142">
        <f t="shared" si="221"/>
        <v>4211</v>
      </c>
      <c r="CF62" s="143">
        <f t="shared" si="221"/>
        <v>4611</v>
      </c>
      <c r="CG62" s="297"/>
      <c r="CH62" s="8"/>
      <c r="CO62" s="8"/>
    </row>
    <row r="63" spans="1:93" ht="14.25" customHeight="1">
      <c r="A63" s="8"/>
      <c r="B63" s="336"/>
      <c r="C63" s="24"/>
      <c r="D63" s="63"/>
      <c r="E63" s="63"/>
      <c r="F63" s="63"/>
      <c r="G63" s="64"/>
      <c r="H63" s="503"/>
      <c r="I63" s="63"/>
      <c r="J63" s="63"/>
      <c r="K63" s="64"/>
      <c r="L63" s="503"/>
      <c r="M63" s="63"/>
      <c r="N63" s="63"/>
      <c r="O63" s="64"/>
      <c r="P63" s="503"/>
      <c r="Q63" s="63"/>
      <c r="R63" s="63"/>
      <c r="S63" s="64"/>
      <c r="T63" s="503"/>
      <c r="U63" s="63"/>
      <c r="V63" s="63"/>
      <c r="W63" s="64"/>
      <c r="X63" s="63"/>
      <c r="Y63" s="63"/>
      <c r="Z63" s="63"/>
      <c r="AA63" s="64"/>
      <c r="AB63" s="63"/>
      <c r="AC63" s="63"/>
      <c r="AD63" s="63"/>
      <c r="AE63" s="64"/>
      <c r="AF63" s="63"/>
      <c r="AG63" s="63"/>
      <c r="AH63" s="63"/>
      <c r="AI63" s="64"/>
      <c r="AJ63" s="63"/>
      <c r="AK63" s="63"/>
      <c r="AL63" s="63"/>
      <c r="AM63" s="64"/>
      <c r="AN63" s="63"/>
      <c r="AO63" s="63"/>
      <c r="AP63" s="63"/>
      <c r="AQ63" s="64"/>
      <c r="AR63" s="63"/>
      <c r="AS63" s="63"/>
      <c r="AT63" s="63"/>
      <c r="AU63" s="64"/>
      <c r="AV63" s="63"/>
      <c r="AW63" s="63"/>
      <c r="AX63" s="63"/>
      <c r="AY63" s="64"/>
      <c r="AZ63" s="63"/>
      <c r="BA63" s="63"/>
      <c r="BB63" s="63"/>
      <c r="BC63" s="64"/>
      <c r="BD63" s="63"/>
      <c r="BE63" s="63"/>
      <c r="BF63" s="63"/>
      <c r="BG63" s="64"/>
      <c r="BH63" s="63"/>
      <c r="BI63" s="63"/>
      <c r="BJ63" s="63"/>
      <c r="BK63" s="64"/>
      <c r="BL63" s="63"/>
      <c r="BM63" s="63"/>
      <c r="BN63" s="63"/>
      <c r="BO63" s="64"/>
      <c r="BP63" s="20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139"/>
      <c r="CG63" s="297"/>
      <c r="CH63" s="8"/>
      <c r="CO63" s="8"/>
    </row>
    <row r="64" spans="1:93" ht="14.25" customHeight="1">
      <c r="A64" s="8"/>
      <c r="B64" s="356" t="s">
        <v>211</v>
      </c>
      <c r="C64" s="80"/>
      <c r="D64" s="65">
        <v>0</v>
      </c>
      <c r="E64" s="65">
        <v>0</v>
      </c>
      <c r="F64" s="65">
        <v>0</v>
      </c>
      <c r="G64" s="66">
        <v>0</v>
      </c>
      <c r="H64" s="419">
        <v>0</v>
      </c>
      <c r="I64" s="65">
        <v>0</v>
      </c>
      <c r="J64" s="65">
        <v>0</v>
      </c>
      <c r="K64" s="66">
        <v>0</v>
      </c>
      <c r="L64" s="419">
        <v>0</v>
      </c>
      <c r="M64" s="65">
        <v>0</v>
      </c>
      <c r="N64" s="65">
        <v>0</v>
      </c>
      <c r="O64" s="66">
        <v>0</v>
      </c>
      <c r="P64" s="419">
        <v>0</v>
      </c>
      <c r="Q64" s="65">
        <v>0</v>
      </c>
      <c r="R64" s="65">
        <v>0</v>
      </c>
      <c r="S64" s="66">
        <v>0</v>
      </c>
      <c r="T64" s="419">
        <v>0</v>
      </c>
      <c r="U64" s="65">
        <v>0</v>
      </c>
      <c r="V64" s="65">
        <v>0</v>
      </c>
      <c r="W64" s="66">
        <v>0</v>
      </c>
      <c r="X64" s="65">
        <v>0</v>
      </c>
      <c r="Y64" s="65">
        <v>0</v>
      </c>
      <c r="Z64" s="65">
        <v>0</v>
      </c>
      <c r="AA64" s="66">
        <v>0</v>
      </c>
      <c r="AB64" s="65">
        <v>0</v>
      </c>
      <c r="AC64" s="65">
        <v>0</v>
      </c>
      <c r="AD64" s="65">
        <v>0</v>
      </c>
      <c r="AE64" s="66">
        <v>0</v>
      </c>
      <c r="AF64" s="65">
        <v>0</v>
      </c>
      <c r="AG64" s="65">
        <v>0</v>
      </c>
      <c r="AH64" s="65">
        <v>0</v>
      </c>
      <c r="AI64" s="66">
        <v>0</v>
      </c>
      <c r="AJ64" s="65">
        <v>0</v>
      </c>
      <c r="AK64" s="65">
        <v>0</v>
      </c>
      <c r="AL64" s="65">
        <v>0</v>
      </c>
      <c r="AM64" s="66">
        <v>0</v>
      </c>
      <c r="AN64" s="65">
        <v>0</v>
      </c>
      <c r="AO64" s="65">
        <v>0</v>
      </c>
      <c r="AP64" s="65">
        <v>0</v>
      </c>
      <c r="AQ64" s="66">
        <v>0</v>
      </c>
      <c r="AR64" s="65">
        <v>0</v>
      </c>
      <c r="AS64" s="65">
        <v>0</v>
      </c>
      <c r="AT64" s="65">
        <v>0</v>
      </c>
      <c r="AU64" s="66">
        <v>0</v>
      </c>
      <c r="AV64" s="65">
        <v>0</v>
      </c>
      <c r="AW64" s="65">
        <v>0</v>
      </c>
      <c r="AX64" s="65">
        <v>0</v>
      </c>
      <c r="AY64" s="66">
        <v>0</v>
      </c>
      <c r="AZ64" s="65">
        <v>0</v>
      </c>
      <c r="BA64" s="65">
        <v>0</v>
      </c>
      <c r="BB64" s="65">
        <f t="shared" ref="BB64:BG64" si="222">BA64</f>
        <v>0</v>
      </c>
      <c r="BC64" s="66">
        <v>0</v>
      </c>
      <c r="BD64" s="65">
        <v>0</v>
      </c>
      <c r="BE64" s="63">
        <f t="shared" si="222"/>
        <v>0</v>
      </c>
      <c r="BF64" s="63">
        <f t="shared" si="222"/>
        <v>0</v>
      </c>
      <c r="BG64" s="64">
        <f t="shared" si="222"/>
        <v>0</v>
      </c>
      <c r="BH64" s="63">
        <f t="shared" ref="BH64" si="223">BG64</f>
        <v>0</v>
      </c>
      <c r="BI64" s="63">
        <f t="shared" ref="BI64" si="224">BH64</f>
        <v>0</v>
      </c>
      <c r="BJ64" s="63">
        <f t="shared" ref="BJ64" si="225">BI64</f>
        <v>0</v>
      </c>
      <c r="BK64" s="64">
        <f t="shared" ref="BK64" si="226">BJ64</f>
        <v>0</v>
      </c>
      <c r="BL64" s="63">
        <f t="shared" ref="BL64" si="227">BK64</f>
        <v>0</v>
      </c>
      <c r="BM64" s="63">
        <f t="shared" ref="BM64" si="228">BL64</f>
        <v>0</v>
      </c>
      <c r="BN64" s="63">
        <f t="shared" ref="BN64" si="229">BM64</f>
        <v>0</v>
      </c>
      <c r="BO64" s="64">
        <f t="shared" ref="BO64" si="230">BN64</f>
        <v>0</v>
      </c>
      <c r="BP64" s="20"/>
      <c r="BQ64" s="63">
        <f>G64</f>
        <v>0</v>
      </c>
      <c r="BR64" s="63">
        <f>K64</f>
        <v>0</v>
      </c>
      <c r="BS64" s="63">
        <f>O64</f>
        <v>0</v>
      </c>
      <c r="BT64" s="63">
        <f>S64</f>
        <v>0</v>
      </c>
      <c r="BU64" s="63">
        <f>W64</f>
        <v>0</v>
      </c>
      <c r="BV64" s="63">
        <f>AA64</f>
        <v>0</v>
      </c>
      <c r="BW64" s="63">
        <f>AE64</f>
        <v>0</v>
      </c>
      <c r="BX64" s="63">
        <f>AI64</f>
        <v>0</v>
      </c>
      <c r="BY64" s="63">
        <f>AM64</f>
        <v>0</v>
      </c>
      <c r="BZ64" s="63">
        <f>AQ64</f>
        <v>0</v>
      </c>
      <c r="CA64" s="63">
        <f t="shared" ref="CA64:CF64" si="231">BZ64</f>
        <v>0</v>
      </c>
      <c r="CB64" s="63">
        <f t="shared" si="231"/>
        <v>0</v>
      </c>
      <c r="CC64" s="63">
        <f t="shared" si="231"/>
        <v>0</v>
      </c>
      <c r="CD64" s="63">
        <f t="shared" si="231"/>
        <v>0</v>
      </c>
      <c r="CE64" s="63">
        <f t="shared" si="231"/>
        <v>0</v>
      </c>
      <c r="CF64" s="64">
        <f t="shared" si="231"/>
        <v>0</v>
      </c>
      <c r="CG64" s="297"/>
      <c r="CH64" s="8"/>
      <c r="CO64" s="8"/>
    </row>
    <row r="65" spans="1:93" ht="14.25" customHeight="1">
      <c r="A65" s="8"/>
      <c r="B65" s="356" t="s">
        <v>212</v>
      </c>
      <c r="C65" s="80"/>
      <c r="D65" s="65">
        <v>11610</v>
      </c>
      <c r="E65" s="65">
        <v>12197</v>
      </c>
      <c r="F65" s="65">
        <v>12787</v>
      </c>
      <c r="G65" s="66">
        <v>13394</v>
      </c>
      <c r="H65" s="419">
        <v>13930</v>
      </c>
      <c r="I65" s="65">
        <v>16271</v>
      </c>
      <c r="J65" s="65">
        <v>16927</v>
      </c>
      <c r="K65" s="66">
        <v>17529</v>
      </c>
      <c r="L65" s="419">
        <v>18017</v>
      </c>
      <c r="M65" s="65">
        <v>18511</v>
      </c>
      <c r="N65" s="65">
        <v>19172</v>
      </c>
      <c r="O65" s="66">
        <v>19788</v>
      </c>
      <c r="P65" s="419">
        <v>20318</v>
      </c>
      <c r="Q65" s="65">
        <v>20773</v>
      </c>
      <c r="R65" s="65">
        <v>21204</v>
      </c>
      <c r="S65" s="66">
        <v>21168</v>
      </c>
      <c r="T65" s="419">
        <v>21043</v>
      </c>
      <c r="U65" s="65">
        <v>21163</v>
      </c>
      <c r="V65" s="65">
        <v>21562</v>
      </c>
      <c r="W65" s="66">
        <v>22066</v>
      </c>
      <c r="X65" s="65">
        <v>22573</v>
      </c>
      <c r="Y65" s="65">
        <v>23194</v>
      </c>
      <c r="Z65" s="65">
        <v>23907</v>
      </c>
      <c r="AA65" s="66">
        <v>24695</v>
      </c>
      <c r="AB65" s="419">
        <v>25206</v>
      </c>
      <c r="AC65" s="65">
        <v>25726</v>
      </c>
      <c r="AD65" s="65">
        <v>26175</v>
      </c>
      <c r="AE65" s="66">
        <v>26278</v>
      </c>
      <c r="AF65" s="419">
        <v>26345</v>
      </c>
      <c r="AG65" s="65">
        <v>26592</v>
      </c>
      <c r="AH65" s="65">
        <v>27179</v>
      </c>
      <c r="AI65" s="66">
        <v>27205</v>
      </c>
      <c r="AJ65" s="65">
        <v>27330</v>
      </c>
      <c r="AK65" s="65">
        <v>27677</v>
      </c>
      <c r="AL65" s="65">
        <v>27993</v>
      </c>
      <c r="AM65" s="66">
        <v>28173</v>
      </c>
      <c r="AN65" s="65">
        <v>28331</v>
      </c>
      <c r="AO65" s="65">
        <v>28686</v>
      </c>
      <c r="AP65" s="65">
        <v>29189</v>
      </c>
      <c r="AQ65" s="66">
        <v>29653</v>
      </c>
      <c r="AR65" s="65">
        <v>29948</v>
      </c>
      <c r="AS65" s="65">
        <v>30286</v>
      </c>
      <c r="AT65" s="65">
        <v>30731</v>
      </c>
      <c r="AU65" s="66">
        <v>31176</v>
      </c>
      <c r="AV65" s="65">
        <v>31457</v>
      </c>
      <c r="AW65" s="65">
        <v>31850</v>
      </c>
      <c r="AX65" s="65">
        <v>32432</v>
      </c>
      <c r="AY65" s="66">
        <v>33107</v>
      </c>
      <c r="AZ65" s="65">
        <v>33595</v>
      </c>
      <c r="BA65" s="65">
        <v>34149</v>
      </c>
      <c r="BB65" s="65">
        <v>34935</v>
      </c>
      <c r="BC65" s="66">
        <v>34662</v>
      </c>
      <c r="BD65" s="65">
        <v>35619</v>
      </c>
      <c r="BE65" s="63">
        <f>BD65+IS!BE79-BE64</f>
        <v>36926.484562707992</v>
      </c>
      <c r="BF65" s="63">
        <f>BE65+IS!BF79-BF64</f>
        <v>38347.553332278243</v>
      </c>
      <c r="BG65" s="64">
        <f>BF65+IS!BG79-BG64</f>
        <v>39679.382103993368</v>
      </c>
      <c r="BH65" s="63">
        <f>BG65+IS!BH79-BH64</f>
        <v>40983.437051351</v>
      </c>
      <c r="BI65" s="63">
        <f>BH65+IS!BI79-BI64</f>
        <v>42418.030987028287</v>
      </c>
      <c r="BJ65" s="63">
        <f>BI65+IS!BJ79-BJ64</f>
        <v>44009.001854625341</v>
      </c>
      <c r="BK65" s="64">
        <f>BJ65+IS!BK79-BK64</f>
        <v>45473.289936699126</v>
      </c>
      <c r="BL65" s="63">
        <f>BK65+IS!BL79-BL64</f>
        <v>46883.36597584033</v>
      </c>
      <c r="BM65" s="63">
        <f>BL65+IS!BM79-BM64</f>
        <v>48455.869947319981</v>
      </c>
      <c r="BN65" s="63">
        <f>BM65+IS!BN79-BN64</f>
        <v>50183.843338122409</v>
      </c>
      <c r="BO65" s="64">
        <f>BN65+IS!BO79-BO64</f>
        <v>51764.050636221349</v>
      </c>
      <c r="BP65" s="20"/>
      <c r="BQ65" s="63">
        <f>G65</f>
        <v>13394</v>
      </c>
      <c r="BR65" s="63">
        <f>K65</f>
        <v>17529</v>
      </c>
      <c r="BS65" s="63">
        <f>O65</f>
        <v>19788</v>
      </c>
      <c r="BT65" s="63">
        <f>S65</f>
        <v>21168</v>
      </c>
      <c r="BU65" s="63">
        <f>W65</f>
        <v>22066</v>
      </c>
      <c r="BV65" s="63">
        <f>AA65</f>
        <v>24695</v>
      </c>
      <c r="BW65" s="63">
        <f>AE65</f>
        <v>26278</v>
      </c>
      <c r="BX65" s="63">
        <f>AI65</f>
        <v>27205</v>
      </c>
      <c r="BY65" s="63">
        <f>AM65</f>
        <v>28173</v>
      </c>
      <c r="BZ65" s="63">
        <f>AQ65</f>
        <v>29653</v>
      </c>
      <c r="CA65" s="63">
        <f>AU65</f>
        <v>31176</v>
      </c>
      <c r="CB65" s="63">
        <f>AY65</f>
        <v>33107</v>
      </c>
      <c r="CC65" s="63">
        <f>BC65</f>
        <v>34662</v>
      </c>
      <c r="CD65" s="63">
        <f>BG65</f>
        <v>39679.382103993368</v>
      </c>
      <c r="CE65" s="63">
        <f>BK65</f>
        <v>45473.289936699126</v>
      </c>
      <c r="CF65" s="64">
        <f>BO65</f>
        <v>51764.050636221349</v>
      </c>
      <c r="CG65" s="501"/>
      <c r="CH65" s="8"/>
      <c r="CO65" s="8"/>
    </row>
    <row r="66" spans="1:93" ht="14.25" customHeight="1">
      <c r="A66" s="8"/>
      <c r="B66" s="356" t="s">
        <v>333</v>
      </c>
      <c r="C66" s="80"/>
      <c r="D66" s="65">
        <v>-1929</v>
      </c>
      <c r="E66" s="65">
        <v>-2908</v>
      </c>
      <c r="F66" s="65">
        <v>-3152</v>
      </c>
      <c r="G66" s="66">
        <v>-3856</v>
      </c>
      <c r="H66" s="419">
        <v>-5092</v>
      </c>
      <c r="I66" s="65">
        <v>-5911</v>
      </c>
      <c r="J66" s="65">
        <v>-7413</v>
      </c>
      <c r="K66" s="66">
        <v>-8430</v>
      </c>
      <c r="L66" s="419">
        <v>-8940</v>
      </c>
      <c r="M66" s="65">
        <v>-9233</v>
      </c>
      <c r="N66" s="65">
        <v>-10344</v>
      </c>
      <c r="O66" s="66">
        <v>-12160</v>
      </c>
      <c r="P66" s="419">
        <v>-12776</v>
      </c>
      <c r="Q66" s="65">
        <v>-13138</v>
      </c>
      <c r="R66" s="65">
        <v>-13481</v>
      </c>
      <c r="S66" s="66">
        <v>-13814</v>
      </c>
      <c r="T66" s="419">
        <v>-13852</v>
      </c>
      <c r="U66" s="65">
        <v>-14061</v>
      </c>
      <c r="V66" s="65">
        <v>-14257</v>
      </c>
      <c r="W66" s="66">
        <v>-14549</v>
      </c>
      <c r="X66" s="65">
        <v>-14976</v>
      </c>
      <c r="Y66" s="65">
        <v>-15652</v>
      </c>
      <c r="Z66" s="65">
        <v>-16169</v>
      </c>
      <c r="AA66" s="66">
        <v>-16411</v>
      </c>
      <c r="AB66" s="65">
        <v>-16738</v>
      </c>
      <c r="AC66" s="65">
        <v>-16986</v>
      </c>
      <c r="AD66" s="65">
        <v>-17372</v>
      </c>
      <c r="AE66" s="66">
        <v>-17485</v>
      </c>
      <c r="AF66" s="65">
        <v>-17385</v>
      </c>
      <c r="AG66" s="65">
        <v>-17598</v>
      </c>
      <c r="AH66" s="65">
        <v>-18093</v>
      </c>
      <c r="AI66" s="66">
        <v>-18462</v>
      </c>
      <c r="AJ66" s="65">
        <v>-18518</v>
      </c>
      <c r="AK66" s="65">
        <v>-18877</v>
      </c>
      <c r="AL66" s="65">
        <v>-19236</v>
      </c>
      <c r="AM66" s="66">
        <v>-19790</v>
      </c>
      <c r="AN66" s="65">
        <v>-20113</v>
      </c>
      <c r="AO66" s="65">
        <v>-20722</v>
      </c>
      <c r="AP66" s="65">
        <v>-21305</v>
      </c>
      <c r="AQ66" s="66">
        <v>-21840</v>
      </c>
      <c r="AR66" s="65">
        <v>-22199</v>
      </c>
      <c r="AS66" s="65">
        <v>-22812</v>
      </c>
      <c r="AT66" s="65">
        <v>-23551</v>
      </c>
      <c r="AU66" s="66">
        <v>-24068</v>
      </c>
      <c r="AV66" s="65">
        <v>-24443</v>
      </c>
      <c r="AW66" s="65">
        <v>-24774</v>
      </c>
      <c r="AX66" s="65">
        <v>-25102</v>
      </c>
      <c r="AY66" s="66">
        <v>-25523</v>
      </c>
      <c r="AZ66" s="65">
        <v>-25767</v>
      </c>
      <c r="BA66" s="65">
        <v>-26345</v>
      </c>
      <c r="BB66" s="65">
        <v>-26901</v>
      </c>
      <c r="BC66" s="66">
        <v>-27458</v>
      </c>
      <c r="BD66" s="65">
        <v>-28096</v>
      </c>
      <c r="BE66" s="63">
        <f>+BD66+CFS!BE42</f>
        <v>-28969</v>
      </c>
      <c r="BF66" s="63">
        <f>+BE66+CFS!BF42</f>
        <v>-29842</v>
      </c>
      <c r="BG66" s="64">
        <f>+BF66+CFS!BG42</f>
        <v>-30715</v>
      </c>
      <c r="BH66" s="63">
        <f>+BG66+CFS!BH42</f>
        <v>-31588</v>
      </c>
      <c r="BI66" s="63">
        <f>+BH66+CFS!BI42</f>
        <v>-32461</v>
      </c>
      <c r="BJ66" s="63">
        <f>+BI66+CFS!BJ42</f>
        <v>-33334</v>
      </c>
      <c r="BK66" s="64">
        <f>+BJ66+CFS!BK42</f>
        <v>-34207</v>
      </c>
      <c r="BL66" s="63">
        <f>+BK66+CFS!BL42</f>
        <v>-35080</v>
      </c>
      <c r="BM66" s="63">
        <f>+BL66+CFS!BM42</f>
        <v>-35953</v>
      </c>
      <c r="BN66" s="63">
        <f>+BM66+CFS!BN42</f>
        <v>-36826</v>
      </c>
      <c r="BO66" s="64">
        <f>+BN66+CFS!BO42</f>
        <v>-37699</v>
      </c>
      <c r="BP66" s="20"/>
      <c r="BQ66" s="63">
        <f>G66</f>
        <v>-3856</v>
      </c>
      <c r="BR66" s="63">
        <f>K66</f>
        <v>-8430</v>
      </c>
      <c r="BS66" s="63">
        <f>O66</f>
        <v>-12160</v>
      </c>
      <c r="BT66" s="63">
        <f>S66</f>
        <v>-13814</v>
      </c>
      <c r="BU66" s="63">
        <f>W66</f>
        <v>-14549</v>
      </c>
      <c r="BV66" s="63">
        <f>AA66</f>
        <v>-16411</v>
      </c>
      <c r="BW66" s="63">
        <f>AE66</f>
        <v>-17485</v>
      </c>
      <c r="BX66" s="63">
        <f>AI66</f>
        <v>-18462</v>
      </c>
      <c r="BY66" s="63">
        <f>AM66</f>
        <v>-19790</v>
      </c>
      <c r="BZ66" s="63">
        <f>AQ66</f>
        <v>-21840</v>
      </c>
      <c r="CA66" s="63">
        <f>AU66</f>
        <v>-24068</v>
      </c>
      <c r="CB66" s="63">
        <f>AY66</f>
        <v>-25523</v>
      </c>
      <c r="CC66" s="63">
        <f>BC66</f>
        <v>-27458</v>
      </c>
      <c r="CD66" s="63">
        <f>BG66</f>
        <v>-30715</v>
      </c>
      <c r="CE66" s="63">
        <f>BK66</f>
        <v>-34207</v>
      </c>
      <c r="CF66" s="64">
        <f>BO66</f>
        <v>-37699</v>
      </c>
      <c r="CG66" s="501"/>
      <c r="CH66" s="8"/>
      <c r="CO66" s="8"/>
    </row>
    <row r="67" spans="1:93" ht="14.25" customHeight="1">
      <c r="A67" s="8"/>
      <c r="B67" s="356" t="s">
        <v>217</v>
      </c>
      <c r="C67" s="80"/>
      <c r="D67" s="65">
        <f>-167-24-3</f>
        <v>-194</v>
      </c>
      <c r="E67" s="65">
        <f>-163-11-2</f>
        <v>-176</v>
      </c>
      <c r="F67" s="65">
        <f>-158-15-2</f>
        <v>-175</v>
      </c>
      <c r="G67" s="145">
        <f>-65-16-1</f>
        <v>-82</v>
      </c>
      <c r="H67" s="419">
        <f>-65-17-1</f>
        <v>-83</v>
      </c>
      <c r="I67" s="65">
        <f>-66-23-1</f>
        <v>-90</v>
      </c>
      <c r="J67" s="65">
        <f>-33-12-1</f>
        <v>-46</v>
      </c>
      <c r="K67" s="145">
        <v>-363</v>
      </c>
      <c r="L67" s="419">
        <v>-355</v>
      </c>
      <c r="M67" s="65">
        <v>-284</v>
      </c>
      <c r="N67" s="65">
        <v>-284</v>
      </c>
      <c r="O67" s="145">
        <v>-324</v>
      </c>
      <c r="P67" s="419">
        <v>-351</v>
      </c>
      <c r="Q67" s="65">
        <v>-331</v>
      </c>
      <c r="R67" s="65">
        <v>-342</v>
      </c>
      <c r="S67" s="145">
        <v>-790</v>
      </c>
      <c r="T67" s="419">
        <v>-741</v>
      </c>
      <c r="U67" s="65">
        <v>-674</v>
      </c>
      <c r="V67" s="65">
        <v>-678</v>
      </c>
      <c r="W67" s="145">
        <v>-621</v>
      </c>
      <c r="X67" s="65">
        <v>-627</v>
      </c>
      <c r="Y67" s="65">
        <v>-654</v>
      </c>
      <c r="Z67" s="65">
        <v>-644</v>
      </c>
      <c r="AA67" s="145">
        <v>-701</v>
      </c>
      <c r="AB67" s="510">
        <v>-702</v>
      </c>
      <c r="AC67" s="65">
        <v>-686</v>
      </c>
      <c r="AD67" s="65">
        <v>-690</v>
      </c>
      <c r="AE67" s="145">
        <v>-776</v>
      </c>
      <c r="AF67" s="510">
        <v>-742</v>
      </c>
      <c r="AG67" s="65">
        <v>-741</v>
      </c>
      <c r="AH67" s="65">
        <v>-617</v>
      </c>
      <c r="AI67" s="145">
        <v>-699</v>
      </c>
      <c r="AJ67" s="65">
        <v>-650</v>
      </c>
      <c r="AK67" s="65">
        <v>-590</v>
      </c>
      <c r="AL67" s="65">
        <v>-572</v>
      </c>
      <c r="AM67" s="145">
        <v>-528</v>
      </c>
      <c r="AN67" s="65">
        <v>-520</v>
      </c>
      <c r="AO67" s="65">
        <v>-512</v>
      </c>
      <c r="AP67" s="65">
        <v>-468</v>
      </c>
      <c r="AQ67" s="145">
        <v>-532</v>
      </c>
      <c r="AR67" s="65">
        <v>-531</v>
      </c>
      <c r="AS67" s="65">
        <v>-514</v>
      </c>
      <c r="AT67" s="65">
        <v>-513</v>
      </c>
      <c r="AU67" s="145">
        <v>-532</v>
      </c>
      <c r="AV67" s="65">
        <v>-531</v>
      </c>
      <c r="AW67" s="65">
        <v>-536</v>
      </c>
      <c r="AX67" s="65">
        <v>-542</v>
      </c>
      <c r="AY67" s="145">
        <v>-526</v>
      </c>
      <c r="AZ67" s="65">
        <v>-527</v>
      </c>
      <c r="BA67" s="65">
        <v>-520</v>
      </c>
      <c r="BB67" s="65">
        <v>-505</v>
      </c>
      <c r="BC67" s="145">
        <v>-384</v>
      </c>
      <c r="BD67" s="65">
        <v>-392</v>
      </c>
      <c r="BE67" s="63">
        <f>BD67+CFS!BE40+CFS!BE46+CFS!BE16+CFS!BE17+CFS!BE43+CFS!BE47</f>
        <v>-1012.62</v>
      </c>
      <c r="BF67" s="63">
        <f>BE67+CFS!BF40+CFS!BF46+CFS!BF16+CFS!BF17+CFS!BF43+CFS!BF47</f>
        <v>-1630.76</v>
      </c>
      <c r="BG67" s="96">
        <f>BF67+CFS!BG40+CFS!BG46+CFS!BG16+CFS!BG17+CFS!BG43+CFS!BG47</f>
        <v>-2246.42</v>
      </c>
      <c r="BH67" s="63">
        <f>BG67+CFS!BH40+CFS!BH46+CFS!BH16+CFS!BH17+CFS!BH43+CFS!BH47</f>
        <v>-2740.92</v>
      </c>
      <c r="BI67" s="63">
        <f>BH67+CFS!BI40+CFS!BI46+CFS!BI16+CFS!BI17+CFS!BI43+CFS!BI47</f>
        <v>-3233.42</v>
      </c>
      <c r="BJ67" s="63">
        <f>BI67+CFS!BJ40+CFS!BJ46+CFS!BJ16+CFS!BJ17+CFS!BJ43+CFS!BJ47</f>
        <v>-3723.92</v>
      </c>
      <c r="BK67" s="96">
        <f>BJ67+CFS!BK40+CFS!BK46+CFS!BK16+CFS!BK17+CFS!BK43+CFS!BK47</f>
        <v>-4212.42</v>
      </c>
      <c r="BL67" s="63">
        <f>BK67+CFS!BL40+CFS!BL46+CFS!BL16+CFS!BL17+CFS!BL43+CFS!BL47</f>
        <v>-4698.92</v>
      </c>
      <c r="BM67" s="63">
        <f>BL67+CFS!BM40+CFS!BM46+CFS!BM16+CFS!BM17+CFS!BM43+CFS!BM47</f>
        <v>-5183.42</v>
      </c>
      <c r="BN67" s="63">
        <f>BM67+CFS!BN40+CFS!BN46+CFS!BN16+CFS!BN17+CFS!BN43+CFS!BN47</f>
        <v>-5665.92</v>
      </c>
      <c r="BO67" s="96">
        <f>BN67+CFS!BO40+CFS!BO46+CFS!BO16+CFS!BO17+CFS!BO43+CFS!BO47</f>
        <v>-6146.42</v>
      </c>
      <c r="BP67" s="20"/>
      <c r="BQ67" s="63">
        <f>G67</f>
        <v>-82</v>
      </c>
      <c r="BR67" s="63">
        <f>K67</f>
        <v>-363</v>
      </c>
      <c r="BS67" s="63">
        <f>O67</f>
        <v>-324</v>
      </c>
      <c r="BT67" s="63">
        <f>S67</f>
        <v>-790</v>
      </c>
      <c r="BU67" s="63">
        <f>W67</f>
        <v>-621</v>
      </c>
      <c r="BV67" s="63">
        <f>AA67</f>
        <v>-701</v>
      </c>
      <c r="BW67" s="63">
        <f>AE67</f>
        <v>-776</v>
      </c>
      <c r="BX67" s="63">
        <f>AI67</f>
        <v>-699</v>
      </c>
      <c r="BY67" s="63">
        <f>AM67</f>
        <v>-528</v>
      </c>
      <c r="BZ67" s="63">
        <f>AQ67</f>
        <v>-532</v>
      </c>
      <c r="CA67" s="63">
        <f>AU67</f>
        <v>-532</v>
      </c>
      <c r="CB67" s="63">
        <f>AY67</f>
        <v>-526</v>
      </c>
      <c r="CC67" s="63">
        <f>BC67</f>
        <v>-384</v>
      </c>
      <c r="CD67" s="63">
        <f>BG67</f>
        <v>-2246.42</v>
      </c>
      <c r="CE67" s="63">
        <f>BK67</f>
        <v>-4212.42</v>
      </c>
      <c r="CF67" s="64">
        <f>BO67</f>
        <v>-6146.42</v>
      </c>
      <c r="CG67" s="501"/>
      <c r="CH67" s="8"/>
      <c r="CO67" s="8"/>
    </row>
    <row r="68" spans="1:93" ht="14.25" customHeight="1">
      <c r="A68" s="8"/>
      <c r="B68" s="113" t="s">
        <v>194</v>
      </c>
      <c r="C68" s="114"/>
      <c r="D68" s="107">
        <f t="shared" ref="D68:AB68" si="232">D62+D65+D67+D66</f>
        <v>11904</v>
      </c>
      <c r="E68" s="107">
        <f t="shared" si="232"/>
        <v>11463</v>
      </c>
      <c r="F68" s="107">
        <f t="shared" si="232"/>
        <v>11873</v>
      </c>
      <c r="G68" s="108">
        <f t="shared" si="232"/>
        <v>11937</v>
      </c>
      <c r="H68" s="109">
        <f t="shared" si="232"/>
        <v>11238</v>
      </c>
      <c r="I68" s="107">
        <f t="shared" si="232"/>
        <v>12788</v>
      </c>
      <c r="J68" s="107">
        <f t="shared" si="232"/>
        <v>12027</v>
      </c>
      <c r="K68" s="108">
        <f t="shared" si="232"/>
        <v>11360</v>
      </c>
      <c r="L68" s="109">
        <f t="shared" si="232"/>
        <v>11283</v>
      </c>
      <c r="M68" s="107">
        <f t="shared" si="232"/>
        <v>11494</v>
      </c>
      <c r="N68" s="107">
        <f t="shared" si="232"/>
        <v>11137</v>
      </c>
      <c r="O68" s="108">
        <f t="shared" si="232"/>
        <v>9975</v>
      </c>
      <c r="P68" s="109">
        <f t="shared" si="232"/>
        <v>9857</v>
      </c>
      <c r="Q68" s="107">
        <f t="shared" si="232"/>
        <v>9984</v>
      </c>
      <c r="R68" s="107">
        <f t="shared" si="232"/>
        <v>10094</v>
      </c>
      <c r="S68" s="108">
        <f t="shared" si="232"/>
        <v>9326</v>
      </c>
      <c r="T68" s="109">
        <f t="shared" si="232"/>
        <v>9210</v>
      </c>
      <c r="U68" s="107">
        <f t="shared" si="232"/>
        <v>9213</v>
      </c>
      <c r="V68" s="107">
        <f t="shared" si="232"/>
        <v>9438</v>
      </c>
      <c r="W68" s="108">
        <f t="shared" si="232"/>
        <v>9722</v>
      </c>
      <c r="X68" s="526">
        <f t="shared" si="232"/>
        <v>9805</v>
      </c>
      <c r="Y68" s="107">
        <f t="shared" si="232"/>
        <v>9755</v>
      </c>
      <c r="Z68" s="107">
        <f t="shared" si="232"/>
        <v>9962</v>
      </c>
      <c r="AA68" s="108">
        <f t="shared" si="232"/>
        <v>10437</v>
      </c>
      <c r="AB68" s="107">
        <f t="shared" si="232"/>
        <v>10574</v>
      </c>
      <c r="AC68" s="107">
        <f>AC62+AC65+AC67+AC66</f>
        <v>10903</v>
      </c>
      <c r="AD68" s="107">
        <f t="shared" ref="AD68:AQ68" si="233">AD62+AD65+AD67+AD66</f>
        <v>11026</v>
      </c>
      <c r="AE68" s="108">
        <f t="shared" si="233"/>
        <v>10952</v>
      </c>
      <c r="AF68" s="107">
        <f t="shared" si="233"/>
        <v>11071</v>
      </c>
      <c r="AG68" s="107">
        <f t="shared" si="233"/>
        <v>11158</v>
      </c>
      <c r="AH68" s="107">
        <f t="shared" si="233"/>
        <v>11403</v>
      </c>
      <c r="AI68" s="108">
        <f t="shared" si="233"/>
        <v>10961</v>
      </c>
      <c r="AJ68" s="107">
        <f t="shared" si="233"/>
        <v>10952</v>
      </c>
      <c r="AK68" s="107">
        <f t="shared" si="233"/>
        <v>11068</v>
      </c>
      <c r="AL68" s="107">
        <f t="shared" si="233"/>
        <v>11051</v>
      </c>
      <c r="AM68" s="108">
        <f>AM62+AM65+AM67+AM66</f>
        <v>10807</v>
      </c>
      <c r="AN68" s="107">
        <f t="shared" si="233"/>
        <v>10620</v>
      </c>
      <c r="AO68" s="107">
        <f>AO62+AO65+AO67+AO66</f>
        <v>10466</v>
      </c>
      <c r="AP68" s="107">
        <f t="shared" si="233"/>
        <v>10471</v>
      </c>
      <c r="AQ68" s="108">
        <f t="shared" si="233"/>
        <v>10390</v>
      </c>
      <c r="AR68" s="107">
        <f t="shared" ref="AR68:BC68" si="234">AR62+AR65+AR67+AR66</f>
        <v>10369</v>
      </c>
      <c r="AS68" s="107">
        <f t="shared" si="234"/>
        <v>10205</v>
      </c>
      <c r="AT68" s="107">
        <f t="shared" si="234"/>
        <v>9970</v>
      </c>
      <c r="AU68" s="108">
        <f t="shared" si="234"/>
        <v>9946</v>
      </c>
      <c r="AV68" s="107">
        <f t="shared" si="234"/>
        <v>9782</v>
      </c>
      <c r="AW68" s="107">
        <f t="shared" si="234"/>
        <v>9962</v>
      </c>
      <c r="AX68" s="107">
        <f t="shared" si="234"/>
        <v>10286</v>
      </c>
      <c r="AY68" s="108">
        <f t="shared" ref="AY68:BA68" si="235">AY62+AY65+AY67+AY66</f>
        <v>10473</v>
      </c>
      <c r="AZ68" s="107">
        <f t="shared" si="235"/>
        <v>10639</v>
      </c>
      <c r="BA68" s="107">
        <f t="shared" si="235"/>
        <v>10708</v>
      </c>
      <c r="BB68" s="107">
        <f t="shared" si="234"/>
        <v>10988</v>
      </c>
      <c r="BC68" s="108">
        <f t="shared" si="234"/>
        <v>10337</v>
      </c>
      <c r="BD68" s="107">
        <f t="shared" ref="BD68:BG68" si="236">BD62+BD65+BD67+BD66</f>
        <v>10642</v>
      </c>
      <c r="BE68" s="107">
        <f t="shared" si="236"/>
        <v>10555.86456270799</v>
      </c>
      <c r="BF68" s="107">
        <f t="shared" si="236"/>
        <v>10585.793332278241</v>
      </c>
      <c r="BG68" s="108">
        <f t="shared" si="236"/>
        <v>10528.96210399337</v>
      </c>
      <c r="BH68" s="107">
        <f t="shared" ref="BH68:BK68" si="237">BH62+BH65+BH67+BH66</f>
        <v>10565.517051351002</v>
      </c>
      <c r="BI68" s="107">
        <f t="shared" si="237"/>
        <v>10734.610987028289</v>
      </c>
      <c r="BJ68" s="107">
        <f t="shared" si="237"/>
        <v>11062.081854625343</v>
      </c>
      <c r="BK68" s="108">
        <f t="shared" si="237"/>
        <v>11264.869936699128</v>
      </c>
      <c r="BL68" s="107">
        <f t="shared" ref="BL68:BO68" si="238">BL62+BL65+BL67+BL66</f>
        <v>11415.445975840332</v>
      </c>
      <c r="BM68" s="107">
        <f t="shared" si="238"/>
        <v>11730.449947319983</v>
      </c>
      <c r="BN68" s="107">
        <f t="shared" si="238"/>
        <v>12202.923338122411</v>
      </c>
      <c r="BO68" s="108">
        <f t="shared" si="238"/>
        <v>12529.630636221351</v>
      </c>
      <c r="BP68" s="20"/>
      <c r="BQ68" s="107">
        <f t="shared" ref="BQ68:CA68" si="239">BQ62+BQ65+BQ67+BQ66</f>
        <v>11937</v>
      </c>
      <c r="BR68" s="107">
        <f t="shared" si="239"/>
        <v>11360</v>
      </c>
      <c r="BS68" s="107">
        <f t="shared" si="239"/>
        <v>9975</v>
      </c>
      <c r="BT68" s="107">
        <f t="shared" si="239"/>
        <v>9326</v>
      </c>
      <c r="BU68" s="107">
        <f t="shared" si="239"/>
        <v>9722</v>
      </c>
      <c r="BV68" s="107">
        <f t="shared" si="239"/>
        <v>10437</v>
      </c>
      <c r="BW68" s="107">
        <f t="shared" si="239"/>
        <v>10952</v>
      </c>
      <c r="BX68" s="107">
        <f t="shared" si="239"/>
        <v>10961</v>
      </c>
      <c r="BY68" s="107">
        <f t="shared" si="239"/>
        <v>10807</v>
      </c>
      <c r="BZ68" s="107">
        <f t="shared" si="239"/>
        <v>10390</v>
      </c>
      <c r="CA68" s="107">
        <f t="shared" si="239"/>
        <v>9946</v>
      </c>
      <c r="CB68" s="107">
        <f>CB62+CB65+CB67+CB66</f>
        <v>10473</v>
      </c>
      <c r="CC68" s="107">
        <f>CC62+CC65+CC67+CC66</f>
        <v>10337</v>
      </c>
      <c r="CD68" s="107">
        <f>CD62+CD65+CD67+CD66</f>
        <v>10528.96210399337</v>
      </c>
      <c r="CE68" s="107">
        <f>CE62+CE65+CE67+CE66</f>
        <v>11264.869936699128</v>
      </c>
      <c r="CF68" s="1164">
        <f>CF62+CF65+CF67+CF66</f>
        <v>12529.630636221351</v>
      </c>
      <c r="CG68" s="297"/>
      <c r="CH68" s="8"/>
      <c r="CO68" s="8"/>
    </row>
    <row r="69" spans="1:93" ht="14.25" customHeight="1">
      <c r="A69" s="8"/>
      <c r="B69" s="146"/>
      <c r="C69" s="146"/>
      <c r="D69" s="63"/>
      <c r="E69" s="63"/>
      <c r="F69" s="63"/>
      <c r="G69" s="147"/>
      <c r="H69" s="63"/>
      <c r="I69" s="63"/>
      <c r="J69" s="63"/>
      <c r="K69" s="147"/>
      <c r="L69" s="63"/>
      <c r="M69" s="63"/>
      <c r="N69" s="63"/>
      <c r="O69" s="147"/>
      <c r="P69" s="63"/>
      <c r="Q69" s="63"/>
      <c r="R69" s="63"/>
      <c r="S69" s="147"/>
      <c r="T69" s="63"/>
      <c r="U69" s="63"/>
      <c r="V69" s="63"/>
      <c r="W69" s="63"/>
      <c r="X69" s="63"/>
      <c r="Y69" s="63"/>
      <c r="Z69" s="63"/>
      <c r="AA69" s="147"/>
      <c r="AB69" s="147"/>
      <c r="AC69" s="63"/>
      <c r="AD69" s="63"/>
      <c r="AE69" s="147"/>
      <c r="AF69" s="147"/>
      <c r="AG69" s="63"/>
      <c r="AH69" s="63"/>
      <c r="AI69" s="147"/>
      <c r="AJ69" s="63"/>
      <c r="AK69" s="63"/>
      <c r="AL69" s="63"/>
      <c r="AM69" s="147"/>
      <c r="AN69" s="63"/>
      <c r="AO69" s="63"/>
      <c r="AP69" s="63"/>
      <c r="AQ69" s="147"/>
      <c r="AR69" s="63"/>
      <c r="AS69" s="63"/>
      <c r="AT69" s="63"/>
      <c r="AU69" s="147"/>
      <c r="AV69" s="63"/>
      <c r="AW69" s="63"/>
      <c r="AX69" s="63"/>
      <c r="AY69" s="147"/>
      <c r="AZ69" s="63"/>
      <c r="BA69" s="63"/>
      <c r="BB69" s="63"/>
      <c r="BC69" s="147"/>
      <c r="BD69" s="63"/>
      <c r="BE69" s="63"/>
      <c r="BF69" s="63"/>
      <c r="BG69" s="147"/>
      <c r="BH69" s="63"/>
      <c r="BI69" s="63"/>
      <c r="BJ69" s="63"/>
      <c r="BK69" s="147"/>
      <c r="BL69" s="63"/>
      <c r="BM69" s="63"/>
      <c r="BN69" s="63"/>
      <c r="BO69" s="147"/>
      <c r="BP69" s="14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8"/>
      <c r="CH69" s="8"/>
      <c r="CO69" s="8"/>
    </row>
    <row r="70" spans="1:93" ht="14.25" customHeight="1">
      <c r="A70" s="8"/>
      <c r="B70" s="58" t="s">
        <v>218</v>
      </c>
      <c r="C70" s="59"/>
      <c r="D70" s="148">
        <f t="shared" ref="D70:AQ70" si="240">D39</f>
        <v>11904</v>
      </c>
      <c r="E70" s="148">
        <f t="shared" si="240"/>
        <v>11463</v>
      </c>
      <c r="F70" s="148">
        <f t="shared" si="240"/>
        <v>11873</v>
      </c>
      <c r="G70" s="149">
        <f t="shared" si="240"/>
        <v>11937</v>
      </c>
      <c r="H70" s="148">
        <f t="shared" si="240"/>
        <v>11238</v>
      </c>
      <c r="I70" s="148">
        <f t="shared" si="240"/>
        <v>12788</v>
      </c>
      <c r="J70" s="148">
        <f t="shared" si="240"/>
        <v>12027</v>
      </c>
      <c r="K70" s="149">
        <f t="shared" si="240"/>
        <v>11360</v>
      </c>
      <c r="L70" s="148">
        <f t="shared" si="240"/>
        <v>11283</v>
      </c>
      <c r="M70" s="148">
        <f t="shared" si="240"/>
        <v>11494</v>
      </c>
      <c r="N70" s="148">
        <f t="shared" si="240"/>
        <v>11137</v>
      </c>
      <c r="O70" s="149">
        <f t="shared" si="240"/>
        <v>9975</v>
      </c>
      <c r="P70" s="148">
        <f t="shared" si="240"/>
        <v>9857</v>
      </c>
      <c r="Q70" s="148">
        <f t="shared" si="240"/>
        <v>9984</v>
      </c>
      <c r="R70" s="148">
        <f t="shared" si="240"/>
        <v>10094</v>
      </c>
      <c r="S70" s="149">
        <f t="shared" si="240"/>
        <v>9326</v>
      </c>
      <c r="T70" s="148">
        <f t="shared" si="240"/>
        <v>9210</v>
      </c>
      <c r="U70" s="148">
        <f t="shared" si="240"/>
        <v>9213</v>
      </c>
      <c r="V70" s="148">
        <f t="shared" si="240"/>
        <v>9438</v>
      </c>
      <c r="W70" s="148">
        <f t="shared" si="240"/>
        <v>9722</v>
      </c>
      <c r="X70" s="150">
        <f t="shared" si="240"/>
        <v>9805</v>
      </c>
      <c r="Y70" s="148">
        <f t="shared" si="240"/>
        <v>9755</v>
      </c>
      <c r="Z70" s="148">
        <f t="shared" si="240"/>
        <v>9962</v>
      </c>
      <c r="AA70" s="151">
        <f t="shared" si="240"/>
        <v>10437</v>
      </c>
      <c r="AB70" s="527">
        <f t="shared" si="240"/>
        <v>10574</v>
      </c>
      <c r="AC70" s="148">
        <f t="shared" si="240"/>
        <v>10903</v>
      </c>
      <c r="AD70" s="148">
        <f t="shared" si="240"/>
        <v>11026</v>
      </c>
      <c r="AE70" s="151">
        <f>AE39</f>
        <v>10952</v>
      </c>
      <c r="AF70" s="527">
        <f>AF39</f>
        <v>11071</v>
      </c>
      <c r="AG70" s="148">
        <f t="shared" si="240"/>
        <v>11158</v>
      </c>
      <c r="AH70" s="148">
        <f t="shared" si="240"/>
        <v>11403</v>
      </c>
      <c r="AI70" s="151">
        <f>AI39</f>
        <v>10961</v>
      </c>
      <c r="AJ70" s="148">
        <f t="shared" si="240"/>
        <v>10952</v>
      </c>
      <c r="AK70" s="148">
        <f>AK39</f>
        <v>11068</v>
      </c>
      <c r="AL70" s="148">
        <f t="shared" si="240"/>
        <v>11051</v>
      </c>
      <c r="AM70" s="151">
        <f>AM39</f>
        <v>10807</v>
      </c>
      <c r="AN70" s="148">
        <f t="shared" si="240"/>
        <v>10620</v>
      </c>
      <c r="AO70" s="148">
        <f>AO39</f>
        <v>10466</v>
      </c>
      <c r="AP70" s="148">
        <f t="shared" si="240"/>
        <v>10471</v>
      </c>
      <c r="AQ70" s="151">
        <f t="shared" si="240"/>
        <v>10390</v>
      </c>
      <c r="AR70" s="148">
        <f t="shared" ref="AR70:BC70" si="241">AR39</f>
        <v>10369</v>
      </c>
      <c r="AS70" s="148">
        <f t="shared" si="241"/>
        <v>10205</v>
      </c>
      <c r="AT70" s="148">
        <f t="shared" si="241"/>
        <v>9970</v>
      </c>
      <c r="AU70" s="151">
        <f t="shared" si="241"/>
        <v>9946</v>
      </c>
      <c r="AV70" s="148">
        <f t="shared" si="241"/>
        <v>9782</v>
      </c>
      <c r="AW70" s="148">
        <f t="shared" si="241"/>
        <v>9962</v>
      </c>
      <c r="AX70" s="148">
        <f t="shared" si="241"/>
        <v>10286</v>
      </c>
      <c r="AY70" s="151">
        <f t="shared" ref="AY70:BA70" si="242">AY39</f>
        <v>10473</v>
      </c>
      <c r="AZ70" s="148">
        <f t="shared" si="242"/>
        <v>10639</v>
      </c>
      <c r="BA70" s="148">
        <f t="shared" si="242"/>
        <v>10708</v>
      </c>
      <c r="BB70" s="148">
        <f t="shared" si="241"/>
        <v>10988</v>
      </c>
      <c r="BC70" s="149">
        <f t="shared" si="241"/>
        <v>10337</v>
      </c>
      <c r="BD70" s="148">
        <f t="shared" ref="BD70:BG70" si="243">BD39</f>
        <v>10642</v>
      </c>
      <c r="BE70" s="148">
        <f t="shared" si="243"/>
        <v>10555.86456270799</v>
      </c>
      <c r="BF70" s="148">
        <f t="shared" si="243"/>
        <v>10585.793332278241</v>
      </c>
      <c r="BG70" s="149">
        <f t="shared" si="243"/>
        <v>10528.96210399337</v>
      </c>
      <c r="BH70" s="148">
        <f t="shared" ref="BH70:BK70" si="244">BH39</f>
        <v>10565.517051351002</v>
      </c>
      <c r="BI70" s="148">
        <f t="shared" si="244"/>
        <v>10734.610987028289</v>
      </c>
      <c r="BJ70" s="148">
        <f t="shared" si="244"/>
        <v>11062.081854625343</v>
      </c>
      <c r="BK70" s="149">
        <f t="shared" si="244"/>
        <v>11264.869936699128</v>
      </c>
      <c r="BL70" s="148">
        <f t="shared" ref="BL70:BO70" si="245">BL39</f>
        <v>11415.445975840332</v>
      </c>
      <c r="BM70" s="148">
        <f t="shared" si="245"/>
        <v>11730.449947319983</v>
      </c>
      <c r="BN70" s="148">
        <f t="shared" si="245"/>
        <v>12202.923338122411</v>
      </c>
      <c r="BO70" s="149">
        <f t="shared" si="245"/>
        <v>12529.630636221351</v>
      </c>
      <c r="BP70" s="152"/>
      <c r="BQ70" s="148">
        <f>G70</f>
        <v>11937</v>
      </c>
      <c r="BR70" s="148">
        <f>K70</f>
        <v>11360</v>
      </c>
      <c r="BS70" s="148">
        <f>O70</f>
        <v>9975</v>
      </c>
      <c r="BT70" s="148">
        <f>S70</f>
        <v>9326</v>
      </c>
      <c r="BU70" s="148">
        <f>W70</f>
        <v>9722</v>
      </c>
      <c r="BV70" s="148">
        <f>AA70</f>
        <v>10437</v>
      </c>
      <c r="BW70" s="148">
        <f>AE70</f>
        <v>10952</v>
      </c>
      <c r="BX70" s="148">
        <f>AI70</f>
        <v>10961</v>
      </c>
      <c r="BY70" s="148">
        <f>AM70</f>
        <v>10807</v>
      </c>
      <c r="BZ70" s="148">
        <f>AQ70</f>
        <v>10390</v>
      </c>
      <c r="CA70" s="148">
        <f>AU70</f>
        <v>9946</v>
      </c>
      <c r="CB70" s="148">
        <f>AY70</f>
        <v>10473</v>
      </c>
      <c r="CC70" s="148">
        <f>BC70</f>
        <v>10337</v>
      </c>
      <c r="CD70" s="148">
        <f>BG70</f>
        <v>10528.96210399337</v>
      </c>
      <c r="CE70" s="148">
        <f>BK70</f>
        <v>11264.869936699128</v>
      </c>
      <c r="CF70" s="151">
        <f>BO70</f>
        <v>12529.630636221351</v>
      </c>
      <c r="CG70" s="297"/>
      <c r="CH70" s="8"/>
      <c r="CO70" s="8"/>
    </row>
    <row r="71" spans="1:93" ht="14.25" customHeight="1">
      <c r="A71" s="8"/>
      <c r="B71" s="117" t="s">
        <v>196</v>
      </c>
      <c r="C71" s="118"/>
      <c r="D71" s="119">
        <f t="shared" ref="D71:AQ71" si="246">ROUND(D70,4)-ROUND(D68,4)</f>
        <v>0</v>
      </c>
      <c r="E71" s="119">
        <f t="shared" si="246"/>
        <v>0</v>
      </c>
      <c r="F71" s="119">
        <f t="shared" si="246"/>
        <v>0</v>
      </c>
      <c r="G71" s="120">
        <f t="shared" si="246"/>
        <v>0</v>
      </c>
      <c r="H71" s="119">
        <f t="shared" si="246"/>
        <v>0</v>
      </c>
      <c r="I71" s="119">
        <f t="shared" si="246"/>
        <v>0</v>
      </c>
      <c r="J71" s="119">
        <f t="shared" si="246"/>
        <v>0</v>
      </c>
      <c r="K71" s="120">
        <f t="shared" si="246"/>
        <v>0</v>
      </c>
      <c r="L71" s="119">
        <f t="shared" si="246"/>
        <v>0</v>
      </c>
      <c r="M71" s="119">
        <f t="shared" si="246"/>
        <v>0</v>
      </c>
      <c r="N71" s="119">
        <f t="shared" si="246"/>
        <v>0</v>
      </c>
      <c r="O71" s="120">
        <f t="shared" si="246"/>
        <v>0</v>
      </c>
      <c r="P71" s="119">
        <f t="shared" si="246"/>
        <v>0</v>
      </c>
      <c r="Q71" s="119">
        <f t="shared" si="246"/>
        <v>0</v>
      </c>
      <c r="R71" s="119">
        <f t="shared" si="246"/>
        <v>0</v>
      </c>
      <c r="S71" s="120">
        <f t="shared" si="246"/>
        <v>0</v>
      </c>
      <c r="T71" s="119">
        <f t="shared" si="246"/>
        <v>0</v>
      </c>
      <c r="U71" s="119">
        <f t="shared" si="246"/>
        <v>0</v>
      </c>
      <c r="V71" s="119">
        <f t="shared" si="246"/>
        <v>0</v>
      </c>
      <c r="W71" s="120">
        <f t="shared" si="246"/>
        <v>0</v>
      </c>
      <c r="X71" s="119">
        <f t="shared" si="246"/>
        <v>0</v>
      </c>
      <c r="Y71" s="119">
        <f t="shared" si="246"/>
        <v>0</v>
      </c>
      <c r="Z71" s="153">
        <f t="shared" si="246"/>
        <v>0</v>
      </c>
      <c r="AA71" s="120">
        <f t="shared" si="246"/>
        <v>0</v>
      </c>
      <c r="AB71" s="119">
        <f t="shared" si="246"/>
        <v>0</v>
      </c>
      <c r="AC71" s="119">
        <f t="shared" si="246"/>
        <v>0</v>
      </c>
      <c r="AD71" s="119">
        <f t="shared" si="246"/>
        <v>0</v>
      </c>
      <c r="AE71" s="120">
        <f t="shared" si="246"/>
        <v>0</v>
      </c>
      <c r="AF71" s="119">
        <f t="shared" si="246"/>
        <v>0</v>
      </c>
      <c r="AG71" s="119">
        <f t="shared" si="246"/>
        <v>0</v>
      </c>
      <c r="AH71" s="119">
        <f t="shared" si="246"/>
        <v>0</v>
      </c>
      <c r="AI71" s="120">
        <f t="shared" si="246"/>
        <v>0</v>
      </c>
      <c r="AJ71" s="121">
        <f t="shared" si="246"/>
        <v>0</v>
      </c>
      <c r="AK71" s="119">
        <f t="shared" si="246"/>
        <v>0</v>
      </c>
      <c r="AL71" s="119">
        <f t="shared" si="246"/>
        <v>0</v>
      </c>
      <c r="AM71" s="120">
        <f>ROUND(AM70,4)-ROUND(AM68,4)</f>
        <v>0</v>
      </c>
      <c r="AN71" s="121">
        <f t="shared" si="246"/>
        <v>0</v>
      </c>
      <c r="AO71" s="119">
        <f>ROUND(AO70,4)-ROUND(AO68,4)</f>
        <v>0</v>
      </c>
      <c r="AP71" s="119">
        <f t="shared" si="246"/>
        <v>0</v>
      </c>
      <c r="AQ71" s="120">
        <f t="shared" si="246"/>
        <v>0</v>
      </c>
      <c r="AR71" s="121">
        <f t="shared" ref="AR71:AV71" si="247">ROUND(AR70,4)-ROUND(AR68,4)</f>
        <v>0</v>
      </c>
      <c r="AS71" s="119">
        <f t="shared" si="247"/>
        <v>0</v>
      </c>
      <c r="AT71" s="119">
        <f t="shared" si="247"/>
        <v>0</v>
      </c>
      <c r="AU71" s="120">
        <f t="shared" si="247"/>
        <v>0</v>
      </c>
      <c r="AV71" s="121">
        <f t="shared" si="247"/>
        <v>0</v>
      </c>
      <c r="AW71" s="119">
        <f>ROUND(AW70,4)-ROUND(AW68,4)</f>
        <v>0</v>
      </c>
      <c r="AX71" s="119">
        <f>ROUND(AX70,4)-ROUND(AX68,4)</f>
        <v>0</v>
      </c>
      <c r="AY71" s="120">
        <f t="shared" ref="AY71:AZ71" si="248">ROUND(AY70,4)-ROUND(AY68,4)</f>
        <v>0</v>
      </c>
      <c r="AZ71" s="121">
        <f t="shared" si="248"/>
        <v>0</v>
      </c>
      <c r="BA71" s="119">
        <f t="shared" ref="BA71:BG71" si="249">ROUND(BA70,4)-ROUND(BA68,4)</f>
        <v>0</v>
      </c>
      <c r="BB71" s="119">
        <f t="shared" si="249"/>
        <v>0</v>
      </c>
      <c r="BC71" s="120">
        <f t="shared" si="249"/>
        <v>0</v>
      </c>
      <c r="BD71" s="121">
        <f t="shared" si="249"/>
        <v>0</v>
      </c>
      <c r="BE71" s="119">
        <f t="shared" si="249"/>
        <v>0</v>
      </c>
      <c r="BF71" s="119">
        <f t="shared" si="249"/>
        <v>0</v>
      </c>
      <c r="BG71" s="120">
        <f t="shared" si="249"/>
        <v>0</v>
      </c>
      <c r="BH71" s="121">
        <f t="shared" ref="BH71:BK71" si="250">ROUND(BH70,4)-ROUND(BH68,4)</f>
        <v>0</v>
      </c>
      <c r="BI71" s="119">
        <f t="shared" si="250"/>
        <v>0</v>
      </c>
      <c r="BJ71" s="119">
        <f t="shared" si="250"/>
        <v>0</v>
      </c>
      <c r="BK71" s="120">
        <f t="shared" si="250"/>
        <v>0</v>
      </c>
      <c r="BL71" s="121">
        <f t="shared" ref="BL71:BO71" si="251">ROUND(BL70,4)-ROUND(BL68,4)</f>
        <v>0</v>
      </c>
      <c r="BM71" s="119">
        <f t="shared" si="251"/>
        <v>0</v>
      </c>
      <c r="BN71" s="119">
        <f t="shared" si="251"/>
        <v>0</v>
      </c>
      <c r="BO71" s="120">
        <f t="shared" si="251"/>
        <v>0</v>
      </c>
      <c r="BP71" s="152"/>
      <c r="BQ71" s="119">
        <f t="shared" ref="BQ71:CA71" si="252">ROUND(BQ70,4)-ROUND(BQ68,4)</f>
        <v>0</v>
      </c>
      <c r="BR71" s="119">
        <f t="shared" si="252"/>
        <v>0</v>
      </c>
      <c r="BS71" s="119">
        <f t="shared" si="252"/>
        <v>0</v>
      </c>
      <c r="BT71" s="119">
        <f t="shared" si="252"/>
        <v>0</v>
      </c>
      <c r="BU71" s="119">
        <f t="shared" si="252"/>
        <v>0</v>
      </c>
      <c r="BV71" s="119">
        <f t="shared" si="252"/>
        <v>0</v>
      </c>
      <c r="BW71" s="119">
        <f t="shared" si="252"/>
        <v>0</v>
      </c>
      <c r="BX71" s="119">
        <f t="shared" si="252"/>
        <v>0</v>
      </c>
      <c r="BY71" s="119">
        <f t="shared" si="252"/>
        <v>0</v>
      </c>
      <c r="BZ71" s="119">
        <f t="shared" si="252"/>
        <v>0</v>
      </c>
      <c r="CA71" s="119">
        <f t="shared" si="252"/>
        <v>0</v>
      </c>
      <c r="CB71" s="119">
        <f>ROUND(CB70,4)-ROUND(CB68,4)</f>
        <v>0</v>
      </c>
      <c r="CC71" s="119">
        <f>ROUND(CC70,4)-ROUND(CC68,4)</f>
        <v>0</v>
      </c>
      <c r="CD71" s="119">
        <f>ROUND(CD70,4)-ROUND(CD68,4)</f>
        <v>0</v>
      </c>
      <c r="CE71" s="119">
        <f>ROUND(CE70,4)-ROUND(CE68,4)</f>
        <v>0</v>
      </c>
      <c r="CF71" s="120">
        <f>ROUND(CF70,4)-ROUND(CF68,4)</f>
        <v>0</v>
      </c>
      <c r="CG71" s="297"/>
      <c r="CH71" s="8"/>
      <c r="CO71" s="8"/>
    </row>
    <row r="72" spans="1:93" ht="14.25" customHeight="1">
      <c r="A72" s="8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3"/>
      <c r="AN72" s="54"/>
      <c r="AO72" s="54"/>
      <c r="AP72" s="54"/>
      <c r="AQ72" s="53"/>
      <c r="AR72" s="54"/>
      <c r="AS72" s="54"/>
      <c r="AT72" s="54"/>
      <c r="AU72" s="53"/>
      <c r="AV72" s="54"/>
      <c r="AW72" s="54"/>
      <c r="AX72" s="54"/>
      <c r="AY72" s="53"/>
      <c r="AZ72" s="54"/>
      <c r="BA72" s="54"/>
      <c r="BB72" s="54"/>
      <c r="BC72" s="53"/>
      <c r="BD72" s="54"/>
      <c r="BE72" s="54"/>
      <c r="BF72" s="54"/>
      <c r="BG72" s="53"/>
      <c r="BH72" s="54"/>
      <c r="BI72" s="54"/>
      <c r="BJ72" s="54"/>
      <c r="BK72" s="53"/>
      <c r="BL72" s="54"/>
      <c r="BM72" s="54"/>
      <c r="BN72" s="54"/>
      <c r="BO72" s="53"/>
      <c r="BP72" s="8"/>
      <c r="BQ72" s="54"/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8"/>
      <c r="CH72" s="8"/>
      <c r="CO72" s="8"/>
    </row>
    <row r="73" spans="1:93" ht="14.25" customHeight="1">
      <c r="A73" s="8"/>
      <c r="B73" s="57"/>
      <c r="C73" s="54"/>
      <c r="D73" s="154"/>
      <c r="E73" s="154"/>
      <c r="F73" s="54"/>
      <c r="G73" s="54"/>
      <c r="H73" s="154"/>
      <c r="I73" s="154"/>
      <c r="J73" s="54"/>
      <c r="K73" s="54"/>
      <c r="L73" s="154"/>
      <c r="M73" s="154"/>
      <c r="N73" s="54"/>
      <c r="O73" s="54"/>
      <c r="P73" s="154"/>
      <c r="Q73" s="154"/>
      <c r="R73" s="54"/>
      <c r="S73" s="54"/>
      <c r="T73" s="154"/>
      <c r="U73" s="154"/>
      <c r="V73" s="1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7"/>
      <c r="AN73" s="54"/>
      <c r="AO73" s="54"/>
      <c r="AP73" s="54"/>
      <c r="AQ73" s="57"/>
      <c r="AR73" s="54"/>
      <c r="AS73" s="54"/>
      <c r="AT73" s="54"/>
      <c r="AU73" s="57"/>
      <c r="AV73" s="54"/>
      <c r="AW73" s="54"/>
      <c r="AX73" s="54"/>
      <c r="AY73" s="57"/>
      <c r="AZ73" s="54"/>
      <c r="BA73" s="54"/>
      <c r="BB73" s="54"/>
      <c r="BC73" s="57"/>
      <c r="BD73" s="54"/>
      <c r="BE73" s="54"/>
      <c r="BF73" s="54"/>
      <c r="BG73" s="57"/>
      <c r="BH73" s="54"/>
      <c r="BI73" s="54"/>
      <c r="BJ73" s="54"/>
      <c r="BK73" s="57"/>
      <c r="BL73" s="54"/>
      <c r="BM73" s="54"/>
      <c r="BN73" s="54"/>
      <c r="BO73" s="57"/>
      <c r="BP73" s="8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8"/>
      <c r="CH73" s="8"/>
      <c r="CO73" s="8"/>
    </row>
    <row r="74" spans="1:93" ht="14.25" customHeight="1">
      <c r="A74" s="8"/>
      <c r="B74" s="126" t="s">
        <v>219</v>
      </c>
      <c r="C74" s="127"/>
      <c r="D74" s="18" t="str">
        <f t="shared" ref="D74:AQ74" si="253">D57</f>
        <v>F1Q05A</v>
      </c>
      <c r="E74" s="18" t="str">
        <f t="shared" si="253"/>
        <v>F2Q05A</v>
      </c>
      <c r="F74" s="18" t="str">
        <f t="shared" si="253"/>
        <v>F3Q05A</v>
      </c>
      <c r="G74" s="19" t="str">
        <f t="shared" si="253"/>
        <v>F4Q05A</v>
      </c>
      <c r="H74" s="17" t="str">
        <f t="shared" si="253"/>
        <v>F1Q06A</v>
      </c>
      <c r="I74" s="18" t="str">
        <f t="shared" si="253"/>
        <v>F2Q06A</v>
      </c>
      <c r="J74" s="18" t="str">
        <f t="shared" si="253"/>
        <v>F3Q06A</v>
      </c>
      <c r="K74" s="19" t="str">
        <f t="shared" si="253"/>
        <v>F4Q06A</v>
      </c>
      <c r="L74" s="17" t="str">
        <f t="shared" si="253"/>
        <v>F1Q07A</v>
      </c>
      <c r="M74" s="18" t="str">
        <f t="shared" si="253"/>
        <v>F2Q07A</v>
      </c>
      <c r="N74" s="18" t="str">
        <f t="shared" si="253"/>
        <v>F3Q07A</v>
      </c>
      <c r="O74" s="19" t="str">
        <f t="shared" si="253"/>
        <v>F4Q07A</v>
      </c>
      <c r="P74" s="17" t="str">
        <f t="shared" si="253"/>
        <v>F1Q08A</v>
      </c>
      <c r="Q74" s="18" t="str">
        <f t="shared" si="253"/>
        <v>F2Q08A</v>
      </c>
      <c r="R74" s="18" t="str">
        <f t="shared" si="253"/>
        <v>F3Q08A</v>
      </c>
      <c r="S74" s="19" t="str">
        <f t="shared" si="253"/>
        <v>F4Q08A</v>
      </c>
      <c r="T74" s="17" t="str">
        <f t="shared" si="253"/>
        <v>F1Q09A</v>
      </c>
      <c r="U74" s="18" t="str">
        <f t="shared" si="253"/>
        <v>F2Q09A</v>
      </c>
      <c r="V74" s="18" t="str">
        <f t="shared" si="253"/>
        <v>F3Q09A</v>
      </c>
      <c r="W74" s="19" t="str">
        <f t="shared" si="253"/>
        <v>F4Q09A</v>
      </c>
      <c r="X74" s="17" t="str">
        <f t="shared" si="253"/>
        <v>F1Q10A</v>
      </c>
      <c r="Y74" s="18" t="str">
        <f t="shared" si="253"/>
        <v>F2Q10A</v>
      </c>
      <c r="Z74" s="18" t="str">
        <f t="shared" si="253"/>
        <v>F3Q10A</v>
      </c>
      <c r="AA74" s="19" t="str">
        <f t="shared" si="253"/>
        <v>F4Q10A</v>
      </c>
      <c r="AB74" s="17" t="str">
        <f>AB57</f>
        <v>F1Q11A</v>
      </c>
      <c r="AC74" s="18" t="str">
        <f t="shared" si="253"/>
        <v>F2Q11A</v>
      </c>
      <c r="AD74" s="18" t="str">
        <f t="shared" si="253"/>
        <v>F3Q11A</v>
      </c>
      <c r="AE74" s="19" t="str">
        <f>AE57</f>
        <v>F4Q11A</v>
      </c>
      <c r="AF74" s="17" t="str">
        <f>AF57</f>
        <v>F1Q12A</v>
      </c>
      <c r="AG74" s="18" t="str">
        <f t="shared" si="253"/>
        <v>F2Q12A</v>
      </c>
      <c r="AH74" s="18" t="str">
        <f t="shared" si="253"/>
        <v>F3Q12A</v>
      </c>
      <c r="AI74" s="19" t="str">
        <f>AI57</f>
        <v>F4Q12A</v>
      </c>
      <c r="AJ74" s="17" t="str">
        <f t="shared" si="253"/>
        <v>F1Q13A</v>
      </c>
      <c r="AK74" s="18" t="str">
        <f>AK57</f>
        <v>F2Q13A</v>
      </c>
      <c r="AL74" s="18" t="str">
        <f t="shared" si="253"/>
        <v>F3Q13A</v>
      </c>
      <c r="AM74" s="19" t="str">
        <f t="shared" si="253"/>
        <v>F4Q13A</v>
      </c>
      <c r="AN74" s="17" t="str">
        <f t="shared" si="253"/>
        <v>F1Q14A</v>
      </c>
      <c r="AO74" s="18" t="str">
        <f t="shared" si="253"/>
        <v>F2Q14A</v>
      </c>
      <c r="AP74" s="18" t="str">
        <f t="shared" si="253"/>
        <v>F3Q14A</v>
      </c>
      <c r="AQ74" s="19" t="str">
        <f t="shared" si="253"/>
        <v>F4Q14A</v>
      </c>
      <c r="AR74" s="17" t="str">
        <f t="shared" ref="AR74:AV74" si="254">AR57</f>
        <v>F1Q15A</v>
      </c>
      <c r="AS74" s="18" t="str">
        <f t="shared" si="254"/>
        <v>F2Q15A</v>
      </c>
      <c r="AT74" s="18" t="str">
        <f t="shared" si="254"/>
        <v>F3Q15A</v>
      </c>
      <c r="AU74" s="19" t="str">
        <f t="shared" si="254"/>
        <v>F4Q15A</v>
      </c>
      <c r="AV74" s="17" t="str">
        <f t="shared" si="254"/>
        <v>F1Q16A</v>
      </c>
      <c r="AW74" s="18" t="str">
        <f>AW57</f>
        <v>F2Q16A</v>
      </c>
      <c r="AX74" s="18" t="str">
        <f>AX57</f>
        <v>F3Q16A</v>
      </c>
      <c r="AY74" s="19" t="str">
        <f t="shared" ref="AY74:AZ74" si="255">AY57</f>
        <v>F4Q16A</v>
      </c>
      <c r="AZ74" s="17" t="str">
        <f t="shared" si="255"/>
        <v>F1Q17A</v>
      </c>
      <c r="BA74" s="18" t="str">
        <f t="shared" ref="BA74:BG74" si="256">BA57</f>
        <v>F2Q17A</v>
      </c>
      <c r="BB74" s="18" t="str">
        <f t="shared" si="256"/>
        <v>F3Q17A</v>
      </c>
      <c r="BC74" s="19" t="str">
        <f t="shared" si="256"/>
        <v>F4Q17A</v>
      </c>
      <c r="BD74" s="17" t="str">
        <f t="shared" si="256"/>
        <v>F1Q18A</v>
      </c>
      <c r="BE74" s="18" t="str">
        <f t="shared" si="256"/>
        <v>F2Q18E</v>
      </c>
      <c r="BF74" s="18" t="str">
        <f t="shared" si="256"/>
        <v>F3Q18E</v>
      </c>
      <c r="BG74" s="19" t="str">
        <f t="shared" si="256"/>
        <v>F4Q18E</v>
      </c>
      <c r="BH74" s="17" t="str">
        <f t="shared" ref="BH74:BK74" si="257">BH57</f>
        <v>F1Q19E</v>
      </c>
      <c r="BI74" s="18" t="str">
        <f t="shared" si="257"/>
        <v>F2Q19E</v>
      </c>
      <c r="BJ74" s="18" t="str">
        <f t="shared" si="257"/>
        <v>F3Q19E</v>
      </c>
      <c r="BK74" s="19" t="str">
        <f t="shared" si="257"/>
        <v>F4Q19E</v>
      </c>
      <c r="BL74" s="17" t="str">
        <f t="shared" ref="BL74:BO74" si="258">BL57</f>
        <v>F1Q20E</v>
      </c>
      <c r="BM74" s="18" t="str">
        <f t="shared" si="258"/>
        <v>F2Q20E</v>
      </c>
      <c r="BN74" s="18" t="str">
        <f t="shared" si="258"/>
        <v>F3Q20E</v>
      </c>
      <c r="BO74" s="19" t="str">
        <f t="shared" si="258"/>
        <v>F4Q20E</v>
      </c>
      <c r="BP74" s="20"/>
      <c r="BQ74" s="17" t="str">
        <f>BQ57</f>
        <v>FY2005A</v>
      </c>
      <c r="BR74" s="18" t="str">
        <f>BR57</f>
        <v>FY2006A</v>
      </c>
      <c r="BS74" s="18" t="str">
        <f>BS57</f>
        <v>FY2007A</v>
      </c>
      <c r="BT74" s="18" t="str">
        <f>BT57</f>
        <v>FY2008A</v>
      </c>
      <c r="BU74" s="18" t="str">
        <f t="shared" ref="BU74:CA74" si="259">BU57</f>
        <v>FY2009A</v>
      </c>
      <c r="BV74" s="18" t="str">
        <f t="shared" si="259"/>
        <v>FY2010A</v>
      </c>
      <c r="BW74" s="18" t="str">
        <f t="shared" si="259"/>
        <v>FY2011A</v>
      </c>
      <c r="BX74" s="18" t="str">
        <f t="shared" si="259"/>
        <v>FY2012A</v>
      </c>
      <c r="BY74" s="18" t="str">
        <f t="shared" si="259"/>
        <v>FY2013A</v>
      </c>
      <c r="BZ74" s="18" t="str">
        <f t="shared" si="259"/>
        <v>FY2014A</v>
      </c>
      <c r="CA74" s="18" t="str">
        <f t="shared" si="259"/>
        <v>FY2015A</v>
      </c>
      <c r="CB74" s="18" t="str">
        <f>CB57</f>
        <v>FY2016A</v>
      </c>
      <c r="CC74" s="18" t="str">
        <f>CC57</f>
        <v>FY2017E</v>
      </c>
      <c r="CD74" s="18" t="str">
        <f>CD57</f>
        <v>FY2018E</v>
      </c>
      <c r="CE74" s="18" t="str">
        <f>CE57</f>
        <v>FY2019E</v>
      </c>
      <c r="CF74" s="19" t="str">
        <f>CF57</f>
        <v>FY2020E</v>
      </c>
      <c r="CG74" s="297"/>
      <c r="CH74" s="8"/>
      <c r="CO74" s="8"/>
    </row>
    <row r="75" spans="1:93" ht="14.25" customHeight="1">
      <c r="A75" s="8"/>
      <c r="B75" s="58" t="s">
        <v>29</v>
      </c>
      <c r="C75" s="21"/>
      <c r="D75" s="155">
        <f>+IS!D102</f>
        <v>1731</v>
      </c>
      <c r="E75" s="155">
        <f>+IS!E102</f>
        <v>1666</v>
      </c>
      <c r="F75" s="155">
        <f>+IS!F102</f>
        <v>1660</v>
      </c>
      <c r="G75" s="156">
        <f>+IS!G102</f>
        <v>1640</v>
      </c>
      <c r="H75" s="528">
        <f>+IS!H102</f>
        <v>1616</v>
      </c>
      <c r="I75" s="155">
        <f>+IS!I102</f>
        <v>1585</v>
      </c>
      <c r="J75" s="155">
        <f>+IS!J102</f>
        <v>1536</v>
      </c>
      <c r="K75" s="156">
        <f>+IS!K102</f>
        <v>1497</v>
      </c>
      <c r="L75" s="528">
        <f>+IS!L102</f>
        <v>1468</v>
      </c>
      <c r="M75" s="155">
        <f>+IS!M102</f>
        <v>1466</v>
      </c>
      <c r="N75" s="155">
        <f>+IS!N102</f>
        <v>1446</v>
      </c>
      <c r="O75" s="156">
        <f>+IS!O102</f>
        <v>1397</v>
      </c>
      <c r="P75" s="528">
        <f>+IS!P102</f>
        <v>1345</v>
      </c>
      <c r="Q75" s="155">
        <f>+IS!Q102</f>
        <v>1338</v>
      </c>
      <c r="R75" s="155">
        <f>+IS!R102</f>
        <v>1315</v>
      </c>
      <c r="S75" s="156">
        <f>+IS!S102</f>
        <v>1287</v>
      </c>
      <c r="T75" s="528">
        <f>+IS!T102</f>
        <v>1277</v>
      </c>
      <c r="U75" s="155">
        <f>+IS!U102</f>
        <v>1272</v>
      </c>
      <c r="V75" s="155">
        <f>+IS!V102</f>
        <v>1268</v>
      </c>
      <c r="W75" s="156">
        <f>+IS!W102</f>
        <v>1257</v>
      </c>
      <c r="X75" s="155">
        <f>+IS!X102</f>
        <v>1246</v>
      </c>
      <c r="Y75" s="155">
        <f>+IS!Y102</f>
        <v>1221</v>
      </c>
      <c r="Z75" s="155">
        <f>+IS!Z102</f>
        <v>1196</v>
      </c>
      <c r="AA75" s="156">
        <f>+IS!AA102</f>
        <v>1189</v>
      </c>
      <c r="AB75" s="529">
        <f>+IS!AB102</f>
        <v>1194</v>
      </c>
      <c r="AC75" s="155">
        <f>+IS!AC102</f>
        <v>1180</v>
      </c>
      <c r="AD75" s="155">
        <f>+IS!AD102</f>
        <v>1157</v>
      </c>
      <c r="AE75" s="156">
        <f>+IS!AE102</f>
        <v>1155</v>
      </c>
      <c r="AF75" s="529">
        <f>+IS!AF102</f>
        <v>1165</v>
      </c>
      <c r="AG75" s="155">
        <f>+IS!AG102</f>
        <v>1154</v>
      </c>
      <c r="AH75" s="155">
        <f>+IS!AH102</f>
        <v>1141</v>
      </c>
      <c r="AI75" s="156">
        <f>+IS!AI102</f>
        <v>1124</v>
      </c>
      <c r="AJ75" s="155">
        <f>+IS!AJ102</f>
        <v>1123</v>
      </c>
      <c r="AK75" s="155">
        <f>+IS!AK102</f>
        <v>1117</v>
      </c>
      <c r="AL75" s="155">
        <f>+IS!AL102</f>
        <v>1111</v>
      </c>
      <c r="AM75" s="156">
        <f>+IS!AM102</f>
        <v>1102</v>
      </c>
      <c r="AN75" s="155">
        <f>+IS!AN102</f>
        <v>1096</v>
      </c>
      <c r="AO75" s="155">
        <f>+IS!AO102</f>
        <v>1086</v>
      </c>
      <c r="AP75" s="155">
        <f>+IS!AP102</f>
        <v>1074</v>
      </c>
      <c r="AQ75" s="156">
        <f>+IS!AQ102</f>
        <v>1063</v>
      </c>
      <c r="AR75" s="155">
        <f>+IS!AR102</f>
        <v>1061</v>
      </c>
      <c r="AS75" s="155">
        <f>+IS!AS102</f>
        <v>1051</v>
      </c>
      <c r="AT75" s="155">
        <f>+IS!AT102</f>
        <v>1035</v>
      </c>
      <c r="AU75" s="156">
        <f>+IS!AU102</f>
        <v>1027</v>
      </c>
      <c r="AV75" s="155">
        <f>+IS!AV102</f>
        <v>1018</v>
      </c>
      <c r="AW75" s="155">
        <f>+IS!AW102</f>
        <v>1016</v>
      </c>
      <c r="AX75" s="155">
        <f>+IS!AX102</f>
        <v>1017</v>
      </c>
      <c r="AY75" s="156">
        <f>+IS!AY102</f>
        <v>1018</v>
      </c>
      <c r="AZ75" s="155">
        <f>+IS!AZ102</f>
        <v>1019</v>
      </c>
      <c r="BA75" s="155">
        <f>+IS!BA102</f>
        <v>1015</v>
      </c>
      <c r="BB75" s="155">
        <f>+IS!BB102</f>
        <v>1008</v>
      </c>
      <c r="BC75" s="156">
        <f>+IS!BC102</f>
        <v>1007</v>
      </c>
      <c r="BD75" s="155">
        <f>+IS!BD102</f>
        <v>1005</v>
      </c>
      <c r="BE75" s="155">
        <f>+IS!BE102</f>
        <v>1001</v>
      </c>
      <c r="BF75" s="155">
        <f>+IS!BF102</f>
        <v>997</v>
      </c>
      <c r="BG75" s="156">
        <f>+IS!BG102</f>
        <v>993</v>
      </c>
      <c r="BH75" s="155">
        <f>+IS!BH102</f>
        <v>989</v>
      </c>
      <c r="BI75" s="155">
        <f>+IS!BI102</f>
        <v>985</v>
      </c>
      <c r="BJ75" s="155">
        <f>+IS!BJ102</f>
        <v>981</v>
      </c>
      <c r="BK75" s="156">
        <f>+IS!BK102</f>
        <v>977</v>
      </c>
      <c r="BL75" s="155">
        <f>+IS!BL102</f>
        <v>973</v>
      </c>
      <c r="BM75" s="155">
        <f>+IS!BM102</f>
        <v>969</v>
      </c>
      <c r="BN75" s="155">
        <f>+IS!BN102</f>
        <v>965</v>
      </c>
      <c r="BO75" s="156">
        <f>+IS!BO102</f>
        <v>961</v>
      </c>
      <c r="BP75" s="20"/>
      <c r="BQ75" s="128">
        <f>+IS!BQ102</f>
        <v>1674.25</v>
      </c>
      <c r="BR75" s="128">
        <f>+IS!BR102</f>
        <v>1558.5</v>
      </c>
      <c r="BS75" s="128">
        <f>+IS!BS102</f>
        <v>1444.25</v>
      </c>
      <c r="BT75" s="128">
        <f>+IS!BT102</f>
        <v>1321.25</v>
      </c>
      <c r="BU75" s="128">
        <f>+IS!BU102</f>
        <v>1268.5</v>
      </c>
      <c r="BV75" s="128">
        <f>+IS!BV102</f>
        <v>1213</v>
      </c>
      <c r="BW75" s="128">
        <f>+IS!BW102</f>
        <v>1171.5</v>
      </c>
      <c r="BX75" s="128">
        <f>+IS!BX102</f>
        <v>1146</v>
      </c>
      <c r="BY75" s="128">
        <f>+IS!BY102</f>
        <v>1113.25</v>
      </c>
      <c r="BZ75" s="128">
        <f>+IS!BZ102</f>
        <v>1079.75</v>
      </c>
      <c r="CA75" s="128">
        <f>+IS!CA102</f>
        <v>1043.5</v>
      </c>
      <c r="CB75" s="128">
        <f>+IS!CB102</f>
        <v>1017.25</v>
      </c>
      <c r="CC75" s="128">
        <f>+IS!CC102</f>
        <v>1012.25</v>
      </c>
      <c r="CD75" s="128">
        <f>+IS!CD102</f>
        <v>999</v>
      </c>
      <c r="CE75" s="128">
        <f>+IS!CE102</f>
        <v>983</v>
      </c>
      <c r="CF75" s="139">
        <f>+IS!CF102</f>
        <v>967</v>
      </c>
      <c r="CG75" s="297"/>
      <c r="CH75" s="8"/>
      <c r="CO75" s="8"/>
    </row>
    <row r="76" spans="1:93" ht="14.25" customHeight="1">
      <c r="A76" s="8"/>
      <c r="B76" s="342"/>
      <c r="C76" s="21"/>
      <c r="D76" s="155"/>
      <c r="E76" s="155"/>
      <c r="F76" s="155"/>
      <c r="G76" s="161"/>
      <c r="H76" s="528"/>
      <c r="I76" s="155"/>
      <c r="J76" s="155"/>
      <c r="K76" s="161"/>
      <c r="L76" s="528"/>
      <c r="M76" s="155"/>
      <c r="N76" s="155"/>
      <c r="O76" s="161"/>
      <c r="P76" s="528"/>
      <c r="Q76" s="155"/>
      <c r="R76" s="155"/>
      <c r="S76" s="161"/>
      <c r="T76" s="528"/>
      <c r="U76" s="155"/>
      <c r="V76" s="155"/>
      <c r="W76" s="161"/>
      <c r="X76" s="155"/>
      <c r="Y76" s="155"/>
      <c r="Z76" s="155"/>
      <c r="AA76" s="161"/>
      <c r="AB76" s="528"/>
      <c r="AC76" s="155"/>
      <c r="AD76" s="155"/>
      <c r="AE76" s="161"/>
      <c r="AF76" s="528"/>
      <c r="AG76" s="155"/>
      <c r="AH76" s="155"/>
      <c r="AI76" s="161"/>
      <c r="AJ76" s="155"/>
      <c r="AK76" s="155"/>
      <c r="AL76" s="155"/>
      <c r="AM76" s="161"/>
      <c r="AN76" s="155"/>
      <c r="AO76" s="155"/>
      <c r="AP76" s="155"/>
      <c r="AQ76" s="161"/>
      <c r="AR76" s="155"/>
      <c r="AS76" s="155"/>
      <c r="AT76" s="155"/>
      <c r="AU76" s="161"/>
      <c r="AV76" s="155"/>
      <c r="AW76" s="155"/>
      <c r="AX76" s="155"/>
      <c r="AY76" s="161"/>
      <c r="AZ76" s="155"/>
      <c r="BA76" s="155"/>
      <c r="BB76" s="155"/>
      <c r="BC76" s="161"/>
      <c r="BD76" s="155"/>
      <c r="BE76" s="155"/>
      <c r="BF76" s="155"/>
      <c r="BG76" s="161"/>
      <c r="BH76" s="155"/>
      <c r="BI76" s="155"/>
      <c r="BJ76" s="155"/>
      <c r="BK76" s="161"/>
      <c r="BL76" s="155"/>
      <c r="BM76" s="155"/>
      <c r="BN76" s="155"/>
      <c r="BO76" s="161"/>
      <c r="BP76" s="20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4"/>
      <c r="CG76" s="297"/>
      <c r="CH76" s="8"/>
      <c r="CO76" s="8"/>
    </row>
    <row r="77" spans="1:93" ht="14.25" customHeight="1">
      <c r="A77" s="8"/>
      <c r="B77" s="530" t="s">
        <v>30</v>
      </c>
      <c r="C77" s="21"/>
      <c r="D77" s="155"/>
      <c r="E77" s="155"/>
      <c r="F77" s="155"/>
      <c r="G77" s="161"/>
      <c r="H77" s="528"/>
      <c r="I77" s="155"/>
      <c r="J77" s="155"/>
      <c r="K77" s="161"/>
      <c r="L77" s="528"/>
      <c r="M77" s="155"/>
      <c r="N77" s="155"/>
      <c r="O77" s="161"/>
      <c r="P77" s="528"/>
      <c r="Q77" s="155"/>
      <c r="R77" s="155"/>
      <c r="S77" s="161"/>
      <c r="T77" s="528"/>
      <c r="U77" s="155"/>
      <c r="V77" s="155"/>
      <c r="W77" s="161"/>
      <c r="X77" s="155"/>
      <c r="Y77" s="155"/>
      <c r="Z77" s="155"/>
      <c r="AA77" s="161"/>
      <c r="AB77" s="528"/>
      <c r="AC77" s="155"/>
      <c r="AD77" s="155"/>
      <c r="AE77" s="161"/>
      <c r="AF77" s="528"/>
      <c r="AG77" s="155"/>
      <c r="AH77" s="155"/>
      <c r="AI77" s="161"/>
      <c r="AJ77" s="155"/>
      <c r="AK77" s="155"/>
      <c r="AL77" s="155"/>
      <c r="AM77" s="161"/>
      <c r="AN77" s="155"/>
      <c r="AO77" s="155"/>
      <c r="AP77" s="155"/>
      <c r="AQ77" s="161"/>
      <c r="AR77" s="155"/>
      <c r="AS77" s="155"/>
      <c r="AT77" s="155"/>
      <c r="AU77" s="161"/>
      <c r="AV77" s="155"/>
      <c r="AW77" s="155"/>
      <c r="AX77" s="155"/>
      <c r="AY77" s="161"/>
      <c r="AZ77" s="155"/>
      <c r="BA77" s="155"/>
      <c r="BB77" s="155"/>
      <c r="BC77" s="161"/>
      <c r="BD77" s="155"/>
      <c r="BE77" s="155"/>
      <c r="BF77" s="155"/>
      <c r="BG77" s="161"/>
      <c r="BH77" s="155"/>
      <c r="BI77" s="155"/>
      <c r="BJ77" s="155"/>
      <c r="BK77" s="161"/>
      <c r="BL77" s="155"/>
      <c r="BM77" s="155"/>
      <c r="BN77" s="155"/>
      <c r="BO77" s="161"/>
      <c r="BP77" s="20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4"/>
      <c r="CG77" s="297"/>
      <c r="CH77" s="8"/>
      <c r="CO77" s="8"/>
    </row>
    <row r="78" spans="1:93" ht="14.25" customHeight="1">
      <c r="A78" s="8"/>
      <c r="B78" s="342" t="s">
        <v>220</v>
      </c>
      <c r="C78" s="21"/>
      <c r="D78" s="157">
        <f t="shared" ref="D78:AQ78" si="260">D39/D75</f>
        <v>6.8769497400346618</v>
      </c>
      <c r="E78" s="157">
        <f t="shared" si="260"/>
        <v>6.8805522208883554</v>
      </c>
      <c r="F78" s="157">
        <f t="shared" si="260"/>
        <v>7.1524096385542171</v>
      </c>
      <c r="G78" s="158">
        <f t="shared" si="260"/>
        <v>7.2786585365853655</v>
      </c>
      <c r="H78" s="531">
        <f t="shared" si="260"/>
        <v>6.9542079207920793</v>
      </c>
      <c r="I78" s="157">
        <f t="shared" si="260"/>
        <v>8.0681388012618296</v>
      </c>
      <c r="J78" s="157">
        <f t="shared" si="260"/>
        <v>7.830078125</v>
      </c>
      <c r="K78" s="158">
        <f t="shared" si="260"/>
        <v>7.5885103540414161</v>
      </c>
      <c r="L78" s="531">
        <f t="shared" si="260"/>
        <v>7.6859673024523163</v>
      </c>
      <c r="M78" s="157">
        <f t="shared" si="260"/>
        <v>7.8403819918144615</v>
      </c>
      <c r="N78" s="157">
        <f t="shared" si="260"/>
        <v>7.7019363762102353</v>
      </c>
      <c r="O78" s="158">
        <f t="shared" si="260"/>
        <v>7.1403006442376524</v>
      </c>
      <c r="P78" s="531">
        <f t="shared" si="260"/>
        <v>7.3286245353159849</v>
      </c>
      <c r="Q78" s="157">
        <f t="shared" si="260"/>
        <v>7.4618834080717491</v>
      </c>
      <c r="R78" s="157">
        <f t="shared" si="260"/>
        <v>7.6760456273764257</v>
      </c>
      <c r="S78" s="158">
        <f t="shared" si="260"/>
        <v>7.246309246309246</v>
      </c>
      <c r="T78" s="531">
        <f t="shared" si="260"/>
        <v>7.21221613155834</v>
      </c>
      <c r="U78" s="157">
        <f t="shared" si="260"/>
        <v>7.242924528301887</v>
      </c>
      <c r="V78" s="157">
        <f t="shared" si="260"/>
        <v>7.4432176656151423</v>
      </c>
      <c r="W78" s="158">
        <f t="shared" si="260"/>
        <v>7.7342879872712809</v>
      </c>
      <c r="X78" s="157">
        <f t="shared" si="260"/>
        <v>7.8691813804173352</v>
      </c>
      <c r="Y78" s="157">
        <f t="shared" si="260"/>
        <v>7.9893529893529891</v>
      </c>
      <c r="Z78" s="157">
        <f t="shared" si="260"/>
        <v>8.3294314381270897</v>
      </c>
      <c r="AA78" s="158">
        <f t="shared" si="260"/>
        <v>8.7779646761984864</v>
      </c>
      <c r="AB78" s="531">
        <f t="shared" si="260"/>
        <v>8.8559463986599667</v>
      </c>
      <c r="AC78" s="157">
        <f t="shared" si="260"/>
        <v>9.2398305084745758</v>
      </c>
      <c r="AD78" s="157">
        <f t="shared" si="260"/>
        <v>9.5298184961106305</v>
      </c>
      <c r="AE78" s="158">
        <f t="shared" si="260"/>
        <v>9.4822510822510822</v>
      </c>
      <c r="AF78" s="531">
        <f t="shared" si="260"/>
        <v>9.5030042918454942</v>
      </c>
      <c r="AG78" s="157">
        <f t="shared" si="260"/>
        <v>9.6689774696707111</v>
      </c>
      <c r="AH78" s="157">
        <f t="shared" si="260"/>
        <v>9.9938650306748471</v>
      </c>
      <c r="AI78" s="158">
        <f t="shared" si="260"/>
        <v>9.7517793594306053</v>
      </c>
      <c r="AJ78" s="157">
        <f t="shared" si="260"/>
        <v>9.7524487978628667</v>
      </c>
      <c r="AK78" s="157">
        <f>AK39/AK75</f>
        <v>9.9086839749328561</v>
      </c>
      <c r="AL78" s="157">
        <f>AL39/AL75</f>
        <v>9.9468946894689463</v>
      </c>
      <c r="AM78" s="158">
        <f>AM39/AM75</f>
        <v>9.8067150635208709</v>
      </c>
      <c r="AN78" s="157">
        <f t="shared" si="260"/>
        <v>9.6897810218978098</v>
      </c>
      <c r="AO78" s="157">
        <f t="shared" si="260"/>
        <v>9.6372007366482499</v>
      </c>
      <c r="AP78" s="157">
        <f t="shared" si="260"/>
        <v>9.7495344506517689</v>
      </c>
      <c r="AQ78" s="158">
        <f t="shared" si="260"/>
        <v>9.7742238946378173</v>
      </c>
      <c r="AR78" s="157">
        <f t="shared" ref="AR78:AU78" si="261">AR39/AR75</f>
        <v>9.7728557964184724</v>
      </c>
      <c r="AS78" s="157">
        <f t="shared" si="261"/>
        <v>9.709800190294958</v>
      </c>
      <c r="AT78" s="157">
        <f t="shared" si="261"/>
        <v>9.6328502415458939</v>
      </c>
      <c r="AU78" s="158">
        <f t="shared" si="261"/>
        <v>9.6845180136319371</v>
      </c>
      <c r="AV78" s="157">
        <f>AV39/AV75</f>
        <v>9.6090373280943027</v>
      </c>
      <c r="AW78" s="157">
        <f>AW39/AW75</f>
        <v>9.8051181102362204</v>
      </c>
      <c r="AX78" s="157">
        <f>AX39/AX75</f>
        <v>10.114060963618487</v>
      </c>
      <c r="AY78" s="158">
        <f t="shared" ref="AY78" si="262">AY39/AY75</f>
        <v>10.287819253438114</v>
      </c>
      <c r="AZ78" s="157">
        <f>AZ39/AZ75</f>
        <v>10.44062806673209</v>
      </c>
      <c r="BA78" s="157">
        <f>BA39/BA75</f>
        <v>10.54975369458128</v>
      </c>
      <c r="BB78" s="157">
        <f t="shared" ref="BB78:BG78" si="263">BB39/BB75</f>
        <v>10.90079365079365</v>
      </c>
      <c r="BC78" s="158">
        <f t="shared" si="263"/>
        <v>10.265143992055611</v>
      </c>
      <c r="BD78" s="157">
        <f t="shared" si="263"/>
        <v>10.589054726368159</v>
      </c>
      <c r="BE78" s="157">
        <f t="shared" si="263"/>
        <v>10.545319243464524</v>
      </c>
      <c r="BF78" s="157">
        <f t="shared" si="263"/>
        <v>10.617646271091516</v>
      </c>
      <c r="BG78" s="158">
        <f t="shared" si="263"/>
        <v>10.603184394756667</v>
      </c>
      <c r="BH78" s="157">
        <f t="shared" ref="BH78:BK78" si="264">BH39/BH75</f>
        <v>10.68303038559252</v>
      </c>
      <c r="BI78" s="157">
        <f t="shared" si="264"/>
        <v>10.898082220333288</v>
      </c>
      <c r="BJ78" s="157">
        <f t="shared" si="264"/>
        <v>11.27633216577507</v>
      </c>
      <c r="BK78" s="158">
        <f t="shared" si="264"/>
        <v>11.530061347696138</v>
      </c>
      <c r="BL78" s="157">
        <f t="shared" ref="BL78:BO78" si="265">BL39/BL75</f>
        <v>11.732215802508049</v>
      </c>
      <c r="BM78" s="157">
        <f t="shared" si="265"/>
        <v>12.105727499814224</v>
      </c>
      <c r="BN78" s="157">
        <f t="shared" si="265"/>
        <v>12.645516412562085</v>
      </c>
      <c r="BO78" s="158">
        <f t="shared" si="265"/>
        <v>13.038117207306296</v>
      </c>
      <c r="BP78" s="20"/>
      <c r="BQ78" s="159">
        <f t="shared" ref="BQ78:CA78" si="266">BQ39/BQ75</f>
        <v>7.1297595938479921</v>
      </c>
      <c r="BR78" s="159">
        <f t="shared" si="266"/>
        <v>7.2890599935835736</v>
      </c>
      <c r="BS78" s="159">
        <f t="shared" si="266"/>
        <v>6.9066989787086719</v>
      </c>
      <c r="BT78" s="159">
        <f t="shared" si="266"/>
        <v>7.0584673604541157</v>
      </c>
      <c r="BU78" s="159">
        <f t="shared" si="266"/>
        <v>7.6641702798580997</v>
      </c>
      <c r="BV78" s="159">
        <f t="shared" si="266"/>
        <v>8.604286892003298</v>
      </c>
      <c r="BW78" s="159">
        <f t="shared" si="266"/>
        <v>9.3486982501067004</v>
      </c>
      <c r="BX78" s="159">
        <f t="shared" si="266"/>
        <v>9.5645724258289704</v>
      </c>
      <c r="BY78" s="159">
        <f t="shared" si="266"/>
        <v>9.7076128452728501</v>
      </c>
      <c r="BZ78" s="159">
        <f t="shared" si="266"/>
        <v>9.6225978235702705</v>
      </c>
      <c r="CA78" s="159">
        <f t="shared" si="266"/>
        <v>9.5313847628174422</v>
      </c>
      <c r="CB78" s="159">
        <f>CB39/CB75</f>
        <v>10.295404276234947</v>
      </c>
      <c r="CC78" s="159">
        <f>CC39/CC75</f>
        <v>10.211904173870092</v>
      </c>
      <c r="CD78" s="159">
        <f>CD39/CD75</f>
        <v>10.53950160559897</v>
      </c>
      <c r="CE78" s="159">
        <f>CE39/CE75</f>
        <v>11.459684574465033</v>
      </c>
      <c r="CF78" s="160">
        <f>CF39/CF75</f>
        <v>12.95721885855362</v>
      </c>
      <c r="CG78" s="297"/>
      <c r="CH78" s="8"/>
      <c r="CO78" s="8"/>
    </row>
    <row r="79" spans="1:93" ht="14.25" customHeight="1">
      <c r="A79" s="8"/>
      <c r="B79" s="342" t="s">
        <v>221</v>
      </c>
      <c r="C79" s="21"/>
      <c r="D79" s="155">
        <f t="shared" ref="D79:AQ79" si="267">(D39-(D21+D22))</f>
        <v>11105</v>
      </c>
      <c r="E79" s="155">
        <f t="shared" si="267"/>
        <v>10669</v>
      </c>
      <c r="F79" s="155">
        <f t="shared" si="267"/>
        <v>11089</v>
      </c>
      <c r="G79" s="161">
        <f t="shared" si="267"/>
        <v>11200</v>
      </c>
      <c r="H79" s="528">
        <f t="shared" si="267"/>
        <v>10314</v>
      </c>
      <c r="I79" s="155">
        <f t="shared" si="267"/>
        <v>11879</v>
      </c>
      <c r="J79" s="155">
        <f t="shared" si="267"/>
        <v>11104</v>
      </c>
      <c r="K79" s="161">
        <f t="shared" si="267"/>
        <v>10450</v>
      </c>
      <c r="L79" s="528">
        <f t="shared" si="267"/>
        <v>10360</v>
      </c>
      <c r="M79" s="155">
        <f t="shared" si="267"/>
        <v>10585</v>
      </c>
      <c r="N79" s="155">
        <f t="shared" si="267"/>
        <v>10233</v>
      </c>
      <c r="O79" s="161">
        <f t="shared" si="267"/>
        <v>9022</v>
      </c>
      <c r="P79" s="528">
        <f t="shared" si="267"/>
        <v>8914</v>
      </c>
      <c r="Q79" s="155">
        <f t="shared" si="267"/>
        <v>9036</v>
      </c>
      <c r="R79" s="155">
        <f t="shared" si="267"/>
        <v>9155</v>
      </c>
      <c r="S79" s="161">
        <f t="shared" si="267"/>
        <v>8395</v>
      </c>
      <c r="T79" s="528">
        <f t="shared" si="267"/>
        <v>8178</v>
      </c>
      <c r="U79" s="155">
        <f t="shared" si="267"/>
        <v>8137</v>
      </c>
      <c r="V79" s="155">
        <f t="shared" si="267"/>
        <v>8374</v>
      </c>
      <c r="W79" s="161">
        <f t="shared" si="267"/>
        <v>8672</v>
      </c>
      <c r="X79" s="155">
        <f t="shared" si="267"/>
        <v>8768</v>
      </c>
      <c r="Y79" s="155">
        <f t="shared" si="267"/>
        <v>8732</v>
      </c>
      <c r="Z79" s="155">
        <f t="shared" si="267"/>
        <v>8950</v>
      </c>
      <c r="AA79" s="161">
        <f t="shared" si="267"/>
        <v>9437</v>
      </c>
      <c r="AB79" s="528">
        <f t="shared" si="267"/>
        <v>9581</v>
      </c>
      <c r="AC79" s="155">
        <f t="shared" si="267"/>
        <v>9916</v>
      </c>
      <c r="AD79" s="155">
        <f t="shared" si="267"/>
        <v>3551</v>
      </c>
      <c r="AE79" s="161">
        <f t="shared" si="267"/>
        <v>3620</v>
      </c>
      <c r="AF79" s="528">
        <f t="shared" si="267"/>
        <v>3804</v>
      </c>
      <c r="AG79" s="155">
        <f t="shared" si="267"/>
        <v>3977</v>
      </c>
      <c r="AH79" s="155">
        <f t="shared" si="267"/>
        <v>4308</v>
      </c>
      <c r="AI79" s="161">
        <f t="shared" si="267"/>
        <v>4041</v>
      </c>
      <c r="AJ79" s="155">
        <f t="shared" si="267"/>
        <v>4117</v>
      </c>
      <c r="AK79" s="155">
        <f>(AK39-(AK21+AK22))</f>
        <v>4318</v>
      </c>
      <c r="AL79" s="155">
        <f>(AL39-(AL21+AL22))</f>
        <v>4384</v>
      </c>
      <c r="AM79" s="161">
        <f>(AM39-(AM21+AM22))</f>
        <v>4222</v>
      </c>
      <c r="AN79" s="155">
        <f t="shared" si="267"/>
        <v>4116</v>
      </c>
      <c r="AO79" s="155">
        <f t="shared" si="267"/>
        <v>4042</v>
      </c>
      <c r="AP79" s="155">
        <f t="shared" si="267"/>
        <v>4127</v>
      </c>
      <c r="AQ79" s="161">
        <f t="shared" si="267"/>
        <v>4126</v>
      </c>
      <c r="AR79" s="155">
        <f t="shared" ref="AR79:AU79" si="268">(AR39-(AR21+AR22))</f>
        <v>4185</v>
      </c>
      <c r="AS79" s="155">
        <f t="shared" si="268"/>
        <v>4101</v>
      </c>
      <c r="AT79" s="155">
        <f t="shared" si="268"/>
        <v>3946</v>
      </c>
      <c r="AU79" s="161">
        <f t="shared" si="268"/>
        <v>4001</v>
      </c>
      <c r="AV79" s="155">
        <f>(AV39-(AV21+AV22))</f>
        <v>3917</v>
      </c>
      <c r="AW79" s="155">
        <f>(AW39-(AW21+AW22))</f>
        <v>4176</v>
      </c>
      <c r="AX79" s="155">
        <f>(AX39-(AX21+AX22))</f>
        <v>4580</v>
      </c>
      <c r="AY79" s="161">
        <f t="shared" ref="AY79" si="269">(AY39-(AY21+AY22))</f>
        <v>4847</v>
      </c>
      <c r="AZ79" s="155">
        <f>(AZ39-(AZ21+AZ22))</f>
        <v>5093</v>
      </c>
      <c r="BA79" s="155">
        <f>(BA39-(BA21+BA22))</f>
        <v>5241</v>
      </c>
      <c r="BB79" s="155">
        <f t="shared" ref="BB79:BG79" si="270">(BB39-(BB21+BB22))</f>
        <v>5601</v>
      </c>
      <c r="BC79" s="161">
        <f t="shared" si="270"/>
        <v>5029</v>
      </c>
      <c r="BD79" s="155">
        <f t="shared" si="270"/>
        <v>5414</v>
      </c>
      <c r="BE79" s="155">
        <f t="shared" si="270"/>
        <v>5407.8645627079895</v>
      </c>
      <c r="BF79" s="155">
        <f t="shared" si="270"/>
        <v>5517.793332278241</v>
      </c>
      <c r="BG79" s="161">
        <f t="shared" si="270"/>
        <v>5540.96210399337</v>
      </c>
      <c r="BH79" s="155">
        <f t="shared" ref="BH79:BK79" si="271">(BH39-(BH21+BH22))</f>
        <v>5657.517051351002</v>
      </c>
      <c r="BI79" s="155">
        <f t="shared" si="271"/>
        <v>5906.6109870282889</v>
      </c>
      <c r="BJ79" s="155">
        <f t="shared" si="271"/>
        <v>6314.0818546253431</v>
      </c>
      <c r="BK79" s="161">
        <f t="shared" si="271"/>
        <v>6596.8699366991277</v>
      </c>
      <c r="BL79" s="155">
        <f t="shared" ref="BL79:BO79" si="272">(BL39-(BL21+BL22))</f>
        <v>6817.4459758403318</v>
      </c>
      <c r="BM79" s="155">
        <f t="shared" si="272"/>
        <v>7202.449947319983</v>
      </c>
      <c r="BN79" s="155">
        <f t="shared" si="272"/>
        <v>7744.9233381224112</v>
      </c>
      <c r="BO79" s="161">
        <f t="shared" si="272"/>
        <v>8141.6306362213509</v>
      </c>
      <c r="BP79" s="20"/>
      <c r="BQ79" s="162">
        <f t="shared" ref="BQ79:CA79" si="273">(BQ39-(BQ21+BQ22))</f>
        <v>11200</v>
      </c>
      <c r="BR79" s="162">
        <f t="shared" si="273"/>
        <v>10450</v>
      </c>
      <c r="BS79" s="162">
        <f t="shared" si="273"/>
        <v>9022</v>
      </c>
      <c r="BT79" s="162">
        <f t="shared" si="273"/>
        <v>8395</v>
      </c>
      <c r="BU79" s="162">
        <f t="shared" si="273"/>
        <v>8672</v>
      </c>
      <c r="BV79" s="162">
        <f t="shared" si="273"/>
        <v>9437</v>
      </c>
      <c r="BW79" s="162">
        <f t="shared" si="273"/>
        <v>3620</v>
      </c>
      <c r="BX79" s="162">
        <f t="shared" si="273"/>
        <v>4041</v>
      </c>
      <c r="BY79" s="162">
        <f t="shared" si="273"/>
        <v>4222</v>
      </c>
      <c r="BZ79" s="162">
        <f t="shared" si="273"/>
        <v>4126</v>
      </c>
      <c r="CA79" s="162">
        <f t="shared" si="273"/>
        <v>4001</v>
      </c>
      <c r="CB79" s="162">
        <f>(CB39-(CB21+CB22))</f>
        <v>4847</v>
      </c>
      <c r="CC79" s="162">
        <f>(CC39-(CC21+CC22))</f>
        <v>5029</v>
      </c>
      <c r="CD79" s="162">
        <f>(CD39-(CD21+CD22))</f>
        <v>5540.96210399337</v>
      </c>
      <c r="CE79" s="162">
        <f>(CE39-(CE21+CE22))</f>
        <v>6596.8699366991277</v>
      </c>
      <c r="CF79" s="163">
        <f>(CF39-(CF21+CF22))</f>
        <v>8141.6306362213509</v>
      </c>
      <c r="CG79" s="297"/>
      <c r="CH79" s="8"/>
      <c r="CO79" s="8"/>
    </row>
    <row r="80" spans="1:93" ht="14.25" customHeight="1">
      <c r="A80" s="8"/>
      <c r="B80" s="342" t="s">
        <v>222</v>
      </c>
      <c r="C80" s="21"/>
      <c r="D80" s="155">
        <f t="shared" ref="D80:AQ80" si="274">D79/D75</f>
        <v>6.4153668399768922</v>
      </c>
      <c r="E80" s="155">
        <f t="shared" si="274"/>
        <v>6.4039615846338531</v>
      </c>
      <c r="F80" s="155">
        <f t="shared" si="274"/>
        <v>6.6801204819277107</v>
      </c>
      <c r="G80" s="161">
        <f t="shared" si="274"/>
        <v>6.8292682926829267</v>
      </c>
      <c r="H80" s="528">
        <f t="shared" si="274"/>
        <v>6.3824257425742577</v>
      </c>
      <c r="I80" s="155">
        <f t="shared" si="274"/>
        <v>7.4946372239747632</v>
      </c>
      <c r="J80" s="155">
        <f t="shared" si="274"/>
        <v>7.229166666666667</v>
      </c>
      <c r="K80" s="161">
        <f t="shared" si="274"/>
        <v>6.9806279225116903</v>
      </c>
      <c r="L80" s="528">
        <f t="shared" si="274"/>
        <v>7.0572207084468666</v>
      </c>
      <c r="M80" s="155">
        <f t="shared" si="274"/>
        <v>7.2203274215552522</v>
      </c>
      <c r="N80" s="155">
        <f t="shared" si="274"/>
        <v>7.0767634854771782</v>
      </c>
      <c r="O80" s="161">
        <f t="shared" si="274"/>
        <v>6.458124552612742</v>
      </c>
      <c r="P80" s="528">
        <f t="shared" si="274"/>
        <v>6.6275092936802977</v>
      </c>
      <c r="Q80" s="155">
        <f t="shared" si="274"/>
        <v>6.753363228699552</v>
      </c>
      <c r="R80" s="155">
        <f t="shared" si="274"/>
        <v>6.9619771863117874</v>
      </c>
      <c r="S80" s="161">
        <f t="shared" si="274"/>
        <v>6.5229215229215232</v>
      </c>
      <c r="T80" s="528">
        <f t="shared" si="274"/>
        <v>6.4040720438527803</v>
      </c>
      <c r="U80" s="155">
        <f t="shared" si="274"/>
        <v>6.3970125786163523</v>
      </c>
      <c r="V80" s="155">
        <f t="shared" si="274"/>
        <v>6.60410094637224</v>
      </c>
      <c r="W80" s="161">
        <f t="shared" si="274"/>
        <v>6.8989657915672238</v>
      </c>
      <c r="X80" s="155">
        <f t="shared" si="274"/>
        <v>7.0369181380417336</v>
      </c>
      <c r="Y80" s="155">
        <f t="shared" si="274"/>
        <v>7.1515151515151514</v>
      </c>
      <c r="Z80" s="155">
        <f t="shared" si="274"/>
        <v>7.4832775919732439</v>
      </c>
      <c r="AA80" s="161">
        <f t="shared" si="274"/>
        <v>7.9369217830109333</v>
      </c>
      <c r="AB80" s="528">
        <f t="shared" si="274"/>
        <v>8.0242881072026808</v>
      </c>
      <c r="AC80" s="155">
        <f t="shared" si="274"/>
        <v>8.4033898305084751</v>
      </c>
      <c r="AD80" s="155">
        <f t="shared" si="274"/>
        <v>3.0691443388072601</v>
      </c>
      <c r="AE80" s="161">
        <f t="shared" si="274"/>
        <v>3.1341991341991342</v>
      </c>
      <c r="AF80" s="528">
        <f t="shared" si="274"/>
        <v>3.2652360515021459</v>
      </c>
      <c r="AG80" s="155">
        <f t="shared" si="274"/>
        <v>3.4462738301559792</v>
      </c>
      <c r="AH80" s="155">
        <f t="shared" si="274"/>
        <v>3.7756354075372482</v>
      </c>
      <c r="AI80" s="161">
        <f t="shared" si="274"/>
        <v>3.5951957295373664</v>
      </c>
      <c r="AJ80" s="155">
        <f t="shared" si="274"/>
        <v>3.6660730186999109</v>
      </c>
      <c r="AK80" s="155">
        <f t="shared" si="274"/>
        <v>3.8657117278424349</v>
      </c>
      <c r="AL80" s="155">
        <f t="shared" si="274"/>
        <v>3.9459945994599459</v>
      </c>
      <c r="AM80" s="161">
        <f t="shared" si="274"/>
        <v>3.8312159709618876</v>
      </c>
      <c r="AN80" s="155">
        <f t="shared" si="274"/>
        <v>3.7554744525547443</v>
      </c>
      <c r="AO80" s="155">
        <f t="shared" si="274"/>
        <v>3.721915285451197</v>
      </c>
      <c r="AP80" s="155">
        <f t="shared" si="274"/>
        <v>3.8426443202979517</v>
      </c>
      <c r="AQ80" s="161">
        <f t="shared" si="274"/>
        <v>3.8814675446848543</v>
      </c>
      <c r="AR80" s="155">
        <f t="shared" ref="AR80:AU80" si="275">AR79/AR75</f>
        <v>3.944392082940622</v>
      </c>
      <c r="AS80" s="155">
        <f t="shared" si="275"/>
        <v>3.901998097050428</v>
      </c>
      <c r="AT80" s="155">
        <f t="shared" si="275"/>
        <v>3.8125603864734301</v>
      </c>
      <c r="AU80" s="161">
        <f t="shared" si="275"/>
        <v>3.8958130477117821</v>
      </c>
      <c r="AV80" s="155">
        <f>AV79/AV75</f>
        <v>3.8477406679764243</v>
      </c>
      <c r="AW80" s="155">
        <f>AW79/AW75</f>
        <v>4.1102362204724407</v>
      </c>
      <c r="AX80" s="155">
        <f>AX79/AX75</f>
        <v>4.5034414945919368</v>
      </c>
      <c r="AY80" s="161">
        <f t="shared" ref="AY80" si="276">AY79/AY75</f>
        <v>4.7612966601178783</v>
      </c>
      <c r="AZ80" s="155">
        <f>AZ79/AZ75</f>
        <v>4.998037291462218</v>
      </c>
      <c r="BA80" s="155">
        <f>BA79/BA75</f>
        <v>5.1635467980295564</v>
      </c>
      <c r="BB80" s="155">
        <f t="shared" ref="BB80:BG80" si="277">BB79/BB75</f>
        <v>5.5565476190476186</v>
      </c>
      <c r="BC80" s="161">
        <f t="shared" si="277"/>
        <v>4.9940417080436941</v>
      </c>
      <c r="BD80" s="155">
        <f t="shared" si="277"/>
        <v>5.387064676616915</v>
      </c>
      <c r="BE80" s="155">
        <f t="shared" si="277"/>
        <v>5.4024621006073819</v>
      </c>
      <c r="BF80" s="155">
        <f t="shared" si="277"/>
        <v>5.5343965218437727</v>
      </c>
      <c r="BG80" s="161">
        <f t="shared" si="277"/>
        <v>5.5800222598120541</v>
      </c>
      <c r="BH80" s="155">
        <f t="shared" ref="BH80:BK80" si="278">BH79/BH75</f>
        <v>5.7204419123872619</v>
      </c>
      <c r="BI80" s="155">
        <f t="shared" si="278"/>
        <v>5.9965593776936945</v>
      </c>
      <c r="BJ80" s="155">
        <f t="shared" si="278"/>
        <v>6.436372940494743</v>
      </c>
      <c r="BK80" s="161">
        <f t="shared" si="278"/>
        <v>6.7521698430902024</v>
      </c>
      <c r="BL80" s="155">
        <f t="shared" ref="BL80:BO80" si="279">BL79/BL75</f>
        <v>7.006624846701266</v>
      </c>
      <c r="BM80" s="155">
        <f t="shared" si="279"/>
        <v>7.4328688826831613</v>
      </c>
      <c r="BN80" s="155">
        <f t="shared" si="279"/>
        <v>8.0258272933910995</v>
      </c>
      <c r="BO80" s="161">
        <f t="shared" si="279"/>
        <v>8.4720402041845482</v>
      </c>
      <c r="BP80" s="20"/>
      <c r="BQ80" s="162">
        <f t="shared" ref="BQ80:BZ80" si="280">BQ79/BQ75</f>
        <v>6.6895624906674627</v>
      </c>
      <c r="BR80" s="162">
        <f t="shared" si="280"/>
        <v>6.7051652229708054</v>
      </c>
      <c r="BS80" s="162">
        <f t="shared" si="280"/>
        <v>6.246840920893197</v>
      </c>
      <c r="BT80" s="162">
        <f t="shared" si="280"/>
        <v>6.3538315988647112</v>
      </c>
      <c r="BU80" s="162">
        <f t="shared" si="280"/>
        <v>6.8364209696491915</v>
      </c>
      <c r="BV80" s="162">
        <f t="shared" si="280"/>
        <v>7.779884583676834</v>
      </c>
      <c r="BW80" s="162">
        <f t="shared" si="280"/>
        <v>3.0900554844216814</v>
      </c>
      <c r="BX80" s="162">
        <f t="shared" si="280"/>
        <v>3.5261780104712042</v>
      </c>
      <c r="BY80" s="162">
        <f t="shared" si="280"/>
        <v>3.792499438580732</v>
      </c>
      <c r="BZ80" s="162">
        <f t="shared" si="280"/>
        <v>3.8212549201203982</v>
      </c>
      <c r="CA80" s="162">
        <f t="shared" ref="CA80:CF80" si="281">CA79/CA75</f>
        <v>3.8342117872544321</v>
      </c>
      <c r="CB80" s="162">
        <f t="shared" si="281"/>
        <v>4.7648070779061191</v>
      </c>
      <c r="CC80" s="162">
        <f t="shared" si="281"/>
        <v>4.9681402815510003</v>
      </c>
      <c r="CD80" s="162">
        <f t="shared" si="281"/>
        <v>5.5465086126059759</v>
      </c>
      <c r="CE80" s="162">
        <f t="shared" si="281"/>
        <v>6.7109561919624898</v>
      </c>
      <c r="CF80" s="163">
        <f t="shared" si="281"/>
        <v>8.419473253589814</v>
      </c>
      <c r="CG80" s="297"/>
      <c r="CH80" s="8"/>
      <c r="CO80" s="8"/>
    </row>
    <row r="81" spans="1:93" ht="14.25" customHeight="1">
      <c r="A81" s="8"/>
      <c r="B81" s="342"/>
      <c r="C81" s="21"/>
      <c r="D81" s="155"/>
      <c r="E81" s="155"/>
      <c r="F81" s="155"/>
      <c r="G81" s="161"/>
      <c r="H81" s="528"/>
      <c r="I81" s="155"/>
      <c r="J81" s="155"/>
      <c r="K81" s="161"/>
      <c r="L81" s="528"/>
      <c r="M81" s="155"/>
      <c r="N81" s="155"/>
      <c r="O81" s="161"/>
      <c r="P81" s="528"/>
      <c r="Q81" s="155"/>
      <c r="R81" s="155"/>
      <c r="S81" s="161"/>
      <c r="T81" s="528"/>
      <c r="U81" s="155"/>
      <c r="V81" s="155"/>
      <c r="W81" s="161"/>
      <c r="X81" s="155"/>
      <c r="Y81" s="155"/>
      <c r="Z81" s="155"/>
      <c r="AA81" s="161"/>
      <c r="AB81" s="528"/>
      <c r="AC81" s="155"/>
      <c r="AD81" s="155"/>
      <c r="AE81" s="161"/>
      <c r="AF81" s="528"/>
      <c r="AG81" s="155"/>
      <c r="AH81" s="155"/>
      <c r="AI81" s="161"/>
      <c r="AJ81" s="155"/>
      <c r="AK81" s="155"/>
      <c r="AL81" s="155"/>
      <c r="AM81" s="161"/>
      <c r="AN81" s="155"/>
      <c r="AO81" s="155"/>
      <c r="AP81" s="155"/>
      <c r="AQ81" s="161"/>
      <c r="AR81" s="155"/>
      <c r="AS81" s="155"/>
      <c r="AT81" s="155"/>
      <c r="AU81" s="161"/>
      <c r="AV81" s="155"/>
      <c r="AW81" s="155"/>
      <c r="AX81" s="155"/>
      <c r="AY81" s="161"/>
      <c r="AZ81" s="155"/>
      <c r="BA81" s="155"/>
      <c r="BB81" s="155"/>
      <c r="BC81" s="161"/>
      <c r="BD81" s="155"/>
      <c r="BE81" s="155"/>
      <c r="BF81" s="155"/>
      <c r="BG81" s="161"/>
      <c r="BH81" s="155"/>
      <c r="BI81" s="155"/>
      <c r="BJ81" s="155"/>
      <c r="BK81" s="161"/>
      <c r="BL81" s="155"/>
      <c r="BM81" s="155"/>
      <c r="BN81" s="155"/>
      <c r="BO81" s="161"/>
      <c r="BP81" s="20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3"/>
      <c r="CG81" s="297"/>
      <c r="CH81" s="8"/>
      <c r="CO81" s="8"/>
    </row>
    <row r="82" spans="1:93" ht="14.25" customHeight="1">
      <c r="A82" s="8"/>
      <c r="B82" s="320" t="s">
        <v>28</v>
      </c>
      <c r="C82" s="21"/>
      <c r="D82" s="155"/>
      <c r="E82" s="155"/>
      <c r="F82" s="155"/>
      <c r="G82" s="161"/>
      <c r="H82" s="528"/>
      <c r="I82" s="155"/>
      <c r="J82" s="155"/>
      <c r="K82" s="161"/>
      <c r="L82" s="528"/>
      <c r="M82" s="155"/>
      <c r="N82" s="155"/>
      <c r="O82" s="161"/>
      <c r="P82" s="528"/>
      <c r="Q82" s="155"/>
      <c r="R82" s="155"/>
      <c r="S82" s="161"/>
      <c r="T82" s="528"/>
      <c r="U82" s="155"/>
      <c r="V82" s="155"/>
      <c r="W82" s="161"/>
      <c r="X82" s="155"/>
      <c r="Y82" s="155"/>
      <c r="Z82" s="155"/>
      <c r="AA82" s="161"/>
      <c r="AB82" s="528"/>
      <c r="AC82" s="155"/>
      <c r="AD82" s="155"/>
      <c r="AE82" s="161"/>
      <c r="AF82" s="528"/>
      <c r="AG82" s="155"/>
      <c r="AH82" s="155"/>
      <c r="AI82" s="161"/>
      <c r="AJ82" s="155"/>
      <c r="AK82" s="155"/>
      <c r="AL82" s="155"/>
      <c r="AM82" s="161"/>
      <c r="AN82" s="155"/>
      <c r="AO82" s="155"/>
      <c r="AP82" s="155"/>
      <c r="AQ82" s="161"/>
      <c r="AR82" s="155"/>
      <c r="AS82" s="155"/>
      <c r="AT82" s="155"/>
      <c r="AU82" s="161"/>
      <c r="AV82" s="155"/>
      <c r="AW82" s="155"/>
      <c r="AX82" s="155"/>
      <c r="AY82" s="161"/>
      <c r="AZ82" s="155"/>
      <c r="BA82" s="155"/>
      <c r="BB82" s="155"/>
      <c r="BC82" s="161"/>
      <c r="BD82" s="155"/>
      <c r="BE82" s="155"/>
      <c r="BF82" s="155"/>
      <c r="BG82" s="161"/>
      <c r="BH82" s="155"/>
      <c r="BI82" s="155"/>
      <c r="BJ82" s="155"/>
      <c r="BK82" s="161"/>
      <c r="BL82" s="155"/>
      <c r="BM82" s="155"/>
      <c r="BN82" s="155"/>
      <c r="BO82" s="161"/>
      <c r="BP82" s="20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3"/>
      <c r="CG82" s="297"/>
      <c r="CH82" s="8"/>
      <c r="CO82" s="8"/>
    </row>
    <row r="83" spans="1:93" ht="14.25" customHeight="1">
      <c r="A83" s="8"/>
      <c r="B83" s="342" t="s">
        <v>31</v>
      </c>
      <c r="C83" s="21"/>
      <c r="D83" s="155"/>
      <c r="E83" s="155"/>
      <c r="F83" s="155"/>
      <c r="G83" s="161"/>
      <c r="H83" s="528"/>
      <c r="I83" s="155"/>
      <c r="J83" s="155"/>
      <c r="K83" s="161"/>
      <c r="L83" s="528"/>
      <c r="M83" s="155"/>
      <c r="N83" s="155"/>
      <c r="O83" s="161"/>
      <c r="P83" s="528"/>
      <c r="Q83" s="155"/>
      <c r="R83" s="155"/>
      <c r="S83" s="161"/>
      <c r="T83" s="528"/>
      <c r="U83" s="155"/>
      <c r="V83" s="155"/>
      <c r="W83" s="161"/>
      <c r="X83" s="155"/>
      <c r="Y83" s="155"/>
      <c r="Z83" s="155"/>
      <c r="AA83" s="161"/>
      <c r="AB83" s="528"/>
      <c r="AC83" s="155"/>
      <c r="AD83" s="155"/>
      <c r="AE83" s="161"/>
      <c r="AF83" s="532">
        <f>+AF11</f>
        <v>1193</v>
      </c>
      <c r="AG83" s="533">
        <f t="shared" ref="AG83:AQ83" si="282">+AG11</f>
        <v>1192</v>
      </c>
      <c r="AH83" s="533">
        <f t="shared" si="282"/>
        <v>1210</v>
      </c>
      <c r="AI83" s="534">
        <f t="shared" si="282"/>
        <v>1416</v>
      </c>
      <c r="AJ83" s="533">
        <f t="shared" si="282"/>
        <v>1393</v>
      </c>
      <c r="AK83" s="533">
        <f t="shared" ref="AK83:AM84" si="283">+AK11</f>
        <v>1180</v>
      </c>
      <c r="AL83" s="533">
        <f t="shared" si="283"/>
        <v>1435</v>
      </c>
      <c r="AM83" s="534">
        <f t="shared" si="283"/>
        <v>1627</v>
      </c>
      <c r="AN83" s="533">
        <f t="shared" si="282"/>
        <v>1565</v>
      </c>
      <c r="AO83" s="533">
        <f t="shared" si="282"/>
        <v>1216</v>
      </c>
      <c r="AP83" s="533">
        <f t="shared" si="282"/>
        <v>1306</v>
      </c>
      <c r="AQ83" s="534">
        <f t="shared" si="282"/>
        <v>1199</v>
      </c>
      <c r="AR83" s="533">
        <f t="shared" ref="AR83:AU84" si="284">+AR11</f>
        <v>1242</v>
      </c>
      <c r="AS83" s="533">
        <f t="shared" si="284"/>
        <v>1184</v>
      </c>
      <c r="AT83" s="533">
        <f t="shared" si="284"/>
        <v>1133</v>
      </c>
      <c r="AU83" s="534">
        <f t="shared" si="284"/>
        <v>1000</v>
      </c>
      <c r="AV83" s="533">
        <f t="shared" ref="AV83:AY84" si="285">+AV11</f>
        <v>1281</v>
      </c>
      <c r="AW83" s="533">
        <f t="shared" si="285"/>
        <v>1235</v>
      </c>
      <c r="AX83" s="533">
        <f t="shared" si="285"/>
        <v>1369</v>
      </c>
      <c r="AY83" s="534">
        <f t="shared" si="285"/>
        <v>1154</v>
      </c>
      <c r="AZ83" s="533">
        <f t="shared" ref="AZ83:BA83" si="286">+AZ11</f>
        <v>1073</v>
      </c>
      <c r="BA83" s="533">
        <f t="shared" si="286"/>
        <v>1140</v>
      </c>
      <c r="BB83" s="533">
        <f t="shared" ref="BB83:BC84" si="287">+BB11</f>
        <v>1296</v>
      </c>
      <c r="BC83" s="534">
        <f t="shared" si="287"/>
        <v>1656</v>
      </c>
      <c r="BD83" s="533">
        <f t="shared" ref="BD83:BG83" si="288">+BD11</f>
        <v>1717</v>
      </c>
      <c r="BE83" s="533">
        <f t="shared" si="288"/>
        <v>1632.8016919910269</v>
      </c>
      <c r="BF83" s="533">
        <f t="shared" si="288"/>
        <v>1588.1940409265503</v>
      </c>
      <c r="BG83" s="534">
        <f t="shared" si="288"/>
        <v>1810.7193133421742</v>
      </c>
      <c r="BH83" s="533">
        <f t="shared" ref="BH83:BK83" si="289">+BH11</f>
        <v>1661.3100114877773</v>
      </c>
      <c r="BI83" s="533">
        <f t="shared" si="289"/>
        <v>1858.0076757262957</v>
      </c>
      <c r="BJ83" s="533">
        <f t="shared" si="289"/>
        <v>2144.8835409091344</v>
      </c>
      <c r="BK83" s="534">
        <f t="shared" si="289"/>
        <v>2662.2447526034139</v>
      </c>
      <c r="BL83" s="533">
        <f t="shared" ref="BL83:BO83" si="290">+BL11</f>
        <v>2993.4708538753248</v>
      </c>
      <c r="BM83" s="533">
        <f t="shared" si="290"/>
        <v>3239.482519721857</v>
      </c>
      <c r="BN83" s="533">
        <f t="shared" si="290"/>
        <v>3627.0838747555199</v>
      </c>
      <c r="BO83" s="534">
        <f t="shared" si="290"/>
        <v>4251.4436328220727</v>
      </c>
      <c r="BP83" s="535"/>
      <c r="BQ83" s="536"/>
      <c r="BR83" s="536"/>
      <c r="BS83" s="536"/>
      <c r="BT83" s="536"/>
      <c r="BU83" s="536"/>
      <c r="BV83" s="536"/>
      <c r="BW83" s="536"/>
      <c r="BX83" s="536">
        <f>+BX11</f>
        <v>1416</v>
      </c>
      <c r="BY83" s="536">
        <f t="shared" ref="BY83:CA83" si="291">+BY11</f>
        <v>1627</v>
      </c>
      <c r="BZ83" s="536">
        <f t="shared" si="291"/>
        <v>1199</v>
      </c>
      <c r="CA83" s="536">
        <f t="shared" si="291"/>
        <v>1000</v>
      </c>
      <c r="CB83" s="536">
        <f t="shared" ref="CB83:CD84" si="292">+CB11</f>
        <v>1154</v>
      </c>
      <c r="CC83" s="536">
        <f t="shared" si="292"/>
        <v>1656</v>
      </c>
      <c r="CD83" s="536">
        <f t="shared" si="292"/>
        <v>1810.7193133421742</v>
      </c>
      <c r="CE83" s="536">
        <f t="shared" ref="CE83" si="293">+CE11</f>
        <v>2662.2447526034139</v>
      </c>
      <c r="CF83" s="537">
        <f>+CF11</f>
        <v>4251.4436328220727</v>
      </c>
      <c r="CG83" s="297"/>
      <c r="CH83" s="8"/>
      <c r="CO83" s="8"/>
    </row>
    <row r="84" spans="1:93" ht="14.25" customHeight="1">
      <c r="A84" s="8"/>
      <c r="B84" s="342" t="s">
        <v>32</v>
      </c>
      <c r="C84" s="21"/>
      <c r="D84" s="155"/>
      <c r="E84" s="155"/>
      <c r="F84" s="155"/>
      <c r="G84" s="161"/>
      <c r="H84" s="528"/>
      <c r="I84" s="155"/>
      <c r="J84" s="155"/>
      <c r="K84" s="161"/>
      <c r="L84" s="528"/>
      <c r="M84" s="155"/>
      <c r="N84" s="155"/>
      <c r="O84" s="161"/>
      <c r="P84" s="528"/>
      <c r="Q84" s="155"/>
      <c r="R84" s="155"/>
      <c r="S84" s="161"/>
      <c r="T84" s="528"/>
      <c r="U84" s="155"/>
      <c r="V84" s="155"/>
      <c r="W84" s="161"/>
      <c r="X84" s="155"/>
      <c r="Y84" s="155"/>
      <c r="Z84" s="155"/>
      <c r="AA84" s="161"/>
      <c r="AB84" s="528"/>
      <c r="AC84" s="155"/>
      <c r="AD84" s="155"/>
      <c r="AE84" s="161"/>
      <c r="AF84" s="532">
        <f>+AF12</f>
        <v>1572</v>
      </c>
      <c r="AG84" s="533">
        <f t="shared" ref="AG84:AQ84" si="294">+AG12</f>
        <v>1141</v>
      </c>
      <c r="AH84" s="533">
        <f t="shared" si="294"/>
        <v>2451</v>
      </c>
      <c r="AI84" s="534">
        <f t="shared" si="294"/>
        <v>2549</v>
      </c>
      <c r="AJ84" s="533">
        <f t="shared" si="294"/>
        <v>2469</v>
      </c>
      <c r="AK84" s="533">
        <f t="shared" si="283"/>
        <v>2064</v>
      </c>
      <c r="AL84" s="533">
        <f t="shared" si="283"/>
        <v>2158</v>
      </c>
      <c r="AM84" s="534">
        <f t="shared" si="283"/>
        <v>2202</v>
      </c>
      <c r="AN84" s="533">
        <f t="shared" si="294"/>
        <v>2467</v>
      </c>
      <c r="AO84" s="533">
        <f t="shared" si="294"/>
        <v>1588</v>
      </c>
      <c r="AP84" s="533">
        <f t="shared" si="294"/>
        <v>1880</v>
      </c>
      <c r="AQ84" s="534">
        <f t="shared" si="294"/>
        <v>2342</v>
      </c>
      <c r="AR84" s="533">
        <f t="shared" si="284"/>
        <v>2062</v>
      </c>
      <c r="AS84" s="533">
        <f t="shared" si="284"/>
        <v>2122</v>
      </c>
      <c r="AT84" s="533">
        <f t="shared" si="284"/>
        <v>1602</v>
      </c>
      <c r="AU84" s="534">
        <f t="shared" si="284"/>
        <v>2218</v>
      </c>
      <c r="AV84" s="533">
        <f t="shared" si="285"/>
        <v>1519</v>
      </c>
      <c r="AW84" s="533">
        <f t="shared" si="285"/>
        <v>1304</v>
      </c>
      <c r="AX84" s="533">
        <f t="shared" si="285"/>
        <v>1768</v>
      </c>
      <c r="AY84" s="534">
        <f t="shared" si="285"/>
        <v>2336</v>
      </c>
      <c r="AZ84" s="533">
        <f t="shared" ref="AZ84:BA84" si="295">+AZ12</f>
        <v>1976</v>
      </c>
      <c r="BA84" s="533">
        <f t="shared" si="295"/>
        <v>1844</v>
      </c>
      <c r="BB84" s="533">
        <f t="shared" si="287"/>
        <v>2148</v>
      </c>
      <c r="BC84" s="534">
        <f t="shared" si="287"/>
        <v>2813</v>
      </c>
      <c r="BD84" s="533">
        <f t="shared" ref="BD84:BG84" si="296">+BD12</f>
        <v>2362</v>
      </c>
      <c r="BE84" s="533">
        <f t="shared" si="296"/>
        <v>2362</v>
      </c>
      <c r="BF84" s="533">
        <f t="shared" si="296"/>
        <v>2362</v>
      </c>
      <c r="BG84" s="534">
        <f t="shared" si="296"/>
        <v>2362</v>
      </c>
      <c r="BH84" s="533">
        <f t="shared" ref="BH84:BK84" si="297">+BH12</f>
        <v>2362</v>
      </c>
      <c r="BI84" s="533">
        <f t="shared" si="297"/>
        <v>2362</v>
      </c>
      <c r="BJ84" s="533">
        <f t="shared" si="297"/>
        <v>2362</v>
      </c>
      <c r="BK84" s="534">
        <f t="shared" si="297"/>
        <v>2362</v>
      </c>
      <c r="BL84" s="533">
        <f t="shared" ref="BL84:BO84" si="298">+BL12</f>
        <v>2362</v>
      </c>
      <c r="BM84" s="533">
        <f t="shared" si="298"/>
        <v>2362</v>
      </c>
      <c r="BN84" s="533">
        <f t="shared" si="298"/>
        <v>2362</v>
      </c>
      <c r="BO84" s="534">
        <f t="shared" si="298"/>
        <v>2362</v>
      </c>
      <c r="BP84" s="535"/>
      <c r="BQ84" s="536"/>
      <c r="BR84" s="536"/>
      <c r="BS84" s="536"/>
      <c r="BT84" s="536"/>
      <c r="BU84" s="536"/>
      <c r="BV84" s="536"/>
      <c r="BW84" s="536"/>
      <c r="BX84" s="536">
        <f>+BX12</f>
        <v>2549</v>
      </c>
      <c r="BY84" s="536">
        <f t="shared" ref="BY84:CA84" si="299">+BY12</f>
        <v>2202</v>
      </c>
      <c r="BZ84" s="536">
        <f t="shared" si="299"/>
        <v>2342</v>
      </c>
      <c r="CA84" s="536">
        <f t="shared" si="299"/>
        <v>2218</v>
      </c>
      <c r="CB84" s="536">
        <f t="shared" si="292"/>
        <v>2336</v>
      </c>
      <c r="CC84" s="536">
        <f t="shared" si="292"/>
        <v>2813</v>
      </c>
      <c r="CD84" s="536">
        <f t="shared" si="292"/>
        <v>2362</v>
      </c>
      <c r="CE84" s="536">
        <f t="shared" ref="CE84" si="300">+CE12</f>
        <v>2362</v>
      </c>
      <c r="CF84" s="537">
        <f>+CF12</f>
        <v>2362</v>
      </c>
      <c r="CG84" s="297"/>
      <c r="CH84" s="8"/>
      <c r="CO84" s="8"/>
    </row>
    <row r="85" spans="1:93" ht="14.25" customHeight="1">
      <c r="A85" s="368"/>
      <c r="B85" s="345" t="s">
        <v>33</v>
      </c>
      <c r="C85" s="346"/>
      <c r="D85" s="538"/>
      <c r="E85" s="538"/>
      <c r="F85" s="538"/>
      <c r="G85" s="539"/>
      <c r="H85" s="540"/>
      <c r="I85" s="538"/>
      <c r="J85" s="538"/>
      <c r="K85" s="539"/>
      <c r="L85" s="540"/>
      <c r="M85" s="538"/>
      <c r="N85" s="538"/>
      <c r="O85" s="539"/>
      <c r="P85" s="540"/>
      <c r="Q85" s="538"/>
      <c r="R85" s="538"/>
      <c r="S85" s="539"/>
      <c r="T85" s="540"/>
      <c r="U85" s="538"/>
      <c r="V85" s="538"/>
      <c r="W85" s="539"/>
      <c r="X85" s="538"/>
      <c r="Y85" s="538"/>
      <c r="Z85" s="538"/>
      <c r="AA85" s="539"/>
      <c r="AB85" s="540"/>
      <c r="AC85" s="538"/>
      <c r="AD85" s="538"/>
      <c r="AE85" s="539"/>
      <c r="AF85" s="541">
        <f>+AF20</f>
        <v>239</v>
      </c>
      <c r="AG85" s="542">
        <f t="shared" ref="AG85:AQ85" si="301">+AG20</f>
        <v>218</v>
      </c>
      <c r="AH85" s="542">
        <f t="shared" si="301"/>
        <v>225</v>
      </c>
      <c r="AI85" s="543">
        <f t="shared" si="301"/>
        <v>215</v>
      </c>
      <c r="AJ85" s="542">
        <f t="shared" si="301"/>
        <v>204</v>
      </c>
      <c r="AK85" s="542">
        <f>+AK20</f>
        <v>203</v>
      </c>
      <c r="AL85" s="542">
        <f>+AL20</f>
        <v>210</v>
      </c>
      <c r="AM85" s="543">
        <f>+AM20</f>
        <v>216</v>
      </c>
      <c r="AN85" s="542">
        <f t="shared" si="301"/>
        <v>212</v>
      </c>
      <c r="AO85" s="542">
        <f t="shared" si="301"/>
        <v>219</v>
      </c>
      <c r="AP85" s="542">
        <f t="shared" si="301"/>
        <v>219</v>
      </c>
      <c r="AQ85" s="543">
        <f t="shared" si="301"/>
        <v>224</v>
      </c>
      <c r="AR85" s="542">
        <f t="shared" ref="AR85:AU85" si="302">+AR20</f>
        <v>232</v>
      </c>
      <c r="AS85" s="542">
        <f t="shared" si="302"/>
        <v>228</v>
      </c>
      <c r="AT85" s="542">
        <f t="shared" si="302"/>
        <v>216</v>
      </c>
      <c r="AU85" s="543">
        <f t="shared" si="302"/>
        <v>221</v>
      </c>
      <c r="AV85" s="542">
        <f>+AV20</f>
        <v>220</v>
      </c>
      <c r="AW85" s="542">
        <f>+AW20</f>
        <v>224</v>
      </c>
      <c r="AX85" s="542">
        <f>+AX20</f>
        <v>233</v>
      </c>
      <c r="AY85" s="543">
        <f t="shared" ref="AY85" si="303">+AY20</f>
        <v>235</v>
      </c>
      <c r="AZ85" s="542">
        <f>+AZ20</f>
        <v>241</v>
      </c>
      <c r="BA85" s="542">
        <f>+BA20</f>
        <v>250</v>
      </c>
      <c r="BB85" s="542">
        <f t="shared" ref="BB85:BG85" si="304">+BB20</f>
        <v>258</v>
      </c>
      <c r="BC85" s="543">
        <f t="shared" si="304"/>
        <v>268</v>
      </c>
      <c r="BD85" s="542">
        <f t="shared" si="304"/>
        <v>271</v>
      </c>
      <c r="BE85" s="542">
        <f t="shared" si="304"/>
        <v>271</v>
      </c>
      <c r="BF85" s="542">
        <f t="shared" si="304"/>
        <v>271</v>
      </c>
      <c r="BG85" s="543">
        <f t="shared" si="304"/>
        <v>271</v>
      </c>
      <c r="BH85" s="542">
        <f t="shared" ref="BH85:BK85" si="305">+BH20</f>
        <v>271</v>
      </c>
      <c r="BI85" s="542">
        <f t="shared" si="305"/>
        <v>271</v>
      </c>
      <c r="BJ85" s="542">
        <f t="shared" si="305"/>
        <v>271</v>
      </c>
      <c r="BK85" s="543">
        <f t="shared" si="305"/>
        <v>271</v>
      </c>
      <c r="BL85" s="542">
        <f t="shared" ref="BL85:BO85" si="306">+BL20</f>
        <v>271</v>
      </c>
      <c r="BM85" s="542">
        <f t="shared" si="306"/>
        <v>271</v>
      </c>
      <c r="BN85" s="542">
        <f t="shared" si="306"/>
        <v>271</v>
      </c>
      <c r="BO85" s="543">
        <f t="shared" si="306"/>
        <v>271</v>
      </c>
      <c r="BP85" s="544"/>
      <c r="BQ85" s="545"/>
      <c r="BR85" s="545"/>
      <c r="BS85" s="545"/>
      <c r="BT85" s="545"/>
      <c r="BU85" s="545"/>
      <c r="BV85" s="545"/>
      <c r="BW85" s="545"/>
      <c r="BX85" s="545">
        <f>+BX20</f>
        <v>215</v>
      </c>
      <c r="BY85" s="545">
        <f t="shared" ref="BY85:CA85" si="307">+BY20</f>
        <v>216</v>
      </c>
      <c r="BZ85" s="545">
        <f t="shared" si="307"/>
        <v>224</v>
      </c>
      <c r="CA85" s="545">
        <f t="shared" si="307"/>
        <v>221</v>
      </c>
      <c r="CB85" s="545">
        <f>+CB20</f>
        <v>235</v>
      </c>
      <c r="CC85" s="545">
        <f>+CC20</f>
        <v>268</v>
      </c>
      <c r="CD85" s="545">
        <f>+CD20</f>
        <v>271</v>
      </c>
      <c r="CE85" s="545">
        <f>+CE20</f>
        <v>271</v>
      </c>
      <c r="CF85" s="546">
        <f>+CF20</f>
        <v>271</v>
      </c>
      <c r="CG85" s="547"/>
    </row>
    <row r="86" spans="1:93" ht="14.25" customHeight="1">
      <c r="A86" s="8"/>
      <c r="B86" s="342" t="s">
        <v>35</v>
      </c>
      <c r="C86" s="21"/>
      <c r="D86" s="155"/>
      <c r="E86" s="155"/>
      <c r="F86" s="155"/>
      <c r="G86" s="161"/>
      <c r="H86" s="528"/>
      <c r="I86" s="155"/>
      <c r="J86" s="155"/>
      <c r="K86" s="161"/>
      <c r="L86" s="528"/>
      <c r="M86" s="155"/>
      <c r="N86" s="155"/>
      <c r="O86" s="161"/>
      <c r="P86" s="528"/>
      <c r="Q86" s="155"/>
      <c r="R86" s="155"/>
      <c r="S86" s="161"/>
      <c r="T86" s="528"/>
      <c r="U86" s="155"/>
      <c r="V86" s="155"/>
      <c r="W86" s="161"/>
      <c r="X86" s="155"/>
      <c r="Y86" s="155"/>
      <c r="Z86" s="155"/>
      <c r="AA86" s="161"/>
      <c r="AB86" s="528"/>
      <c r="AC86" s="155"/>
      <c r="AD86" s="155"/>
      <c r="AE86" s="161"/>
      <c r="AF86" s="532">
        <f>+SUM(AF83:AF85)</f>
        <v>3004</v>
      </c>
      <c r="AG86" s="533">
        <f t="shared" ref="AG86:AQ86" si="308">+SUM(AG83:AG85)</f>
        <v>2551</v>
      </c>
      <c r="AH86" s="533">
        <f t="shared" si="308"/>
        <v>3886</v>
      </c>
      <c r="AI86" s="534">
        <f t="shared" si="308"/>
        <v>4180</v>
      </c>
      <c r="AJ86" s="533">
        <f t="shared" si="308"/>
        <v>4066</v>
      </c>
      <c r="AK86" s="533">
        <f t="shared" si="308"/>
        <v>3447</v>
      </c>
      <c r="AL86" s="533">
        <f t="shared" si="308"/>
        <v>3803</v>
      </c>
      <c r="AM86" s="534">
        <f t="shared" si="308"/>
        <v>4045</v>
      </c>
      <c r="AN86" s="533">
        <f t="shared" si="308"/>
        <v>4244</v>
      </c>
      <c r="AO86" s="533">
        <f t="shared" si="308"/>
        <v>3023</v>
      </c>
      <c r="AP86" s="533">
        <f t="shared" si="308"/>
        <v>3405</v>
      </c>
      <c r="AQ86" s="534">
        <f t="shared" si="308"/>
        <v>3765</v>
      </c>
      <c r="AR86" s="533">
        <f t="shared" ref="AR86:AU86" si="309">+SUM(AR83:AR85)</f>
        <v>3536</v>
      </c>
      <c r="AS86" s="533">
        <f t="shared" si="309"/>
        <v>3534</v>
      </c>
      <c r="AT86" s="533">
        <f t="shared" si="309"/>
        <v>2951</v>
      </c>
      <c r="AU86" s="534">
        <f t="shared" si="309"/>
        <v>3439</v>
      </c>
      <c r="AV86" s="533">
        <f>+SUM(AV83:AV85)</f>
        <v>3020</v>
      </c>
      <c r="AW86" s="533">
        <f>+SUM(AW83:AW85)</f>
        <v>2763</v>
      </c>
      <c r="AX86" s="533">
        <f>+SUM(AX83:AX85)</f>
        <v>3370</v>
      </c>
      <c r="AY86" s="534">
        <f t="shared" ref="AY86" si="310">+SUM(AY83:AY85)</f>
        <v>3725</v>
      </c>
      <c r="AZ86" s="533">
        <f>+SUM(AZ83:AZ85)</f>
        <v>3290</v>
      </c>
      <c r="BA86" s="533">
        <f>+SUM(BA83:BA85)</f>
        <v>3234</v>
      </c>
      <c r="BB86" s="533">
        <f t="shared" ref="BB86:BG86" si="311">+SUM(BB83:BB85)</f>
        <v>3702</v>
      </c>
      <c r="BC86" s="534">
        <f t="shared" si="311"/>
        <v>4737</v>
      </c>
      <c r="BD86" s="533">
        <f t="shared" si="311"/>
        <v>4350</v>
      </c>
      <c r="BE86" s="533">
        <f t="shared" si="311"/>
        <v>4265.8016919910269</v>
      </c>
      <c r="BF86" s="533">
        <f t="shared" si="311"/>
        <v>4221.1940409265499</v>
      </c>
      <c r="BG86" s="534">
        <f t="shared" si="311"/>
        <v>4443.7193133421742</v>
      </c>
      <c r="BH86" s="533">
        <f t="shared" ref="BH86:BK86" si="312">+SUM(BH83:BH85)</f>
        <v>4294.310011487777</v>
      </c>
      <c r="BI86" s="533">
        <f t="shared" si="312"/>
        <v>4491.0076757262959</v>
      </c>
      <c r="BJ86" s="533">
        <f t="shared" si="312"/>
        <v>4777.8835409091344</v>
      </c>
      <c r="BK86" s="534">
        <f t="shared" si="312"/>
        <v>5295.2447526034139</v>
      </c>
      <c r="BL86" s="533">
        <f t="shared" ref="BL86:BO86" si="313">+SUM(BL83:BL85)</f>
        <v>5626.4708538753248</v>
      </c>
      <c r="BM86" s="533">
        <f t="shared" si="313"/>
        <v>5872.482519721857</v>
      </c>
      <c r="BN86" s="533">
        <f t="shared" si="313"/>
        <v>6260.0838747555199</v>
      </c>
      <c r="BO86" s="534">
        <f t="shared" si="313"/>
        <v>6884.4436328220727</v>
      </c>
      <c r="BP86" s="535"/>
      <c r="BQ86" s="536"/>
      <c r="BR86" s="536"/>
      <c r="BS86" s="536"/>
      <c r="BT86" s="536"/>
      <c r="BU86" s="536"/>
      <c r="BV86" s="536"/>
      <c r="BW86" s="536"/>
      <c r="BX86" s="536">
        <f t="shared" ref="BX86:CA86" si="314">+SUM(BX83:BX85)</f>
        <v>4180</v>
      </c>
      <c r="BY86" s="536">
        <f t="shared" si="314"/>
        <v>4045</v>
      </c>
      <c r="BZ86" s="536">
        <f t="shared" si="314"/>
        <v>3765</v>
      </c>
      <c r="CA86" s="536">
        <f t="shared" si="314"/>
        <v>3439</v>
      </c>
      <c r="CB86" s="536">
        <f>+SUM(CB83:CB85)</f>
        <v>3725</v>
      </c>
      <c r="CC86" s="536">
        <f>+SUM(CC83:CC85)</f>
        <v>4737</v>
      </c>
      <c r="CD86" s="536">
        <f>+SUM(CD83:CD85)</f>
        <v>4443.7193133421742</v>
      </c>
      <c r="CE86" s="536">
        <f>+SUM(CE83:CE85)</f>
        <v>5295.2447526034139</v>
      </c>
      <c r="CF86" s="537">
        <f>+SUM(CF83:CF85)</f>
        <v>6884.4436328220727</v>
      </c>
      <c r="CG86" s="297"/>
      <c r="CH86" s="8"/>
      <c r="CO86" s="8"/>
    </row>
    <row r="87" spans="1:93" ht="14.25" customHeight="1">
      <c r="A87" s="8"/>
      <c r="B87" s="342"/>
      <c r="C87" s="21"/>
      <c r="D87" s="155"/>
      <c r="E87" s="155"/>
      <c r="F87" s="155"/>
      <c r="G87" s="161"/>
      <c r="H87" s="528"/>
      <c r="I87" s="155"/>
      <c r="J87" s="155"/>
      <c r="K87" s="161"/>
      <c r="L87" s="528"/>
      <c r="M87" s="155"/>
      <c r="N87" s="155"/>
      <c r="O87" s="161"/>
      <c r="P87" s="528"/>
      <c r="Q87" s="155"/>
      <c r="R87" s="155"/>
      <c r="S87" s="161"/>
      <c r="T87" s="528"/>
      <c r="U87" s="155"/>
      <c r="V87" s="155"/>
      <c r="W87" s="161"/>
      <c r="X87" s="155"/>
      <c r="Y87" s="155"/>
      <c r="Z87" s="155"/>
      <c r="AA87" s="161"/>
      <c r="AB87" s="528"/>
      <c r="AC87" s="155"/>
      <c r="AD87" s="155"/>
      <c r="AE87" s="161"/>
      <c r="AF87" s="532"/>
      <c r="AG87" s="533"/>
      <c r="AH87" s="533"/>
      <c r="AI87" s="534"/>
      <c r="AJ87" s="533"/>
      <c r="AK87" s="533"/>
      <c r="AL87" s="533"/>
      <c r="AM87" s="534"/>
      <c r="AN87" s="533"/>
      <c r="AO87" s="533"/>
      <c r="AP87" s="533"/>
      <c r="AQ87" s="534"/>
      <c r="AR87" s="533"/>
      <c r="AS87" s="533"/>
      <c r="AT87" s="533"/>
      <c r="AU87" s="534"/>
      <c r="AV87" s="533"/>
      <c r="AW87" s="533"/>
      <c r="AX87" s="533"/>
      <c r="AY87" s="534"/>
      <c r="AZ87" s="533"/>
      <c r="BA87" s="533"/>
      <c r="BB87" s="533"/>
      <c r="BC87" s="534"/>
      <c r="BD87" s="533"/>
      <c r="BE87" s="533"/>
      <c r="BF87" s="533"/>
      <c r="BG87" s="534"/>
      <c r="BH87" s="533"/>
      <c r="BI87" s="533"/>
      <c r="BJ87" s="533"/>
      <c r="BK87" s="534"/>
      <c r="BL87" s="533"/>
      <c r="BM87" s="533"/>
      <c r="BN87" s="533"/>
      <c r="BO87" s="534"/>
      <c r="BP87" s="535"/>
      <c r="BQ87" s="536"/>
      <c r="BR87" s="536"/>
      <c r="BS87" s="536"/>
      <c r="BT87" s="536"/>
      <c r="BU87" s="536"/>
      <c r="BV87" s="536"/>
      <c r="BW87" s="536"/>
      <c r="BX87" s="536"/>
      <c r="BY87" s="536"/>
      <c r="BZ87" s="536"/>
      <c r="CA87" s="536"/>
      <c r="CB87" s="536"/>
      <c r="CC87" s="536"/>
      <c r="CD87" s="536"/>
      <c r="CE87" s="536"/>
      <c r="CF87" s="537"/>
      <c r="CG87" s="297"/>
      <c r="CH87" s="8"/>
      <c r="CO87" s="8"/>
    </row>
    <row r="88" spans="1:93" ht="14.25" customHeight="1">
      <c r="A88" s="368"/>
      <c r="B88" s="345" t="s">
        <v>36</v>
      </c>
      <c r="C88" s="346"/>
      <c r="D88" s="538"/>
      <c r="E88" s="538"/>
      <c r="F88" s="538"/>
      <c r="G88" s="539"/>
      <c r="H88" s="540"/>
      <c r="I88" s="538"/>
      <c r="J88" s="538"/>
      <c r="K88" s="539"/>
      <c r="L88" s="540"/>
      <c r="M88" s="538"/>
      <c r="N88" s="538"/>
      <c r="O88" s="539"/>
      <c r="P88" s="540"/>
      <c r="Q88" s="538"/>
      <c r="R88" s="538"/>
      <c r="S88" s="539"/>
      <c r="T88" s="540"/>
      <c r="U88" s="538"/>
      <c r="V88" s="538"/>
      <c r="W88" s="539"/>
      <c r="X88" s="538"/>
      <c r="Y88" s="538"/>
      <c r="Z88" s="538"/>
      <c r="AA88" s="539"/>
      <c r="AB88" s="540"/>
      <c r="AC88" s="538"/>
      <c r="AD88" s="538"/>
      <c r="AE88" s="539"/>
      <c r="AF88" s="541">
        <v>5200</v>
      </c>
      <c r="AG88" s="542">
        <v>4625</v>
      </c>
      <c r="AH88" s="542">
        <v>5625</v>
      </c>
      <c r="AI88" s="543">
        <v>5625</v>
      </c>
      <c r="AJ88" s="542">
        <v>5625</v>
      </c>
      <c r="AK88" s="542">
        <v>5625</v>
      </c>
      <c r="AL88" s="542">
        <v>5625</v>
      </c>
      <c r="AM88" s="543">
        <v>5625</v>
      </c>
      <c r="AN88" s="542">
        <v>5625</v>
      </c>
      <c r="AO88" s="542">
        <v>5625</v>
      </c>
      <c r="AP88" s="542">
        <v>5625</v>
      </c>
      <c r="AQ88" s="543">
        <v>5625</v>
      </c>
      <c r="AR88" s="542">
        <v>5625</v>
      </c>
      <c r="AS88" s="542">
        <v>5625</v>
      </c>
      <c r="AT88" s="542">
        <v>5625</v>
      </c>
      <c r="AU88" s="543">
        <v>5625</v>
      </c>
      <c r="AV88" s="542">
        <v>5625</v>
      </c>
      <c r="AW88" s="542">
        <v>5625</v>
      </c>
      <c r="AX88" s="542">
        <v>5625</v>
      </c>
      <c r="AY88" s="543">
        <v>5625</v>
      </c>
      <c r="AZ88" s="542">
        <v>5625</v>
      </c>
      <c r="BA88" s="542">
        <v>5625</v>
      </c>
      <c r="BB88" s="542">
        <v>5625</v>
      </c>
      <c r="BC88" s="543">
        <v>5625</v>
      </c>
      <c r="BD88" s="542">
        <v>5625</v>
      </c>
      <c r="BE88" s="542">
        <v>5625</v>
      </c>
      <c r="BF88" s="542">
        <v>5625</v>
      </c>
      <c r="BG88" s="543">
        <v>5625</v>
      </c>
      <c r="BH88" s="542">
        <v>0</v>
      </c>
      <c r="BI88" s="542">
        <v>0</v>
      </c>
      <c r="BJ88" s="542">
        <v>0</v>
      </c>
      <c r="BK88" s="543">
        <v>0</v>
      </c>
      <c r="BL88" s="542">
        <v>0</v>
      </c>
      <c r="BM88" s="542">
        <v>5700</v>
      </c>
      <c r="BN88" s="542">
        <v>5625</v>
      </c>
      <c r="BO88" s="543">
        <v>5625</v>
      </c>
      <c r="BP88" s="544"/>
      <c r="BQ88" s="545"/>
      <c r="BR88" s="545"/>
      <c r="BS88" s="545"/>
      <c r="BT88" s="545"/>
      <c r="BU88" s="545"/>
      <c r="BV88" s="545"/>
      <c r="BW88" s="545"/>
      <c r="BX88" s="545">
        <v>5625</v>
      </c>
      <c r="BY88" s="545">
        <v>5625</v>
      </c>
      <c r="BZ88" s="545">
        <v>5625</v>
      </c>
      <c r="CA88" s="545">
        <v>5625</v>
      </c>
      <c r="CB88" s="545">
        <v>5625</v>
      </c>
      <c r="CC88" s="545">
        <v>5625</v>
      </c>
      <c r="CD88" s="545">
        <v>5625</v>
      </c>
      <c r="CE88" s="545">
        <v>5625</v>
      </c>
      <c r="CF88" s="546">
        <v>0</v>
      </c>
      <c r="CG88" s="547"/>
    </row>
    <row r="89" spans="1:93" s="85" customFormat="1" ht="14.25" customHeight="1">
      <c r="A89" s="392"/>
      <c r="B89" s="320" t="s">
        <v>37</v>
      </c>
      <c r="C89" s="39"/>
      <c r="D89" s="548"/>
      <c r="E89" s="548"/>
      <c r="F89" s="548"/>
      <c r="G89" s="549"/>
      <c r="H89" s="550"/>
      <c r="I89" s="548"/>
      <c r="J89" s="548"/>
      <c r="K89" s="549"/>
      <c r="L89" s="550"/>
      <c r="M89" s="548"/>
      <c r="N89" s="548"/>
      <c r="O89" s="549"/>
      <c r="P89" s="550"/>
      <c r="Q89" s="548"/>
      <c r="R89" s="548"/>
      <c r="S89" s="549"/>
      <c r="T89" s="550"/>
      <c r="U89" s="548"/>
      <c r="V89" s="548"/>
      <c r="W89" s="549"/>
      <c r="X89" s="548"/>
      <c r="Y89" s="548"/>
      <c r="Z89" s="548"/>
      <c r="AA89" s="549"/>
      <c r="AB89" s="550"/>
      <c r="AC89" s="548"/>
      <c r="AD89" s="548"/>
      <c r="AE89" s="549"/>
      <c r="AF89" s="551">
        <f>+AF88-AF86</f>
        <v>2196</v>
      </c>
      <c r="AG89" s="552">
        <f t="shared" ref="AG89:AQ89" si="315">+AG88-AG86</f>
        <v>2074</v>
      </c>
      <c r="AH89" s="552">
        <f t="shared" si="315"/>
        <v>1739</v>
      </c>
      <c r="AI89" s="553">
        <f t="shared" si="315"/>
        <v>1445</v>
      </c>
      <c r="AJ89" s="552">
        <f t="shared" si="315"/>
        <v>1559</v>
      </c>
      <c r="AK89" s="552">
        <f t="shared" si="315"/>
        <v>2178</v>
      </c>
      <c r="AL89" s="552">
        <f t="shared" si="315"/>
        <v>1822</v>
      </c>
      <c r="AM89" s="553">
        <f t="shared" si="315"/>
        <v>1580</v>
      </c>
      <c r="AN89" s="552">
        <f t="shared" si="315"/>
        <v>1381</v>
      </c>
      <c r="AO89" s="552">
        <f t="shared" si="315"/>
        <v>2602</v>
      </c>
      <c r="AP89" s="552">
        <f t="shared" si="315"/>
        <v>2220</v>
      </c>
      <c r="AQ89" s="553">
        <f t="shared" si="315"/>
        <v>1860</v>
      </c>
      <c r="AR89" s="552">
        <f t="shared" ref="AR89:AU89" si="316">+AR88-AR86</f>
        <v>2089</v>
      </c>
      <c r="AS89" s="552">
        <f t="shared" si="316"/>
        <v>2091</v>
      </c>
      <c r="AT89" s="552">
        <f t="shared" si="316"/>
        <v>2674</v>
      </c>
      <c r="AU89" s="553">
        <f t="shared" si="316"/>
        <v>2186</v>
      </c>
      <c r="AV89" s="552">
        <f>+AV88-AV86</f>
        <v>2605</v>
      </c>
      <c r="AW89" s="552">
        <f>+AW88-AW86</f>
        <v>2862</v>
      </c>
      <c r="AX89" s="552">
        <f>+AX88-AX86</f>
        <v>2255</v>
      </c>
      <c r="AY89" s="553">
        <f t="shared" ref="AY89" si="317">+AY88-AY86</f>
        <v>1900</v>
      </c>
      <c r="AZ89" s="552">
        <f>+AZ88-AZ86</f>
        <v>2335</v>
      </c>
      <c r="BA89" s="552">
        <f>+BA88-BA86</f>
        <v>2391</v>
      </c>
      <c r="BB89" s="552">
        <f t="shared" ref="BB89:BG89" si="318">+BB88-BB86</f>
        <v>1923</v>
      </c>
      <c r="BC89" s="553">
        <f t="shared" si="318"/>
        <v>888</v>
      </c>
      <c r="BD89" s="552">
        <f t="shared" si="318"/>
        <v>1275</v>
      </c>
      <c r="BE89" s="552">
        <f t="shared" si="318"/>
        <v>1359.1983080089731</v>
      </c>
      <c r="BF89" s="552">
        <f t="shared" si="318"/>
        <v>1403.8059590734501</v>
      </c>
      <c r="BG89" s="553">
        <f t="shared" si="318"/>
        <v>1181.2806866578258</v>
      </c>
      <c r="BH89" s="552">
        <f t="shared" ref="BH89:BK89" si="319">+BH88-BH86</f>
        <v>-4294.310011487777</v>
      </c>
      <c r="BI89" s="552">
        <f t="shared" si="319"/>
        <v>-4491.0076757262959</v>
      </c>
      <c r="BJ89" s="552">
        <f t="shared" si="319"/>
        <v>-4777.8835409091344</v>
      </c>
      <c r="BK89" s="553">
        <f t="shared" si="319"/>
        <v>-5295.2447526034139</v>
      </c>
      <c r="BL89" s="552">
        <f t="shared" ref="BL89:BO89" si="320">+BL88-BL86</f>
        <v>-5626.4708538753248</v>
      </c>
      <c r="BM89" s="552">
        <f t="shared" si="320"/>
        <v>-172.48251972185699</v>
      </c>
      <c r="BN89" s="552">
        <f t="shared" si="320"/>
        <v>-635.0838747555199</v>
      </c>
      <c r="BO89" s="553">
        <f t="shared" si="320"/>
        <v>-1259.4436328220727</v>
      </c>
      <c r="BP89" s="554"/>
      <c r="BQ89" s="555"/>
      <c r="BR89" s="555"/>
      <c r="BS89" s="555"/>
      <c r="BT89" s="555"/>
      <c r="BU89" s="555"/>
      <c r="BV89" s="555"/>
      <c r="BW89" s="555"/>
      <c r="BX89" s="555">
        <f>+BX88-BX86</f>
        <v>1445</v>
      </c>
      <c r="BY89" s="555">
        <f t="shared" ref="BY89:CA89" si="321">+BY88-BY86</f>
        <v>1580</v>
      </c>
      <c r="BZ89" s="555">
        <f t="shared" si="321"/>
        <v>1860</v>
      </c>
      <c r="CA89" s="555">
        <f t="shared" si="321"/>
        <v>2186</v>
      </c>
      <c r="CB89" s="555">
        <f>+CB88-CB86</f>
        <v>1900</v>
      </c>
      <c r="CC89" s="555">
        <f>+CC88-CC86</f>
        <v>888</v>
      </c>
      <c r="CD89" s="555">
        <f>+CD88-CD86</f>
        <v>1181.2806866578258</v>
      </c>
      <c r="CE89" s="555">
        <f>+CE88-CE86</f>
        <v>329.75524739658613</v>
      </c>
      <c r="CF89" s="556">
        <f>+CF88-CF86</f>
        <v>-6884.4436328220727</v>
      </c>
      <c r="CG89" s="557"/>
      <c r="CH89" s="86"/>
      <c r="CI89"/>
      <c r="CJ89"/>
      <c r="CK89"/>
      <c r="CL89"/>
      <c r="CM89"/>
      <c r="CN89"/>
      <c r="CO89" s="86"/>
    </row>
    <row r="90" spans="1:93" ht="14.25" customHeight="1">
      <c r="A90" s="8"/>
      <c r="B90" s="342" t="s">
        <v>39</v>
      </c>
      <c r="C90" s="21"/>
      <c r="D90" s="155"/>
      <c r="E90" s="155"/>
      <c r="F90" s="155"/>
      <c r="G90" s="161"/>
      <c r="H90" s="528"/>
      <c r="I90" s="155"/>
      <c r="J90" s="155"/>
      <c r="K90" s="161"/>
      <c r="L90" s="528"/>
      <c r="M90" s="155"/>
      <c r="N90" s="155"/>
      <c r="O90" s="161"/>
      <c r="P90" s="528"/>
      <c r="Q90" s="155"/>
      <c r="R90" s="155"/>
      <c r="S90" s="161"/>
      <c r="T90" s="528"/>
      <c r="U90" s="155"/>
      <c r="V90" s="155"/>
      <c r="W90" s="161"/>
      <c r="X90" s="155"/>
      <c r="Y90" s="155"/>
      <c r="Z90" s="155"/>
      <c r="AA90" s="161"/>
      <c r="AB90" s="528"/>
      <c r="AC90" s="155"/>
      <c r="AD90" s="155"/>
      <c r="AE90" s="161"/>
      <c r="AF90" s="558">
        <f>+AF89/AF75</f>
        <v>1.8849785407725321</v>
      </c>
      <c r="AG90" s="559">
        <f t="shared" ref="AG90:AQ90" si="322">+AG89/AG75</f>
        <v>1.7972270363951472</v>
      </c>
      <c r="AH90" s="559">
        <f t="shared" si="322"/>
        <v>1.5241016652059596</v>
      </c>
      <c r="AI90" s="560">
        <f t="shared" si="322"/>
        <v>1.2855871886120998</v>
      </c>
      <c r="AJ90" s="559">
        <f t="shared" si="322"/>
        <v>1.3882457702582369</v>
      </c>
      <c r="AK90" s="559">
        <f t="shared" si="322"/>
        <v>1.9498657117278424</v>
      </c>
      <c r="AL90" s="559">
        <f t="shared" si="322"/>
        <v>1.63996399639964</v>
      </c>
      <c r="AM90" s="560">
        <f t="shared" si="322"/>
        <v>1.4337568058076224</v>
      </c>
      <c r="AN90" s="559">
        <f t="shared" si="322"/>
        <v>1.260036496350365</v>
      </c>
      <c r="AO90" s="559">
        <f t="shared" si="322"/>
        <v>2.395948434622468</v>
      </c>
      <c r="AP90" s="559">
        <f t="shared" si="322"/>
        <v>2.0670391061452515</v>
      </c>
      <c r="AQ90" s="560">
        <f t="shared" si="322"/>
        <v>1.7497648165569144</v>
      </c>
      <c r="AR90" s="559">
        <f t="shared" ref="AR90:AU90" si="323">+AR89/AR75</f>
        <v>1.9688972667295004</v>
      </c>
      <c r="AS90" s="559">
        <f t="shared" si="323"/>
        <v>1.9895337773549</v>
      </c>
      <c r="AT90" s="559">
        <f t="shared" si="323"/>
        <v>2.583574879227053</v>
      </c>
      <c r="AU90" s="560">
        <f t="shared" si="323"/>
        <v>2.1285296981499515</v>
      </c>
      <c r="AV90" s="559">
        <f>+AV89/AV75</f>
        <v>2.5589390962671907</v>
      </c>
      <c r="AW90" s="559">
        <f>+AW89/AW75</f>
        <v>2.8169291338582676</v>
      </c>
      <c r="AX90" s="559">
        <f>+AX89/AX75</f>
        <v>2.2173058013765981</v>
      </c>
      <c r="AY90" s="560">
        <f t="shared" ref="AY90" si="324">+AY89/AY75</f>
        <v>1.8664047151277015</v>
      </c>
      <c r="AZ90" s="559">
        <f>+AZ89/AZ75</f>
        <v>2.2914622178606479</v>
      </c>
      <c r="BA90" s="559">
        <f>+BA89/BA75</f>
        <v>2.3556650246305417</v>
      </c>
      <c r="BB90" s="559">
        <f t="shared" ref="BB90:BG90" si="325">+BB89/BB75</f>
        <v>1.9077380952380953</v>
      </c>
      <c r="BC90" s="560">
        <f t="shared" si="325"/>
        <v>0.8818272095332671</v>
      </c>
      <c r="BD90" s="559">
        <f t="shared" si="325"/>
        <v>1.2686567164179106</v>
      </c>
      <c r="BE90" s="559">
        <f t="shared" si="325"/>
        <v>1.3578404675414317</v>
      </c>
      <c r="BF90" s="559">
        <f t="shared" si="325"/>
        <v>1.4080300492211135</v>
      </c>
      <c r="BG90" s="560">
        <f t="shared" si="325"/>
        <v>1.189607942253601</v>
      </c>
      <c r="BH90" s="559">
        <f t="shared" ref="BH90:BK90" si="326">+BH89/BH75</f>
        <v>-4.3420728124244459</v>
      </c>
      <c r="BI90" s="559">
        <f t="shared" si="326"/>
        <v>-4.5593986555596917</v>
      </c>
      <c r="BJ90" s="559">
        <f t="shared" si="326"/>
        <v>-4.8704215503660899</v>
      </c>
      <c r="BK90" s="560">
        <f t="shared" si="326"/>
        <v>-5.419902510341263</v>
      </c>
      <c r="BL90" s="559">
        <f t="shared" ref="BL90:BO90" si="327">+BL89/BL75</f>
        <v>-5.7826010831195527</v>
      </c>
      <c r="BM90" s="559">
        <f t="shared" si="327"/>
        <v>-0.17800053634866561</v>
      </c>
      <c r="BN90" s="559">
        <f t="shared" si="327"/>
        <v>-0.65811800492799988</v>
      </c>
      <c r="BO90" s="560">
        <f t="shared" si="327"/>
        <v>-1.3105552890968499</v>
      </c>
      <c r="BP90" s="20"/>
      <c r="BQ90" s="162"/>
      <c r="BR90" s="162"/>
      <c r="BS90" s="162"/>
      <c r="BT90" s="162"/>
      <c r="BU90" s="162"/>
      <c r="BV90" s="162"/>
      <c r="BW90" s="162"/>
      <c r="BX90" s="561">
        <f>+BX89/BX75</f>
        <v>1.2609075043630018</v>
      </c>
      <c r="BY90" s="561">
        <f t="shared" ref="BY90:CA90" si="328">+BY89/BY75</f>
        <v>1.4192679092746463</v>
      </c>
      <c r="BZ90" s="561">
        <f t="shared" si="328"/>
        <v>1.7226209770780274</v>
      </c>
      <c r="CA90" s="561">
        <f t="shared" si="328"/>
        <v>2.0948730234786774</v>
      </c>
      <c r="CB90" s="561">
        <f>+CB89/CB75</f>
        <v>1.8677807815188008</v>
      </c>
      <c r="CC90" s="561">
        <f>+CC89/CC75</f>
        <v>0.87725364287478391</v>
      </c>
      <c r="CD90" s="561">
        <f>+CD89/CD75</f>
        <v>1.1824631498076335</v>
      </c>
      <c r="CE90" s="561">
        <f>+CE89/CE75</f>
        <v>0.33545803397414664</v>
      </c>
      <c r="CF90" s="562">
        <f>+CF89/CF75</f>
        <v>-7.1193832810983171</v>
      </c>
      <c r="CG90" s="297"/>
      <c r="CH90" s="8"/>
      <c r="CO90" s="8"/>
    </row>
    <row r="91" spans="1:93" ht="14.25" customHeight="1">
      <c r="A91" s="8"/>
      <c r="B91" s="342"/>
      <c r="C91" s="21"/>
      <c r="D91" s="155"/>
      <c r="E91" s="155"/>
      <c r="F91" s="155"/>
      <c r="G91" s="161"/>
      <c r="H91" s="528"/>
      <c r="I91" s="155"/>
      <c r="J91" s="155"/>
      <c r="K91" s="161"/>
      <c r="L91" s="528"/>
      <c r="M91" s="155"/>
      <c r="N91" s="155"/>
      <c r="O91" s="161"/>
      <c r="P91" s="528"/>
      <c r="Q91" s="155"/>
      <c r="R91" s="155"/>
      <c r="S91" s="161"/>
      <c r="T91" s="528"/>
      <c r="U91" s="155"/>
      <c r="V91" s="155"/>
      <c r="W91" s="161"/>
      <c r="X91" s="155"/>
      <c r="Y91" s="155"/>
      <c r="Z91" s="155"/>
      <c r="AA91" s="161"/>
      <c r="AB91" s="528"/>
      <c r="AC91" s="155"/>
      <c r="AD91" s="155"/>
      <c r="AE91" s="161"/>
      <c r="AF91" s="528"/>
      <c r="AG91" s="155"/>
      <c r="AH91" s="155"/>
      <c r="AI91" s="161"/>
      <c r="AJ91" s="155"/>
      <c r="AK91" s="155"/>
      <c r="AL91" s="155"/>
      <c r="AM91" s="161"/>
      <c r="AN91" s="155"/>
      <c r="AO91" s="155"/>
      <c r="AP91" s="155"/>
      <c r="AQ91" s="161"/>
      <c r="AR91" s="155"/>
      <c r="AS91" s="155"/>
      <c r="AT91" s="155"/>
      <c r="AU91" s="161"/>
      <c r="AV91" s="155"/>
      <c r="AW91" s="155"/>
      <c r="AX91" s="155"/>
      <c r="AY91" s="161"/>
      <c r="AZ91" s="155"/>
      <c r="BA91" s="155"/>
      <c r="BB91" s="155"/>
      <c r="BC91" s="161"/>
      <c r="BD91" s="155"/>
      <c r="BE91" s="155"/>
      <c r="BF91" s="155"/>
      <c r="BG91" s="161"/>
      <c r="BH91" s="155"/>
      <c r="BI91" s="155"/>
      <c r="BJ91" s="155"/>
      <c r="BK91" s="161"/>
      <c r="BL91" s="155"/>
      <c r="BM91" s="155"/>
      <c r="BN91" s="155"/>
      <c r="BO91" s="161"/>
      <c r="BP91" s="20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3"/>
      <c r="CG91" s="297"/>
      <c r="CH91" s="8"/>
      <c r="CO91" s="8"/>
    </row>
    <row r="92" spans="1:93" ht="14.25" customHeight="1">
      <c r="A92" s="8"/>
      <c r="B92" s="51" t="s">
        <v>38</v>
      </c>
      <c r="C92" s="52"/>
      <c r="D92" s="164">
        <f t="shared" ref="D92:AQ92" si="329">D17-D33</f>
        <v>7196</v>
      </c>
      <c r="E92" s="164">
        <f t="shared" si="329"/>
        <v>6695</v>
      </c>
      <c r="F92" s="164">
        <f t="shared" si="329"/>
        <v>7188</v>
      </c>
      <c r="G92" s="165">
        <f t="shared" si="329"/>
        <v>7336</v>
      </c>
      <c r="H92" s="166">
        <f t="shared" si="329"/>
        <v>5982</v>
      </c>
      <c r="I92" s="164">
        <f t="shared" si="329"/>
        <v>7052</v>
      </c>
      <c r="J92" s="164">
        <f t="shared" si="329"/>
        <v>6235</v>
      </c>
      <c r="K92" s="165">
        <f t="shared" si="329"/>
        <v>5819</v>
      </c>
      <c r="L92" s="166">
        <f t="shared" si="329"/>
        <v>6069</v>
      </c>
      <c r="M92" s="164">
        <f t="shared" si="329"/>
        <v>6265</v>
      </c>
      <c r="N92" s="164">
        <f t="shared" si="329"/>
        <v>6022</v>
      </c>
      <c r="O92" s="165">
        <f t="shared" si="329"/>
        <v>4893</v>
      </c>
      <c r="P92" s="166">
        <f t="shared" si="329"/>
        <v>4127</v>
      </c>
      <c r="Q92" s="164">
        <f t="shared" si="329"/>
        <v>4250</v>
      </c>
      <c r="R92" s="164">
        <f t="shared" si="329"/>
        <v>4474</v>
      </c>
      <c r="S92" s="165">
        <f t="shared" si="329"/>
        <v>4258</v>
      </c>
      <c r="T92" s="166">
        <f t="shared" si="329"/>
        <v>4245</v>
      </c>
      <c r="U92" s="164">
        <f t="shared" si="329"/>
        <v>4272</v>
      </c>
      <c r="V92" s="164">
        <f t="shared" si="329"/>
        <v>4476</v>
      </c>
      <c r="W92" s="165">
        <f t="shared" si="329"/>
        <v>4527</v>
      </c>
      <c r="X92" s="164">
        <f t="shared" si="329"/>
        <v>4604</v>
      </c>
      <c r="Y92" s="164">
        <f t="shared" si="329"/>
        <v>4592</v>
      </c>
      <c r="Z92" s="164">
        <f t="shared" si="329"/>
        <v>4630</v>
      </c>
      <c r="AA92" s="165">
        <f t="shared" si="329"/>
        <v>5079</v>
      </c>
      <c r="AB92" s="166">
        <f t="shared" si="329"/>
        <v>5251</v>
      </c>
      <c r="AC92" s="164">
        <f t="shared" si="329"/>
        <v>9107</v>
      </c>
      <c r="AD92" s="164">
        <f t="shared" si="329"/>
        <v>5634</v>
      </c>
      <c r="AE92" s="165">
        <f t="shared" si="329"/>
        <v>5710</v>
      </c>
      <c r="AF92" s="166">
        <f t="shared" si="329"/>
        <v>5760</v>
      </c>
      <c r="AG92" s="164">
        <f t="shared" si="329"/>
        <v>5532</v>
      </c>
      <c r="AH92" s="164">
        <f t="shared" si="329"/>
        <v>6659</v>
      </c>
      <c r="AI92" s="165">
        <f t="shared" si="329"/>
        <v>6300</v>
      </c>
      <c r="AJ92" s="164">
        <f t="shared" si="329"/>
        <v>6595</v>
      </c>
      <c r="AK92" s="164">
        <f>AK17-AK33</f>
        <v>6236</v>
      </c>
      <c r="AL92" s="164">
        <f>AL17-AL33</f>
        <v>6378</v>
      </c>
      <c r="AM92" s="165">
        <f>AM17-AM33</f>
        <v>6272</v>
      </c>
      <c r="AN92" s="164">
        <f t="shared" si="329"/>
        <v>6889</v>
      </c>
      <c r="AO92" s="164">
        <f t="shared" si="329"/>
        <v>5907</v>
      </c>
      <c r="AP92" s="164">
        <f t="shared" si="329"/>
        <v>6115</v>
      </c>
      <c r="AQ92" s="165">
        <f t="shared" si="329"/>
        <v>6107</v>
      </c>
      <c r="AR92" s="164">
        <f t="shared" ref="AR92:AU92" si="330">AR17-AR33</f>
        <v>6406</v>
      </c>
      <c r="AS92" s="164">
        <f t="shared" si="330"/>
        <v>6617</v>
      </c>
      <c r="AT92" s="164">
        <f t="shared" si="330"/>
        <v>5789</v>
      </c>
      <c r="AU92" s="165">
        <f t="shared" si="330"/>
        <v>5519</v>
      </c>
      <c r="AV92" s="164">
        <f>AV17-AV33</f>
        <v>5488</v>
      </c>
      <c r="AW92" s="164">
        <f>AW17-AW33</f>
        <v>5335</v>
      </c>
      <c r="AX92" s="164">
        <f>AX17-AX33</f>
        <v>5645</v>
      </c>
      <c r="AY92" s="165">
        <f t="shared" ref="AY92" si="331">AY17-AY33</f>
        <v>5824</v>
      </c>
      <c r="AZ92" s="164">
        <f>AZ17-AZ33</f>
        <v>5816</v>
      </c>
      <c r="BA92" s="164">
        <f>BA17-BA33</f>
        <v>6133</v>
      </c>
      <c r="BB92" s="164">
        <f t="shared" ref="BB92:BG92" si="332">BB17-BB33</f>
        <v>6435</v>
      </c>
      <c r="BC92" s="165">
        <f t="shared" si="332"/>
        <v>6976</v>
      </c>
      <c r="BD92" s="164">
        <f t="shared" si="332"/>
        <v>7230</v>
      </c>
      <c r="BE92" s="164">
        <f t="shared" si="332"/>
        <v>7156.1141877876162</v>
      </c>
      <c r="BF92" s="164">
        <f t="shared" si="332"/>
        <v>7184.6907950256045</v>
      </c>
      <c r="BG92" s="165">
        <f t="shared" si="332"/>
        <v>7138.5972035042096</v>
      </c>
      <c r="BH92" s="164">
        <f t="shared" ref="BH92:BK92" si="333">BH17-BH33</f>
        <v>7233.1278251050862</v>
      </c>
      <c r="BI92" s="164">
        <f t="shared" si="333"/>
        <v>7442.6462792166531</v>
      </c>
      <c r="BJ92" s="164">
        <f t="shared" si="333"/>
        <v>7799.4877954485501</v>
      </c>
      <c r="BK92" s="165">
        <f t="shared" si="333"/>
        <v>8042.2032833675285</v>
      </c>
      <c r="BL92" s="164">
        <f t="shared" ref="BL92:BO92" si="334">BL17-BL33</f>
        <v>8230.8170954352045</v>
      </c>
      <c r="BM92" s="164">
        <f t="shared" si="334"/>
        <v>8566.0514751575975</v>
      </c>
      <c r="BN92" s="164">
        <f t="shared" si="334"/>
        <v>9047.4850915993993</v>
      </c>
      <c r="BO92" s="165">
        <f t="shared" si="334"/>
        <v>9393.9435021858153</v>
      </c>
      <c r="BP92" s="20"/>
      <c r="BQ92" s="167">
        <f t="shared" ref="BQ92:CA92" si="335">BQ17-BQ33</f>
        <v>7336</v>
      </c>
      <c r="BR92" s="167">
        <f t="shared" si="335"/>
        <v>5819</v>
      </c>
      <c r="BS92" s="167">
        <f t="shared" si="335"/>
        <v>4893</v>
      </c>
      <c r="BT92" s="167">
        <f t="shared" si="335"/>
        <v>4258</v>
      </c>
      <c r="BU92" s="167">
        <f t="shared" si="335"/>
        <v>4527</v>
      </c>
      <c r="BV92" s="167">
        <f t="shared" si="335"/>
        <v>5079</v>
      </c>
      <c r="BW92" s="167">
        <f t="shared" si="335"/>
        <v>5710</v>
      </c>
      <c r="BX92" s="167">
        <f t="shared" si="335"/>
        <v>6300</v>
      </c>
      <c r="BY92" s="167">
        <f t="shared" si="335"/>
        <v>6272</v>
      </c>
      <c r="BZ92" s="167">
        <f t="shared" si="335"/>
        <v>6107</v>
      </c>
      <c r="CA92" s="167">
        <f t="shared" si="335"/>
        <v>5519</v>
      </c>
      <c r="CB92" s="167">
        <f>CB17-CB33</f>
        <v>5824</v>
      </c>
      <c r="CC92" s="167">
        <f>CC17-CC33</f>
        <v>6976</v>
      </c>
      <c r="CD92" s="167">
        <f>CD17-CD33</f>
        <v>7138.5972035042096</v>
      </c>
      <c r="CE92" s="167">
        <f>CE17-CE33</f>
        <v>8042.2032833675285</v>
      </c>
      <c r="CF92" s="168">
        <f>CF17-CF33</f>
        <v>9393.9435021858153</v>
      </c>
      <c r="CG92" s="297"/>
      <c r="CH92" s="8"/>
      <c r="CO92" s="8"/>
    </row>
    <row r="93" spans="1:93" ht="14.25" customHeight="1">
      <c r="A93" s="8"/>
      <c r="B93" s="14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O93" s="8"/>
    </row>
    <row r="94" spans="1:93" ht="14.25" customHeight="1" outlineLevel="1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O94" s="8"/>
    </row>
    <row r="95" spans="1:93" ht="14.25" customHeight="1" outlineLevel="1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O95" s="8"/>
    </row>
    <row r="96" spans="1:93" ht="14.25" customHeight="1" outlineLevel="1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O96" s="8"/>
    </row>
    <row r="97" spans="1:93" ht="14.25" customHeight="1" outlineLevel="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O97" s="8"/>
    </row>
    <row r="98" spans="1:93" ht="14.25" customHeight="1" outlineLevel="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O98" s="8"/>
    </row>
    <row r="99" spans="1:93" ht="14.25" customHeight="1" outlineLevel="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O99" s="8"/>
    </row>
    <row r="100" spans="1:93" ht="14.25" customHeight="1" outlineLevel="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O100" s="8"/>
    </row>
    <row r="101" spans="1:93" ht="14.25" customHeight="1" outlineLevel="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O101" s="8"/>
    </row>
    <row r="102" spans="1:93" ht="14.25" customHeight="1" outlineLevel="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O102" s="8"/>
    </row>
    <row r="103" spans="1:93" ht="14.25" customHeight="1" outlineLevel="1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O103" s="8"/>
    </row>
    <row r="104" spans="1:93" ht="14.25" customHeight="1" outlineLevel="1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O104" s="8"/>
    </row>
    <row r="105" spans="1:93" ht="14.25" customHeight="1" outlineLevel="1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O105" s="8"/>
    </row>
    <row r="106" spans="1:93" ht="14.25" customHeight="1" outlineLevel="1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O106" s="8"/>
    </row>
    <row r="107" spans="1:93" ht="14.25" customHeight="1" outlineLevel="1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O107" s="8"/>
    </row>
    <row r="108" spans="1:93" ht="14.25" customHeight="1" outlineLevel="1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O108" s="8"/>
    </row>
    <row r="109" spans="1:93" ht="14.25" customHeight="1" outlineLevel="1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O109" s="8"/>
    </row>
    <row r="110" spans="1:93" ht="14.25" customHeight="1" outlineLevel="1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O110" s="8"/>
    </row>
    <row r="111" spans="1:93" ht="14.25" customHeight="1" outlineLevel="1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O111" s="8"/>
    </row>
    <row r="112" spans="1:93" ht="14.25" customHeight="1" outlineLevel="1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O112" s="8"/>
    </row>
    <row r="113" spans="1:93" ht="14.25" customHeight="1" outlineLevel="1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O113" s="8"/>
    </row>
    <row r="114" spans="1:93" ht="14.25" customHeight="1" outlineLevel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</row>
    <row r="115" spans="1:93" ht="14.25" customHeight="1" outlineLevel="1">
      <c r="A115" s="8"/>
      <c r="B115" s="83" t="s">
        <v>178</v>
      </c>
      <c r="C115" s="83"/>
      <c r="D115" s="84" t="e">
        <f>IS!D132</f>
        <v>#NAME?</v>
      </c>
      <c r="E115" s="84" t="e">
        <f>IS!E132</f>
        <v>#NAME?</v>
      </c>
      <c r="F115" s="84" t="e">
        <f>IS!F132</f>
        <v>#NAME?</v>
      </c>
      <c r="G115" s="84" t="e">
        <f>IS!G132</f>
        <v>#NAME?</v>
      </c>
      <c r="H115" s="84" t="e">
        <f>IS!H132</f>
        <v>#NAME?</v>
      </c>
      <c r="I115" s="84" t="e">
        <f>IS!I132</f>
        <v>#NAME?</v>
      </c>
      <c r="J115" s="84" t="e">
        <f>IS!J132</f>
        <v>#NAME?</v>
      </c>
      <c r="K115" s="84" t="e">
        <f>IS!K132</f>
        <v>#NAME?</v>
      </c>
      <c r="L115" s="84" t="e">
        <f>IS!L132</f>
        <v>#NAME?</v>
      </c>
      <c r="M115" s="84" t="e">
        <f>IS!M132</f>
        <v>#NAME?</v>
      </c>
      <c r="N115" s="84" t="e">
        <f>IS!N132</f>
        <v>#NAME?</v>
      </c>
      <c r="O115" s="84" t="e">
        <f>IS!O132</f>
        <v>#NAME?</v>
      </c>
      <c r="P115" s="84" t="e">
        <f>IS!P132</f>
        <v>#NAME?</v>
      </c>
      <c r="Q115" s="84" t="e">
        <f>IS!Q132</f>
        <v>#NAME?</v>
      </c>
      <c r="R115" s="84" t="e">
        <f>IS!R132</f>
        <v>#NAME?</v>
      </c>
      <c r="S115" s="84" t="e">
        <f>IS!S132</f>
        <v>#NAME?</v>
      </c>
      <c r="T115" s="84" t="e">
        <f>IS!T132</f>
        <v>#NAME?</v>
      </c>
      <c r="U115" s="84" t="e">
        <f>IS!U132</f>
        <v>#NAME?</v>
      </c>
      <c r="V115" s="84" t="e">
        <f>IS!V132</f>
        <v>#NAME?</v>
      </c>
      <c r="W115" s="84" t="e">
        <f>IS!W132</f>
        <v>#NAME?</v>
      </c>
      <c r="X115" s="84" t="e">
        <f>IS!X132</f>
        <v>#NAME?</v>
      </c>
      <c r="Y115" s="84" t="e">
        <f>IS!Y132</f>
        <v>#NAME?</v>
      </c>
      <c r="Z115" s="84" t="e">
        <f>IS!Z132</f>
        <v>#NAME?</v>
      </c>
      <c r="AA115" s="84" t="e">
        <f>IS!AA132</f>
        <v>#NAME?</v>
      </c>
      <c r="AB115" s="84" t="e">
        <f>IS!AB132</f>
        <v>#NAME?</v>
      </c>
      <c r="AC115" s="84" t="e">
        <f>IS!AC132</f>
        <v>#NAME?</v>
      </c>
      <c r="AD115" s="84" t="e">
        <f>IS!AD132</f>
        <v>#NAME?</v>
      </c>
      <c r="AE115" s="84" t="e">
        <f>IS!AE132</f>
        <v>#NAME?</v>
      </c>
      <c r="AF115" s="84" t="e">
        <f>IS!AF132</f>
        <v>#NAME?</v>
      </c>
      <c r="AG115" s="84" t="e">
        <f>IS!AG132</f>
        <v>#NAME?</v>
      </c>
      <c r="AH115" s="84" t="e">
        <f>IS!AH132</f>
        <v>#NAME?</v>
      </c>
      <c r="AI115" s="84" t="e">
        <f>IS!AI132</f>
        <v>#NAME?</v>
      </c>
      <c r="AJ115" s="84" t="e">
        <f>IS!AJ132</f>
        <v>#NAME?</v>
      </c>
      <c r="AK115" s="84" t="e">
        <f>IS!AK132</f>
        <v>#NAME?</v>
      </c>
      <c r="AL115" s="84" t="e">
        <f>IS!AL132</f>
        <v>#NAME?</v>
      </c>
      <c r="AM115" s="84" t="e">
        <f>IS!AM132</f>
        <v>#NAME?</v>
      </c>
      <c r="AN115" s="84" t="e">
        <f>IS!AN132</f>
        <v>#NAME?</v>
      </c>
      <c r="AO115" s="84" t="e">
        <f>IS!AO132</f>
        <v>#NAME?</v>
      </c>
      <c r="AP115" s="84" t="e">
        <f>IS!AP132</f>
        <v>#NAME?</v>
      </c>
      <c r="AQ115" s="84" t="e">
        <f>IS!AQ132</f>
        <v>#NAME?</v>
      </c>
      <c r="AR115" s="84" t="e">
        <f>IS!AR132</f>
        <v>#NAME?</v>
      </c>
      <c r="AS115" s="84" t="e">
        <f>IS!AS132</f>
        <v>#NAME?</v>
      </c>
      <c r="AT115" s="84" t="e">
        <f>IS!AT132</f>
        <v>#NAME?</v>
      </c>
      <c r="AU115" s="84" t="e">
        <f>IS!AU132</f>
        <v>#NAME?</v>
      </c>
      <c r="AV115" s="84" t="e">
        <f>IS!AV132</f>
        <v>#NAME?</v>
      </c>
      <c r="AW115" s="84" t="e">
        <f>IS!AW132</f>
        <v>#NAME?</v>
      </c>
      <c r="AX115" s="84" t="str">
        <f>IS!AX132</f>
        <v>A</v>
      </c>
      <c r="AY115" s="84" t="str">
        <f>IS!AY132</f>
        <v>A</v>
      </c>
      <c r="AZ115" s="84" t="e">
        <f>IS!AZ132</f>
        <v>#NAME?</v>
      </c>
      <c r="BA115" s="84" t="e">
        <f>IS!BA132</f>
        <v>#NAME?</v>
      </c>
      <c r="BB115" s="84" t="e">
        <f>IS!BB132</f>
        <v>#NAME?</v>
      </c>
      <c r="BC115" s="84" t="e">
        <f>IS!BC132</f>
        <v>#NAME?</v>
      </c>
      <c r="BD115" s="84" t="e">
        <f>IS!BD132</f>
        <v>#NAME?</v>
      </c>
      <c r="BE115" s="84" t="e">
        <f>IS!BE132</f>
        <v>#NAME?</v>
      </c>
      <c r="BF115" s="84" t="e">
        <f>IS!BF132</f>
        <v>#NAME?</v>
      </c>
      <c r="BG115" s="84" t="e">
        <f>IS!BG132</f>
        <v>#NAME?</v>
      </c>
      <c r="BH115" s="84" t="e">
        <f>IS!BH132</f>
        <v>#NAME?</v>
      </c>
      <c r="BI115" s="84" t="e">
        <f>IS!BI132</f>
        <v>#NAME?</v>
      </c>
      <c r="BJ115" s="84" t="e">
        <f>IS!BJ132</f>
        <v>#NAME?</v>
      </c>
      <c r="BK115" s="84" t="e">
        <f>IS!BK132</f>
        <v>#NAME?</v>
      </c>
      <c r="BL115" s="84" t="e">
        <f>IS!BL132</f>
        <v>#NAME?</v>
      </c>
      <c r="BM115" s="84" t="e">
        <f>IS!BM132</f>
        <v>#NAME?</v>
      </c>
      <c r="BN115" s="84" t="e">
        <f>IS!BN132</f>
        <v>#NAME?</v>
      </c>
      <c r="BO115" s="84" t="e">
        <f>IS!BO132</f>
        <v>#NAME?</v>
      </c>
      <c r="BP115" s="8"/>
      <c r="BQ115" s="84" t="e">
        <f>IS!BQ132</f>
        <v>#NAME?</v>
      </c>
      <c r="BR115" s="84" t="e">
        <f>IS!BR132</f>
        <v>#NAME?</v>
      </c>
      <c r="BS115" s="84" t="e">
        <f>IS!BS132</f>
        <v>#NAME?</v>
      </c>
      <c r="BT115" s="84" t="e">
        <f>IS!BT132</f>
        <v>#NAME?</v>
      </c>
      <c r="BU115" s="84" t="e">
        <f>IS!BU132</f>
        <v>#NAME?</v>
      </c>
      <c r="BV115" s="84" t="e">
        <f>IS!BV132</f>
        <v>#NAME?</v>
      </c>
      <c r="BW115" s="84" t="e">
        <f>IS!BW132</f>
        <v>#NAME?</v>
      </c>
      <c r="BX115" s="84" t="e">
        <f>IS!BX132</f>
        <v>#NAME?</v>
      </c>
      <c r="BY115" s="84" t="e">
        <f>IS!BY132</f>
        <v>#NAME?</v>
      </c>
      <c r="BZ115" s="84" t="e">
        <f>IS!BZ132</f>
        <v>#NAME?</v>
      </c>
      <c r="CA115" s="84" t="e">
        <f>IS!CA132</f>
        <v>#NAME?</v>
      </c>
      <c r="CB115" s="84" t="str">
        <f>IS!CB132</f>
        <v>A</v>
      </c>
      <c r="CC115" s="84" t="e">
        <f>IS!CC132</f>
        <v>#NAME?</v>
      </c>
      <c r="CD115" s="84" t="e">
        <f>IS!CD132</f>
        <v>#NAME?</v>
      </c>
      <c r="CE115" s="84" t="e">
        <f>IS!CE132</f>
        <v>#NAME?</v>
      </c>
      <c r="CF115" s="84" t="e">
        <f>IS!CF132</f>
        <v>#NAME?</v>
      </c>
      <c r="CG115" s="8"/>
      <c r="CH115" s="8"/>
      <c r="CO115" s="8"/>
    </row>
    <row r="116" spans="1:93" ht="14.25" customHeight="1" outlineLevel="1">
      <c r="A116" s="8"/>
      <c r="B116" s="54" t="s">
        <v>223</v>
      </c>
      <c r="C116" s="54"/>
      <c r="D116" s="169" t="s">
        <v>224</v>
      </c>
      <c r="E116" s="169" t="s">
        <v>224</v>
      </c>
      <c r="F116" s="169" t="s">
        <v>224</v>
      </c>
      <c r="G116" s="169" t="s">
        <v>224</v>
      </c>
      <c r="H116" s="169" t="s">
        <v>224</v>
      </c>
      <c r="I116" s="169" t="s">
        <v>224</v>
      </c>
      <c r="J116" s="169" t="s">
        <v>224</v>
      </c>
      <c r="K116" s="169" t="s">
        <v>224</v>
      </c>
      <c r="L116" s="169" t="s">
        <v>224</v>
      </c>
      <c r="M116" s="169" t="s">
        <v>224</v>
      </c>
      <c r="N116" s="169" t="s">
        <v>224</v>
      </c>
      <c r="O116" s="169" t="s">
        <v>224</v>
      </c>
      <c r="P116" s="169" t="s">
        <v>224</v>
      </c>
      <c r="Q116" s="169" t="s">
        <v>224</v>
      </c>
      <c r="R116" s="169" t="s">
        <v>224</v>
      </c>
      <c r="S116" s="169" t="s">
        <v>224</v>
      </c>
      <c r="T116" s="169" t="s">
        <v>224</v>
      </c>
      <c r="U116" s="169" t="s">
        <v>224</v>
      </c>
      <c r="V116" s="169" t="s">
        <v>224</v>
      </c>
      <c r="W116" s="169" t="s">
        <v>224</v>
      </c>
      <c r="X116" s="169" t="s">
        <v>224</v>
      </c>
      <c r="Y116" s="169" t="s">
        <v>224</v>
      </c>
      <c r="Z116" s="169" t="s">
        <v>224</v>
      </c>
      <c r="AA116" s="169" t="s">
        <v>224</v>
      </c>
      <c r="AB116" s="169" t="s">
        <v>224</v>
      </c>
      <c r="AC116" s="169" t="s">
        <v>224</v>
      </c>
      <c r="AD116" s="169" t="s">
        <v>224</v>
      </c>
      <c r="AE116" s="169" t="s">
        <v>224</v>
      </c>
      <c r="AF116" s="169" t="s">
        <v>224</v>
      </c>
      <c r="AG116" s="169" t="s">
        <v>224</v>
      </c>
      <c r="AH116" s="169" t="s">
        <v>224</v>
      </c>
      <c r="AI116" s="169" t="s">
        <v>224</v>
      </c>
      <c r="AJ116" s="169" t="s">
        <v>224</v>
      </c>
      <c r="AK116" s="169" t="s">
        <v>224</v>
      </c>
      <c r="AL116" s="169" t="s">
        <v>224</v>
      </c>
      <c r="AM116" s="169" t="s">
        <v>224</v>
      </c>
      <c r="AN116" s="169" t="s">
        <v>224</v>
      </c>
      <c r="AO116" s="169" t="s">
        <v>224</v>
      </c>
      <c r="AP116" s="169" t="s">
        <v>224</v>
      </c>
      <c r="AQ116" s="169" t="s">
        <v>224</v>
      </c>
      <c r="AR116" s="169" t="s">
        <v>224</v>
      </c>
      <c r="AS116" s="169" t="s">
        <v>224</v>
      </c>
      <c r="AT116" s="169" t="s">
        <v>224</v>
      </c>
      <c r="AU116" s="169" t="s">
        <v>224</v>
      </c>
      <c r="AV116" s="169" t="s">
        <v>224</v>
      </c>
      <c r="AW116" s="169" t="s">
        <v>224</v>
      </c>
      <c r="AX116" s="169" t="s">
        <v>224</v>
      </c>
      <c r="AY116" s="169" t="s">
        <v>224</v>
      </c>
      <c r="AZ116" s="169" t="s">
        <v>224</v>
      </c>
      <c r="BA116" s="169" t="s">
        <v>224</v>
      </c>
      <c r="BB116" s="169" t="s">
        <v>224</v>
      </c>
      <c r="BC116" s="169" t="s">
        <v>224</v>
      </c>
      <c r="BD116" s="169" t="s">
        <v>224</v>
      </c>
      <c r="BE116" s="169" t="s">
        <v>224</v>
      </c>
      <c r="BF116" s="169" t="s">
        <v>224</v>
      </c>
      <c r="BG116" s="169" t="s">
        <v>224</v>
      </c>
      <c r="BH116" s="169" t="s">
        <v>224</v>
      </c>
      <c r="BI116" s="169" t="s">
        <v>224</v>
      </c>
      <c r="BJ116" s="169" t="s">
        <v>224</v>
      </c>
      <c r="BK116" s="169" t="s">
        <v>224</v>
      </c>
      <c r="BL116" s="169" t="s">
        <v>224</v>
      </c>
      <c r="BM116" s="169" t="s">
        <v>224</v>
      </c>
      <c r="BN116" s="169" t="s">
        <v>224</v>
      </c>
      <c r="BO116" s="169" t="s">
        <v>224</v>
      </c>
      <c r="BP116" s="8"/>
      <c r="BQ116" s="169" t="s">
        <v>224</v>
      </c>
      <c r="BR116" s="169" t="s">
        <v>224</v>
      </c>
      <c r="BS116" s="169" t="s">
        <v>224</v>
      </c>
      <c r="BT116" s="169" t="s">
        <v>224</v>
      </c>
      <c r="BU116" s="169" t="s">
        <v>224</v>
      </c>
      <c r="BV116" s="169" t="s">
        <v>224</v>
      </c>
      <c r="BW116" s="169" t="s">
        <v>224</v>
      </c>
      <c r="BX116" s="169" t="s">
        <v>224</v>
      </c>
      <c r="BY116" s="169" t="s">
        <v>224</v>
      </c>
      <c r="BZ116" s="169" t="s">
        <v>224</v>
      </c>
      <c r="CA116" s="169" t="s">
        <v>224</v>
      </c>
      <c r="CB116" s="169" t="s">
        <v>224</v>
      </c>
      <c r="CC116" s="169" t="s">
        <v>224</v>
      </c>
      <c r="CD116" s="169" t="s">
        <v>224</v>
      </c>
      <c r="CE116" s="169" t="s">
        <v>224</v>
      </c>
      <c r="CF116" s="169" t="s">
        <v>224</v>
      </c>
      <c r="CG116" s="8"/>
      <c r="CH116" s="8"/>
      <c r="CO116" s="8"/>
    </row>
    <row r="117" spans="1:93" ht="14.25" customHeight="1" outlineLevel="1">
      <c r="A117" s="8"/>
      <c r="B117" s="54" t="s">
        <v>225</v>
      </c>
      <c r="C117" s="54"/>
      <c r="D117" s="170">
        <f>D62-C62+D65-+C65+D66-C66-IS!D79</f>
        <v>11727</v>
      </c>
      <c r="E117" s="170">
        <f>E62-D62+E65-+D65+E66-D66-IS!E79</f>
        <v>-1043</v>
      </c>
      <c r="F117" s="170">
        <f>F62-E62+F65-+E65+F66-E66-IS!F79</f>
        <v>-187</v>
      </c>
      <c r="G117" s="170">
        <f>G62-F62+G65-+F65+G66-F66-IS!G79</f>
        <v>-651</v>
      </c>
      <c r="H117" s="170">
        <f>H62-G62+H65-+G65+H66-G66-IS!H79</f>
        <v>-1240</v>
      </c>
      <c r="I117" s="170">
        <f>I62-H62+I65-+H65+I66-H66-IS!I79</f>
        <v>818</v>
      </c>
      <c r="J117" s="170">
        <f>J62-I62+J65-+I65+J66-I66-IS!J79</f>
        <v>-1491</v>
      </c>
      <c r="K117" s="170">
        <f>K62-J62+K65-+J65+K66-J66-IS!K79</f>
        <v>-1021</v>
      </c>
      <c r="L117" s="170">
        <f>L62-K62+L65-+K65+L66-K66-IS!L79</f>
        <v>-601</v>
      </c>
      <c r="M117" s="170">
        <f>M62-L62+M65-+L65+M66-L66-IS!M79</f>
        <v>-474</v>
      </c>
      <c r="N117" s="170">
        <f>N62-M62+N65-+M65+N66-M66-IS!N79</f>
        <v>-1115</v>
      </c>
      <c r="O117" s="170">
        <f>O62-N62+O65-+N65+O66-N66-IS!O79</f>
        <v>-1875</v>
      </c>
      <c r="P117" s="170">
        <f>P62-O62+P65-+O65+P66-O66-IS!P79</f>
        <v>-753</v>
      </c>
      <c r="Q117" s="170">
        <f>Q62-P62+Q65-+P65+Q66-P66-IS!Q79</f>
        <v>-481</v>
      </c>
      <c r="R117" s="170">
        <f>R62-Q62+R65-+Q65+R66-Q66-IS!R79</f>
        <v>-442</v>
      </c>
      <c r="S117" s="170">
        <f>S62-R62+S65-+R65+S66-R66-IS!S79</f>
        <v>-427</v>
      </c>
      <c r="T117" s="170">
        <f>T62-S62+T65-+S65+T66-S66-IS!T79</f>
        <v>-182</v>
      </c>
      <c r="U117" s="170">
        <f>U62-T62+U65-+T65+U66-T66-IS!U79</f>
        <v>-324</v>
      </c>
      <c r="V117" s="170">
        <f>V62-U62+V65-+U65+V66-U66-IS!V79</f>
        <v>-309</v>
      </c>
      <c r="W117" s="170">
        <f>W62-V62+W65-+V65+W66-V66-IS!W79</f>
        <v>-428</v>
      </c>
      <c r="X117" s="170">
        <f>X62-W62+X65-+W65+X66-W66-IS!X79</f>
        <v>-569</v>
      </c>
      <c r="Y117" s="170">
        <f>Y62-X62+Y65-+X65+Y66-X66-IS!Y79</f>
        <v>-792</v>
      </c>
      <c r="Z117" s="170">
        <f>Z62-Y62+Z65-+Y65+Z66-Y66-IS!Z79</f>
        <v>-662</v>
      </c>
      <c r="AA117" s="170">
        <f>AA62-Z62+AA65-+Z65+AA66-Z66-IS!AA79</f>
        <v>-410</v>
      </c>
      <c r="AB117" s="170">
        <f>AB62-AA62+AB65-+AA65+AB66-AA66-IS!AB79</f>
        <v>-528</v>
      </c>
      <c r="AC117" s="170">
        <f>AC62-AB62+AC65-+AB65+AC66-AB66-IS!AC79</f>
        <v>-359</v>
      </c>
      <c r="AD117" s="170">
        <f>AD62-AC62+AD65-+AC65+AD66-AC66-IS!AD79</f>
        <v>-474</v>
      </c>
      <c r="AE117" s="170">
        <f>AE62-AD62+AE65-+AD65+AE66-AD66-IS!AE79</f>
        <v>-286</v>
      </c>
      <c r="AF117" s="170">
        <f>AF62-AE62+AF65-+AE65+AF66-AE66-IS!AF79</f>
        <v>-180</v>
      </c>
      <c r="AG117" s="170">
        <f>AG62-AF62+AG65-+AF65+AG66-AF66-IS!AG79</f>
        <v>-360</v>
      </c>
      <c r="AH117" s="170">
        <f>AH62-AG62+AH65-+AG65+AH66-AG66-IS!AH79</f>
        <v>-663</v>
      </c>
      <c r="AI117" s="170">
        <f>AI62-AH62+AI65-+AH65+AI66-AH66-IS!AI79</f>
        <v>-624</v>
      </c>
      <c r="AJ117" s="170">
        <f>AJ62-AI62+AJ65-+AI65+AJ66-AI66-IS!AJ79</f>
        <v>-420</v>
      </c>
      <c r="AK117" s="170">
        <f>AK62-AJ62+AK65-+AJ65+AK66-AJ66-IS!AK79</f>
        <v>-604</v>
      </c>
      <c r="AL117" s="170">
        <f>AL62-AK62+AL65-+AK65+AL66-AK66-IS!AL79</f>
        <v>-664</v>
      </c>
      <c r="AM117" s="170">
        <f>AM62-AL62+AM65-+AL65+AM66-AL66-IS!AM79</f>
        <v>-799</v>
      </c>
      <c r="AN117" s="170">
        <f>AN62-AM62+AN65-+AM65+AN66-AM66-IS!AN79</f>
        <v>-682</v>
      </c>
      <c r="AO117" s="170">
        <f>AO62-AN62+AO65-+AN65+AO66-AN66-IS!AO79</f>
        <v>-845</v>
      </c>
      <c r="AP117" s="170">
        <f>AP62-AO62+AP65-+AO65+AP66-AO66-IS!AP79</f>
        <v>-865</v>
      </c>
      <c r="AQ117" s="170">
        <f>AQ62-AP62+AQ65-+AP65+AQ66-AP66-IS!AQ79</f>
        <v>-842</v>
      </c>
      <c r="AR117" s="170">
        <f>AR62-AQ62+AR65-+AQ65+AR66-AQ66-IS!AR79</f>
        <v>-678</v>
      </c>
      <c r="AS117" s="170">
        <f>AS62-AR62+AS65-+AR65+AS66-AR66-IS!AS79</f>
        <v>-877</v>
      </c>
      <c r="AT117" s="170">
        <f>AT62-AS62+AT65-+AS65+AT66-AS66-IS!AT79</f>
        <v>-1034</v>
      </c>
      <c r="AU117" s="170">
        <f>AU62-AT62+AU65-+AT65+AU66-AT66-IS!AU79</f>
        <v>-841</v>
      </c>
      <c r="AV117" s="170">
        <f>AV62-AU62+AV65-+AU65+AV66-AU66-IS!AV79</f>
        <v>-876</v>
      </c>
      <c r="AW117" s="170">
        <f>AW62-AV62+AW65-+AV65+AW66-AV66-IS!AW79</f>
        <v>-634</v>
      </c>
      <c r="AX117" s="170">
        <f>AX62-AW62+AX65-+AW65+AX66-AW66-IS!AX79</f>
        <v>-688</v>
      </c>
      <c r="AY117" s="170">
        <f>AY62-AX62+AY65-+AX65+AY66-AX66-IS!AY79</f>
        <v>-876</v>
      </c>
      <c r="AZ117" s="170">
        <f>AZ62-AY62+AZ65-+AY65+AZ66-AY66-IS!AZ79</f>
        <v>-830</v>
      </c>
      <c r="BA117" s="170">
        <f>BA62-AZ62+BA65-+AZ65+BA66-AZ66-IS!BA79</f>
        <v>-994</v>
      </c>
      <c r="BB117" s="170">
        <f>BB62-BA62+BB65-+BA65+BB66-BA66-IS!BB79</f>
        <v>-1020</v>
      </c>
      <c r="BC117" s="170">
        <f>BC62-BB62+BC65-+BB65+BC66-BB66-IS!BC79</f>
        <v>-1116</v>
      </c>
      <c r="BD117" s="170">
        <f>BD62-BC62+BD65-+BC65+BD66-BC66-IS!BD79</f>
        <v>-1053</v>
      </c>
      <c r="BE117" s="170">
        <f>BE62-BD62+BE65-+BD65+BE66-BD66-IS!BE79</f>
        <v>-773.00000000000227</v>
      </c>
      <c r="BF117" s="170">
        <f>BF62-BE62+BF65-+BE65+BF66-BE66-IS!BF79</f>
        <v>-773.00000000000136</v>
      </c>
      <c r="BG117" s="170">
        <f>BG62-BF62+BG65-+BF65+BG66-BF66-IS!BG79</f>
        <v>-772.99999999999704</v>
      </c>
      <c r="BH117" s="170">
        <f>BH62-BG62+BH65-+BG65+BH66-BG66-IS!BH79</f>
        <v>-772.99999999999727</v>
      </c>
      <c r="BI117" s="170">
        <f>BI62-BH62+BI65-+BH65+BI66-BH66-IS!BI79</f>
        <v>-773.00000000000205</v>
      </c>
      <c r="BJ117" s="170">
        <f>BJ62-BI62+BJ65-+BI65+BJ66-BI66-IS!BJ79</f>
        <v>-772.99999999999955</v>
      </c>
      <c r="BK117" s="170">
        <f>BK62-BJ62+BK65-+BJ65+BK66-BJ66-IS!BK79</f>
        <v>-772.99999999999773</v>
      </c>
      <c r="BL117" s="170">
        <f>BL62-BK62+BL65-+BK65+BL66-BK66-IS!BL79</f>
        <v>-773.00000000000182</v>
      </c>
      <c r="BM117" s="170">
        <f>BM62-BL62+BM65-+BL65+BM66-BL66-IS!BM79</f>
        <v>-772.99999999999977</v>
      </c>
      <c r="BN117" s="170">
        <f>BN62-BM62+BN65-+BM65+BN66-BM66-IS!BN79</f>
        <v>-773.00000000000045</v>
      </c>
      <c r="BO117" s="170">
        <f>BO62-BN62+BO65-+BN65+BO66-BN66-IS!BO79</f>
        <v>-772.99999999999909</v>
      </c>
      <c r="BP117" s="8"/>
      <c r="BQ117" s="171">
        <f>BQ62-BP62+BQ65-+BP65+BQ66-BP66-IS!BQ79</f>
        <v>9846</v>
      </c>
      <c r="BR117" s="171">
        <f>BR62-BQ62+BR65-+BQ65+BR66-BQ66-IS!BR79</f>
        <v>-2934</v>
      </c>
      <c r="BS117" s="171">
        <f>BS62-BR62+BS65-+BR65+BS66-BR66-IS!BS79</f>
        <v>-4065</v>
      </c>
      <c r="BT117" s="171">
        <f>BT62-BS62+BT65-+BS65+BT66-BS66-IS!BT79</f>
        <v>-2103</v>
      </c>
      <c r="BU117" s="171">
        <f>BU62-BT62+BU65-+BT65+BU66-BT66-IS!BU79</f>
        <v>-1243</v>
      </c>
      <c r="BV117" s="171">
        <f>BV62-BU62+BV65-+BU65+BV66-BU66-IS!BV79</f>
        <v>-2433</v>
      </c>
      <c r="BW117" s="171">
        <f>BW62-BV62+BW65-+BV65+BW66-BV66-IS!BW79</f>
        <v>-1647</v>
      </c>
      <c r="BX117" s="171">
        <f>BX62-BW62+BX65-+BW65+BX66-BW66-IS!BX79</f>
        <v>-1827</v>
      </c>
      <c r="BY117" s="171">
        <f>BY62-BX62+BY65-+BX65+BY66-BX66-IS!BY79</f>
        <v>-2487</v>
      </c>
      <c r="BZ117" s="171">
        <f>BZ62-BY62+BZ65-+BY65+BZ66-BY66-IS!BZ79</f>
        <v>-3234</v>
      </c>
      <c r="CA117" s="171">
        <f>CA62-BZ62+CA65-+BZ65+CA66-BZ66-IS!CA79</f>
        <v>-3430</v>
      </c>
      <c r="CB117" s="171">
        <f>CB62-CA62+CB65-+CA65+CB66-CA66-IS!CB79</f>
        <v>-3074</v>
      </c>
      <c r="CC117" s="171">
        <f>CC62-CB62+CC65-+CB65+CC66-CB66-IS!CC79</f>
        <v>-3960</v>
      </c>
      <c r="CD117" s="171">
        <f>CD62-CC62+CD65-+CC65+CD66-CC66-IS!CD79</f>
        <v>-3372.0000000000018</v>
      </c>
      <c r="CE117" s="171">
        <f>CE62-CD62+CE65-+CD65+CE66-CD66-IS!CE79</f>
        <v>-3091.9999999999945</v>
      </c>
      <c r="CF117" s="171">
        <f>CF62-CE62+CF65-+CE65+CF66-CE66-IS!CF79</f>
        <v>-3092.0000000000018</v>
      </c>
      <c r="CG117" s="8"/>
      <c r="CH117" s="8"/>
      <c r="CO117" s="8"/>
    </row>
    <row r="118" spans="1:93" ht="14.25" customHeight="1" outlineLevel="1">
      <c r="A118" s="1"/>
      <c r="B118" s="172"/>
      <c r="C118" s="172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O118" s="1"/>
    </row>
    <row r="119" spans="1:93" ht="14.25" customHeight="1">
      <c r="A119" s="1"/>
      <c r="B119" s="172"/>
      <c r="C119" s="172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O119" s="1"/>
    </row>
    <row r="120" spans="1:93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O120" s="1"/>
    </row>
    <row r="121" spans="1:93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O121" s="1"/>
    </row>
  </sheetData>
  <phoneticPr fontId="22" type="noConversion"/>
  <conditionalFormatting sqref="B6">
    <cfRule type="cellIs" dxfId="19" priority="1" stopIfTrue="1" operator="equal">
      <formula>"Bear Case"</formula>
    </cfRule>
    <cfRule type="cellIs" dxfId="18" priority="2" stopIfTrue="1" operator="equal">
      <formula>"Bull Case"</formula>
    </cfRule>
    <cfRule type="cellIs" dxfId="17" priority="3" stopIfTrue="1" operator="equal">
      <formula>"Base Case"</formula>
    </cfRule>
  </conditionalFormatting>
  <pageMargins left="0" right="0" top="0" bottom="0" header="0" footer="0"/>
  <pageSetup paperSize="5" scale="96" orientation="landscape" r:id="rId1"/>
  <headerFooter alignWithMargins="0"/>
  <rowBreaks count="1" manualBreakCount="1">
    <brk id="41" max="16383" man="1"/>
  </rowBreaks>
  <colBreaks count="1" manualBreakCount="1">
    <brk id="77" max="1048575" man="1"/>
  </colBreaks>
  <ignoredErrors>
    <ignoredError sqref="AC56:AC57 AC26:AD28 AG55:AG57 AJ26:AJ28 AJ55:AJ57 BP22:BZ22 BP48:BT49 AH27:AH28 AD55:AD57 BP51:BT51 BP50:BZ50 CH50:CH58 AD62 AG26:AG28 AL26:AL28 AG62:AH63 AD52:AD53 BP52:BP60 CA60 AP26:AQ28 AJ62:AJ63 AL60 AJ48 AL62:AL63 AL55:AM57 AN55:AQ57 AN48 BP25:BZ29 BP19:BZ19 BP61:BZ65 BQ52:BZ53 BU48:BZ48 BQ55:BZ60 CA55:CA58 CA62:CA64 CH62:CH64 CH59:CH61 CH65 AP62:AQ63 AN50:AN53 AJ50:AJ53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CP178"/>
  <sheetViews>
    <sheetView showGridLines="0" zoomScale="85" zoomScaleNormal="85" workbookViewId="0">
      <pane xSplit="3" ySplit="9" topLeftCell="AV10" activePane="bottomRight" state="frozen"/>
      <selection activeCell="AZ133" activeCellId="1" sqref="AZ131:BC131 AZ133:BC133"/>
      <selection pane="topRight" activeCell="AZ133" activeCellId="1" sqref="AZ131:BC131 AZ133:BC133"/>
      <selection pane="bottomLeft" activeCell="AZ133" activeCellId="1" sqref="AZ131:BC131 AZ133:BC133"/>
      <selection pane="bottomRight" activeCell="BD8" sqref="A1:XFD1048576"/>
    </sheetView>
  </sheetViews>
  <sheetFormatPr defaultRowHeight="14.25" customHeight="1" outlineLevelRow="1" outlineLevelCol="1"/>
  <cols>
    <col min="1" max="1" width="1.7109375" style="283" customWidth="1"/>
    <col min="2" max="2" width="56" style="283" customWidth="1"/>
    <col min="3" max="3" width="1.7109375" style="283" customWidth="1"/>
    <col min="4" max="22" width="11.42578125" style="283" hidden="1" customWidth="1" outlineLevel="1"/>
    <col min="23" max="23" width="11.42578125" style="283" hidden="1" customWidth="1" outlineLevel="1" collapsed="1"/>
    <col min="24" max="27" width="11.42578125" style="283" hidden="1" customWidth="1" outlineLevel="1"/>
    <col min="28" max="28" width="11.42578125" style="283" hidden="1" customWidth="1" outlineLevel="1" collapsed="1"/>
    <col min="29" max="31" width="11.42578125" style="283" hidden="1" customWidth="1" outlineLevel="1"/>
    <col min="32" max="32" width="11.42578125" style="283" hidden="1" customWidth="1" outlineLevel="1" collapsed="1"/>
    <col min="33" max="51" width="11.42578125" style="283" hidden="1" customWidth="1" outlineLevel="1"/>
    <col min="52" max="52" width="11.42578125" style="283" customWidth="1" collapsed="1"/>
    <col min="53" max="63" width="11.42578125" style="283" customWidth="1"/>
    <col min="64" max="67" width="11.42578125" style="283" hidden="1" customWidth="1" outlineLevel="1"/>
    <col min="68" max="68" width="2.7109375" style="283" customWidth="1" collapsed="1"/>
    <col min="69" max="74" width="11.42578125" style="283" hidden="1" customWidth="1" outlineLevel="1"/>
    <col min="75" max="75" width="11.42578125" style="283" hidden="1" customWidth="1" collapsed="1"/>
    <col min="76" max="80" width="11.42578125" style="283" customWidth="1" outlineLevel="1"/>
    <col min="81" max="83" width="11.42578125" style="283" customWidth="1"/>
    <col min="84" max="84" width="11.42578125" style="283" hidden="1" customWidth="1" outlineLevel="1"/>
    <col min="85" max="85" width="10" style="283" bestFit="1" customWidth="1" collapsed="1"/>
    <col min="86" max="86" width="9.140625" hidden="1" customWidth="1" outlineLevel="1"/>
    <col min="87" max="92" width="12.5703125" hidden="1" customWidth="1" outlineLevel="1"/>
    <col min="93" max="93" width="9.140625" hidden="1" customWidth="1" outlineLevel="1"/>
    <col min="94" max="94" width="9.140625" collapsed="1"/>
  </cols>
  <sheetData>
    <row r="1" spans="1:86" ht="67.5" customHeight="1">
      <c r="A1" s="1"/>
      <c r="B1" s="298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2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1"/>
      <c r="AU1" s="1"/>
      <c r="AV1" s="2"/>
      <c r="AW1" s="1"/>
      <c r="AX1" s="2"/>
      <c r="AY1" s="1"/>
      <c r="AZ1" s="2"/>
      <c r="BA1" s="1"/>
      <c r="BB1" s="2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2"/>
      <c r="BQ1" s="2"/>
      <c r="BR1" s="1"/>
      <c r="BS1" s="2"/>
      <c r="BT1" s="1"/>
      <c r="BU1" s="2"/>
      <c r="BV1" s="1"/>
      <c r="BW1" s="2"/>
      <c r="BX1" s="1"/>
      <c r="BY1" s="2"/>
      <c r="BZ1" s="2"/>
      <c r="CA1" s="2"/>
      <c r="CB1" s="2"/>
      <c r="CC1" s="2"/>
      <c r="CD1" s="2"/>
      <c r="CE1" s="2"/>
      <c r="CF1" s="2"/>
      <c r="CG1" s="1"/>
      <c r="CH1" s="1"/>
    </row>
    <row r="2" spans="1:86" ht="18" customHeight="1">
      <c r="A2" s="1"/>
      <c r="B2" s="4" t="s">
        <v>305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</row>
    <row r="3" spans="1:86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</row>
    <row r="4" spans="1:86" ht="14.25" customHeight="1">
      <c r="A4" s="1"/>
      <c r="B4" s="1"/>
      <c r="C4" s="1"/>
      <c r="D4" s="1"/>
      <c r="E4" s="1"/>
      <c r="F4" s="1"/>
      <c r="G4" s="174"/>
      <c r="H4" s="1"/>
      <c r="I4" s="1"/>
      <c r="J4" s="1"/>
      <c r="K4" s="174"/>
      <c r="L4" s="1"/>
      <c r="M4" s="1"/>
      <c r="N4" s="1"/>
      <c r="O4" s="174"/>
      <c r="P4" s="1"/>
      <c r="Q4" s="1"/>
      <c r="R4" s="1"/>
      <c r="S4" s="174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</row>
    <row r="5" spans="1:86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</row>
    <row r="6" spans="1:86" ht="14.25" customHeight="1">
      <c r="A6" s="1"/>
      <c r="B6" s="307" t="str">
        <f>IS!$B$3</f>
        <v>Base Case</v>
      </c>
      <c r="C6" s="7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563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</row>
    <row r="7" spans="1:86" ht="14.25" customHeight="1">
      <c r="A7" s="8"/>
      <c r="B7" s="9" t="s">
        <v>866</v>
      </c>
      <c r="C7" s="10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564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149"/>
      <c r="CH7" s="5"/>
    </row>
    <row r="8" spans="1:86" ht="14.25" customHeight="1">
      <c r="A8" s="8"/>
      <c r="B8" s="284" t="s">
        <v>89</v>
      </c>
      <c r="C8" s="13"/>
      <c r="D8" s="291">
        <f>BS!D8</f>
        <v>38442</v>
      </c>
      <c r="E8" s="292">
        <f>BS!E8</f>
        <v>38533</v>
      </c>
      <c r="F8" s="292">
        <f>BS!F8</f>
        <v>38625</v>
      </c>
      <c r="G8" s="293">
        <f>BS!G8</f>
        <v>38717</v>
      </c>
      <c r="H8" s="291">
        <f>BS!H8</f>
        <v>38807</v>
      </c>
      <c r="I8" s="292">
        <f>BS!I8</f>
        <v>38898</v>
      </c>
      <c r="J8" s="292">
        <f>BS!J8</f>
        <v>38990</v>
      </c>
      <c r="K8" s="293">
        <f>BS!K8</f>
        <v>39082</v>
      </c>
      <c r="L8" s="291">
        <f>BS!L8</f>
        <v>39172</v>
      </c>
      <c r="M8" s="292">
        <f>BS!M8</f>
        <v>39263</v>
      </c>
      <c r="N8" s="292">
        <f>BS!N8</f>
        <v>39355</v>
      </c>
      <c r="O8" s="293">
        <f>BS!O8</f>
        <v>39447</v>
      </c>
      <c r="P8" s="291">
        <f>BS!P8</f>
        <v>39538</v>
      </c>
      <c r="Q8" s="292">
        <f>BS!Q8</f>
        <v>39629</v>
      </c>
      <c r="R8" s="292">
        <f>BS!R8</f>
        <v>39721</v>
      </c>
      <c r="S8" s="293">
        <f>BS!S8</f>
        <v>39813</v>
      </c>
      <c r="T8" s="291">
        <f>BS!T8</f>
        <v>39903</v>
      </c>
      <c r="U8" s="292">
        <f>BS!U8</f>
        <v>39994</v>
      </c>
      <c r="V8" s="292">
        <f>BS!V8</f>
        <v>40086</v>
      </c>
      <c r="W8" s="293">
        <f>BS!W8</f>
        <v>40178</v>
      </c>
      <c r="X8" s="291">
        <f>BS!X8</f>
        <v>40268</v>
      </c>
      <c r="Y8" s="292">
        <f>BS!Y8</f>
        <v>40359</v>
      </c>
      <c r="Z8" s="292">
        <f>BS!Z8</f>
        <v>40451</v>
      </c>
      <c r="AA8" s="293">
        <f>BS!AA8</f>
        <v>40543</v>
      </c>
      <c r="AB8" s="291">
        <f>BS!AB8</f>
        <v>40633</v>
      </c>
      <c r="AC8" s="292">
        <f>BS!AC8</f>
        <v>40724</v>
      </c>
      <c r="AD8" s="292">
        <f>BS!AD8</f>
        <v>40816</v>
      </c>
      <c r="AE8" s="293">
        <f>BS!AE8</f>
        <v>40908</v>
      </c>
      <c r="AF8" s="291">
        <f>BS!AF8</f>
        <v>40999</v>
      </c>
      <c r="AG8" s="292">
        <f>BS!AG8</f>
        <v>41090</v>
      </c>
      <c r="AH8" s="292">
        <f>BS!AH8</f>
        <v>41182</v>
      </c>
      <c r="AI8" s="293">
        <f>BS!AI8</f>
        <v>41274</v>
      </c>
      <c r="AJ8" s="291">
        <f>BS!AJ8</f>
        <v>41364</v>
      </c>
      <c r="AK8" s="292">
        <f>BS!AK8</f>
        <v>41455</v>
      </c>
      <c r="AL8" s="292">
        <f>BS!AL8</f>
        <v>41547</v>
      </c>
      <c r="AM8" s="293">
        <f>BS!AM8</f>
        <v>41639</v>
      </c>
      <c r="AN8" s="291">
        <f>BS!AN8</f>
        <v>41729</v>
      </c>
      <c r="AO8" s="292">
        <f>BS!AO8</f>
        <v>41820</v>
      </c>
      <c r="AP8" s="292">
        <f>BS!AP8</f>
        <v>41912</v>
      </c>
      <c r="AQ8" s="293">
        <f>BS!AQ8</f>
        <v>42004</v>
      </c>
      <c r="AR8" s="291">
        <f>BS!AR8</f>
        <v>42094</v>
      </c>
      <c r="AS8" s="292">
        <f>BS!AS8</f>
        <v>42185</v>
      </c>
      <c r="AT8" s="292">
        <f>BS!AT8</f>
        <v>42277</v>
      </c>
      <c r="AU8" s="293">
        <f>BS!AU8</f>
        <v>42369</v>
      </c>
      <c r="AV8" s="291">
        <f>BS!AV8</f>
        <v>42460</v>
      </c>
      <c r="AW8" s="292">
        <f>BS!AW8</f>
        <v>42551</v>
      </c>
      <c r="AX8" s="292">
        <f>BS!AX8</f>
        <v>42643</v>
      </c>
      <c r="AY8" s="293">
        <f>BS!AY8</f>
        <v>42735</v>
      </c>
      <c r="AZ8" s="291">
        <f>BS!AZ8</f>
        <v>42825</v>
      </c>
      <c r="BA8" s="292">
        <f>BS!BA8</f>
        <v>42916</v>
      </c>
      <c r="BB8" s="292">
        <f>BS!BB8</f>
        <v>43008</v>
      </c>
      <c r="BC8" s="293">
        <f>BS!BC8</f>
        <v>43100</v>
      </c>
      <c r="BD8" s="291">
        <f>BS!BD8</f>
        <v>43190</v>
      </c>
      <c r="BE8" s="292">
        <f>BS!BE8</f>
        <v>43281</v>
      </c>
      <c r="BF8" s="292">
        <f>BS!BF8</f>
        <v>43373</v>
      </c>
      <c r="BG8" s="293">
        <f>BS!BG8</f>
        <v>43465</v>
      </c>
      <c r="BH8" s="291">
        <f>BS!BH8</f>
        <v>43555</v>
      </c>
      <c r="BI8" s="292">
        <f>BS!BI8</f>
        <v>43646</v>
      </c>
      <c r="BJ8" s="292">
        <f>BS!BJ8</f>
        <v>43738</v>
      </c>
      <c r="BK8" s="293">
        <f>BS!BK8</f>
        <v>43830</v>
      </c>
      <c r="BL8" s="291">
        <f>BS!BL8</f>
        <v>43921</v>
      </c>
      <c r="BM8" s="292">
        <f>BS!BM8</f>
        <v>44012</v>
      </c>
      <c r="BN8" s="292">
        <f>BS!BN8</f>
        <v>44104</v>
      </c>
      <c r="BO8" s="293">
        <f>BS!BO8</f>
        <v>44196</v>
      </c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</row>
    <row r="9" spans="1:86" ht="14.25" customHeight="1">
      <c r="A9" s="8"/>
      <c r="B9" s="284"/>
      <c r="C9" s="175"/>
      <c r="D9" s="17" t="str">
        <f>BS!D9</f>
        <v>F1Q05A</v>
      </c>
      <c r="E9" s="18" t="str">
        <f>BS!E9</f>
        <v>F2Q05A</v>
      </c>
      <c r="F9" s="18" t="str">
        <f>BS!F9</f>
        <v>F3Q05A</v>
      </c>
      <c r="G9" s="19" t="str">
        <f>BS!G9</f>
        <v>F4Q05A</v>
      </c>
      <c r="H9" s="17" t="str">
        <f>BS!H9</f>
        <v>F1Q06A</v>
      </c>
      <c r="I9" s="18" t="str">
        <f>BS!I9</f>
        <v>F2Q06A</v>
      </c>
      <c r="J9" s="18" t="str">
        <f>BS!J9</f>
        <v>F3Q06A</v>
      </c>
      <c r="K9" s="19" t="str">
        <f>BS!K9</f>
        <v>F4Q06A</v>
      </c>
      <c r="L9" s="17" t="str">
        <f>BS!L9</f>
        <v>F1Q07A</v>
      </c>
      <c r="M9" s="18" t="str">
        <f>BS!M9</f>
        <v>F2Q07A</v>
      </c>
      <c r="N9" s="18" t="str">
        <f>BS!N9</f>
        <v>F3Q07A</v>
      </c>
      <c r="O9" s="19" t="str">
        <f>BS!O9</f>
        <v>F4Q07A</v>
      </c>
      <c r="P9" s="17" t="str">
        <f>BS!P9</f>
        <v>F1Q08A</v>
      </c>
      <c r="Q9" s="18" t="str">
        <f>BS!Q9</f>
        <v>F2Q08A</v>
      </c>
      <c r="R9" s="18" t="str">
        <f>BS!R9</f>
        <v>F3Q08A</v>
      </c>
      <c r="S9" s="19" t="str">
        <f>BS!S9</f>
        <v>F4Q08A</v>
      </c>
      <c r="T9" s="17" t="str">
        <f>BS!T9</f>
        <v>F1Q09A</v>
      </c>
      <c r="U9" s="18" t="str">
        <f>BS!U9</f>
        <v>F2Q09A</v>
      </c>
      <c r="V9" s="18" t="str">
        <f>BS!V9</f>
        <v>F3Q09A</v>
      </c>
      <c r="W9" s="19" t="str">
        <f>BS!W9</f>
        <v>F4Q09A</v>
      </c>
      <c r="X9" s="17" t="str">
        <f>BS!X9</f>
        <v>F1Q10A</v>
      </c>
      <c r="Y9" s="18" t="str">
        <f>BS!Y9</f>
        <v>F2Q10A</v>
      </c>
      <c r="Z9" s="18" t="str">
        <f>BS!Z9</f>
        <v>F3Q10A</v>
      </c>
      <c r="AA9" s="19" t="str">
        <f>BS!AA9</f>
        <v>F4Q10A</v>
      </c>
      <c r="AB9" s="17" t="str">
        <f>BS!AB9</f>
        <v>F1Q11A</v>
      </c>
      <c r="AC9" s="18" t="str">
        <f>BS!AC9</f>
        <v>F2Q11A</v>
      </c>
      <c r="AD9" s="18" t="str">
        <f>BS!AD9</f>
        <v>F3Q11A</v>
      </c>
      <c r="AE9" s="19" t="str">
        <f>BS!AE9</f>
        <v>F4Q11A</v>
      </c>
      <c r="AF9" s="17" t="str">
        <f>BS!AF9</f>
        <v>F1Q12A</v>
      </c>
      <c r="AG9" s="18" t="str">
        <f>BS!AG9</f>
        <v>F2Q12A</v>
      </c>
      <c r="AH9" s="18" t="str">
        <f>BS!AH9</f>
        <v>F3Q12A</v>
      </c>
      <c r="AI9" s="19" t="str">
        <f>BS!AI9</f>
        <v>F4Q12A</v>
      </c>
      <c r="AJ9" s="17" t="str">
        <f>BS!AJ9</f>
        <v>F1Q13A</v>
      </c>
      <c r="AK9" s="18" t="str">
        <f>BS!AK9</f>
        <v>F2Q13A</v>
      </c>
      <c r="AL9" s="18" t="str">
        <f>BS!AL9</f>
        <v>F3Q13A</v>
      </c>
      <c r="AM9" s="19" t="str">
        <f>BS!AM9</f>
        <v>F4Q13A</v>
      </c>
      <c r="AN9" s="17" t="str">
        <f>BS!AN9</f>
        <v>F1Q14A</v>
      </c>
      <c r="AO9" s="18" t="str">
        <f>BS!AO9</f>
        <v>F2Q14A</v>
      </c>
      <c r="AP9" s="18" t="str">
        <f>BS!AP9</f>
        <v>F3Q14A</v>
      </c>
      <c r="AQ9" s="19" t="str">
        <f>BS!AQ9</f>
        <v>F4Q14A</v>
      </c>
      <c r="AR9" s="17" t="str">
        <f>BS!AR9</f>
        <v>F1Q15A</v>
      </c>
      <c r="AS9" s="18" t="str">
        <f>BS!AS9</f>
        <v>F2Q15A</v>
      </c>
      <c r="AT9" s="18" t="str">
        <f>BS!AT9</f>
        <v>F3Q15A</v>
      </c>
      <c r="AU9" s="19" t="str">
        <f>BS!AU9</f>
        <v>F4Q15A</v>
      </c>
      <c r="AV9" s="17" t="str">
        <f>BS!AV9</f>
        <v>F1Q16A</v>
      </c>
      <c r="AW9" s="18" t="str">
        <f>BS!AW9</f>
        <v>F2Q16A</v>
      </c>
      <c r="AX9" s="18" t="str">
        <f>BS!AX9</f>
        <v>F3Q16A</v>
      </c>
      <c r="AY9" s="19" t="str">
        <f>BS!AY9</f>
        <v>F4Q16A</v>
      </c>
      <c r="AZ9" s="17" t="str">
        <f>BS!AZ9</f>
        <v>F1Q17A</v>
      </c>
      <c r="BA9" s="18" t="str">
        <f>BS!BA9</f>
        <v>F2Q17A</v>
      </c>
      <c r="BB9" s="18" t="str">
        <f>BS!BB9</f>
        <v>F3Q17A</v>
      </c>
      <c r="BC9" s="19" t="str">
        <f>BS!BC9</f>
        <v>F4Q17A</v>
      </c>
      <c r="BD9" s="17" t="str">
        <f>BS!BD9</f>
        <v>F1Q18A</v>
      </c>
      <c r="BE9" s="18" t="str">
        <f>BS!BE9</f>
        <v>F2Q18E</v>
      </c>
      <c r="BF9" s="18" t="str">
        <f>BS!BF9</f>
        <v>F3Q18E</v>
      </c>
      <c r="BG9" s="19" t="str">
        <f>BS!BG9</f>
        <v>F4Q18E</v>
      </c>
      <c r="BH9" s="17" t="str">
        <f>BS!BH9</f>
        <v>F1Q19E</v>
      </c>
      <c r="BI9" s="18" t="str">
        <f>BS!BI9</f>
        <v>F2Q19E</v>
      </c>
      <c r="BJ9" s="18" t="str">
        <f>BS!BJ9</f>
        <v>F3Q19E</v>
      </c>
      <c r="BK9" s="19" t="str">
        <f>BS!BK9</f>
        <v>F4Q19E</v>
      </c>
      <c r="BL9" s="17" t="str">
        <f>BS!BL9</f>
        <v>F1Q20E</v>
      </c>
      <c r="BM9" s="18" t="str">
        <f>BS!BM9</f>
        <v>F2Q20E</v>
      </c>
      <c r="BN9" s="18" t="str">
        <f>BS!BN9</f>
        <v>F3Q20E</v>
      </c>
      <c r="BO9" s="19" t="str">
        <f>BS!BO9</f>
        <v>F4Q20E</v>
      </c>
      <c r="BP9" s="20"/>
      <c r="BQ9" s="17" t="str">
        <f>BS!BQ9</f>
        <v>FY2005A</v>
      </c>
      <c r="BR9" s="18" t="str">
        <f>BS!BR9</f>
        <v>FY2006A</v>
      </c>
      <c r="BS9" s="18" t="str">
        <f>BS!BS9</f>
        <v>FY2007A</v>
      </c>
      <c r="BT9" s="18" t="str">
        <f>BS!BT9</f>
        <v>FY2008A</v>
      </c>
      <c r="BU9" s="18" t="str">
        <f>BS!BU9</f>
        <v>FY2009A</v>
      </c>
      <c r="BV9" s="19" t="str">
        <f>BS!BV9</f>
        <v>FY2010A</v>
      </c>
      <c r="BW9" s="17" t="str">
        <f>BS!BW9</f>
        <v>FY2011A</v>
      </c>
      <c r="BX9" s="17" t="str">
        <f>BS!BX9</f>
        <v>FY2012A</v>
      </c>
      <c r="BY9" s="18" t="str">
        <f>BS!BY9</f>
        <v>FY2013A</v>
      </c>
      <c r="BZ9" s="18" t="str">
        <f>BS!BZ9</f>
        <v>FY2014A</v>
      </c>
      <c r="CA9" s="18" t="str">
        <f>BS!CA9</f>
        <v>FY2015A</v>
      </c>
      <c r="CB9" s="18" t="str">
        <f>BS!CB9</f>
        <v>FY2016A</v>
      </c>
      <c r="CC9" s="18" t="str">
        <f>BS!CC9</f>
        <v>FY2017E</v>
      </c>
      <c r="CD9" s="18" t="str">
        <f>BS!CD9</f>
        <v>FY2018E</v>
      </c>
      <c r="CE9" s="18" t="str">
        <f>BS!CE9</f>
        <v>FY2019E</v>
      </c>
      <c r="CF9" s="19" t="str">
        <f>BS!CF9</f>
        <v>FY2020E</v>
      </c>
      <c r="CG9" s="297"/>
      <c r="CH9" s="8"/>
    </row>
    <row r="10" spans="1:86" ht="14.25" customHeight="1">
      <c r="A10" s="8"/>
      <c r="B10" s="176" t="str">
        <f t="shared" ref="B10:B16" si="0">B105</f>
        <v>Cash flows provided by (used for) operating activities:</v>
      </c>
      <c r="C10" s="39"/>
      <c r="D10" s="565"/>
      <c r="E10" s="177"/>
      <c r="F10" s="177"/>
      <c r="G10" s="178"/>
      <c r="H10" s="565"/>
      <c r="I10" s="177"/>
      <c r="J10" s="177"/>
      <c r="K10" s="178"/>
      <c r="L10" s="565"/>
      <c r="M10" s="177"/>
      <c r="N10" s="177"/>
      <c r="O10" s="178"/>
      <c r="P10" s="565"/>
      <c r="Q10" s="177"/>
      <c r="R10" s="177"/>
      <c r="S10" s="178"/>
      <c r="T10" s="565"/>
      <c r="U10" s="177"/>
      <c r="V10" s="177"/>
      <c r="W10" s="180"/>
      <c r="X10" s="565"/>
      <c r="Y10" s="177"/>
      <c r="Z10" s="177"/>
      <c r="AA10" s="180"/>
      <c r="AB10" s="565"/>
      <c r="AC10" s="177"/>
      <c r="AD10" s="177"/>
      <c r="AE10" s="178"/>
      <c r="AF10" s="565"/>
      <c r="AG10" s="177"/>
      <c r="AH10" s="177"/>
      <c r="AI10" s="178"/>
      <c r="AJ10" s="565"/>
      <c r="AK10" s="177"/>
      <c r="AL10" s="177"/>
      <c r="AM10" s="178"/>
      <c r="AN10" s="565"/>
      <c r="AO10" s="177"/>
      <c r="AP10" s="177"/>
      <c r="AQ10" s="178"/>
      <c r="AR10" s="565"/>
      <c r="AS10" s="177"/>
      <c r="AT10" s="177"/>
      <c r="AU10" s="178"/>
      <c r="AV10" s="565"/>
      <c r="AW10" s="177"/>
      <c r="AX10" s="177"/>
      <c r="AY10" s="177"/>
      <c r="AZ10" s="565"/>
      <c r="BA10" s="177"/>
      <c r="BB10" s="177"/>
      <c r="BC10" s="177"/>
      <c r="BD10" s="565"/>
      <c r="BE10" s="177"/>
      <c r="BF10" s="177"/>
      <c r="BG10" s="177"/>
      <c r="BH10" s="565"/>
      <c r="BI10" s="177"/>
      <c r="BJ10" s="177"/>
      <c r="BK10" s="177"/>
      <c r="BL10" s="565"/>
      <c r="BM10" s="177"/>
      <c r="BN10" s="177"/>
      <c r="BO10" s="177"/>
      <c r="BP10" s="20"/>
      <c r="BQ10" s="179"/>
      <c r="BR10" s="177"/>
      <c r="BS10" s="177"/>
      <c r="BT10" s="177"/>
      <c r="BU10" s="177"/>
      <c r="BV10" s="180"/>
      <c r="BW10" s="565"/>
      <c r="BX10" s="565"/>
      <c r="BY10" s="177"/>
      <c r="BZ10" s="177"/>
      <c r="CA10" s="177"/>
      <c r="CB10" s="177"/>
      <c r="CC10" s="177"/>
      <c r="CD10" s="177"/>
      <c r="CE10" s="177"/>
      <c r="CF10" s="178"/>
      <c r="CG10" s="297"/>
      <c r="CH10" s="8"/>
    </row>
    <row r="11" spans="1:86" ht="14.25" customHeight="1">
      <c r="A11" s="8"/>
      <c r="B11" s="342" t="str">
        <f t="shared" si="0"/>
        <v>Net income</v>
      </c>
      <c r="C11" s="21"/>
      <c r="D11" s="500">
        <f>IS!D86</f>
        <v>410.75</v>
      </c>
      <c r="E11" s="81">
        <f>IS!E86</f>
        <v>627.75</v>
      </c>
      <c r="F11" s="81">
        <f>IS!F86</f>
        <v>630.75</v>
      </c>
      <c r="G11" s="82">
        <f>IS!G86</f>
        <v>654.75</v>
      </c>
      <c r="H11" s="500">
        <f>IS!H86</f>
        <v>584.75</v>
      </c>
      <c r="I11" s="81">
        <f>IS!I86</f>
        <v>2386.75</v>
      </c>
      <c r="J11" s="81">
        <f>IS!J86</f>
        <v>701.75</v>
      </c>
      <c r="K11" s="82">
        <f>IS!K86</f>
        <v>667.75</v>
      </c>
      <c r="L11" s="500">
        <f>IS!L86</f>
        <v>516</v>
      </c>
      <c r="M11" s="81">
        <f>IS!M86</f>
        <v>609.66999999999996</v>
      </c>
      <c r="N11" s="81">
        <f>IS!N86</f>
        <v>775.67</v>
      </c>
      <c r="O11" s="82">
        <f>IS!O86</f>
        <v>755.67</v>
      </c>
      <c r="P11" s="500">
        <f>IS!P86</f>
        <v>662</v>
      </c>
      <c r="Q11" s="81">
        <f>IS!Q86</f>
        <v>588</v>
      </c>
      <c r="R11" s="81">
        <f>IS!R86</f>
        <v>563</v>
      </c>
      <c r="S11" s="82">
        <f>IS!S86</f>
        <v>107</v>
      </c>
      <c r="T11" s="500">
        <f>IS!T86</f>
        <v>17</v>
      </c>
      <c r="U11" s="81">
        <f>IS!U86</f>
        <v>260</v>
      </c>
      <c r="V11" s="81">
        <f>IS!V86</f>
        <v>538</v>
      </c>
      <c r="W11" s="82">
        <f>IS!W86</f>
        <v>655</v>
      </c>
      <c r="X11" s="500">
        <f>IS!X86</f>
        <v>658</v>
      </c>
      <c r="Y11" s="81">
        <f>IS!Y86</f>
        <v>769</v>
      </c>
      <c r="Z11" s="81">
        <f>IS!Z86</f>
        <v>859</v>
      </c>
      <c r="AA11" s="82">
        <f>IS!AA86</f>
        <v>942</v>
      </c>
      <c r="AB11" s="500">
        <f>IS!AB86</f>
        <v>666</v>
      </c>
      <c r="AC11" s="81">
        <f>IS!AC86</f>
        <v>672</v>
      </c>
      <c r="AD11" s="81">
        <f>IS!AD86</f>
        <v>601</v>
      </c>
      <c r="AE11" s="82">
        <f>IS!AE86</f>
        <v>298</v>
      </c>
      <c r="AF11" s="500">
        <f>IS!AF86</f>
        <v>265</v>
      </c>
      <c r="AG11" s="81">
        <f>IS!AG86</f>
        <v>446</v>
      </c>
      <c r="AH11" s="81">
        <f>IS!AH86</f>
        <v>784</v>
      </c>
      <c r="AI11" s="82">
        <f>IS!AI86</f>
        <v>264</v>
      </c>
      <c r="AJ11" s="500">
        <f>IS!AJ86</f>
        <v>362</v>
      </c>
      <c r="AK11" s="81">
        <f>IS!AK86</f>
        <v>660</v>
      </c>
      <c r="AL11" s="81">
        <f>IS!AL86</f>
        <v>629</v>
      </c>
      <c r="AM11" s="82">
        <f>IS!AM86</f>
        <v>511</v>
      </c>
      <c r="AN11" s="500">
        <f>IS!AN86</f>
        <v>487</v>
      </c>
      <c r="AO11" s="81">
        <f>IS!AO86</f>
        <v>683</v>
      </c>
      <c r="AP11" s="81">
        <f>IS!AP86</f>
        <v>826</v>
      </c>
      <c r="AQ11" s="82">
        <f>IS!AQ86</f>
        <v>825</v>
      </c>
      <c r="AR11" s="500">
        <f>IS!AR86</f>
        <v>656</v>
      </c>
      <c r="AS11" s="81">
        <f>IS!AS86</f>
        <v>696</v>
      </c>
      <c r="AT11" s="81">
        <f>IS!AT86</f>
        <v>798</v>
      </c>
      <c r="AU11" s="82">
        <f>IS!AU86</f>
        <v>836</v>
      </c>
      <c r="AV11" s="500">
        <f>IS!AV86</f>
        <v>711</v>
      </c>
      <c r="AW11" s="81">
        <f>IS!AW86</f>
        <v>819</v>
      </c>
      <c r="AX11" s="81">
        <f>IS!AX86</f>
        <v>1018</v>
      </c>
      <c r="AY11" s="82">
        <f>IS!AY86</f>
        <v>1047</v>
      </c>
      <c r="AZ11" s="500">
        <f>IS!AZ86</f>
        <v>997</v>
      </c>
      <c r="BA11" s="81">
        <f>IS!BA86</f>
        <v>1056</v>
      </c>
      <c r="BB11" s="81">
        <f>IS!BB86</f>
        <v>1285</v>
      </c>
      <c r="BC11" s="82">
        <f>IS!BC86</f>
        <v>344</v>
      </c>
      <c r="BD11" s="500">
        <f>IS!BD86</f>
        <v>1366</v>
      </c>
      <c r="BE11" s="81">
        <f>IS!BE86</f>
        <v>1307.4845627079944</v>
      </c>
      <c r="BF11" s="81">
        <f>IS!BF86</f>
        <v>1421.0687695702522</v>
      </c>
      <c r="BG11" s="81">
        <f>IS!BG86</f>
        <v>1331.8287717151222</v>
      </c>
      <c r="BH11" s="500">
        <f>IS!BH86</f>
        <v>1304.0549473576293</v>
      </c>
      <c r="BI11" s="81">
        <f>IS!BI86</f>
        <v>1434.593935677289</v>
      </c>
      <c r="BJ11" s="81">
        <f>IS!BJ86</f>
        <v>1590.9708675970537</v>
      </c>
      <c r="BK11" s="81">
        <f>IS!BK86</f>
        <v>1464.2880820737823</v>
      </c>
      <c r="BL11" s="500">
        <f>IS!BL86</f>
        <v>1410.0760391412059</v>
      </c>
      <c r="BM11" s="81">
        <f>IS!BM86</f>
        <v>1572.503971479651</v>
      </c>
      <c r="BN11" s="81">
        <f>IS!BN86</f>
        <v>1727.9733908024286</v>
      </c>
      <c r="BO11" s="81">
        <f>IS!BO86</f>
        <v>1580.2072980989387</v>
      </c>
      <c r="BP11" s="20"/>
      <c r="BQ11" s="81">
        <f>SUM(D11:G11)</f>
        <v>2324</v>
      </c>
      <c r="BR11" s="81">
        <f>SUM(H11:K11)</f>
        <v>4341</v>
      </c>
      <c r="BS11" s="81">
        <f>SUM(L11:O11)</f>
        <v>2657.01</v>
      </c>
      <c r="BT11" s="81">
        <f>SUM(P11:S11)</f>
        <v>1920</v>
      </c>
      <c r="BU11" s="81">
        <f>SUM(T11:W11)</f>
        <v>1470</v>
      </c>
      <c r="BV11" s="566">
        <f>SUM(X11:AA11)</f>
        <v>3228</v>
      </c>
      <c r="BW11" s="500">
        <f>SUM(AB11:AE11)</f>
        <v>2237</v>
      </c>
      <c r="BX11" s="500">
        <f>SUM(AF11:AI11)</f>
        <v>1759</v>
      </c>
      <c r="BY11" s="81">
        <f>SUM(AJ11:AM11)</f>
        <v>2162</v>
      </c>
      <c r="BZ11" s="81">
        <f>SUM(AN11:AQ11)</f>
        <v>2821</v>
      </c>
      <c r="CA11" s="81">
        <f>SUM(AR11:AU11)</f>
        <v>2986</v>
      </c>
      <c r="CB11" s="81">
        <f>SUM(AV11:AY11)</f>
        <v>3595</v>
      </c>
      <c r="CC11" s="81">
        <f>SUM(AZ11:BC11)</f>
        <v>3682</v>
      </c>
      <c r="CD11" s="81">
        <f>SUM(BD11:BG11)</f>
        <v>5426.3821039933691</v>
      </c>
      <c r="CE11" s="81">
        <f>SUM(BH11:BK11)</f>
        <v>5793.9078327057541</v>
      </c>
      <c r="CF11" s="82">
        <f>SUM(BL11:BO11)</f>
        <v>6290.7606995222241</v>
      </c>
      <c r="CG11" s="567"/>
      <c r="CH11" s="8"/>
    </row>
    <row r="12" spans="1:86" ht="14.25" customHeight="1">
      <c r="A12" s="8"/>
      <c r="B12" s="568" t="str">
        <f t="shared" si="0"/>
        <v>Adjustments to reconcile net income to net cash provided by operating activities:</v>
      </c>
      <c r="C12" s="181"/>
      <c r="D12" s="569"/>
      <c r="E12" s="182"/>
      <c r="F12" s="182"/>
      <c r="G12" s="183"/>
      <c r="H12" s="569"/>
      <c r="I12" s="182"/>
      <c r="J12" s="182"/>
      <c r="K12" s="183"/>
      <c r="L12" s="569"/>
      <c r="M12" s="182"/>
      <c r="N12" s="182"/>
      <c r="O12" s="183"/>
      <c r="P12" s="569"/>
      <c r="Q12" s="182"/>
      <c r="R12" s="182"/>
      <c r="S12" s="183"/>
      <c r="T12" s="569"/>
      <c r="U12" s="182"/>
      <c r="V12" s="182"/>
      <c r="W12" s="183"/>
      <c r="X12" s="569"/>
      <c r="Y12" s="182"/>
      <c r="Z12" s="182"/>
      <c r="AA12" s="183"/>
      <c r="AB12" s="569"/>
      <c r="AC12" s="182"/>
      <c r="AD12" s="182"/>
      <c r="AE12" s="183"/>
      <c r="AF12" s="569"/>
      <c r="AG12" s="570"/>
      <c r="AH12" s="182"/>
      <c r="AI12" s="183"/>
      <c r="AJ12" s="569"/>
      <c r="AK12" s="570"/>
      <c r="AL12" s="570"/>
      <c r="AM12" s="183"/>
      <c r="AN12" s="569"/>
      <c r="AO12" s="570"/>
      <c r="AP12" s="182"/>
      <c r="AQ12" s="183"/>
      <c r="AR12" s="569"/>
      <c r="AS12" s="570"/>
      <c r="AT12" s="182"/>
      <c r="AU12" s="183"/>
      <c r="AV12" s="569"/>
      <c r="AW12" s="570"/>
      <c r="AX12" s="182"/>
      <c r="AY12" s="183"/>
      <c r="AZ12" s="569"/>
      <c r="BA12" s="182"/>
      <c r="BB12" s="182"/>
      <c r="BC12" s="183"/>
      <c r="BD12" s="569"/>
      <c r="BE12" s="182"/>
      <c r="BF12" s="182"/>
      <c r="BG12" s="182"/>
      <c r="BH12" s="569"/>
      <c r="BI12" s="182"/>
      <c r="BJ12" s="182"/>
      <c r="BK12" s="182"/>
      <c r="BL12" s="569"/>
      <c r="BM12" s="182"/>
      <c r="BN12" s="182"/>
      <c r="BO12" s="182"/>
      <c r="BP12" s="20"/>
      <c r="BQ12" s="182"/>
      <c r="BR12" s="182"/>
      <c r="BS12" s="182"/>
      <c r="BT12" s="182"/>
      <c r="BU12" s="182"/>
      <c r="BV12" s="571"/>
      <c r="BW12" s="569"/>
      <c r="BX12" s="569"/>
      <c r="BY12" s="182"/>
      <c r="BZ12" s="182"/>
      <c r="CA12" s="182"/>
      <c r="CB12" s="182"/>
      <c r="CC12" s="182"/>
      <c r="CD12" s="182"/>
      <c r="CE12" s="182"/>
      <c r="CF12" s="183"/>
      <c r="CG12" s="567"/>
      <c r="CH12" s="8"/>
    </row>
    <row r="13" spans="1:86" ht="14.25" customHeight="1">
      <c r="A13" s="8"/>
      <c r="B13" s="372" t="str">
        <f t="shared" si="0"/>
        <v xml:space="preserve">Depreciation </v>
      </c>
      <c r="C13" s="42"/>
      <c r="D13" s="572">
        <f t="shared" ref="D13:D18" si="1">D108</f>
        <v>341</v>
      </c>
      <c r="E13" s="184">
        <f t="shared" ref="E13:E18" si="2">E108-D13</f>
        <v>337</v>
      </c>
      <c r="F13" s="184">
        <f t="shared" ref="F13:F18" si="3">F108-E13-D13</f>
        <v>332</v>
      </c>
      <c r="G13" s="185">
        <f t="shared" ref="G13:G18" si="4">G108-F13-E13-D13</f>
        <v>336</v>
      </c>
      <c r="H13" s="572">
        <f t="shared" ref="H13:H18" si="5">H108</f>
        <v>270</v>
      </c>
      <c r="I13" s="184">
        <f t="shared" ref="I13:I18" si="6">I108-H13</f>
        <v>267</v>
      </c>
      <c r="J13" s="184">
        <f t="shared" ref="J13:J18" si="7">J108-I13-H13</f>
        <v>266</v>
      </c>
      <c r="K13" s="185">
        <f t="shared" ref="K13:K18" si="8">K108-J13-I13-H13</f>
        <v>249</v>
      </c>
      <c r="L13" s="572">
        <f t="shared" ref="L13:L18" si="9">L108</f>
        <v>252</v>
      </c>
      <c r="M13" s="184">
        <f t="shared" ref="M13:M18" si="10">M108-L13</f>
        <v>256</v>
      </c>
      <c r="N13" s="184">
        <f t="shared" ref="N13:N18" si="11">N108-M13-L13</f>
        <v>262</v>
      </c>
      <c r="O13" s="185">
        <f t="shared" ref="O13:O18" si="12">O108-N13-M13-L13</f>
        <v>252</v>
      </c>
      <c r="P13" s="572">
        <f t="shared" ref="P13:P18" si="13">P108</f>
        <v>241</v>
      </c>
      <c r="Q13" s="184">
        <f t="shared" ref="Q13:Q18" si="14">Q108-P13</f>
        <v>246</v>
      </c>
      <c r="R13" s="184">
        <f t="shared" ref="R13:R18" si="15">R108-Q13-P13</f>
        <v>251</v>
      </c>
      <c r="S13" s="185">
        <f t="shared" ref="S13:S18" si="16">S108-R13-Q13-P13</f>
        <v>284</v>
      </c>
      <c r="T13" s="572">
        <f t="shared" ref="T13:T18" si="17">T108</f>
        <v>230</v>
      </c>
      <c r="U13" s="184">
        <f t="shared" ref="U13:U18" si="18">U108-T13</f>
        <v>221</v>
      </c>
      <c r="V13" s="184">
        <f t="shared" ref="V13:V18" si="19">V108-U13-T13</f>
        <v>217</v>
      </c>
      <c r="W13" s="185">
        <f t="shared" ref="W13:W18" si="20">W108-V13-U13-T13</f>
        <v>209</v>
      </c>
      <c r="X13" s="572">
        <f t="shared" ref="X13:X18" si="21">X108</f>
        <v>211</v>
      </c>
      <c r="Y13" s="184">
        <f t="shared" ref="Y13:Y18" si="22">Y108-X13</f>
        <v>215</v>
      </c>
      <c r="Z13" s="184">
        <f t="shared" ref="Z13:Z18" si="23">Z108-Y13-X13</f>
        <v>213</v>
      </c>
      <c r="AA13" s="185">
        <f t="shared" ref="AA13:AA18" si="24">AA108-Z13-Y13-X13</f>
        <v>226</v>
      </c>
      <c r="AB13" s="572">
        <f t="shared" ref="AB13:AB18" si="25">AB108</f>
        <v>224</v>
      </c>
      <c r="AC13" s="184">
        <f t="shared" ref="AC13:AC18" si="26">AC108-AB13</f>
        <v>220</v>
      </c>
      <c r="AD13" s="184">
        <f t="shared" ref="AD13:AD18" si="27">AD108-SUM(AB13:AC13)</f>
        <v>213</v>
      </c>
      <c r="AE13" s="185">
        <f t="shared" ref="AE13:AE18" si="28">AE108-AD13-AC13-AB13</f>
        <v>247</v>
      </c>
      <c r="AF13" s="572">
        <f t="shared" ref="AF13:AF18" si="29">AF108</f>
        <v>243</v>
      </c>
      <c r="AG13" s="184">
        <f t="shared" ref="AG13:AG18" si="30">AG108-AF13</f>
        <v>241</v>
      </c>
      <c r="AH13" s="184">
        <f t="shared" ref="AH13:AH18" si="31">AH108-SUM(AF13:AG13)</f>
        <v>241</v>
      </c>
      <c r="AI13" s="185">
        <f t="shared" ref="AI13:AI18" si="32">AI108-AH13-AG13-AF13</f>
        <v>232</v>
      </c>
      <c r="AJ13" s="572">
        <f t="shared" ref="AJ13:AJ18" si="33">AJ108</f>
        <v>228</v>
      </c>
      <c r="AK13" s="184">
        <f t="shared" ref="AK13:AK18" si="34">AK108-AJ13</f>
        <v>221</v>
      </c>
      <c r="AL13" s="184">
        <f t="shared" ref="AL13:AL18" si="35">AL108-SUM(AJ13:AK13)</f>
        <v>217</v>
      </c>
      <c r="AM13" s="185">
        <f t="shared" ref="AM13:AM18" si="36">AM108-AL13-AK13-AJ13</f>
        <v>213</v>
      </c>
      <c r="AN13" s="572">
        <f t="shared" ref="AN13:AN18" si="37">AN108</f>
        <v>213</v>
      </c>
      <c r="AO13" s="184">
        <f t="shared" ref="AO13:AO18" si="38">AO108-AN13</f>
        <v>213</v>
      </c>
      <c r="AP13" s="184">
        <f t="shared" ref="AP13:AP18" si="39">AP108-SUM(AN13:AO13)</f>
        <v>213</v>
      </c>
      <c r="AQ13" s="185">
        <f t="shared" ref="AQ13:AQ18" si="40">AQ108-AP13-AO13-AN13</f>
        <v>211</v>
      </c>
      <c r="AR13" s="572">
        <f t="shared" ref="AR13:AR18" si="41">AR108</f>
        <v>203</v>
      </c>
      <c r="AS13" s="184">
        <f t="shared" ref="AS13:AS18" si="42">AS108-AR13</f>
        <v>198</v>
      </c>
      <c r="AT13" s="184">
        <f t="shared" ref="AT13:AT18" si="43">AT108-SUM(AR13:AS13)</f>
        <v>193</v>
      </c>
      <c r="AU13" s="185">
        <f t="shared" ref="AU13:AU18" si="44">AU108-AT13-AS13-AR13</f>
        <v>172</v>
      </c>
      <c r="AV13" s="572">
        <f t="shared" ref="AV13:AV18" si="45">AV108</f>
        <v>161</v>
      </c>
      <c r="AW13" s="184">
        <f t="shared" ref="AW13:AW18" si="46">AW108-AV13</f>
        <v>155</v>
      </c>
      <c r="AX13" s="184">
        <f t="shared" ref="AX13:AX18" si="47">AX108-SUM(AV13:AW13)</f>
        <v>150</v>
      </c>
      <c r="AY13" s="185">
        <f t="shared" ref="AY13:AY18" si="48">AY108-AX13-AW13-AV13</f>
        <v>139</v>
      </c>
      <c r="AZ13" s="572">
        <f t="shared" ref="AZ13:AZ18" si="49">AZ108</f>
        <v>139</v>
      </c>
      <c r="BA13" s="184">
        <f t="shared" ref="BA13:BA18" si="50">BA108-AZ13</f>
        <v>134</v>
      </c>
      <c r="BB13" s="184">
        <f t="shared" ref="BB13:BB18" si="51">BB108-SUM(AZ13:BA13)</f>
        <v>133</v>
      </c>
      <c r="BC13" s="185">
        <f t="shared" ref="BC13:BC18" si="52">BC108-BB13-BA13-AZ13</f>
        <v>133</v>
      </c>
      <c r="BD13" s="572">
        <f t="shared" ref="BD13:BD18" si="53">BD108</f>
        <v>137</v>
      </c>
      <c r="BE13" s="184">
        <f t="shared" ref="BE13:BG13" si="54">BE75</f>
        <v>129</v>
      </c>
      <c r="BF13" s="184">
        <f t="shared" si="54"/>
        <v>128</v>
      </c>
      <c r="BG13" s="184">
        <f t="shared" si="54"/>
        <v>128</v>
      </c>
      <c r="BH13" s="572">
        <f t="shared" ref="BH13:BK13" si="55">BH75</f>
        <v>132</v>
      </c>
      <c r="BI13" s="184">
        <f t="shared" si="55"/>
        <v>124</v>
      </c>
      <c r="BJ13" s="184">
        <f t="shared" si="55"/>
        <v>123</v>
      </c>
      <c r="BK13" s="184">
        <f t="shared" si="55"/>
        <v>123</v>
      </c>
      <c r="BL13" s="572">
        <f t="shared" ref="BL13:BO13" si="56">BL75</f>
        <v>127</v>
      </c>
      <c r="BM13" s="184">
        <f t="shared" si="56"/>
        <v>119</v>
      </c>
      <c r="BN13" s="184">
        <f t="shared" si="56"/>
        <v>118</v>
      </c>
      <c r="BO13" s="184">
        <f t="shared" si="56"/>
        <v>118</v>
      </c>
      <c r="BP13" s="20"/>
      <c r="BQ13" s="184">
        <f t="shared" ref="BQ13:BQ18" si="57">SUM(D13:G13)</f>
        <v>1346</v>
      </c>
      <c r="BR13" s="184">
        <f t="shared" ref="BR13:BR18" si="58">SUM(H13:K13)</f>
        <v>1052</v>
      </c>
      <c r="BS13" s="184">
        <f t="shared" ref="BS13:BS18" si="59">SUM(L13:O13)</f>
        <v>1022</v>
      </c>
      <c r="BT13" s="184">
        <f t="shared" ref="BT13:BT18" si="60">SUM(P13:S13)</f>
        <v>1022</v>
      </c>
      <c r="BU13" s="184">
        <f t="shared" ref="BU13:BU18" si="61">SUM(T13:W13)</f>
        <v>877</v>
      </c>
      <c r="BV13" s="573">
        <f t="shared" ref="BV13:BV18" si="62">SUM(X13:AA13)</f>
        <v>865</v>
      </c>
      <c r="BW13" s="572">
        <f t="shared" ref="BW13:BW18" si="63">SUM(AB13:AE13)</f>
        <v>904</v>
      </c>
      <c r="BX13" s="572">
        <f t="shared" ref="BX13:BX18" si="64">SUM(AF13:AI13)</f>
        <v>957</v>
      </c>
      <c r="BY13" s="184">
        <f t="shared" ref="BY13:BY18" si="65">SUM(AJ13:AM13)</f>
        <v>879</v>
      </c>
      <c r="BZ13" s="184">
        <f t="shared" ref="BZ13:BZ18" si="66">SUM(AN13:AQ13)</f>
        <v>850</v>
      </c>
      <c r="CA13" s="184">
        <f t="shared" ref="CA13:CA26" si="67">SUM(AR13:AU13)</f>
        <v>766</v>
      </c>
      <c r="CB13" s="184">
        <f t="shared" ref="CB13:CB26" si="68">SUM(AV13:AY13)</f>
        <v>605</v>
      </c>
      <c r="CC13" s="184">
        <f>SUM(AZ13:BC13)</f>
        <v>539</v>
      </c>
      <c r="CD13" s="184">
        <f t="shared" ref="CD13:CD26" si="69">SUM(BD13:BG13)</f>
        <v>522</v>
      </c>
      <c r="CE13" s="184">
        <f t="shared" ref="CE13:CE26" si="70">SUM(BH13:BK13)</f>
        <v>502</v>
      </c>
      <c r="CF13" s="185">
        <f t="shared" ref="CF13:CF18" si="71">SUM(BL13:BO13)</f>
        <v>482</v>
      </c>
      <c r="CG13" s="567"/>
      <c r="CH13" s="8"/>
    </row>
    <row r="14" spans="1:86" ht="14.25" customHeight="1">
      <c r="A14" s="8"/>
      <c r="B14" s="372" t="str">
        <f t="shared" si="0"/>
        <v>Stock-based compensation</v>
      </c>
      <c r="C14" s="42"/>
      <c r="D14" s="572">
        <f t="shared" si="1"/>
        <v>5</v>
      </c>
      <c r="E14" s="184">
        <f t="shared" si="2"/>
        <v>5</v>
      </c>
      <c r="F14" s="184">
        <f t="shared" si="3"/>
        <v>80</v>
      </c>
      <c r="G14" s="185">
        <f t="shared" si="4"/>
        <v>85</v>
      </c>
      <c r="H14" s="572">
        <f t="shared" si="5"/>
        <v>91</v>
      </c>
      <c r="I14" s="184">
        <f t="shared" si="6"/>
        <v>84</v>
      </c>
      <c r="J14" s="184">
        <f t="shared" si="7"/>
        <v>79</v>
      </c>
      <c r="K14" s="185">
        <f t="shared" si="8"/>
        <v>78</v>
      </c>
      <c r="L14" s="572">
        <f t="shared" si="9"/>
        <v>78</v>
      </c>
      <c r="M14" s="184">
        <f t="shared" si="10"/>
        <v>68</v>
      </c>
      <c r="N14" s="184">
        <f t="shared" si="11"/>
        <v>66</v>
      </c>
      <c r="O14" s="185">
        <f t="shared" si="12"/>
        <v>68</v>
      </c>
      <c r="P14" s="572">
        <f t="shared" si="13"/>
        <v>54</v>
      </c>
      <c r="Q14" s="184">
        <f t="shared" si="14"/>
        <v>54</v>
      </c>
      <c r="R14" s="184">
        <f t="shared" si="15"/>
        <v>54</v>
      </c>
      <c r="S14" s="185">
        <f t="shared" si="16"/>
        <v>51</v>
      </c>
      <c r="T14" s="572">
        <f t="shared" si="17"/>
        <v>50</v>
      </c>
      <c r="U14" s="184">
        <f t="shared" si="18"/>
        <v>47</v>
      </c>
      <c r="V14" s="184">
        <f t="shared" si="19"/>
        <v>46</v>
      </c>
      <c r="W14" s="185">
        <f t="shared" si="20"/>
        <v>43</v>
      </c>
      <c r="X14" s="572">
        <f t="shared" si="21"/>
        <v>47</v>
      </c>
      <c r="Y14" s="184">
        <f t="shared" si="22"/>
        <v>49</v>
      </c>
      <c r="Z14" s="184">
        <f t="shared" si="23"/>
        <v>47</v>
      </c>
      <c r="AA14" s="185">
        <f t="shared" si="24"/>
        <v>47</v>
      </c>
      <c r="AB14" s="572">
        <f t="shared" si="25"/>
        <v>57</v>
      </c>
      <c r="AC14" s="184">
        <f t="shared" si="26"/>
        <v>53</v>
      </c>
      <c r="AD14" s="184">
        <f t="shared" si="27"/>
        <v>92</v>
      </c>
      <c r="AE14" s="185">
        <f t="shared" si="28"/>
        <v>67</v>
      </c>
      <c r="AF14" s="572">
        <f t="shared" si="29"/>
        <v>69</v>
      </c>
      <c r="AG14" s="184">
        <f t="shared" si="30"/>
        <v>64</v>
      </c>
      <c r="AH14" s="184">
        <f t="shared" si="31"/>
        <v>66</v>
      </c>
      <c r="AI14" s="185">
        <f t="shared" si="32"/>
        <v>64</v>
      </c>
      <c r="AJ14" s="572">
        <f t="shared" si="33"/>
        <v>75</v>
      </c>
      <c r="AK14" s="184">
        <f t="shared" si="34"/>
        <v>75</v>
      </c>
      <c r="AL14" s="184">
        <f>AL109-SUM(AJ14:AK14)</f>
        <v>71</v>
      </c>
      <c r="AM14" s="185">
        <f t="shared" si="36"/>
        <v>66</v>
      </c>
      <c r="AN14" s="572">
        <f t="shared" si="37"/>
        <v>78</v>
      </c>
      <c r="AO14" s="184">
        <f t="shared" si="38"/>
        <v>77</v>
      </c>
      <c r="AP14" s="184">
        <f>AP109-SUM(AN14:AO14)</f>
        <v>62</v>
      </c>
      <c r="AQ14" s="185">
        <f t="shared" si="40"/>
        <v>60</v>
      </c>
      <c r="AR14" s="572">
        <f t="shared" si="41"/>
        <v>78</v>
      </c>
      <c r="AS14" s="184">
        <f t="shared" si="42"/>
        <v>84</v>
      </c>
      <c r="AT14" s="184">
        <f>AT109-SUM(AR14:AS14)</f>
        <v>66</v>
      </c>
      <c r="AU14" s="185">
        <f t="shared" si="44"/>
        <v>58</v>
      </c>
      <c r="AV14" s="572">
        <f t="shared" si="45"/>
        <v>72</v>
      </c>
      <c r="AW14" s="184">
        <f t="shared" si="46"/>
        <v>76</v>
      </c>
      <c r="AX14" s="184">
        <f>AX109-SUM(AV14:AW14)</f>
        <v>56</v>
      </c>
      <c r="AY14" s="185">
        <f t="shared" si="48"/>
        <v>48</v>
      </c>
      <c r="AZ14" s="572">
        <f t="shared" si="49"/>
        <v>68</v>
      </c>
      <c r="BA14" s="184">
        <f t="shared" si="50"/>
        <v>75</v>
      </c>
      <c r="BB14" s="184">
        <f>BB109-SUM(AZ14:BA14)</f>
        <v>54</v>
      </c>
      <c r="BC14" s="185">
        <f t="shared" si="52"/>
        <v>45</v>
      </c>
      <c r="BD14" s="572">
        <f t="shared" si="53"/>
        <v>70</v>
      </c>
      <c r="BE14" s="186">
        <v>100</v>
      </c>
      <c r="BF14" s="186">
        <v>100</v>
      </c>
      <c r="BG14" s="187">
        <v>100</v>
      </c>
      <c r="BH14" s="574">
        <v>100</v>
      </c>
      <c r="BI14" s="186">
        <v>100</v>
      </c>
      <c r="BJ14" s="186">
        <v>100</v>
      </c>
      <c r="BK14" s="187">
        <v>100</v>
      </c>
      <c r="BL14" s="574">
        <v>100</v>
      </c>
      <c r="BM14" s="186">
        <v>100</v>
      </c>
      <c r="BN14" s="186">
        <v>100</v>
      </c>
      <c r="BO14" s="187">
        <v>100</v>
      </c>
      <c r="BP14" s="20"/>
      <c r="BQ14" s="184">
        <f t="shared" si="57"/>
        <v>175</v>
      </c>
      <c r="BR14" s="184">
        <f t="shared" si="58"/>
        <v>332</v>
      </c>
      <c r="BS14" s="184">
        <f t="shared" si="59"/>
        <v>280</v>
      </c>
      <c r="BT14" s="184">
        <f t="shared" si="60"/>
        <v>213</v>
      </c>
      <c r="BU14" s="184">
        <f t="shared" si="61"/>
        <v>186</v>
      </c>
      <c r="BV14" s="573">
        <f t="shared" si="62"/>
        <v>190</v>
      </c>
      <c r="BW14" s="572">
        <f t="shared" si="63"/>
        <v>269</v>
      </c>
      <c r="BX14" s="572">
        <f t="shared" si="64"/>
        <v>263</v>
      </c>
      <c r="BY14" s="184">
        <f t="shared" si="65"/>
        <v>287</v>
      </c>
      <c r="BZ14" s="184">
        <f t="shared" si="66"/>
        <v>277</v>
      </c>
      <c r="CA14" s="184">
        <f t="shared" si="67"/>
        <v>286</v>
      </c>
      <c r="CB14" s="184">
        <f t="shared" si="68"/>
        <v>252</v>
      </c>
      <c r="CC14" s="184">
        <f t="shared" ref="CC14:CC26" si="72">SUM(AZ14:BC14)</f>
        <v>242</v>
      </c>
      <c r="CD14" s="184">
        <f t="shared" si="69"/>
        <v>370</v>
      </c>
      <c r="CE14" s="184">
        <f t="shared" si="70"/>
        <v>400</v>
      </c>
      <c r="CF14" s="185">
        <f t="shared" si="71"/>
        <v>400</v>
      </c>
      <c r="CG14" s="567"/>
      <c r="CH14" s="8"/>
    </row>
    <row r="15" spans="1:86" ht="14.25" customHeight="1">
      <c r="A15" s="8"/>
      <c r="B15" s="372" t="str">
        <f t="shared" si="0"/>
        <v>Amortization of acquired-related intangibles</v>
      </c>
      <c r="C15" s="42"/>
      <c r="D15" s="572">
        <f t="shared" si="1"/>
        <v>29</v>
      </c>
      <c r="E15" s="184">
        <f t="shared" si="2"/>
        <v>31</v>
      </c>
      <c r="F15" s="184">
        <f t="shared" si="3"/>
        <v>33</v>
      </c>
      <c r="G15" s="185">
        <f t="shared" si="4"/>
        <v>-38</v>
      </c>
      <c r="H15" s="572">
        <f t="shared" si="5"/>
        <v>30</v>
      </c>
      <c r="I15" s="184">
        <f t="shared" si="6"/>
        <v>29</v>
      </c>
      <c r="J15" s="184">
        <f t="shared" si="7"/>
        <v>26</v>
      </c>
      <c r="K15" s="185">
        <f t="shared" si="8"/>
        <v>-26</v>
      </c>
      <c r="L15" s="572">
        <f t="shared" si="9"/>
        <v>14</v>
      </c>
      <c r="M15" s="184">
        <f t="shared" si="10"/>
        <v>14</v>
      </c>
      <c r="N15" s="184">
        <f t="shared" si="11"/>
        <v>10</v>
      </c>
      <c r="O15" s="185">
        <f t="shared" si="12"/>
        <v>10</v>
      </c>
      <c r="P15" s="572">
        <f t="shared" si="13"/>
        <v>10</v>
      </c>
      <c r="Q15" s="184">
        <f t="shared" si="14"/>
        <v>9</v>
      </c>
      <c r="R15" s="184">
        <f t="shared" si="15"/>
        <v>9</v>
      </c>
      <c r="S15" s="185">
        <f t="shared" si="16"/>
        <v>9</v>
      </c>
      <c r="T15" s="572">
        <f t="shared" si="17"/>
        <v>10</v>
      </c>
      <c r="U15" s="184">
        <f t="shared" si="18"/>
        <v>12</v>
      </c>
      <c r="V15" s="184">
        <f t="shared" si="19"/>
        <v>12</v>
      </c>
      <c r="W15" s="185">
        <f t="shared" si="20"/>
        <v>14</v>
      </c>
      <c r="X15" s="572">
        <f t="shared" si="21"/>
        <v>13</v>
      </c>
      <c r="Y15" s="184">
        <f t="shared" si="22"/>
        <v>12</v>
      </c>
      <c r="Z15" s="184">
        <f t="shared" si="23"/>
        <v>11</v>
      </c>
      <c r="AA15" s="185">
        <f t="shared" si="24"/>
        <v>12</v>
      </c>
      <c r="AB15" s="572">
        <f t="shared" si="25"/>
        <v>7</v>
      </c>
      <c r="AC15" s="184">
        <f t="shared" si="26"/>
        <v>6</v>
      </c>
      <c r="AD15" s="184">
        <f t="shared" si="27"/>
        <v>12</v>
      </c>
      <c r="AE15" s="185">
        <f t="shared" si="28"/>
        <v>86</v>
      </c>
      <c r="AF15" s="572">
        <f t="shared" si="29"/>
        <v>86</v>
      </c>
      <c r="AG15" s="184">
        <f t="shared" si="30"/>
        <v>85</v>
      </c>
      <c r="AH15" s="184">
        <f t="shared" si="31"/>
        <v>86</v>
      </c>
      <c r="AI15" s="185">
        <f t="shared" si="32"/>
        <v>85</v>
      </c>
      <c r="AJ15" s="572">
        <f t="shared" si="33"/>
        <v>85</v>
      </c>
      <c r="AK15" s="184">
        <f t="shared" si="34"/>
        <v>85</v>
      </c>
      <c r="AL15" s="184">
        <f>AL110-SUM(AJ15:AK15)</f>
        <v>83</v>
      </c>
      <c r="AM15" s="185">
        <f t="shared" si="36"/>
        <v>83</v>
      </c>
      <c r="AN15" s="572">
        <f t="shared" si="37"/>
        <v>81</v>
      </c>
      <c r="AO15" s="184">
        <f t="shared" si="38"/>
        <v>110</v>
      </c>
      <c r="AP15" s="184">
        <f>AP110-SUM(AN15:AO15)</f>
        <v>80</v>
      </c>
      <c r="AQ15" s="185">
        <f t="shared" si="40"/>
        <v>109</v>
      </c>
      <c r="AR15" s="572">
        <f t="shared" si="41"/>
        <v>80</v>
      </c>
      <c r="AS15" s="184">
        <f t="shared" si="42"/>
        <v>106</v>
      </c>
      <c r="AT15" s="184">
        <f>AT110-SUM(AR15:AS15)</f>
        <v>54</v>
      </c>
      <c r="AU15" s="185">
        <f t="shared" si="44"/>
        <v>127</v>
      </c>
      <c r="AV15" s="572">
        <f t="shared" si="45"/>
        <v>80</v>
      </c>
      <c r="AW15" s="184">
        <f t="shared" si="46"/>
        <v>95</v>
      </c>
      <c r="AX15" s="184">
        <f>AX110-SUM(AV15:AW15)</f>
        <v>64</v>
      </c>
      <c r="AY15" s="185">
        <f t="shared" si="48"/>
        <v>111</v>
      </c>
      <c r="AZ15" s="572">
        <f t="shared" si="49"/>
        <v>80</v>
      </c>
      <c r="BA15" s="184">
        <f t="shared" si="50"/>
        <v>91</v>
      </c>
      <c r="BB15" s="184">
        <f>BB110-SUM(AZ15:BA15)</f>
        <v>68</v>
      </c>
      <c r="BC15" s="185">
        <f t="shared" si="52"/>
        <v>126</v>
      </c>
      <c r="BD15" s="572">
        <f t="shared" si="53"/>
        <v>80</v>
      </c>
      <c r="BE15" s="186">
        <f>+BD15</f>
        <v>80</v>
      </c>
      <c r="BF15" s="186">
        <f>+BE15</f>
        <v>80</v>
      </c>
      <c r="BG15" s="186">
        <f>+BF15</f>
        <v>80</v>
      </c>
      <c r="BH15" s="574">
        <v>80</v>
      </c>
      <c r="BI15" s="186">
        <f>+BH15</f>
        <v>80</v>
      </c>
      <c r="BJ15" s="186">
        <f>+BI15</f>
        <v>80</v>
      </c>
      <c r="BK15" s="186">
        <f>+BJ15</f>
        <v>80</v>
      </c>
      <c r="BL15" s="574">
        <v>70</v>
      </c>
      <c r="BM15" s="186">
        <f>+BL15</f>
        <v>70</v>
      </c>
      <c r="BN15" s="186">
        <f>+BM15</f>
        <v>70</v>
      </c>
      <c r="BO15" s="186">
        <f>+BN15</f>
        <v>70</v>
      </c>
      <c r="BP15" s="20"/>
      <c r="BQ15" s="184">
        <f t="shared" si="57"/>
        <v>55</v>
      </c>
      <c r="BR15" s="184">
        <f t="shared" si="58"/>
        <v>59</v>
      </c>
      <c r="BS15" s="184">
        <f t="shared" si="59"/>
        <v>48</v>
      </c>
      <c r="BT15" s="184">
        <f t="shared" si="60"/>
        <v>37</v>
      </c>
      <c r="BU15" s="184">
        <f t="shared" si="61"/>
        <v>48</v>
      </c>
      <c r="BV15" s="573">
        <f t="shared" si="62"/>
        <v>48</v>
      </c>
      <c r="BW15" s="572">
        <f t="shared" si="63"/>
        <v>111</v>
      </c>
      <c r="BX15" s="572">
        <f t="shared" si="64"/>
        <v>342</v>
      </c>
      <c r="BY15" s="184">
        <f t="shared" si="65"/>
        <v>336</v>
      </c>
      <c r="BZ15" s="184">
        <f t="shared" si="66"/>
        <v>380</v>
      </c>
      <c r="CA15" s="184">
        <f t="shared" si="67"/>
        <v>367</v>
      </c>
      <c r="CB15" s="184">
        <f t="shared" si="68"/>
        <v>350</v>
      </c>
      <c r="CC15" s="184">
        <f t="shared" si="72"/>
        <v>365</v>
      </c>
      <c r="CD15" s="184">
        <f t="shared" si="69"/>
        <v>320</v>
      </c>
      <c r="CE15" s="184">
        <f t="shared" si="70"/>
        <v>320</v>
      </c>
      <c r="CF15" s="185">
        <f t="shared" si="71"/>
        <v>280</v>
      </c>
      <c r="CG15" s="567"/>
      <c r="CH15" s="8"/>
    </row>
    <row r="16" spans="1:86" ht="14.25" customHeight="1">
      <c r="A16" s="8"/>
      <c r="B16" s="372" t="str">
        <f t="shared" si="0"/>
        <v>Loss (gain) on sale of assets</v>
      </c>
      <c r="C16" s="42"/>
      <c r="D16" s="572">
        <f t="shared" si="1"/>
        <v>15</v>
      </c>
      <c r="E16" s="184">
        <f t="shared" si="2"/>
        <v>15</v>
      </c>
      <c r="F16" s="184">
        <f t="shared" si="3"/>
        <v>12</v>
      </c>
      <c r="G16" s="185">
        <f t="shared" si="4"/>
        <v>-67</v>
      </c>
      <c r="H16" s="572">
        <f t="shared" si="5"/>
        <v>16</v>
      </c>
      <c r="I16" s="184">
        <f t="shared" si="6"/>
        <v>15</v>
      </c>
      <c r="J16" s="184">
        <f t="shared" si="7"/>
        <v>15</v>
      </c>
      <c r="K16" s="185">
        <f t="shared" si="8"/>
        <v>-46</v>
      </c>
      <c r="L16" s="572">
        <f t="shared" si="9"/>
        <v>0</v>
      </c>
      <c r="M16" s="184">
        <f t="shared" si="10"/>
        <v>0</v>
      </c>
      <c r="N16" s="184">
        <f t="shared" si="11"/>
        <v>-39</v>
      </c>
      <c r="O16" s="185">
        <f t="shared" si="12"/>
        <v>0</v>
      </c>
      <c r="P16" s="572">
        <f t="shared" si="13"/>
        <v>6</v>
      </c>
      <c r="Q16" s="184">
        <f t="shared" si="14"/>
        <v>0</v>
      </c>
      <c r="R16" s="184">
        <f t="shared" si="15"/>
        <v>0</v>
      </c>
      <c r="S16" s="185">
        <f t="shared" si="16"/>
        <v>-6</v>
      </c>
      <c r="T16" s="572">
        <f t="shared" si="17"/>
        <v>0</v>
      </c>
      <c r="U16" s="184">
        <f t="shared" si="18"/>
        <v>0</v>
      </c>
      <c r="V16" s="184">
        <f t="shared" si="19"/>
        <v>0</v>
      </c>
      <c r="W16" s="185">
        <f t="shared" si="20"/>
        <v>0</v>
      </c>
      <c r="X16" s="572">
        <f t="shared" si="21"/>
        <v>0</v>
      </c>
      <c r="Y16" s="184">
        <f t="shared" si="22"/>
        <v>0</v>
      </c>
      <c r="Z16" s="184">
        <f t="shared" si="23"/>
        <v>0</v>
      </c>
      <c r="AA16" s="185">
        <f t="shared" si="24"/>
        <v>0</v>
      </c>
      <c r="AB16" s="572">
        <f t="shared" si="25"/>
        <v>0</v>
      </c>
      <c r="AC16" s="184">
        <f t="shared" si="26"/>
        <v>0</v>
      </c>
      <c r="AD16" s="184">
        <f t="shared" si="27"/>
        <v>-5</v>
      </c>
      <c r="AE16" s="185">
        <f t="shared" si="28"/>
        <v>0</v>
      </c>
      <c r="AF16" s="572">
        <f t="shared" si="29"/>
        <v>0</v>
      </c>
      <c r="AG16" s="184">
        <f t="shared" si="30"/>
        <v>0</v>
      </c>
      <c r="AH16" s="184">
        <f t="shared" si="31"/>
        <v>0</v>
      </c>
      <c r="AI16" s="185">
        <f t="shared" si="32"/>
        <v>0</v>
      </c>
      <c r="AJ16" s="572">
        <f t="shared" si="33"/>
        <v>-3</v>
      </c>
      <c r="AK16" s="184">
        <f t="shared" si="34"/>
        <v>0</v>
      </c>
      <c r="AL16" s="184">
        <f t="shared" si="35"/>
        <v>-3</v>
      </c>
      <c r="AM16" s="185">
        <f t="shared" si="36"/>
        <v>0</v>
      </c>
      <c r="AN16" s="572">
        <f t="shared" si="37"/>
        <v>-37</v>
      </c>
      <c r="AO16" s="184">
        <f t="shared" si="38"/>
        <v>-2</v>
      </c>
      <c r="AP16" s="184">
        <f t="shared" si="39"/>
        <v>-5</v>
      </c>
      <c r="AQ16" s="185">
        <f t="shared" si="40"/>
        <v>-29</v>
      </c>
      <c r="AR16" s="572">
        <f t="shared" si="41"/>
        <v>-1</v>
      </c>
      <c r="AS16" s="184">
        <f t="shared" si="42"/>
        <v>-2</v>
      </c>
      <c r="AT16" s="184">
        <f t="shared" si="43"/>
        <v>0</v>
      </c>
      <c r="AU16" s="185">
        <f t="shared" si="44"/>
        <v>-82</v>
      </c>
      <c r="AV16" s="572">
        <f t="shared" si="45"/>
        <v>0</v>
      </c>
      <c r="AW16" s="184">
        <f t="shared" si="46"/>
        <v>0</v>
      </c>
      <c r="AX16" s="184">
        <f t="shared" si="47"/>
        <v>0</v>
      </c>
      <c r="AY16" s="185">
        <f t="shared" si="48"/>
        <v>-40</v>
      </c>
      <c r="AZ16" s="572">
        <f t="shared" si="49"/>
        <v>0</v>
      </c>
      <c r="BA16" s="184">
        <f t="shared" si="50"/>
        <v>0</v>
      </c>
      <c r="BB16" s="184">
        <f t="shared" si="51"/>
        <v>0</v>
      </c>
      <c r="BC16" s="185">
        <f t="shared" si="52"/>
        <v>0</v>
      </c>
      <c r="BD16" s="572">
        <f t="shared" si="53"/>
        <v>0</v>
      </c>
      <c r="BE16" s="186">
        <v>0</v>
      </c>
      <c r="BF16" s="186">
        <v>0</v>
      </c>
      <c r="BG16" s="186">
        <v>0</v>
      </c>
      <c r="BH16" s="574">
        <v>0</v>
      </c>
      <c r="BI16" s="186">
        <v>0</v>
      </c>
      <c r="BJ16" s="186">
        <v>0</v>
      </c>
      <c r="BK16" s="186">
        <v>0</v>
      </c>
      <c r="BL16" s="574">
        <v>0</v>
      </c>
      <c r="BM16" s="186">
        <v>0</v>
      </c>
      <c r="BN16" s="186">
        <v>0</v>
      </c>
      <c r="BO16" s="186">
        <v>0</v>
      </c>
      <c r="BP16" s="20"/>
      <c r="BQ16" s="184">
        <f t="shared" si="57"/>
        <v>-25</v>
      </c>
      <c r="BR16" s="184">
        <f t="shared" si="58"/>
        <v>0</v>
      </c>
      <c r="BS16" s="184">
        <f t="shared" si="59"/>
        <v>-39</v>
      </c>
      <c r="BT16" s="184">
        <f t="shared" si="60"/>
        <v>0</v>
      </c>
      <c r="BU16" s="184">
        <f t="shared" si="61"/>
        <v>0</v>
      </c>
      <c r="BV16" s="573">
        <f t="shared" si="62"/>
        <v>0</v>
      </c>
      <c r="BW16" s="572">
        <f t="shared" si="63"/>
        <v>-5</v>
      </c>
      <c r="BX16" s="572">
        <f t="shared" si="64"/>
        <v>0</v>
      </c>
      <c r="BY16" s="184">
        <f t="shared" si="65"/>
        <v>-6</v>
      </c>
      <c r="BZ16" s="184">
        <f t="shared" si="66"/>
        <v>-73</v>
      </c>
      <c r="CA16" s="184">
        <f t="shared" si="67"/>
        <v>-85</v>
      </c>
      <c r="CB16" s="184">
        <f t="shared" si="68"/>
        <v>-40</v>
      </c>
      <c r="CC16" s="184">
        <f t="shared" si="72"/>
        <v>0</v>
      </c>
      <c r="CD16" s="184">
        <f t="shared" si="69"/>
        <v>0</v>
      </c>
      <c r="CE16" s="184">
        <f t="shared" si="70"/>
        <v>0</v>
      </c>
      <c r="CF16" s="185">
        <f t="shared" si="71"/>
        <v>0</v>
      </c>
      <c r="CG16" s="567"/>
      <c r="CH16" s="8"/>
    </row>
    <row r="17" spans="1:86" ht="14.25" customHeight="1">
      <c r="A17" s="8"/>
      <c r="B17" s="372" t="str">
        <f>B112</f>
        <v>Deferred income taxes</v>
      </c>
      <c r="C17" s="42"/>
      <c r="D17" s="572">
        <f t="shared" si="1"/>
        <v>-37</v>
      </c>
      <c r="E17" s="184">
        <f t="shared" si="2"/>
        <v>-174</v>
      </c>
      <c r="F17" s="184">
        <f t="shared" si="3"/>
        <v>110</v>
      </c>
      <c r="G17" s="185">
        <f t="shared" si="4"/>
        <v>-93</v>
      </c>
      <c r="H17" s="572">
        <f t="shared" si="5"/>
        <v>-36</v>
      </c>
      <c r="I17" s="184">
        <f t="shared" si="6"/>
        <v>-41</v>
      </c>
      <c r="J17" s="184">
        <f t="shared" si="7"/>
        <v>-46</v>
      </c>
      <c r="K17" s="185">
        <f t="shared" si="8"/>
        <v>-77</v>
      </c>
      <c r="L17" s="572">
        <f t="shared" si="9"/>
        <v>-3</v>
      </c>
      <c r="M17" s="184">
        <f t="shared" si="10"/>
        <v>-3</v>
      </c>
      <c r="N17" s="184">
        <f t="shared" si="11"/>
        <v>36</v>
      </c>
      <c r="O17" s="185">
        <f t="shared" si="12"/>
        <v>4</v>
      </c>
      <c r="P17" s="572">
        <f t="shared" si="13"/>
        <v>-74</v>
      </c>
      <c r="Q17" s="184">
        <f t="shared" si="14"/>
        <v>-7</v>
      </c>
      <c r="R17" s="184">
        <f t="shared" si="15"/>
        <v>-78</v>
      </c>
      <c r="S17" s="185">
        <f t="shared" si="16"/>
        <v>-23</v>
      </c>
      <c r="T17" s="572">
        <f t="shared" si="17"/>
        <v>3</v>
      </c>
      <c r="U17" s="184">
        <f t="shared" si="18"/>
        <v>6</v>
      </c>
      <c r="V17" s="184">
        <f t="shared" si="19"/>
        <v>71</v>
      </c>
      <c r="W17" s="185">
        <f t="shared" si="20"/>
        <v>66</v>
      </c>
      <c r="X17" s="572">
        <f t="shared" si="21"/>
        <v>-11</v>
      </c>
      <c r="Y17" s="184">
        <f t="shared" si="22"/>
        <v>-7</v>
      </c>
      <c r="Z17" s="184">
        <f t="shared" si="23"/>
        <v>-27</v>
      </c>
      <c r="AA17" s="185">
        <f t="shared" si="24"/>
        <v>-143</v>
      </c>
      <c r="AB17" s="572">
        <f t="shared" si="25"/>
        <v>31</v>
      </c>
      <c r="AC17" s="184">
        <f t="shared" si="26"/>
        <v>-46</v>
      </c>
      <c r="AD17" s="184">
        <f t="shared" si="27"/>
        <v>6</v>
      </c>
      <c r="AE17" s="185">
        <f t="shared" si="28"/>
        <v>-110</v>
      </c>
      <c r="AF17" s="572">
        <f t="shared" si="29"/>
        <v>-4</v>
      </c>
      <c r="AG17" s="184">
        <f t="shared" si="30"/>
        <v>21</v>
      </c>
      <c r="AH17" s="184">
        <f t="shared" si="31"/>
        <v>119</v>
      </c>
      <c r="AI17" s="185">
        <f t="shared" si="32"/>
        <v>-71</v>
      </c>
      <c r="AJ17" s="572">
        <f t="shared" si="33"/>
        <v>15</v>
      </c>
      <c r="AK17" s="184">
        <f t="shared" si="34"/>
        <v>-54</v>
      </c>
      <c r="AL17" s="184">
        <f t="shared" si="35"/>
        <v>30</v>
      </c>
      <c r="AM17" s="185">
        <f t="shared" si="36"/>
        <v>59</v>
      </c>
      <c r="AN17" s="572">
        <f t="shared" si="37"/>
        <v>0</v>
      </c>
      <c r="AO17" s="184">
        <f t="shared" si="38"/>
        <v>-57</v>
      </c>
      <c r="AP17" s="184">
        <f t="shared" si="39"/>
        <v>-27</v>
      </c>
      <c r="AQ17" s="185">
        <f t="shared" si="40"/>
        <v>23</v>
      </c>
      <c r="AR17" s="572">
        <f t="shared" si="41"/>
        <v>1</v>
      </c>
      <c r="AS17" s="184">
        <f t="shared" si="42"/>
        <v>-57</v>
      </c>
      <c r="AT17" s="184">
        <f t="shared" si="43"/>
        <v>-50</v>
      </c>
      <c r="AU17" s="185">
        <f t="shared" si="44"/>
        <v>51</v>
      </c>
      <c r="AV17" s="572">
        <f t="shared" si="45"/>
        <v>24</v>
      </c>
      <c r="AW17" s="184">
        <f t="shared" si="46"/>
        <v>-59</v>
      </c>
      <c r="AX17" s="184">
        <f t="shared" si="47"/>
        <v>-125</v>
      </c>
      <c r="AY17" s="185">
        <f t="shared" si="48"/>
        <v>-42</v>
      </c>
      <c r="AZ17" s="572">
        <f t="shared" si="49"/>
        <v>9</v>
      </c>
      <c r="BA17" s="184">
        <f t="shared" si="50"/>
        <v>-54</v>
      </c>
      <c r="BB17" s="184">
        <f t="shared" si="51"/>
        <v>-2</v>
      </c>
      <c r="BC17" s="185">
        <f t="shared" si="52"/>
        <v>159</v>
      </c>
      <c r="BD17" s="572">
        <f t="shared" si="53"/>
        <v>-31</v>
      </c>
      <c r="BE17" s="186">
        <v>0</v>
      </c>
      <c r="BF17" s="186">
        <v>0</v>
      </c>
      <c r="BG17" s="186">
        <v>0</v>
      </c>
      <c r="BH17" s="574">
        <v>0</v>
      </c>
      <c r="BI17" s="186">
        <v>0</v>
      </c>
      <c r="BJ17" s="186">
        <v>0</v>
      </c>
      <c r="BK17" s="186">
        <v>0</v>
      </c>
      <c r="BL17" s="574">
        <v>0</v>
      </c>
      <c r="BM17" s="186">
        <v>0</v>
      </c>
      <c r="BN17" s="186">
        <v>0</v>
      </c>
      <c r="BO17" s="186">
        <v>0</v>
      </c>
      <c r="BP17" s="20"/>
      <c r="BQ17" s="184">
        <f t="shared" si="57"/>
        <v>-194</v>
      </c>
      <c r="BR17" s="184">
        <f t="shared" si="58"/>
        <v>-200</v>
      </c>
      <c r="BS17" s="184">
        <f t="shared" si="59"/>
        <v>34</v>
      </c>
      <c r="BT17" s="184">
        <f t="shared" si="60"/>
        <v>-182</v>
      </c>
      <c r="BU17" s="184">
        <f t="shared" si="61"/>
        <v>146</v>
      </c>
      <c r="BV17" s="573">
        <f t="shared" si="62"/>
        <v>-188</v>
      </c>
      <c r="BW17" s="572">
        <f t="shared" si="63"/>
        <v>-119</v>
      </c>
      <c r="BX17" s="572">
        <f t="shared" si="64"/>
        <v>65</v>
      </c>
      <c r="BY17" s="184">
        <f t="shared" si="65"/>
        <v>50</v>
      </c>
      <c r="BZ17" s="184">
        <f t="shared" si="66"/>
        <v>-61</v>
      </c>
      <c r="CA17" s="184">
        <f t="shared" si="67"/>
        <v>-55</v>
      </c>
      <c r="CB17" s="184">
        <f t="shared" si="68"/>
        <v>-202</v>
      </c>
      <c r="CC17" s="184">
        <f t="shared" si="72"/>
        <v>112</v>
      </c>
      <c r="CD17" s="184">
        <f t="shared" si="69"/>
        <v>-31</v>
      </c>
      <c r="CE17" s="184">
        <f t="shared" si="70"/>
        <v>0</v>
      </c>
      <c r="CF17" s="185">
        <f t="shared" si="71"/>
        <v>0</v>
      </c>
      <c r="CG17" s="567"/>
      <c r="CH17" s="8"/>
    </row>
    <row r="18" spans="1:86" ht="14.25" customHeight="1">
      <c r="A18" s="8"/>
      <c r="B18" s="372" t="str">
        <f t="shared" ref="B18:B24" si="73">B113</f>
        <v>Other operating activities</v>
      </c>
      <c r="C18" s="42"/>
      <c r="D18" s="572">
        <f t="shared" si="1"/>
        <v>-62</v>
      </c>
      <c r="E18" s="184">
        <f t="shared" si="2"/>
        <v>-21</v>
      </c>
      <c r="F18" s="184">
        <f t="shared" si="3"/>
        <v>-35</v>
      </c>
      <c r="G18" s="185">
        <f t="shared" si="4"/>
        <v>-33</v>
      </c>
      <c r="H18" s="572">
        <f t="shared" si="5"/>
        <v>-43</v>
      </c>
      <c r="I18" s="184">
        <f t="shared" si="6"/>
        <v>-1647</v>
      </c>
      <c r="J18" s="184">
        <f t="shared" si="7"/>
        <v>-15</v>
      </c>
      <c r="K18" s="185">
        <f t="shared" si="8"/>
        <v>2</v>
      </c>
      <c r="L18" s="572">
        <f t="shared" si="9"/>
        <v>0</v>
      </c>
      <c r="M18" s="184">
        <f t="shared" si="10"/>
        <v>4</v>
      </c>
      <c r="N18" s="184">
        <f t="shared" si="11"/>
        <v>-18</v>
      </c>
      <c r="O18" s="185">
        <f t="shared" si="12"/>
        <v>-2</v>
      </c>
      <c r="P18" s="572">
        <f t="shared" si="13"/>
        <v>0</v>
      </c>
      <c r="Q18" s="184">
        <f t="shared" si="14"/>
        <v>0</v>
      </c>
      <c r="R18" s="184">
        <f t="shared" si="15"/>
        <v>0</v>
      </c>
      <c r="S18" s="185">
        <f t="shared" si="16"/>
        <v>0</v>
      </c>
      <c r="T18" s="572">
        <f t="shared" si="17"/>
        <v>0</v>
      </c>
      <c r="U18" s="184">
        <f t="shared" si="18"/>
        <v>0</v>
      </c>
      <c r="V18" s="184">
        <f t="shared" si="19"/>
        <v>0</v>
      </c>
      <c r="W18" s="185">
        <f t="shared" si="20"/>
        <v>0</v>
      </c>
      <c r="X18" s="572">
        <f t="shared" si="21"/>
        <v>0</v>
      </c>
      <c r="Y18" s="184">
        <f t="shared" si="22"/>
        <v>0</v>
      </c>
      <c r="Z18" s="184">
        <f t="shared" si="23"/>
        <v>0</v>
      </c>
      <c r="AA18" s="185">
        <f t="shared" si="24"/>
        <v>-144</v>
      </c>
      <c r="AB18" s="572">
        <f t="shared" si="25"/>
        <v>0</v>
      </c>
      <c r="AC18" s="184">
        <f t="shared" si="26"/>
        <v>0</v>
      </c>
      <c r="AD18" s="184">
        <f t="shared" si="27"/>
        <v>0</v>
      </c>
      <c r="AE18" s="185">
        <f t="shared" si="28"/>
        <v>0</v>
      </c>
      <c r="AF18" s="572">
        <f t="shared" si="29"/>
        <v>0</v>
      </c>
      <c r="AG18" s="184">
        <f t="shared" si="30"/>
        <v>0</v>
      </c>
      <c r="AH18" s="184">
        <f t="shared" si="31"/>
        <v>-144</v>
      </c>
      <c r="AI18" s="185">
        <f t="shared" si="32"/>
        <v>0</v>
      </c>
      <c r="AJ18" s="572">
        <f t="shared" si="33"/>
        <v>0</v>
      </c>
      <c r="AK18" s="184">
        <f t="shared" si="34"/>
        <v>0</v>
      </c>
      <c r="AL18" s="184">
        <f t="shared" si="35"/>
        <v>0</v>
      </c>
      <c r="AM18" s="185">
        <f t="shared" si="36"/>
        <v>0</v>
      </c>
      <c r="AN18" s="572">
        <f t="shared" si="37"/>
        <v>0</v>
      </c>
      <c r="AO18" s="184">
        <f t="shared" si="38"/>
        <v>0</v>
      </c>
      <c r="AP18" s="184">
        <f t="shared" si="39"/>
        <v>0</v>
      </c>
      <c r="AQ18" s="185">
        <f t="shared" si="40"/>
        <v>0</v>
      </c>
      <c r="AR18" s="572">
        <f t="shared" si="41"/>
        <v>13</v>
      </c>
      <c r="AS18" s="184">
        <f t="shared" si="42"/>
        <v>-13</v>
      </c>
      <c r="AT18" s="184">
        <f t="shared" si="43"/>
        <v>38</v>
      </c>
      <c r="AU18" s="185">
        <f t="shared" si="44"/>
        <v>-38</v>
      </c>
      <c r="AV18" s="572">
        <f t="shared" si="45"/>
        <v>8</v>
      </c>
      <c r="AW18" s="184">
        <f t="shared" si="46"/>
        <v>-8</v>
      </c>
      <c r="AX18" s="184">
        <f t="shared" si="47"/>
        <v>23</v>
      </c>
      <c r="AY18" s="185">
        <f t="shared" si="48"/>
        <v>-23</v>
      </c>
      <c r="AZ18" s="572">
        <f t="shared" si="49"/>
        <v>11</v>
      </c>
      <c r="BA18" s="184">
        <f t="shared" si="50"/>
        <v>0</v>
      </c>
      <c r="BB18" s="184">
        <f t="shared" si="51"/>
        <v>24</v>
      </c>
      <c r="BC18" s="185">
        <f t="shared" si="52"/>
        <v>-35</v>
      </c>
      <c r="BD18" s="572">
        <f t="shared" si="53"/>
        <v>12</v>
      </c>
      <c r="BE18" s="184">
        <f>BS!BE60-BS!BD60</f>
        <v>0</v>
      </c>
      <c r="BF18" s="184">
        <f>BS!BF60-BS!BE60</f>
        <v>0</v>
      </c>
      <c r="BG18" s="185">
        <f>BS!BG60-BS!BF60</f>
        <v>0</v>
      </c>
      <c r="BH18" s="572">
        <f>BS!BH60-BS!BG60</f>
        <v>0</v>
      </c>
      <c r="BI18" s="184">
        <f>BS!BI60-BS!BH60</f>
        <v>0</v>
      </c>
      <c r="BJ18" s="184">
        <f>BS!BJ60-BS!BI60</f>
        <v>0</v>
      </c>
      <c r="BK18" s="185">
        <f>BS!BK60-BS!BJ60</f>
        <v>0</v>
      </c>
      <c r="BL18" s="572">
        <f>BS!BL60-BS!BK60</f>
        <v>0</v>
      </c>
      <c r="BM18" s="184">
        <f>BS!BM60-BS!BL60</f>
        <v>0</v>
      </c>
      <c r="BN18" s="184">
        <f>BS!BN60-BS!BM60</f>
        <v>0</v>
      </c>
      <c r="BO18" s="185">
        <f>BS!BO60-BS!BN60</f>
        <v>0</v>
      </c>
      <c r="BP18" s="20"/>
      <c r="BQ18" s="184">
        <f t="shared" si="57"/>
        <v>-151</v>
      </c>
      <c r="BR18" s="184">
        <f t="shared" si="58"/>
        <v>-1703</v>
      </c>
      <c r="BS18" s="184">
        <f t="shared" si="59"/>
        <v>-16</v>
      </c>
      <c r="BT18" s="184">
        <f t="shared" si="60"/>
        <v>0</v>
      </c>
      <c r="BU18" s="184">
        <f t="shared" si="61"/>
        <v>0</v>
      </c>
      <c r="BV18" s="573">
        <f t="shared" si="62"/>
        <v>-144</v>
      </c>
      <c r="BW18" s="572">
        <f t="shared" si="63"/>
        <v>0</v>
      </c>
      <c r="BX18" s="572">
        <f t="shared" si="64"/>
        <v>-144</v>
      </c>
      <c r="BY18" s="184">
        <f t="shared" si="65"/>
        <v>0</v>
      </c>
      <c r="BZ18" s="184">
        <f t="shared" si="66"/>
        <v>0</v>
      </c>
      <c r="CA18" s="184">
        <f t="shared" si="67"/>
        <v>0</v>
      </c>
      <c r="CB18" s="184">
        <f t="shared" si="68"/>
        <v>0</v>
      </c>
      <c r="CC18" s="184">
        <f t="shared" si="72"/>
        <v>0</v>
      </c>
      <c r="CD18" s="184">
        <f t="shared" si="69"/>
        <v>12</v>
      </c>
      <c r="CE18" s="184">
        <f t="shared" si="70"/>
        <v>0</v>
      </c>
      <c r="CF18" s="185">
        <f t="shared" si="71"/>
        <v>0</v>
      </c>
      <c r="CG18" s="567"/>
      <c r="CH18" s="8"/>
    </row>
    <row r="19" spans="1:86" ht="14.25" customHeight="1">
      <c r="A19" s="8"/>
      <c r="B19" s="336" t="str">
        <f t="shared" si="73"/>
        <v>Changes in current assets and liabilities:</v>
      </c>
      <c r="C19" s="24"/>
      <c r="D19" s="574"/>
      <c r="E19" s="184"/>
      <c r="F19" s="184"/>
      <c r="G19" s="185"/>
      <c r="H19" s="574"/>
      <c r="I19" s="184"/>
      <c r="J19" s="184"/>
      <c r="K19" s="185"/>
      <c r="L19" s="574"/>
      <c r="M19" s="184"/>
      <c r="N19" s="184"/>
      <c r="O19" s="185"/>
      <c r="P19" s="574"/>
      <c r="Q19" s="184"/>
      <c r="R19" s="184"/>
      <c r="S19" s="185"/>
      <c r="T19" s="574"/>
      <c r="U19" s="184"/>
      <c r="V19" s="184"/>
      <c r="W19" s="185"/>
      <c r="X19" s="574"/>
      <c r="Y19" s="184"/>
      <c r="Z19" s="184"/>
      <c r="AA19" s="185"/>
      <c r="AB19" s="574"/>
      <c r="AC19" s="184"/>
      <c r="AD19" s="184"/>
      <c r="AE19" s="185"/>
      <c r="AF19" s="574"/>
      <c r="AG19" s="184"/>
      <c r="AH19" s="184"/>
      <c r="AI19" s="185"/>
      <c r="AJ19" s="574"/>
      <c r="AK19" s="184"/>
      <c r="AL19" s="184"/>
      <c r="AM19" s="185"/>
      <c r="AN19" s="574"/>
      <c r="AO19" s="184"/>
      <c r="AP19" s="184"/>
      <c r="AQ19" s="185"/>
      <c r="AR19" s="574"/>
      <c r="AS19" s="184"/>
      <c r="AT19" s="184"/>
      <c r="AU19" s="185"/>
      <c r="AV19" s="574"/>
      <c r="AW19" s="184"/>
      <c r="AX19" s="184"/>
      <c r="AY19" s="185"/>
      <c r="AZ19" s="574"/>
      <c r="BA19" s="184"/>
      <c r="BB19" s="184"/>
      <c r="BC19" s="185"/>
      <c r="BD19" s="574"/>
      <c r="BE19" s="186"/>
      <c r="BF19" s="186"/>
      <c r="BG19" s="186"/>
      <c r="BH19" s="574"/>
      <c r="BI19" s="186"/>
      <c r="BJ19" s="186"/>
      <c r="BK19" s="186"/>
      <c r="BL19" s="574"/>
      <c r="BM19" s="186"/>
      <c r="BN19" s="186"/>
      <c r="BO19" s="186"/>
      <c r="BP19" s="20"/>
      <c r="BQ19" s="184"/>
      <c r="BR19" s="184"/>
      <c r="BS19" s="184"/>
      <c r="BT19" s="184"/>
      <c r="BU19" s="184"/>
      <c r="BV19" s="573"/>
      <c r="BW19" s="572"/>
      <c r="BX19" s="572"/>
      <c r="BY19" s="184"/>
      <c r="BZ19" s="184"/>
      <c r="CA19" s="184"/>
      <c r="CB19" s="184"/>
      <c r="CC19" s="184"/>
      <c r="CD19" s="184"/>
      <c r="CE19" s="184"/>
      <c r="CF19" s="185"/>
      <c r="CG19" s="567"/>
      <c r="CH19" s="8"/>
    </row>
    <row r="20" spans="1:86" ht="14.25" customHeight="1">
      <c r="A20" s="8"/>
      <c r="B20" s="372" t="str">
        <f t="shared" si="73"/>
        <v>Accounts receivable</v>
      </c>
      <c r="C20" s="42"/>
      <c r="D20" s="572">
        <f t="shared" ref="D20:D26" si="74">D115</f>
        <v>7</v>
      </c>
      <c r="E20" s="184">
        <f t="shared" ref="E20:E26" si="75">E115-D20</f>
        <v>-220</v>
      </c>
      <c r="F20" s="184">
        <f t="shared" ref="F20:F26" si="76">F115-E20-D20</f>
        <v>-19</v>
      </c>
      <c r="G20" s="185">
        <f t="shared" ref="G20:G26" si="77">G115-F20-E20-D20</f>
        <v>105</v>
      </c>
      <c r="H20" s="572">
        <f t="shared" ref="H20:H26" si="78">H115</f>
        <v>-144</v>
      </c>
      <c r="I20" s="184">
        <f t="shared" ref="I20:I26" si="79">I115-H20</f>
        <v>-138</v>
      </c>
      <c r="J20" s="184">
        <f t="shared" ref="J20:J26" si="80">J115-I20-H20</f>
        <v>-149</v>
      </c>
      <c r="K20" s="185">
        <f t="shared" ref="K20:K26" si="81">K115-J20-I20-H20</f>
        <v>315</v>
      </c>
      <c r="L20" s="572">
        <f t="shared" ref="L20:L26" si="82">L115</f>
        <v>17</v>
      </c>
      <c r="M20" s="184">
        <f t="shared" ref="M20:M26" si="83">M115-L20</f>
        <v>-144</v>
      </c>
      <c r="N20" s="184">
        <f t="shared" ref="N20:N26" si="84">N115-M20-L20</f>
        <v>-117</v>
      </c>
      <c r="O20" s="185">
        <f t="shared" ref="O20:O26" si="85">O115-N20-M20-L20</f>
        <v>284</v>
      </c>
      <c r="P20" s="572">
        <f t="shared" ref="P20:P26" si="86">P115</f>
        <v>89</v>
      </c>
      <c r="Q20" s="184">
        <f t="shared" ref="Q20:Q26" si="87">Q115-P20</f>
        <v>-149</v>
      </c>
      <c r="R20" s="184">
        <f t="shared" ref="R20:R26" si="88">R115-Q20-P20</f>
        <v>36</v>
      </c>
      <c r="S20" s="185">
        <f t="shared" ref="S20:S26" si="89">S115-R20-Q20-P20</f>
        <v>889</v>
      </c>
      <c r="T20" s="572">
        <f t="shared" ref="T20:T26" si="90">T115</f>
        <v>-218</v>
      </c>
      <c r="U20" s="184">
        <f t="shared" ref="U20:U26" si="91">U115-T20</f>
        <v>-116</v>
      </c>
      <c r="V20" s="184">
        <f t="shared" ref="V20:V26" si="92">V115-U20-T20</f>
        <v>-186</v>
      </c>
      <c r="W20" s="185">
        <f t="shared" ref="W20:W26" si="93">W115-V20-U20-T20</f>
        <v>156</v>
      </c>
      <c r="X20" s="572">
        <f t="shared" ref="X20:X26" si="94">X115</f>
        <v>-251</v>
      </c>
      <c r="Y20" s="184">
        <f t="shared" ref="Y20:Y26" si="95">Y115-X20</f>
        <v>-188</v>
      </c>
      <c r="Z20" s="184">
        <f t="shared" ref="Z20:Z26" si="96">Z115-Y20-X20</f>
        <v>-29</v>
      </c>
      <c r="AA20" s="185">
        <f t="shared" ref="AA20:AA26" si="97">AA115-Z20-Y20-X20</f>
        <v>237</v>
      </c>
      <c r="AB20" s="572">
        <f t="shared" ref="AB20:AB26" si="98">AB115</f>
        <v>-44</v>
      </c>
      <c r="AC20" s="184">
        <f t="shared" ref="AC20:AC26" si="99">AC115-AB20</f>
        <v>-102</v>
      </c>
      <c r="AD20" s="184">
        <f t="shared" ref="AD20:AD26" si="100">AD115-SUM(AB20:AC20)</f>
        <v>22</v>
      </c>
      <c r="AE20" s="185">
        <f t="shared" ref="AE20:AE26" si="101">AE115-AD20-AC20-AB20</f>
        <v>236</v>
      </c>
      <c r="AF20" s="572">
        <f t="shared" ref="AF20:AF26" si="102">AF115</f>
        <v>63</v>
      </c>
      <c r="AG20" s="184">
        <f t="shared" ref="AG20:AG26" si="103">AG115-AF20</f>
        <v>-151</v>
      </c>
      <c r="AH20" s="184">
        <f t="shared" ref="AH20:AH26" si="104">AH115-SUM(AF20:AG20)</f>
        <v>18</v>
      </c>
      <c r="AI20" s="185">
        <f t="shared" ref="AI20:AI26" si="105">AI115-AH20-AG20-AF20</f>
        <v>381</v>
      </c>
      <c r="AJ20" s="572">
        <f t="shared" ref="AJ20:AJ26" si="106">AJ115</f>
        <v>-112</v>
      </c>
      <c r="AK20" s="184">
        <f t="shared" ref="AK20:AK26" si="107">AK115-AJ20</f>
        <v>-160</v>
      </c>
      <c r="AL20" s="184">
        <f t="shared" ref="AL20:AL26" si="108">AL115-SUM(AJ20:AK20)</f>
        <v>-30</v>
      </c>
      <c r="AM20" s="185">
        <f t="shared" ref="AM20:AM26" si="109">AM115-AL20-AK20-AJ20</f>
        <v>318</v>
      </c>
      <c r="AN20" s="572">
        <f t="shared" ref="AN20:AN26" si="110">AN115</f>
        <v>-149</v>
      </c>
      <c r="AO20" s="184">
        <f t="shared" ref="AO20:AO26" si="111">AO115-AN20</f>
        <v>-165</v>
      </c>
      <c r="AP20" s="184">
        <f t="shared" ref="AP20:AP26" si="112">AP115-SUM(AN20:AO20)</f>
        <v>42</v>
      </c>
      <c r="AQ20" s="185">
        <f t="shared" ref="AQ20:AQ26" si="113">AQ115-AP20-AO20-AN20</f>
        <v>223</v>
      </c>
      <c r="AR20" s="572">
        <f t="shared" ref="AR20:AR26" si="114">AR115</f>
        <v>-154</v>
      </c>
      <c r="AS20" s="184">
        <f t="shared" ref="AS20:AS26" si="115">AS115-AR20</f>
        <v>-40</v>
      </c>
      <c r="AT20" s="184">
        <f t="shared" ref="AT20:AT26" si="116">AT115-SUM(AR20:AS20)</f>
        <v>-47</v>
      </c>
      <c r="AU20" s="185">
        <f t="shared" ref="AU20:AU26" si="117">AU115-AT20-AS20-AR20</f>
        <v>318</v>
      </c>
      <c r="AV20" s="572">
        <f t="shared" ref="AV20:AV26" si="118">AV115</f>
        <v>-100</v>
      </c>
      <c r="AW20" s="184">
        <f t="shared" ref="AW20:AW26" si="119">AW115-AV20</f>
        <v>-76</v>
      </c>
      <c r="AX20" s="184">
        <f t="shared" ref="AX20:AX26" si="120">AX115-SUM(AV20:AW20)</f>
        <v>-98</v>
      </c>
      <c r="AY20" s="185">
        <f t="shared" ref="AY20:AY26" si="121">AY115-AX20-AW20-AV20</f>
        <v>166</v>
      </c>
      <c r="AZ20" s="572">
        <f t="shared" ref="AZ20:AZ26" si="122">AZ115</f>
        <v>-68</v>
      </c>
      <c r="BA20" s="184">
        <f t="shared" ref="BA20:BA26" si="123">BA115-AZ20</f>
        <v>-132</v>
      </c>
      <c r="BB20" s="184">
        <f t="shared" ref="BB20:BB26" si="124">BB115-SUM(AZ20:BA20)</f>
        <v>-106</v>
      </c>
      <c r="BC20" s="185">
        <f t="shared" ref="BC20:BC26" si="125">BC115-BB20-BA20-AZ20</f>
        <v>299</v>
      </c>
      <c r="BD20" s="572">
        <f t="shared" ref="BD20:BD26" si="126">BD115</f>
        <v>-176</v>
      </c>
      <c r="BE20" s="184">
        <f>BS!BD13-BS!BE13</f>
        <v>-188.58969235548602</v>
      </c>
      <c r="BF20" s="184">
        <f>BS!BE13-BS!BF13</f>
        <v>-105.20725114957031</v>
      </c>
      <c r="BG20" s="184">
        <f>BS!BF13-BS!BG13</f>
        <v>100.93286676255298</v>
      </c>
      <c r="BH20" s="572">
        <f>BS!BG13-BS!BH13</f>
        <v>43.323151055782319</v>
      </c>
      <c r="BI20" s="184">
        <f>BS!BH13-BS!BI13</f>
        <v>-99.436690613965538</v>
      </c>
      <c r="BJ20" s="184">
        <f>BS!BI13-BS!BJ13</f>
        <v>-104.67042530915933</v>
      </c>
      <c r="BK20" s="184">
        <f>BS!BJ13-BS!BK13</f>
        <v>109.90596547763016</v>
      </c>
      <c r="BL20" s="572">
        <f>BS!BK13-BS!BL13</f>
        <v>42.792862763964195</v>
      </c>
      <c r="BM20" s="184">
        <f>BS!BL13-BS!BM13</f>
        <v>-102.10407067992719</v>
      </c>
      <c r="BN20" s="184">
        <f>BS!BM13-BS!BN13</f>
        <v>-106.92244902136213</v>
      </c>
      <c r="BO20" s="184">
        <f>BS!BN13-BS!BO13</f>
        <v>112.34347951451741</v>
      </c>
      <c r="BP20" s="20"/>
      <c r="BQ20" s="184">
        <f t="shared" ref="BQ20:BQ26" si="127">SUM(D20:G20)</f>
        <v>-127</v>
      </c>
      <c r="BR20" s="184">
        <f t="shared" ref="BR20:BR26" si="128">SUM(H20:K20)</f>
        <v>-116</v>
      </c>
      <c r="BS20" s="184">
        <f t="shared" ref="BS20:BS26" si="129">SUM(L20:O20)</f>
        <v>40</v>
      </c>
      <c r="BT20" s="184">
        <f t="shared" ref="BT20:BT26" si="130">SUM(P20:S20)</f>
        <v>865</v>
      </c>
      <c r="BU20" s="184">
        <f t="shared" ref="BU20:BU26" si="131">SUM(T20:W20)</f>
        <v>-364</v>
      </c>
      <c r="BV20" s="573">
        <f t="shared" ref="BV20:BV26" si="132">SUM(X20:AA20)</f>
        <v>-231</v>
      </c>
      <c r="BW20" s="572">
        <f t="shared" ref="BW20:BW26" si="133">SUM(AB20:AE20)</f>
        <v>112</v>
      </c>
      <c r="BX20" s="572">
        <f t="shared" ref="BX20:BX26" si="134">SUM(AF20:AI20)</f>
        <v>311</v>
      </c>
      <c r="BY20" s="184">
        <f t="shared" ref="BY20:BY26" si="135">SUM(AJ20:AM20)</f>
        <v>16</v>
      </c>
      <c r="BZ20" s="184">
        <f t="shared" ref="BZ20:BZ26" si="136">SUM(AN20:AQ20)</f>
        <v>-49</v>
      </c>
      <c r="CA20" s="184">
        <f t="shared" si="67"/>
        <v>77</v>
      </c>
      <c r="CB20" s="184">
        <f t="shared" si="68"/>
        <v>-108</v>
      </c>
      <c r="CC20" s="184">
        <f t="shared" si="72"/>
        <v>-7</v>
      </c>
      <c r="CD20" s="184">
        <f t="shared" si="69"/>
        <v>-368.86407674250336</v>
      </c>
      <c r="CE20" s="184">
        <f t="shared" si="70"/>
        <v>-50.877999389712386</v>
      </c>
      <c r="CF20" s="185">
        <f t="shared" ref="CF20:CF26" si="137">SUM(BL20:BO20)</f>
        <v>-53.89017742280771</v>
      </c>
      <c r="CG20" s="567"/>
      <c r="CH20" s="8"/>
    </row>
    <row r="21" spans="1:86" ht="14.25" customHeight="1">
      <c r="A21" s="8"/>
      <c r="B21" s="372" t="str">
        <f t="shared" si="73"/>
        <v>Inventories</v>
      </c>
      <c r="C21" s="42"/>
      <c r="D21" s="572">
        <f t="shared" si="74"/>
        <v>6</v>
      </c>
      <c r="E21" s="184">
        <f t="shared" si="75"/>
        <v>40</v>
      </c>
      <c r="F21" s="184">
        <f t="shared" si="76"/>
        <v>42</v>
      </c>
      <c r="G21" s="185">
        <f t="shared" si="77"/>
        <v>-111</v>
      </c>
      <c r="H21" s="572">
        <f t="shared" si="78"/>
        <v>-57</v>
      </c>
      <c r="I21" s="184">
        <f t="shared" si="79"/>
        <v>-89</v>
      </c>
      <c r="J21" s="184">
        <f t="shared" si="80"/>
        <v>-156</v>
      </c>
      <c r="K21" s="185">
        <f t="shared" si="81"/>
        <v>54</v>
      </c>
      <c r="L21" s="572">
        <f t="shared" si="82"/>
        <v>28</v>
      </c>
      <c r="M21" s="184">
        <f t="shared" si="83"/>
        <v>-15</v>
      </c>
      <c r="N21" s="184">
        <f t="shared" si="84"/>
        <v>-34</v>
      </c>
      <c r="O21" s="185">
        <f t="shared" si="85"/>
        <v>32</v>
      </c>
      <c r="P21" s="572">
        <f t="shared" si="86"/>
        <v>-160</v>
      </c>
      <c r="Q21" s="184">
        <f t="shared" si="87"/>
        <v>-73</v>
      </c>
      <c r="R21" s="184">
        <f t="shared" si="88"/>
        <v>76</v>
      </c>
      <c r="S21" s="185">
        <f t="shared" si="89"/>
        <v>200</v>
      </c>
      <c r="T21" s="572">
        <f t="shared" si="90"/>
        <v>279</v>
      </c>
      <c r="U21" s="184">
        <f t="shared" si="91"/>
        <v>37</v>
      </c>
      <c r="V21" s="184">
        <f t="shared" si="92"/>
        <v>-53</v>
      </c>
      <c r="W21" s="185">
        <f t="shared" si="93"/>
        <v>-86</v>
      </c>
      <c r="X21" s="572">
        <f t="shared" si="94"/>
        <v>-74</v>
      </c>
      <c r="Y21" s="184">
        <f t="shared" si="95"/>
        <v>-73</v>
      </c>
      <c r="Z21" s="184">
        <f t="shared" si="96"/>
        <v>-66</v>
      </c>
      <c r="AA21" s="185">
        <f t="shared" si="97"/>
        <v>-91</v>
      </c>
      <c r="AB21" s="572">
        <f t="shared" si="98"/>
        <v>-158</v>
      </c>
      <c r="AC21" s="184">
        <f t="shared" si="99"/>
        <v>-84</v>
      </c>
      <c r="AD21" s="184">
        <f t="shared" si="100"/>
        <v>22</v>
      </c>
      <c r="AE21" s="185">
        <f t="shared" si="101"/>
        <v>203</v>
      </c>
      <c r="AF21" s="572">
        <f t="shared" si="102"/>
        <v>-91</v>
      </c>
      <c r="AG21" s="184">
        <f t="shared" si="103"/>
        <v>-32</v>
      </c>
      <c r="AH21" s="184">
        <f t="shared" si="104"/>
        <v>37</v>
      </c>
      <c r="AI21" s="185">
        <f t="shared" si="105"/>
        <v>91</v>
      </c>
      <c r="AJ21" s="572">
        <f t="shared" si="106"/>
        <v>57</v>
      </c>
      <c r="AK21" s="184">
        <f t="shared" si="107"/>
        <v>-20</v>
      </c>
      <c r="AL21" s="184">
        <f t="shared" si="108"/>
        <v>-6</v>
      </c>
      <c r="AM21" s="185">
        <f t="shared" si="109"/>
        <v>-5</v>
      </c>
      <c r="AN21" s="572">
        <f t="shared" si="110"/>
        <v>17</v>
      </c>
      <c r="AO21" s="184">
        <f t="shared" si="111"/>
        <v>-30</v>
      </c>
      <c r="AP21" s="184">
        <f t="shared" si="112"/>
        <v>-7</v>
      </c>
      <c r="AQ21" s="185">
        <f t="shared" si="113"/>
        <v>-33</v>
      </c>
      <c r="AR21" s="572">
        <f t="shared" si="114"/>
        <v>-60</v>
      </c>
      <c r="AS21" s="184">
        <f t="shared" si="115"/>
        <v>-41</v>
      </c>
      <c r="AT21" s="184">
        <f t="shared" si="116"/>
        <v>114</v>
      </c>
      <c r="AU21" s="185">
        <f t="shared" si="117"/>
        <v>80</v>
      </c>
      <c r="AV21" s="572">
        <f t="shared" si="118"/>
        <v>-114</v>
      </c>
      <c r="AW21" s="184">
        <f t="shared" si="119"/>
        <v>-71</v>
      </c>
      <c r="AX21" s="184">
        <f t="shared" si="120"/>
        <v>68</v>
      </c>
      <c r="AY21" s="185">
        <f t="shared" si="121"/>
        <v>18</v>
      </c>
      <c r="AZ21" s="572">
        <f t="shared" si="122"/>
        <v>-53</v>
      </c>
      <c r="BA21" s="184">
        <f t="shared" si="123"/>
        <v>-104</v>
      </c>
      <c r="BB21" s="184">
        <f t="shared" si="124"/>
        <v>39</v>
      </c>
      <c r="BC21" s="185">
        <f t="shared" si="125"/>
        <v>-49</v>
      </c>
      <c r="BD21" s="572">
        <f t="shared" si="126"/>
        <v>-97</v>
      </c>
      <c r="BE21" s="184">
        <f>BS!BD14-BS!BE14</f>
        <v>56.967256122197568</v>
      </c>
      <c r="BF21" s="184">
        <f>BS!BE14-BS!BF14</f>
        <v>-88.576100229529175</v>
      </c>
      <c r="BG21" s="184">
        <f>BS!BF14-BS!BG14</f>
        <v>114.25751146976017</v>
      </c>
      <c r="BH21" s="572">
        <f>BS!BG14-BS!BH14</f>
        <v>16.596599879530686</v>
      </c>
      <c r="BI21" s="184">
        <f>BS!BH14-BS!BI14</f>
        <v>-82.59140206486336</v>
      </c>
      <c r="BJ21" s="184">
        <f>BS!BI14-BS!BJ14</f>
        <v>-85.081657782293632</v>
      </c>
      <c r="BK21" s="184">
        <f>BS!BJ14-BS!BK14</f>
        <v>110.41847293333012</v>
      </c>
      <c r="BL21" s="572">
        <f>BS!BK14-BS!BL14</f>
        <v>25.825313240351988</v>
      </c>
      <c r="BM21" s="184">
        <f>BS!BL14-BS!BM14</f>
        <v>-87.457625982578975</v>
      </c>
      <c r="BN21" s="184">
        <f>BS!BM14-BS!BN14</f>
        <v>-87.185513110041938</v>
      </c>
      <c r="BO21" s="184">
        <f>BS!BN14-BS!BO14</f>
        <v>111.48449462186704</v>
      </c>
      <c r="BP21" s="20"/>
      <c r="BQ21" s="184">
        <f t="shared" si="127"/>
        <v>-23</v>
      </c>
      <c r="BR21" s="184">
        <f t="shared" si="128"/>
        <v>-248</v>
      </c>
      <c r="BS21" s="184">
        <f t="shared" si="129"/>
        <v>11</v>
      </c>
      <c r="BT21" s="184">
        <f t="shared" si="130"/>
        <v>43</v>
      </c>
      <c r="BU21" s="184">
        <f t="shared" si="131"/>
        <v>177</v>
      </c>
      <c r="BV21" s="573">
        <f t="shared" si="132"/>
        <v>-304</v>
      </c>
      <c r="BW21" s="572">
        <f t="shared" si="133"/>
        <v>-17</v>
      </c>
      <c r="BX21" s="572">
        <f t="shared" si="134"/>
        <v>5</v>
      </c>
      <c r="BY21" s="184">
        <f t="shared" si="135"/>
        <v>26</v>
      </c>
      <c r="BZ21" s="184">
        <f t="shared" si="136"/>
        <v>-53</v>
      </c>
      <c r="CA21" s="184">
        <f t="shared" si="67"/>
        <v>93</v>
      </c>
      <c r="CB21" s="184">
        <f t="shared" si="68"/>
        <v>-99</v>
      </c>
      <c r="CC21" s="184">
        <f t="shared" si="72"/>
        <v>-167</v>
      </c>
      <c r="CD21" s="184">
        <f t="shared" si="69"/>
        <v>-14.351332637571431</v>
      </c>
      <c r="CE21" s="184">
        <f t="shared" si="70"/>
        <v>-40.657987034296184</v>
      </c>
      <c r="CF21" s="185">
        <f t="shared" si="137"/>
        <v>-37.333331230401882</v>
      </c>
      <c r="CG21" s="567"/>
      <c r="CH21" s="8"/>
    </row>
    <row r="22" spans="1:86" ht="14.25" customHeight="1">
      <c r="A22" s="8"/>
      <c r="B22" s="372" t="str">
        <f t="shared" si="73"/>
        <v>Prepaid expenses and other current assets</v>
      </c>
      <c r="C22" s="42"/>
      <c r="D22" s="572">
        <f t="shared" si="74"/>
        <v>-88</v>
      </c>
      <c r="E22" s="184">
        <f t="shared" si="75"/>
        <v>112</v>
      </c>
      <c r="F22" s="184">
        <f t="shared" si="76"/>
        <v>57</v>
      </c>
      <c r="G22" s="185">
        <f t="shared" si="77"/>
        <v>30</v>
      </c>
      <c r="H22" s="572">
        <f t="shared" si="78"/>
        <v>-111</v>
      </c>
      <c r="I22" s="184">
        <f t="shared" si="79"/>
        <v>26</v>
      </c>
      <c r="J22" s="184">
        <f t="shared" si="80"/>
        <v>4</v>
      </c>
      <c r="K22" s="185">
        <f t="shared" si="81"/>
        <v>-14</v>
      </c>
      <c r="L22" s="572">
        <f t="shared" si="82"/>
        <v>-79</v>
      </c>
      <c r="M22" s="184">
        <f t="shared" si="83"/>
        <v>42</v>
      </c>
      <c r="N22" s="184">
        <f t="shared" si="84"/>
        <v>24</v>
      </c>
      <c r="O22" s="185">
        <f t="shared" si="85"/>
        <v>26</v>
      </c>
      <c r="P22" s="572">
        <f t="shared" si="86"/>
        <v>-46</v>
      </c>
      <c r="Q22" s="184">
        <f t="shared" si="87"/>
        <v>-29</v>
      </c>
      <c r="R22" s="184">
        <f t="shared" si="88"/>
        <v>50</v>
      </c>
      <c r="S22" s="185">
        <f t="shared" si="89"/>
        <v>-100</v>
      </c>
      <c r="T22" s="572">
        <f t="shared" si="90"/>
        <v>8</v>
      </c>
      <c r="U22" s="184">
        <f t="shared" si="91"/>
        <v>-15</v>
      </c>
      <c r="V22" s="184">
        <f t="shared" si="92"/>
        <v>31</v>
      </c>
      <c r="W22" s="185">
        <f t="shared" si="93"/>
        <v>11</v>
      </c>
      <c r="X22" s="572">
        <f t="shared" si="94"/>
        <v>-11</v>
      </c>
      <c r="Y22" s="184">
        <f t="shared" si="95"/>
        <v>-23</v>
      </c>
      <c r="Z22" s="184">
        <f t="shared" si="96"/>
        <v>23</v>
      </c>
      <c r="AA22" s="185">
        <f t="shared" si="97"/>
        <v>3</v>
      </c>
      <c r="AB22" s="572">
        <f t="shared" si="98"/>
        <v>-9</v>
      </c>
      <c r="AC22" s="184">
        <f t="shared" si="99"/>
        <v>-3</v>
      </c>
      <c r="AD22" s="184">
        <f t="shared" si="100"/>
        <v>1</v>
      </c>
      <c r="AE22" s="185">
        <f t="shared" si="101"/>
        <v>-18</v>
      </c>
      <c r="AF22" s="572">
        <f t="shared" si="102"/>
        <v>5</v>
      </c>
      <c r="AG22" s="184">
        <f t="shared" si="103"/>
        <v>50</v>
      </c>
      <c r="AH22" s="184">
        <f t="shared" si="104"/>
        <v>25</v>
      </c>
      <c r="AI22" s="185">
        <f t="shared" si="105"/>
        <v>147</v>
      </c>
      <c r="AJ22" s="572">
        <f t="shared" si="106"/>
        <v>21</v>
      </c>
      <c r="AK22" s="184">
        <f t="shared" si="107"/>
        <v>-304</v>
      </c>
      <c r="AL22" s="184">
        <f t="shared" si="108"/>
        <v>229</v>
      </c>
      <c r="AM22" s="185">
        <f t="shared" si="109"/>
        <v>-82</v>
      </c>
      <c r="AN22" s="572">
        <f t="shared" si="110"/>
        <v>-29</v>
      </c>
      <c r="AO22" s="184">
        <f t="shared" si="111"/>
        <v>14</v>
      </c>
      <c r="AP22" s="184">
        <f t="shared" si="112"/>
        <v>96</v>
      </c>
      <c r="AQ22" s="185">
        <f t="shared" si="113"/>
        <v>-16</v>
      </c>
      <c r="AR22" s="572">
        <f t="shared" si="114"/>
        <v>54</v>
      </c>
      <c r="AS22" s="184">
        <f t="shared" si="115"/>
        <v>-5</v>
      </c>
      <c r="AT22" s="184">
        <f t="shared" si="116"/>
        <v>40</v>
      </c>
      <c r="AU22" s="185">
        <f t="shared" si="117"/>
        <v>5</v>
      </c>
      <c r="AV22" s="572">
        <f t="shared" si="118"/>
        <v>43</v>
      </c>
      <c r="AW22" s="184">
        <f t="shared" si="119"/>
        <v>-8</v>
      </c>
      <c r="AX22" s="184">
        <f t="shared" si="120"/>
        <v>95</v>
      </c>
      <c r="AY22" s="185">
        <f t="shared" si="121"/>
        <v>-211</v>
      </c>
      <c r="AZ22" s="572">
        <f t="shared" si="122"/>
        <v>-71</v>
      </c>
      <c r="BA22" s="184">
        <f t="shared" si="123"/>
        <v>83</v>
      </c>
      <c r="BB22" s="184">
        <f t="shared" si="124"/>
        <v>31</v>
      </c>
      <c r="BC22" s="185">
        <f t="shared" si="125"/>
        <v>33</v>
      </c>
      <c r="BD22" s="572">
        <f t="shared" si="126"/>
        <v>356</v>
      </c>
      <c r="BE22" s="184">
        <f>BS!BD16-BS!BE16+BS!BD24-BS!BE24+BS!BD25-BS!BE25</f>
        <v>0</v>
      </c>
      <c r="BF22" s="184">
        <f>BS!BE16-BS!BF16+BS!BE24-BS!BF24+BS!BE25-BS!BF25</f>
        <v>0</v>
      </c>
      <c r="BG22" s="184">
        <f>BS!BF16-BS!BG16+BS!BF24-BS!BG24+BS!BF25-BS!BG25</f>
        <v>0</v>
      </c>
      <c r="BH22" s="572">
        <f>BS!BG16-BS!BH16+BS!BG24-BS!BH24+BS!BG25-BS!BH25</f>
        <v>0</v>
      </c>
      <c r="BI22" s="184">
        <f>BS!BH16-BS!BI16+BS!BH24-BS!BI24+BS!BH25-BS!BI25</f>
        <v>0</v>
      </c>
      <c r="BJ22" s="184">
        <f>BS!BI16-BS!BJ16+BS!BI24-BS!BJ24+BS!BI25-BS!BJ25</f>
        <v>0</v>
      </c>
      <c r="BK22" s="184">
        <f>BS!BJ16-BS!BK16+BS!BJ24-BS!BK24+BS!BJ25-BS!BK25</f>
        <v>0</v>
      </c>
      <c r="BL22" s="572">
        <f>BS!BK16-BS!BL16+BS!BK24-BS!BL24+BS!BK25-BS!BL25</f>
        <v>0</v>
      </c>
      <c r="BM22" s="184">
        <f>BS!BL16-BS!BM16+BS!BL24-BS!BM24+BS!BL25-BS!BM25</f>
        <v>0</v>
      </c>
      <c r="BN22" s="184">
        <f>BS!BM16-BS!BN16+BS!BM24-BS!BN24+BS!BM25-BS!BN25</f>
        <v>0</v>
      </c>
      <c r="BO22" s="184">
        <f>BS!BN16-BS!BO16+BS!BN24-BS!BO24+BS!BN25-BS!BO25</f>
        <v>0</v>
      </c>
      <c r="BP22" s="20"/>
      <c r="BQ22" s="184">
        <f t="shared" si="127"/>
        <v>111</v>
      </c>
      <c r="BR22" s="184">
        <f t="shared" si="128"/>
        <v>-95</v>
      </c>
      <c r="BS22" s="184">
        <f t="shared" si="129"/>
        <v>13</v>
      </c>
      <c r="BT22" s="184">
        <f t="shared" si="130"/>
        <v>-125</v>
      </c>
      <c r="BU22" s="184">
        <f t="shared" si="131"/>
        <v>35</v>
      </c>
      <c r="BV22" s="573">
        <f t="shared" si="132"/>
        <v>-8</v>
      </c>
      <c r="BW22" s="572">
        <f t="shared" si="133"/>
        <v>-29</v>
      </c>
      <c r="BX22" s="572">
        <f t="shared" si="134"/>
        <v>227</v>
      </c>
      <c r="BY22" s="184">
        <f t="shared" si="135"/>
        <v>-136</v>
      </c>
      <c r="BZ22" s="184">
        <f t="shared" si="136"/>
        <v>65</v>
      </c>
      <c r="CA22" s="184">
        <f t="shared" si="67"/>
        <v>94</v>
      </c>
      <c r="CB22" s="184">
        <f t="shared" si="68"/>
        <v>-81</v>
      </c>
      <c r="CC22" s="184">
        <f t="shared" si="72"/>
        <v>76</v>
      </c>
      <c r="CD22" s="184">
        <f t="shared" si="69"/>
        <v>356</v>
      </c>
      <c r="CE22" s="184">
        <f t="shared" si="70"/>
        <v>0</v>
      </c>
      <c r="CF22" s="185">
        <f t="shared" si="137"/>
        <v>0</v>
      </c>
      <c r="CG22" s="567"/>
      <c r="CH22" s="8"/>
    </row>
    <row r="23" spans="1:86" ht="14.25" customHeight="1">
      <c r="A23" s="8"/>
      <c r="B23" s="372" t="str">
        <f t="shared" si="73"/>
        <v>Accounts payable and accrued expenses</v>
      </c>
      <c r="C23" s="42"/>
      <c r="D23" s="572">
        <f t="shared" si="74"/>
        <v>20</v>
      </c>
      <c r="E23" s="184">
        <f t="shared" si="75"/>
        <v>11</v>
      </c>
      <c r="F23" s="184">
        <f t="shared" si="76"/>
        <v>247</v>
      </c>
      <c r="G23" s="185">
        <f t="shared" si="77"/>
        <v>-24</v>
      </c>
      <c r="H23" s="572">
        <f t="shared" si="78"/>
        <v>-106</v>
      </c>
      <c r="I23" s="184">
        <f t="shared" si="79"/>
        <v>129</v>
      </c>
      <c r="J23" s="184">
        <f t="shared" si="80"/>
        <v>81</v>
      </c>
      <c r="K23" s="185">
        <f t="shared" si="81"/>
        <v>-208</v>
      </c>
      <c r="L23" s="572">
        <f t="shared" si="82"/>
        <v>-167</v>
      </c>
      <c r="M23" s="184">
        <f t="shared" si="83"/>
        <v>110</v>
      </c>
      <c r="N23" s="184">
        <f t="shared" si="84"/>
        <v>154</v>
      </c>
      <c r="O23" s="185">
        <f t="shared" si="85"/>
        <v>-20</v>
      </c>
      <c r="P23" s="572">
        <f t="shared" si="86"/>
        <v>-179</v>
      </c>
      <c r="Q23" s="184">
        <f t="shared" si="87"/>
        <v>32</v>
      </c>
      <c r="R23" s="184">
        <f t="shared" si="88"/>
        <v>-24</v>
      </c>
      <c r="S23" s="185">
        <f t="shared" si="89"/>
        <v>-154</v>
      </c>
      <c r="T23" s="572">
        <f t="shared" si="90"/>
        <v>-119</v>
      </c>
      <c r="U23" s="184">
        <f t="shared" si="91"/>
        <v>101</v>
      </c>
      <c r="V23" s="184">
        <f t="shared" si="92"/>
        <v>54</v>
      </c>
      <c r="W23" s="185">
        <f t="shared" si="93"/>
        <v>-31</v>
      </c>
      <c r="X23" s="572">
        <f t="shared" si="94"/>
        <v>-26</v>
      </c>
      <c r="Y23" s="184">
        <f t="shared" si="95"/>
        <v>8</v>
      </c>
      <c r="Z23" s="184">
        <f t="shared" si="96"/>
        <v>191</v>
      </c>
      <c r="AA23" s="185">
        <f t="shared" si="97"/>
        <v>-116</v>
      </c>
      <c r="AB23" s="572">
        <f t="shared" si="98"/>
        <v>-83</v>
      </c>
      <c r="AC23" s="184">
        <f t="shared" si="99"/>
        <v>58</v>
      </c>
      <c r="AD23" s="184">
        <f t="shared" si="100"/>
        <v>95</v>
      </c>
      <c r="AE23" s="185">
        <f t="shared" si="101"/>
        <v>-68</v>
      </c>
      <c r="AF23" s="572">
        <f t="shared" si="102"/>
        <v>-37</v>
      </c>
      <c r="AG23" s="184">
        <f t="shared" si="103"/>
        <v>-77</v>
      </c>
      <c r="AH23" s="184">
        <f t="shared" si="104"/>
        <v>-9</v>
      </c>
      <c r="AI23" s="185">
        <f t="shared" si="105"/>
        <v>222</v>
      </c>
      <c r="AJ23" s="572">
        <f t="shared" si="106"/>
        <v>-244</v>
      </c>
      <c r="AK23" s="184">
        <f t="shared" si="107"/>
        <v>-36</v>
      </c>
      <c r="AL23" s="184">
        <f t="shared" si="108"/>
        <v>-17</v>
      </c>
      <c r="AM23" s="185">
        <f t="shared" si="109"/>
        <v>13</v>
      </c>
      <c r="AN23" s="572">
        <f t="shared" si="110"/>
        <v>-117</v>
      </c>
      <c r="AO23" s="184">
        <f t="shared" si="111"/>
        <v>-59</v>
      </c>
      <c r="AP23" s="184">
        <f t="shared" si="112"/>
        <v>-48</v>
      </c>
      <c r="AQ23" s="185">
        <f t="shared" si="113"/>
        <v>30</v>
      </c>
      <c r="AR23" s="572">
        <f t="shared" si="114"/>
        <v>-108</v>
      </c>
      <c r="AS23" s="184">
        <f t="shared" si="115"/>
        <v>-34</v>
      </c>
      <c r="AT23" s="184">
        <f t="shared" si="116"/>
        <v>-48</v>
      </c>
      <c r="AU23" s="185">
        <f t="shared" si="117"/>
        <v>2</v>
      </c>
      <c r="AV23" s="572">
        <f t="shared" si="118"/>
        <v>-41</v>
      </c>
      <c r="AW23" s="184">
        <f t="shared" si="119"/>
        <v>-24</v>
      </c>
      <c r="AX23" s="184">
        <f t="shared" si="120"/>
        <v>9</v>
      </c>
      <c r="AY23" s="185">
        <f t="shared" si="121"/>
        <v>128</v>
      </c>
      <c r="AZ23" s="572">
        <f t="shared" si="122"/>
        <v>-78</v>
      </c>
      <c r="BA23" s="184">
        <f t="shared" si="123"/>
        <v>12</v>
      </c>
      <c r="BB23" s="184">
        <f t="shared" si="124"/>
        <v>47</v>
      </c>
      <c r="BC23" s="185">
        <f t="shared" si="125"/>
        <v>70</v>
      </c>
      <c r="BD23" s="572">
        <f t="shared" si="126"/>
        <v>-51</v>
      </c>
      <c r="BE23" s="184">
        <f>BS!BE29-BS!BD29</f>
        <v>-28.690059563301816</v>
      </c>
      <c r="BF23" s="184">
        <f>BS!BF29-BS!BE29</f>
        <v>20.599093076634801</v>
      </c>
      <c r="BG23" s="184">
        <f>BS!BG29-BS!BF29</f>
        <v>-26.571514295293127</v>
      </c>
      <c r="BH23" s="572">
        <f>BS!BH29-BS!BG29</f>
        <v>-3.8596743905885091</v>
      </c>
      <c r="BI23" s="184">
        <f>BS!BI29-BS!BH29</f>
        <v>19.207302805782149</v>
      </c>
      <c r="BJ23" s="184">
        <f>BS!BJ29-BS!BI29</f>
        <v>19.786432042393812</v>
      </c>
      <c r="BK23" s="184">
        <f>BS!BK29-BS!BJ29</f>
        <v>-25.678714635658139</v>
      </c>
      <c r="BL23" s="572">
        <f>BS!BL29-BS!BK29</f>
        <v>-6.0058868000818393</v>
      </c>
      <c r="BM23" s="184">
        <f>BS!BM29-BS!BL29</f>
        <v>20.338982786646284</v>
      </c>
      <c r="BN23" s="184">
        <f>BS!BN29-BS!BM29</f>
        <v>20.275700723265572</v>
      </c>
      <c r="BO23" s="184">
        <f>BS!BO29-BS!BN29</f>
        <v>-25.926626656248175</v>
      </c>
      <c r="BP23" s="20"/>
      <c r="BQ23" s="184">
        <f t="shared" si="127"/>
        <v>254</v>
      </c>
      <c r="BR23" s="184">
        <f t="shared" si="128"/>
        <v>-104</v>
      </c>
      <c r="BS23" s="184">
        <f t="shared" si="129"/>
        <v>77</v>
      </c>
      <c r="BT23" s="184">
        <f t="shared" si="130"/>
        <v>-325</v>
      </c>
      <c r="BU23" s="184">
        <f t="shared" si="131"/>
        <v>5</v>
      </c>
      <c r="BV23" s="573">
        <f t="shared" si="132"/>
        <v>57</v>
      </c>
      <c r="BW23" s="572">
        <f t="shared" si="133"/>
        <v>2</v>
      </c>
      <c r="BX23" s="572">
        <f t="shared" si="134"/>
        <v>99</v>
      </c>
      <c r="BY23" s="184">
        <f t="shared" si="135"/>
        <v>-284</v>
      </c>
      <c r="BZ23" s="184">
        <f t="shared" si="136"/>
        <v>-194</v>
      </c>
      <c r="CA23" s="184">
        <f t="shared" si="67"/>
        <v>-188</v>
      </c>
      <c r="CB23" s="184">
        <f t="shared" si="68"/>
        <v>72</v>
      </c>
      <c r="CC23" s="184">
        <f t="shared" si="72"/>
        <v>51</v>
      </c>
      <c r="CD23" s="184">
        <f t="shared" si="69"/>
        <v>-85.662480781960141</v>
      </c>
      <c r="CE23" s="184">
        <f t="shared" si="70"/>
        <v>9.4553458219293134</v>
      </c>
      <c r="CF23" s="185">
        <f t="shared" si="137"/>
        <v>8.6821700535818422</v>
      </c>
      <c r="CG23" s="567"/>
      <c r="CH23" s="8"/>
    </row>
    <row r="24" spans="1:86" ht="14.25" customHeight="1">
      <c r="A24" s="8"/>
      <c r="B24" s="372" t="str">
        <f t="shared" si="73"/>
        <v>Accrued compensation</v>
      </c>
      <c r="C24" s="42"/>
      <c r="D24" s="572">
        <f t="shared" si="74"/>
        <v>-213</v>
      </c>
      <c r="E24" s="184">
        <f t="shared" si="75"/>
        <v>29</v>
      </c>
      <c r="F24" s="184">
        <f t="shared" si="76"/>
        <v>29</v>
      </c>
      <c r="G24" s="185">
        <f t="shared" si="77"/>
        <v>15</v>
      </c>
      <c r="H24" s="572">
        <f t="shared" si="78"/>
        <v>-99</v>
      </c>
      <c r="I24" s="184">
        <f t="shared" si="79"/>
        <v>56</v>
      </c>
      <c r="J24" s="184">
        <f t="shared" si="80"/>
        <v>41</v>
      </c>
      <c r="K24" s="185">
        <f t="shared" si="81"/>
        <v>30</v>
      </c>
      <c r="L24" s="572">
        <f t="shared" si="82"/>
        <v>-111</v>
      </c>
      <c r="M24" s="184">
        <f t="shared" si="83"/>
        <v>68</v>
      </c>
      <c r="N24" s="184">
        <f t="shared" si="84"/>
        <v>24</v>
      </c>
      <c r="O24" s="185">
        <f t="shared" si="85"/>
        <v>52</v>
      </c>
      <c r="P24" s="572">
        <f t="shared" si="86"/>
        <v>-122</v>
      </c>
      <c r="Q24" s="184">
        <f t="shared" si="87"/>
        <v>106</v>
      </c>
      <c r="R24" s="184">
        <f t="shared" si="88"/>
        <v>41</v>
      </c>
      <c r="S24" s="185">
        <f t="shared" si="89"/>
        <v>-166</v>
      </c>
      <c r="T24" s="572">
        <f t="shared" si="90"/>
        <v>49</v>
      </c>
      <c r="U24" s="184">
        <f t="shared" si="91"/>
        <v>-52</v>
      </c>
      <c r="V24" s="184">
        <f t="shared" si="92"/>
        <v>94</v>
      </c>
      <c r="W24" s="185">
        <f t="shared" si="93"/>
        <v>-129</v>
      </c>
      <c r="X24" s="572">
        <f t="shared" si="94"/>
        <v>-63</v>
      </c>
      <c r="Y24" s="184">
        <f t="shared" si="95"/>
        <v>96</v>
      </c>
      <c r="Z24" s="184">
        <f t="shared" si="96"/>
        <v>-145</v>
      </c>
      <c r="AA24" s="185">
        <f t="shared" si="97"/>
        <v>358</v>
      </c>
      <c r="AB24" s="572">
        <f t="shared" si="98"/>
        <v>-281</v>
      </c>
      <c r="AC24" s="184">
        <f t="shared" si="99"/>
        <v>80</v>
      </c>
      <c r="AD24" s="184">
        <f t="shared" si="100"/>
        <v>59</v>
      </c>
      <c r="AE24" s="185">
        <f t="shared" si="101"/>
        <v>65</v>
      </c>
      <c r="AF24" s="572">
        <f t="shared" si="102"/>
        <v>-211</v>
      </c>
      <c r="AG24" s="184">
        <f t="shared" si="103"/>
        <v>75</v>
      </c>
      <c r="AH24" s="184">
        <f t="shared" si="104"/>
        <v>95</v>
      </c>
      <c r="AI24" s="185">
        <f t="shared" si="105"/>
        <v>-41</v>
      </c>
      <c r="AJ24" s="572">
        <f t="shared" si="106"/>
        <v>-154</v>
      </c>
      <c r="AK24" s="184">
        <f t="shared" si="107"/>
        <v>95</v>
      </c>
      <c r="AL24" s="184">
        <f t="shared" si="108"/>
        <v>96</v>
      </c>
      <c r="AM24" s="185">
        <f t="shared" si="109"/>
        <v>-19</v>
      </c>
      <c r="AN24" s="572">
        <f t="shared" si="110"/>
        <v>-189</v>
      </c>
      <c r="AO24" s="184">
        <f t="shared" si="111"/>
        <v>113</v>
      </c>
      <c r="AP24" s="184">
        <f t="shared" si="112"/>
        <v>127</v>
      </c>
      <c r="AQ24" s="185">
        <f t="shared" si="113"/>
        <v>38</v>
      </c>
      <c r="AR24" s="572">
        <f t="shared" si="114"/>
        <v>-294</v>
      </c>
      <c r="AS24" s="184">
        <f t="shared" si="115"/>
        <v>125</v>
      </c>
      <c r="AT24" s="184">
        <f t="shared" si="116"/>
        <v>132</v>
      </c>
      <c r="AU24" s="185">
        <f t="shared" si="117"/>
        <v>44</v>
      </c>
      <c r="AV24" s="572">
        <f t="shared" si="118"/>
        <v>-322</v>
      </c>
      <c r="AW24" s="184">
        <f t="shared" si="119"/>
        <v>147</v>
      </c>
      <c r="AX24" s="184">
        <f t="shared" si="120"/>
        <v>149</v>
      </c>
      <c r="AY24" s="185">
        <f t="shared" si="121"/>
        <v>62</v>
      </c>
      <c r="AZ24" s="572">
        <f t="shared" si="122"/>
        <v>-356</v>
      </c>
      <c r="BA24" s="184">
        <f t="shared" si="123"/>
        <v>131</v>
      </c>
      <c r="BB24" s="184">
        <f t="shared" si="124"/>
        <v>140</v>
      </c>
      <c r="BC24" s="185">
        <f t="shared" si="125"/>
        <v>82</v>
      </c>
      <c r="BD24" s="572">
        <f t="shared" si="126"/>
        <v>-372</v>
      </c>
      <c r="BE24" s="184">
        <f>BS!BE30-BS!BD30</f>
        <v>150</v>
      </c>
      <c r="BF24" s="184">
        <f>BS!BF30-BS!BE30</f>
        <v>100</v>
      </c>
      <c r="BG24" s="184">
        <f>BS!BG30-BS!BF30</f>
        <v>80</v>
      </c>
      <c r="BH24" s="572">
        <f>BS!BH30-BS!BG30</f>
        <v>-300</v>
      </c>
      <c r="BI24" s="184">
        <f>BS!BI30-BS!BH30</f>
        <v>150</v>
      </c>
      <c r="BJ24" s="184">
        <f>BS!BJ30-BS!BI30</f>
        <v>100</v>
      </c>
      <c r="BK24" s="184">
        <f>BS!BK30-BS!BJ30</f>
        <v>80</v>
      </c>
      <c r="BL24" s="572">
        <f>BS!BL30-BS!BK30</f>
        <v>80</v>
      </c>
      <c r="BM24" s="184">
        <f>BS!BM30-BS!BL30</f>
        <v>80</v>
      </c>
      <c r="BN24" s="184">
        <f>BS!BN30-BS!BM30</f>
        <v>80</v>
      </c>
      <c r="BO24" s="184">
        <f>BS!BO30-BS!BN30</f>
        <v>80</v>
      </c>
      <c r="BP24" s="20"/>
      <c r="BQ24" s="184">
        <f t="shared" si="127"/>
        <v>-140</v>
      </c>
      <c r="BR24" s="184">
        <f t="shared" si="128"/>
        <v>28</v>
      </c>
      <c r="BS24" s="184">
        <f t="shared" si="129"/>
        <v>33</v>
      </c>
      <c r="BT24" s="184">
        <f t="shared" si="130"/>
        <v>-141</v>
      </c>
      <c r="BU24" s="184">
        <f t="shared" si="131"/>
        <v>-38</v>
      </c>
      <c r="BV24" s="573">
        <f t="shared" si="132"/>
        <v>246</v>
      </c>
      <c r="BW24" s="572">
        <f t="shared" si="133"/>
        <v>-77</v>
      </c>
      <c r="BX24" s="572">
        <f t="shared" si="134"/>
        <v>-82</v>
      </c>
      <c r="BY24" s="184">
        <f t="shared" si="135"/>
        <v>18</v>
      </c>
      <c r="BZ24" s="184">
        <f t="shared" si="136"/>
        <v>89</v>
      </c>
      <c r="CA24" s="184">
        <f t="shared" si="67"/>
        <v>7</v>
      </c>
      <c r="CB24" s="184">
        <f t="shared" si="68"/>
        <v>36</v>
      </c>
      <c r="CC24" s="184">
        <f t="shared" si="72"/>
        <v>-3</v>
      </c>
      <c r="CD24" s="184">
        <f t="shared" si="69"/>
        <v>-42</v>
      </c>
      <c r="CE24" s="184">
        <f t="shared" si="70"/>
        <v>30</v>
      </c>
      <c r="CF24" s="185">
        <f t="shared" si="137"/>
        <v>320</v>
      </c>
      <c r="CG24" s="567"/>
      <c r="CH24" s="8"/>
    </row>
    <row r="25" spans="1:86" ht="14.25" customHeight="1">
      <c r="A25" s="8"/>
      <c r="B25" s="372" t="str">
        <f>B120</f>
        <v>Income taxes payable</v>
      </c>
      <c r="C25" s="42"/>
      <c r="D25" s="572">
        <f t="shared" si="74"/>
        <v>72</v>
      </c>
      <c r="E25" s="184">
        <f t="shared" si="75"/>
        <v>12</v>
      </c>
      <c r="F25" s="184">
        <f t="shared" si="76"/>
        <v>-148</v>
      </c>
      <c r="G25" s="185">
        <f t="shared" si="77"/>
        <v>99</v>
      </c>
      <c r="H25" s="572">
        <f t="shared" si="78"/>
        <v>151</v>
      </c>
      <c r="I25" s="184">
        <f t="shared" si="79"/>
        <v>-334</v>
      </c>
      <c r="J25" s="184">
        <f t="shared" si="80"/>
        <v>-377</v>
      </c>
      <c r="K25" s="185">
        <f t="shared" si="81"/>
        <v>-56</v>
      </c>
      <c r="L25" s="572">
        <f t="shared" si="82"/>
        <v>33</v>
      </c>
      <c r="M25" s="184">
        <f t="shared" si="83"/>
        <v>-97</v>
      </c>
      <c r="N25" s="184">
        <f t="shared" si="84"/>
        <v>415</v>
      </c>
      <c r="O25" s="185">
        <f t="shared" si="85"/>
        <v>-47</v>
      </c>
      <c r="P25" s="572">
        <f t="shared" si="86"/>
        <v>165</v>
      </c>
      <c r="Q25" s="184">
        <f t="shared" si="87"/>
        <v>-264</v>
      </c>
      <c r="R25" s="184">
        <f t="shared" si="88"/>
        <v>25</v>
      </c>
      <c r="S25" s="185">
        <f t="shared" si="89"/>
        <v>112</v>
      </c>
      <c r="T25" s="572">
        <f t="shared" si="90"/>
        <v>-97</v>
      </c>
      <c r="U25" s="184">
        <f t="shared" si="91"/>
        <v>26</v>
      </c>
      <c r="V25" s="184">
        <f t="shared" si="92"/>
        <v>28</v>
      </c>
      <c r="W25" s="185">
        <f t="shared" si="93"/>
        <v>116</v>
      </c>
      <c r="X25" s="572">
        <f t="shared" si="94"/>
        <v>191</v>
      </c>
      <c r="Y25" s="184">
        <f t="shared" si="95"/>
        <v>-311</v>
      </c>
      <c r="Z25" s="184">
        <f t="shared" si="96"/>
        <v>226</v>
      </c>
      <c r="AA25" s="185">
        <f t="shared" si="97"/>
        <v>-57</v>
      </c>
      <c r="AB25" s="572">
        <f t="shared" si="98"/>
        <v>137</v>
      </c>
      <c r="AC25" s="184">
        <f t="shared" si="99"/>
        <v>-240</v>
      </c>
      <c r="AD25" s="184">
        <f t="shared" si="100"/>
        <v>14</v>
      </c>
      <c r="AE25" s="185">
        <f t="shared" si="101"/>
        <v>4</v>
      </c>
      <c r="AF25" s="572">
        <f t="shared" si="102"/>
        <v>67</v>
      </c>
      <c r="AG25" s="184">
        <f t="shared" si="103"/>
        <v>-103</v>
      </c>
      <c r="AH25" s="184">
        <f t="shared" si="104"/>
        <v>-141</v>
      </c>
      <c r="AI25" s="185">
        <f t="shared" si="105"/>
        <v>-52</v>
      </c>
      <c r="AJ25" s="572">
        <f t="shared" si="106"/>
        <v>29</v>
      </c>
      <c r="AK25" s="184">
        <f t="shared" si="107"/>
        <v>115</v>
      </c>
      <c r="AL25" s="184">
        <f t="shared" si="108"/>
        <v>-173</v>
      </c>
      <c r="AM25" s="185">
        <f t="shared" si="109"/>
        <v>107</v>
      </c>
      <c r="AN25" s="572">
        <f t="shared" si="110"/>
        <v>80</v>
      </c>
      <c r="AO25" s="184">
        <f t="shared" si="111"/>
        <v>-128</v>
      </c>
      <c r="AP25" s="184">
        <f t="shared" si="112"/>
        <v>-42</v>
      </c>
      <c r="AQ25" s="185">
        <f t="shared" si="113"/>
        <v>9</v>
      </c>
      <c r="AR25" s="572">
        <f t="shared" si="114"/>
        <v>147</v>
      </c>
      <c r="AS25" s="184">
        <f t="shared" si="115"/>
        <v>-225</v>
      </c>
      <c r="AT25" s="184">
        <f t="shared" si="116"/>
        <v>99</v>
      </c>
      <c r="AU25" s="185">
        <f t="shared" si="117"/>
        <v>-10</v>
      </c>
      <c r="AV25" s="572">
        <f t="shared" si="118"/>
        <v>131</v>
      </c>
      <c r="AW25" s="184">
        <f t="shared" si="119"/>
        <v>-25</v>
      </c>
      <c r="AX25" s="184">
        <f t="shared" si="120"/>
        <v>47</v>
      </c>
      <c r="AY25" s="185">
        <f t="shared" si="121"/>
        <v>180</v>
      </c>
      <c r="AZ25" s="572">
        <f t="shared" si="122"/>
        <v>149</v>
      </c>
      <c r="BA25" s="184">
        <f t="shared" si="123"/>
        <v>-385</v>
      </c>
      <c r="BB25" s="184">
        <f t="shared" si="124"/>
        <v>10</v>
      </c>
      <c r="BC25" s="185">
        <f t="shared" si="125"/>
        <v>694</v>
      </c>
      <c r="BD25" s="572">
        <f t="shared" si="126"/>
        <v>-131</v>
      </c>
      <c r="BE25" s="184">
        <f>BS!BD15-BS!BE15+BS!BD23-BS!BE23+BS!BE31-BS!BD31+BS!BE36-BS!BD36</f>
        <v>0</v>
      </c>
      <c r="BF25" s="184">
        <f>BS!BE15-BS!BF15+BS!BE23-BS!BF23+BS!BF31-BS!BE31+BS!BF36-BS!BE36</f>
        <v>0</v>
      </c>
      <c r="BG25" s="184">
        <f>BS!BF15-BS!BG15+BS!BF23-BS!BG23+BS!BG31-BS!BF31+BS!BG36-BS!BF36</f>
        <v>0</v>
      </c>
      <c r="BH25" s="572">
        <f>BS!BG15-BS!BH15+BS!BG23-BS!BH23+BS!BH31-BS!BG31+BS!BH36-BS!BG36</f>
        <v>0</v>
      </c>
      <c r="BI25" s="184">
        <f>BS!BH15-BS!BI15+BS!BH23-BS!BI23+BS!BI31-BS!BH31+BS!BI36-BS!BH36</f>
        <v>0</v>
      </c>
      <c r="BJ25" s="184">
        <f>BS!BI15-BS!BJ15+BS!BI23-BS!BJ23+BS!BJ31-BS!BI31+BS!BJ36-BS!BI36</f>
        <v>0</v>
      </c>
      <c r="BK25" s="184">
        <f>BS!BJ15-BS!BK15+BS!BJ23-BS!BK23+BS!BK31-BS!BJ31+BS!BK36-BS!BJ36</f>
        <v>0</v>
      </c>
      <c r="BL25" s="572">
        <f>BS!BK15-BS!BL15+BS!BK23-BS!BL23+BS!BL31-BS!BK31+BS!BL36-BS!BK36</f>
        <v>0</v>
      </c>
      <c r="BM25" s="184">
        <f>BS!BL15-BS!BM15+BS!BL23-BS!BM23+BS!BM31-BS!BL31+BS!BM36-BS!BL36</f>
        <v>0</v>
      </c>
      <c r="BN25" s="184">
        <f>BS!BM15-BS!BN15+BS!BM23-BS!BN23+BS!BN31-BS!BM31+BS!BN36-BS!BM36</f>
        <v>0</v>
      </c>
      <c r="BO25" s="184">
        <f>BS!BN15-BS!BO15+BS!BN23-BS!BO23+BS!BO31-BS!BN31+BS!BO36-BS!BN36</f>
        <v>0</v>
      </c>
      <c r="BP25" s="20"/>
      <c r="BQ25" s="184">
        <f t="shared" si="127"/>
        <v>35</v>
      </c>
      <c r="BR25" s="184">
        <f t="shared" si="128"/>
        <v>-616</v>
      </c>
      <c r="BS25" s="184">
        <f t="shared" si="129"/>
        <v>304</v>
      </c>
      <c r="BT25" s="184">
        <f t="shared" si="130"/>
        <v>38</v>
      </c>
      <c r="BU25" s="184">
        <f t="shared" si="131"/>
        <v>73</v>
      </c>
      <c r="BV25" s="573">
        <f t="shared" si="132"/>
        <v>49</v>
      </c>
      <c r="BW25" s="572">
        <f t="shared" si="133"/>
        <v>-85</v>
      </c>
      <c r="BX25" s="572">
        <f t="shared" si="134"/>
        <v>-229</v>
      </c>
      <c r="BY25" s="184">
        <f t="shared" si="135"/>
        <v>78</v>
      </c>
      <c r="BZ25" s="184">
        <f t="shared" si="136"/>
        <v>-81</v>
      </c>
      <c r="CA25" s="184">
        <f t="shared" si="67"/>
        <v>11</v>
      </c>
      <c r="CB25" s="184">
        <f t="shared" si="68"/>
        <v>333</v>
      </c>
      <c r="CC25" s="184">
        <f t="shared" si="72"/>
        <v>468</v>
      </c>
      <c r="CD25" s="184">
        <f t="shared" si="69"/>
        <v>-131</v>
      </c>
      <c r="CE25" s="184">
        <f t="shared" si="70"/>
        <v>0</v>
      </c>
      <c r="CF25" s="185">
        <f t="shared" si="137"/>
        <v>0</v>
      </c>
      <c r="CG25" s="567"/>
      <c r="CH25" s="8"/>
    </row>
    <row r="26" spans="1:86" ht="14.25" customHeight="1">
      <c r="A26" s="8"/>
      <c r="B26" s="372" t="str">
        <f>B121</f>
        <v>Other liabilities</v>
      </c>
      <c r="C26" s="42"/>
      <c r="D26" s="572">
        <f t="shared" si="74"/>
        <v>-8</v>
      </c>
      <c r="E26" s="184">
        <f t="shared" si="75"/>
        <v>-40</v>
      </c>
      <c r="F26" s="184">
        <f t="shared" si="76"/>
        <v>95</v>
      </c>
      <c r="G26" s="185">
        <f t="shared" si="77"/>
        <v>-73</v>
      </c>
      <c r="H26" s="572">
        <f t="shared" si="78"/>
        <v>-25</v>
      </c>
      <c r="I26" s="184">
        <f t="shared" si="79"/>
        <v>-77</v>
      </c>
      <c r="J26" s="184">
        <f t="shared" si="80"/>
        <v>-44</v>
      </c>
      <c r="K26" s="185">
        <f t="shared" si="81"/>
        <v>-128</v>
      </c>
      <c r="L26" s="572">
        <f t="shared" si="82"/>
        <v>-24</v>
      </c>
      <c r="M26" s="184">
        <f t="shared" si="83"/>
        <v>-15</v>
      </c>
      <c r="N26" s="184">
        <f t="shared" si="84"/>
        <v>-28</v>
      </c>
      <c r="O26" s="185">
        <f t="shared" si="85"/>
        <v>10</v>
      </c>
      <c r="P26" s="572">
        <f t="shared" si="86"/>
        <v>-5</v>
      </c>
      <c r="Q26" s="184">
        <f t="shared" si="87"/>
        <v>5</v>
      </c>
      <c r="R26" s="184">
        <f t="shared" si="88"/>
        <v>50</v>
      </c>
      <c r="S26" s="185">
        <f t="shared" si="89"/>
        <v>-85</v>
      </c>
      <c r="T26" s="572">
        <f t="shared" si="90"/>
        <v>39</v>
      </c>
      <c r="U26" s="184">
        <f t="shared" si="91"/>
        <v>30</v>
      </c>
      <c r="V26" s="184">
        <f t="shared" si="92"/>
        <v>-18</v>
      </c>
      <c r="W26" s="185">
        <f t="shared" si="93"/>
        <v>-23</v>
      </c>
      <c r="X26" s="572">
        <f t="shared" si="94"/>
        <v>26</v>
      </c>
      <c r="Y26" s="184">
        <f t="shared" si="95"/>
        <v>15</v>
      </c>
      <c r="Z26" s="184">
        <f t="shared" si="96"/>
        <v>15</v>
      </c>
      <c r="AA26" s="185">
        <f t="shared" si="97"/>
        <v>-44</v>
      </c>
      <c r="AB26" s="572">
        <f t="shared" si="98"/>
        <v>-31</v>
      </c>
      <c r="AC26" s="184">
        <f t="shared" si="99"/>
        <v>17</v>
      </c>
      <c r="AD26" s="184">
        <f t="shared" si="100"/>
        <v>8</v>
      </c>
      <c r="AE26" s="185">
        <f t="shared" si="101"/>
        <v>-40</v>
      </c>
      <c r="AF26" s="572">
        <f t="shared" si="102"/>
        <v>-6</v>
      </c>
      <c r="AG26" s="184">
        <f t="shared" si="103"/>
        <v>56</v>
      </c>
      <c r="AH26" s="184">
        <f t="shared" si="104"/>
        <v>25</v>
      </c>
      <c r="AI26" s="185">
        <f t="shared" si="105"/>
        <v>-234</v>
      </c>
      <c r="AJ26" s="572">
        <f t="shared" si="106"/>
        <v>1</v>
      </c>
      <c r="AK26" s="184">
        <f t="shared" si="107"/>
        <v>-2</v>
      </c>
      <c r="AL26" s="184">
        <f t="shared" si="108"/>
        <v>24</v>
      </c>
      <c r="AM26" s="185">
        <f t="shared" si="109"/>
        <v>-65</v>
      </c>
      <c r="AN26" s="572">
        <f t="shared" si="110"/>
        <v>27</v>
      </c>
      <c r="AO26" s="184">
        <f t="shared" si="111"/>
        <v>6</v>
      </c>
      <c r="AP26" s="184">
        <f t="shared" si="112"/>
        <v>66</v>
      </c>
      <c r="AQ26" s="185">
        <f t="shared" si="113"/>
        <v>-178</v>
      </c>
      <c r="AR26" s="572">
        <f t="shared" si="114"/>
        <v>-6</v>
      </c>
      <c r="AS26" s="184">
        <f t="shared" si="115"/>
        <v>28</v>
      </c>
      <c r="AT26" s="184">
        <f t="shared" si="116"/>
        <v>20</v>
      </c>
      <c r="AU26" s="185">
        <f t="shared" si="117"/>
        <v>-133</v>
      </c>
      <c r="AV26" s="572">
        <f t="shared" si="118"/>
        <v>0</v>
      </c>
      <c r="AW26" s="184">
        <f t="shared" si="119"/>
        <v>25</v>
      </c>
      <c r="AX26" s="184">
        <f t="shared" si="120"/>
        <v>7</v>
      </c>
      <c r="AY26" s="185">
        <f t="shared" si="121"/>
        <v>-131</v>
      </c>
      <c r="AZ26" s="572">
        <f t="shared" si="122"/>
        <v>-32</v>
      </c>
      <c r="BA26" s="184">
        <f t="shared" si="123"/>
        <v>10</v>
      </c>
      <c r="BB26" s="184">
        <f t="shared" si="124"/>
        <v>-1</v>
      </c>
      <c r="BC26" s="185">
        <f t="shared" si="125"/>
        <v>28</v>
      </c>
      <c r="BD26" s="572">
        <f t="shared" si="126"/>
        <v>-51</v>
      </c>
      <c r="BE26" s="184">
        <f>BS!BE37-BS!BD37+BS!BE32-BS!BD32</f>
        <v>0</v>
      </c>
      <c r="BF26" s="184">
        <f>BS!BF37-BS!BE37+BS!BF32-BS!BE32</f>
        <v>0</v>
      </c>
      <c r="BG26" s="184">
        <f>BS!BG37-BS!BF37+BS!BG32-BS!BF32</f>
        <v>0</v>
      </c>
      <c r="BH26" s="572">
        <f>BS!BH37-BS!BG37+BS!BH32-BS!BG32</f>
        <v>0</v>
      </c>
      <c r="BI26" s="184">
        <f>BS!BI37-BS!BH37+BS!BI32-BS!BH32</f>
        <v>0</v>
      </c>
      <c r="BJ26" s="184">
        <f>BS!BJ37-BS!BI37+BS!BJ32-BS!BI32</f>
        <v>0</v>
      </c>
      <c r="BK26" s="184">
        <f>BS!BK37-BS!BJ37+BS!BK32-BS!BJ32</f>
        <v>0</v>
      </c>
      <c r="BL26" s="572">
        <f>BS!BL37-BS!BK37+BS!BL32-BS!BK32</f>
        <v>0</v>
      </c>
      <c r="BM26" s="184">
        <f>BS!BM37-BS!BL37+BS!BM32-BS!BL32</f>
        <v>0</v>
      </c>
      <c r="BN26" s="184">
        <f>BS!BN37-BS!BM37+BS!BN32-BS!BM32</f>
        <v>0</v>
      </c>
      <c r="BO26" s="184">
        <f>BS!BO37-BS!BN37+BS!BO32-BS!BN32</f>
        <v>0</v>
      </c>
      <c r="BP26" s="20"/>
      <c r="BQ26" s="184">
        <f t="shared" si="127"/>
        <v>-26</v>
      </c>
      <c r="BR26" s="184">
        <f t="shared" si="128"/>
        <v>-274</v>
      </c>
      <c r="BS26" s="184">
        <f t="shared" si="129"/>
        <v>-57</v>
      </c>
      <c r="BT26" s="184">
        <f t="shared" si="130"/>
        <v>-35</v>
      </c>
      <c r="BU26" s="184">
        <f t="shared" si="131"/>
        <v>28</v>
      </c>
      <c r="BV26" s="573">
        <f t="shared" si="132"/>
        <v>12</v>
      </c>
      <c r="BW26" s="572">
        <f t="shared" si="133"/>
        <v>-46</v>
      </c>
      <c r="BX26" s="572">
        <f t="shared" si="134"/>
        <v>-159</v>
      </c>
      <c r="BY26" s="184">
        <f t="shared" si="135"/>
        <v>-42</v>
      </c>
      <c r="BZ26" s="184">
        <f t="shared" si="136"/>
        <v>-79</v>
      </c>
      <c r="CA26" s="184">
        <f t="shared" si="67"/>
        <v>-91</v>
      </c>
      <c r="CB26" s="184">
        <f t="shared" si="68"/>
        <v>-99</v>
      </c>
      <c r="CC26" s="184">
        <f t="shared" si="72"/>
        <v>5</v>
      </c>
      <c r="CD26" s="184">
        <f t="shared" si="69"/>
        <v>-51</v>
      </c>
      <c r="CE26" s="184">
        <f t="shared" si="70"/>
        <v>0</v>
      </c>
      <c r="CF26" s="185">
        <f t="shared" si="137"/>
        <v>0</v>
      </c>
      <c r="CG26" s="567"/>
      <c r="CH26" s="8"/>
    </row>
    <row r="27" spans="1:86" ht="14.25" customHeight="1" thickBot="1">
      <c r="A27" s="8"/>
      <c r="B27" s="188" t="str">
        <f>B122</f>
        <v>Net cash provided by operating activities</v>
      </c>
      <c r="C27" s="189"/>
      <c r="D27" s="191">
        <f t="shared" ref="D27:AM27" si="138">D11+SUM(D13:D18)+SUM(D20:D26)</f>
        <v>497.75</v>
      </c>
      <c r="E27" s="190">
        <f t="shared" si="138"/>
        <v>764.75</v>
      </c>
      <c r="F27" s="190">
        <f t="shared" si="138"/>
        <v>1465.75</v>
      </c>
      <c r="G27" s="190">
        <f t="shared" si="138"/>
        <v>885.75</v>
      </c>
      <c r="H27" s="191">
        <f t="shared" si="138"/>
        <v>521.75</v>
      </c>
      <c r="I27" s="190">
        <f t="shared" si="138"/>
        <v>666.75</v>
      </c>
      <c r="J27" s="190">
        <f t="shared" si="138"/>
        <v>426.75</v>
      </c>
      <c r="K27" s="190">
        <f t="shared" si="138"/>
        <v>840.75</v>
      </c>
      <c r="L27" s="191">
        <f t="shared" si="138"/>
        <v>554</v>
      </c>
      <c r="M27" s="190">
        <f t="shared" si="138"/>
        <v>897.67</v>
      </c>
      <c r="N27" s="190">
        <f t="shared" si="138"/>
        <v>1530.67</v>
      </c>
      <c r="O27" s="190">
        <f t="shared" si="138"/>
        <v>1424.67</v>
      </c>
      <c r="P27" s="191">
        <f t="shared" si="138"/>
        <v>641</v>
      </c>
      <c r="Q27" s="190">
        <f t="shared" si="138"/>
        <v>518</v>
      </c>
      <c r="R27" s="190">
        <f t="shared" si="138"/>
        <v>1053</v>
      </c>
      <c r="S27" s="190">
        <f t="shared" si="138"/>
        <v>1118</v>
      </c>
      <c r="T27" s="191">
        <f t="shared" si="138"/>
        <v>251</v>
      </c>
      <c r="U27" s="190">
        <f t="shared" si="138"/>
        <v>557</v>
      </c>
      <c r="V27" s="190">
        <f t="shared" si="138"/>
        <v>834</v>
      </c>
      <c r="W27" s="192">
        <f t="shared" si="138"/>
        <v>1001</v>
      </c>
      <c r="X27" s="191">
        <f t="shared" si="138"/>
        <v>710</v>
      </c>
      <c r="Y27" s="190">
        <f t="shared" si="138"/>
        <v>562</v>
      </c>
      <c r="Z27" s="190">
        <f t="shared" si="138"/>
        <v>1318</v>
      </c>
      <c r="AA27" s="192">
        <f t="shared" si="138"/>
        <v>1230</v>
      </c>
      <c r="AB27" s="191">
        <f t="shared" si="138"/>
        <v>516</v>
      </c>
      <c r="AC27" s="190">
        <f t="shared" si="138"/>
        <v>631</v>
      </c>
      <c r="AD27" s="190">
        <f t="shared" si="138"/>
        <v>1140</v>
      </c>
      <c r="AE27" s="192">
        <f t="shared" si="138"/>
        <v>970</v>
      </c>
      <c r="AF27" s="191">
        <f t="shared" si="138"/>
        <v>449</v>
      </c>
      <c r="AG27" s="190">
        <f t="shared" si="138"/>
        <v>675</v>
      </c>
      <c r="AH27" s="190">
        <f t="shared" si="138"/>
        <v>1202</v>
      </c>
      <c r="AI27" s="192">
        <f t="shared" si="138"/>
        <v>1088</v>
      </c>
      <c r="AJ27" s="191">
        <f t="shared" si="138"/>
        <v>360</v>
      </c>
      <c r="AK27" s="190">
        <f t="shared" si="138"/>
        <v>675</v>
      </c>
      <c r="AL27" s="190">
        <f t="shared" si="138"/>
        <v>1150</v>
      </c>
      <c r="AM27" s="192">
        <f t="shared" si="138"/>
        <v>1199</v>
      </c>
      <c r="AN27" s="191">
        <f t="shared" ref="AN27:AS27" si="139">AN11+SUM(AN13:AN18)+SUM(AN20:AN26)</f>
        <v>462</v>
      </c>
      <c r="AO27" s="190">
        <f t="shared" si="139"/>
        <v>775</v>
      </c>
      <c r="AP27" s="190">
        <f t="shared" si="139"/>
        <v>1383</v>
      </c>
      <c r="AQ27" s="192">
        <f t="shared" si="139"/>
        <v>1272</v>
      </c>
      <c r="AR27" s="191">
        <f t="shared" si="139"/>
        <v>609</v>
      </c>
      <c r="AS27" s="190">
        <f t="shared" si="139"/>
        <v>820</v>
      </c>
      <c r="AT27" s="190">
        <f t="shared" ref="AT27:BD27" si="140">AT11+SUM(AT13:AT18)+SUM(AT20:AT26)</f>
        <v>1409</v>
      </c>
      <c r="AU27" s="192">
        <f t="shared" si="140"/>
        <v>1430</v>
      </c>
      <c r="AV27" s="191">
        <f t="shared" si="140"/>
        <v>653</v>
      </c>
      <c r="AW27" s="190">
        <f t="shared" si="140"/>
        <v>1046</v>
      </c>
      <c r="AX27" s="190">
        <f>AX11+SUM(AX13:AX18)+SUM(AX20:AX26)</f>
        <v>1463</v>
      </c>
      <c r="AY27" s="192">
        <f t="shared" ref="AY27:BA27" si="141">AY11+SUM(AY13:AY18)+SUM(AY20:AY26)</f>
        <v>1452</v>
      </c>
      <c r="AZ27" s="191">
        <f t="shared" si="141"/>
        <v>795</v>
      </c>
      <c r="BA27" s="190">
        <f t="shared" si="141"/>
        <v>917</v>
      </c>
      <c r="BB27" s="190">
        <f>BB11+SUM(BB13:BB18)+SUM(BB20:BB26)</f>
        <v>1722</v>
      </c>
      <c r="BC27" s="192">
        <f t="shared" si="140"/>
        <v>1929</v>
      </c>
      <c r="BD27" s="191">
        <f t="shared" si="140"/>
        <v>1112</v>
      </c>
      <c r="BE27" s="190">
        <f t="shared" ref="BE27:BG27" si="142">BE11+SUM(BE13:BE18)+SUM(BE20:BE26)</f>
        <v>1606.1720669114043</v>
      </c>
      <c r="BF27" s="190">
        <f t="shared" si="142"/>
        <v>1655.8845112677875</v>
      </c>
      <c r="BG27" s="190">
        <f t="shared" si="142"/>
        <v>1908.4476356521423</v>
      </c>
      <c r="BH27" s="191">
        <f t="shared" ref="BH27:BK27" si="143">BH11+SUM(BH13:BH18)+SUM(BH20:BH26)</f>
        <v>1372.1150239023539</v>
      </c>
      <c r="BI27" s="190">
        <f t="shared" si="143"/>
        <v>1725.7731458042422</v>
      </c>
      <c r="BJ27" s="190">
        <f t="shared" si="143"/>
        <v>1824.0052165479947</v>
      </c>
      <c r="BK27" s="190">
        <f t="shared" si="143"/>
        <v>2041.9338058490844</v>
      </c>
      <c r="BL27" s="191">
        <f t="shared" ref="BL27:BO27" si="144">BL11+SUM(BL13:BL18)+SUM(BL20:BL26)</f>
        <v>1849.6883283454404</v>
      </c>
      <c r="BM27" s="190">
        <f t="shared" si="144"/>
        <v>1772.2812576037911</v>
      </c>
      <c r="BN27" s="190">
        <f t="shared" si="144"/>
        <v>1922.1411293942901</v>
      </c>
      <c r="BO27" s="190">
        <f t="shared" si="144"/>
        <v>2146.1086455790751</v>
      </c>
      <c r="BP27" s="20"/>
      <c r="BQ27" s="190">
        <f t="shared" ref="BQ27:CA27" si="145">BQ11+SUM(BQ13:BQ18)+SUM(BQ20:BQ26)</f>
        <v>3614</v>
      </c>
      <c r="BR27" s="190">
        <f t="shared" si="145"/>
        <v>2456</v>
      </c>
      <c r="BS27" s="190">
        <f t="shared" si="145"/>
        <v>4407.01</v>
      </c>
      <c r="BT27" s="190">
        <f t="shared" si="145"/>
        <v>3330</v>
      </c>
      <c r="BU27" s="190">
        <f t="shared" si="145"/>
        <v>2643</v>
      </c>
      <c r="BV27" s="575">
        <f t="shared" si="145"/>
        <v>3820</v>
      </c>
      <c r="BW27" s="191">
        <f t="shared" si="145"/>
        <v>3257</v>
      </c>
      <c r="BX27" s="191">
        <f t="shared" si="145"/>
        <v>3414</v>
      </c>
      <c r="BY27" s="190">
        <f t="shared" si="145"/>
        <v>3384</v>
      </c>
      <c r="BZ27" s="190">
        <f t="shared" si="145"/>
        <v>3892</v>
      </c>
      <c r="CA27" s="190">
        <f t="shared" si="145"/>
        <v>4268</v>
      </c>
      <c r="CB27" s="190">
        <f>CB11+SUM(CB13:CB18)+SUM(CB20:CB26)</f>
        <v>4614</v>
      </c>
      <c r="CC27" s="190">
        <f>CC11+SUM(CC13:CC18)+SUM(CC20:CC26)</f>
        <v>5363</v>
      </c>
      <c r="CD27" s="190">
        <f>CD11+SUM(CD13:CD18)+SUM(CD20:CD26)</f>
        <v>6282.5042138313338</v>
      </c>
      <c r="CE27" s="190">
        <f>CE11+SUM(CE13:CE18)+SUM(CE20:CE26)</f>
        <v>6963.8271921036749</v>
      </c>
      <c r="CF27" s="192">
        <f>CF11+SUM(CF13:CF18)+SUM(CF20:CF26)</f>
        <v>7690.219360922596</v>
      </c>
      <c r="CG27" s="567"/>
      <c r="CH27" s="8"/>
    </row>
    <row r="28" spans="1:86" ht="14.25" customHeight="1" thickTop="1">
      <c r="A28" s="8"/>
      <c r="B28" s="342"/>
      <c r="C28" s="21"/>
      <c r="D28" s="574"/>
      <c r="E28" s="186"/>
      <c r="F28" s="186"/>
      <c r="G28" s="187"/>
      <c r="H28" s="574"/>
      <c r="I28" s="186"/>
      <c r="J28" s="186"/>
      <c r="K28" s="187"/>
      <c r="L28" s="574"/>
      <c r="M28" s="186"/>
      <c r="N28" s="186"/>
      <c r="O28" s="187"/>
      <c r="P28" s="574"/>
      <c r="Q28" s="186"/>
      <c r="R28" s="186"/>
      <c r="S28" s="187"/>
      <c r="T28" s="574"/>
      <c r="U28" s="186"/>
      <c r="V28" s="186"/>
      <c r="W28" s="187"/>
      <c r="X28" s="574"/>
      <c r="Y28" s="186"/>
      <c r="Z28" s="186"/>
      <c r="AA28" s="187"/>
      <c r="AB28" s="574"/>
      <c r="AC28" s="186"/>
      <c r="AD28" s="186"/>
      <c r="AE28" s="187"/>
      <c r="AF28" s="574"/>
      <c r="AG28" s="184"/>
      <c r="AH28" s="186"/>
      <c r="AI28" s="187"/>
      <c r="AJ28" s="574"/>
      <c r="AK28" s="184"/>
      <c r="AL28" s="184"/>
      <c r="AM28" s="187"/>
      <c r="AN28" s="574"/>
      <c r="AO28" s="184"/>
      <c r="AP28" s="184"/>
      <c r="AQ28" s="187"/>
      <c r="AR28" s="574"/>
      <c r="AS28" s="184"/>
      <c r="AT28" s="184"/>
      <c r="AU28" s="187"/>
      <c r="AV28" s="574"/>
      <c r="AW28" s="184"/>
      <c r="AX28" s="184"/>
      <c r="AY28" s="187"/>
      <c r="AZ28" s="574"/>
      <c r="BA28" s="184"/>
      <c r="BB28" s="184"/>
      <c r="BC28" s="187"/>
      <c r="BD28" s="574"/>
      <c r="BE28" s="186"/>
      <c r="BF28" s="186"/>
      <c r="BG28" s="186"/>
      <c r="BH28" s="574"/>
      <c r="BI28" s="186"/>
      <c r="BJ28" s="186"/>
      <c r="BK28" s="186"/>
      <c r="BL28" s="574"/>
      <c r="BM28" s="186"/>
      <c r="BN28" s="186"/>
      <c r="BO28" s="186"/>
      <c r="BP28" s="20"/>
      <c r="BQ28" s="186"/>
      <c r="BR28" s="186"/>
      <c r="BS28" s="186"/>
      <c r="BT28" s="186"/>
      <c r="BU28" s="576"/>
      <c r="BV28" s="187"/>
      <c r="BW28" s="574"/>
      <c r="BX28" s="574"/>
      <c r="BY28" s="577"/>
      <c r="BZ28" s="577"/>
      <c r="CA28" s="577"/>
      <c r="CB28" s="577"/>
      <c r="CC28" s="577"/>
      <c r="CD28" s="577"/>
      <c r="CE28" s="577"/>
      <c r="CF28" s="741"/>
      <c r="CG28" s="567"/>
      <c r="CH28" s="8"/>
    </row>
    <row r="29" spans="1:86" ht="14.25" customHeight="1">
      <c r="A29" s="8"/>
      <c r="B29" s="320" t="str">
        <f t="shared" ref="B29:B36" si="146">B124</f>
        <v>Cash flows from investing activities:</v>
      </c>
      <c r="C29" s="39"/>
      <c r="D29" s="574"/>
      <c r="E29" s="186"/>
      <c r="F29" s="186"/>
      <c r="G29" s="187"/>
      <c r="H29" s="574"/>
      <c r="I29" s="186"/>
      <c r="J29" s="186"/>
      <c r="K29" s="187"/>
      <c r="L29" s="574"/>
      <c r="M29" s="186"/>
      <c r="N29" s="186"/>
      <c r="O29" s="187"/>
      <c r="P29" s="574"/>
      <c r="Q29" s="186"/>
      <c r="R29" s="186"/>
      <c r="S29" s="187"/>
      <c r="T29" s="574"/>
      <c r="U29" s="186"/>
      <c r="V29" s="186"/>
      <c r="W29" s="187"/>
      <c r="X29" s="574"/>
      <c r="Y29" s="186"/>
      <c r="Z29" s="186"/>
      <c r="AA29" s="187"/>
      <c r="AB29" s="574"/>
      <c r="AC29" s="186"/>
      <c r="AD29" s="186"/>
      <c r="AE29" s="187"/>
      <c r="AF29" s="574"/>
      <c r="AG29" s="184"/>
      <c r="AH29" s="186"/>
      <c r="AI29" s="187"/>
      <c r="AJ29" s="574"/>
      <c r="AK29" s="184"/>
      <c r="AL29" s="184"/>
      <c r="AM29" s="187"/>
      <c r="AN29" s="574"/>
      <c r="AO29" s="184"/>
      <c r="AP29" s="184"/>
      <c r="AQ29" s="187"/>
      <c r="AR29" s="574"/>
      <c r="AS29" s="184"/>
      <c r="AT29" s="184"/>
      <c r="AU29" s="187"/>
      <c r="AV29" s="574"/>
      <c r="AW29" s="184"/>
      <c r="AX29" s="184"/>
      <c r="AY29" s="187"/>
      <c r="AZ29" s="574"/>
      <c r="BA29" s="184"/>
      <c r="BB29" s="184"/>
      <c r="BC29" s="187"/>
      <c r="BD29" s="574"/>
      <c r="BE29" s="186"/>
      <c r="BF29" s="186"/>
      <c r="BG29" s="186"/>
      <c r="BH29" s="574"/>
      <c r="BI29" s="186"/>
      <c r="BJ29" s="186"/>
      <c r="BK29" s="186"/>
      <c r="BL29" s="574"/>
      <c r="BM29" s="186"/>
      <c r="BN29" s="186"/>
      <c r="BO29" s="186"/>
      <c r="BP29" s="20"/>
      <c r="BQ29" s="186"/>
      <c r="BR29" s="186"/>
      <c r="BS29" s="186"/>
      <c r="BT29" s="186"/>
      <c r="BU29" s="186"/>
      <c r="BV29" s="187"/>
      <c r="BW29" s="574"/>
      <c r="BX29" s="574"/>
      <c r="BY29" s="186"/>
      <c r="BZ29" s="186"/>
      <c r="CA29" s="186"/>
      <c r="CB29" s="186"/>
      <c r="CC29" s="186"/>
      <c r="CD29" s="186"/>
      <c r="CE29" s="186"/>
      <c r="CF29" s="187"/>
      <c r="CG29" s="567"/>
      <c r="CH29" s="8"/>
    </row>
    <row r="30" spans="1:86" ht="14.25" customHeight="1">
      <c r="A30" s="8"/>
      <c r="B30" s="336" t="str">
        <f t="shared" si="146"/>
        <v>Purchase of property and equipment, net</v>
      </c>
      <c r="C30" s="24"/>
      <c r="D30" s="572">
        <f t="shared" ref="D30:D35" si="147">D125</f>
        <v>-267</v>
      </c>
      <c r="E30" s="184">
        <f t="shared" ref="E30:E35" si="148">E125-D30</f>
        <v>-247</v>
      </c>
      <c r="F30" s="184">
        <f t="shared" ref="F30:F35" si="149">F125-E30-D30</f>
        <v>-440</v>
      </c>
      <c r="G30" s="185">
        <f t="shared" ref="G30:G35" si="150">G125-F30-E30-D30</f>
        <v>-334</v>
      </c>
      <c r="H30" s="572">
        <f t="shared" ref="H30:H35" si="151">H125</f>
        <v>-408</v>
      </c>
      <c r="I30" s="184">
        <f t="shared" ref="I30:I35" si="152">I125-H30</f>
        <v>-374</v>
      </c>
      <c r="J30" s="184">
        <f t="shared" ref="J30:J35" si="153">J125-I30-H30</f>
        <v>-276</v>
      </c>
      <c r="K30" s="185">
        <f t="shared" ref="K30:K35" si="154">K125-J30-I30-H30</f>
        <v>-214</v>
      </c>
      <c r="L30" s="572">
        <f t="shared" ref="L30:L35" si="155">L125</f>
        <v>-179</v>
      </c>
      <c r="M30" s="184">
        <f t="shared" ref="M30:M35" si="156">M125-L30</f>
        <v>-174</v>
      </c>
      <c r="N30" s="184">
        <f t="shared" ref="N30:N35" si="157">N125-M30-L30</f>
        <v>-152</v>
      </c>
      <c r="O30" s="185">
        <f t="shared" ref="O30:O35" si="158">O125-N30-M30-L30</f>
        <v>-120</v>
      </c>
      <c r="P30" s="572">
        <f t="shared" ref="P30:P35" si="159">P125</f>
        <v>-219</v>
      </c>
      <c r="Q30" s="184">
        <f t="shared" ref="Q30:Q35" si="160">Q125-P30</f>
        <v>-270</v>
      </c>
      <c r="R30" s="184">
        <f t="shared" ref="R30:R35" si="161">R125-Q30-P30</f>
        <v>-197</v>
      </c>
      <c r="S30" s="185">
        <f t="shared" ref="S30:S35" si="162">S125-R30-Q30-P30</f>
        <v>-77</v>
      </c>
      <c r="T30" s="572">
        <f t="shared" ref="T30:T35" si="163">T125</f>
        <v>-43</v>
      </c>
      <c r="U30" s="184">
        <f t="shared" ref="U30:U35" si="164">U125-T30</f>
        <v>-48</v>
      </c>
      <c r="V30" s="184">
        <f t="shared" ref="V30:V35" si="165">V125-U30-T30</f>
        <v>-226</v>
      </c>
      <c r="W30" s="185">
        <f t="shared" ref="W30:W35" si="166">W125-V30-U30-T30</f>
        <v>-436</v>
      </c>
      <c r="X30" s="572">
        <f t="shared" ref="X30:X35" si="167">X125</f>
        <v>-219</v>
      </c>
      <c r="Y30" s="184">
        <f t="shared" ref="Y30:Y35" si="168">Y125-X30</f>
        <v>-283</v>
      </c>
      <c r="Z30" s="184">
        <f t="shared" ref="Z30:Z35" si="169">Z125-Y30-X30</f>
        <v>-396</v>
      </c>
      <c r="AA30" s="185">
        <f t="shared" ref="AA30:AA35" si="170">AA125-Z30-Y30-X30</f>
        <v>-301</v>
      </c>
      <c r="AB30" s="572">
        <f t="shared" ref="AB30:AB35" si="171">AB125</f>
        <v>-194</v>
      </c>
      <c r="AC30" s="184">
        <f t="shared" ref="AC30:AC35" si="172">AC125-AB30</f>
        <v>-276</v>
      </c>
      <c r="AD30" s="184">
        <f t="shared" ref="AD30:AD35" si="173">AD125-SUM(AB30:AC30)</f>
        <v>-193</v>
      </c>
      <c r="AE30" s="185">
        <f t="shared" ref="AE30:AE35" si="174">AE125-AD30-AC30-AB30</f>
        <v>-153</v>
      </c>
      <c r="AF30" s="572">
        <f t="shared" ref="AF30:AF35" si="175">AF125</f>
        <v>-103</v>
      </c>
      <c r="AG30" s="184">
        <f t="shared" ref="AG30:AG35" si="176">AG125-AF30</f>
        <v>-146</v>
      </c>
      <c r="AH30" s="184">
        <f t="shared" ref="AH30:AH35" si="177">AH125-SUM(AF30:AG30)</f>
        <v>-150</v>
      </c>
      <c r="AI30" s="185">
        <f t="shared" ref="AI30:AI35" si="178">AI125-AH30-AG30-AF30</f>
        <v>-96</v>
      </c>
      <c r="AJ30" s="572">
        <f t="shared" ref="AJ30:AJ35" si="179">AJ125</f>
        <v>-84</v>
      </c>
      <c r="AK30" s="184">
        <f t="shared" ref="AK30:AK35" si="180">AK125-AJ30</f>
        <v>-98</v>
      </c>
      <c r="AL30" s="184">
        <f t="shared" ref="AL30:AL35" si="181">AL125-SUM(AJ30:AK30)</f>
        <v>-123</v>
      </c>
      <c r="AM30" s="185">
        <f t="shared" ref="AM30:AM35" si="182">AM125-AL30-AK30-AJ30</f>
        <v>-107</v>
      </c>
      <c r="AN30" s="572">
        <f t="shared" ref="AN30:AN35" si="183">AN125</f>
        <v>-77</v>
      </c>
      <c r="AO30" s="184">
        <f t="shared" ref="AO30:AO35" si="184">AO125-AN30</f>
        <v>-80</v>
      </c>
      <c r="AP30" s="184">
        <f t="shared" ref="AP30:AP35" si="185">AP125-SUM(AN30:AO30)</f>
        <v>-103</v>
      </c>
      <c r="AQ30" s="185">
        <f t="shared" ref="AQ30:AQ35" si="186">AQ125-AP30-AO30-AN30</f>
        <v>-125</v>
      </c>
      <c r="AR30" s="572">
        <f t="shared" ref="AR30:AR35" si="187">AR125</f>
        <v>-123</v>
      </c>
      <c r="AS30" s="184">
        <f t="shared" ref="AS30:AS35" si="188">AS125-AR30</f>
        <v>-125</v>
      </c>
      <c r="AT30" s="184">
        <f t="shared" ref="AT30:AT35" si="189">AT125-SUM(AR30:AS30)</f>
        <v>-139</v>
      </c>
      <c r="AU30" s="185">
        <f t="shared" ref="AU30:AU35" si="190">AU125-AT30-AS30-AR30</f>
        <v>-164</v>
      </c>
      <c r="AV30" s="572">
        <f t="shared" ref="AV30:AV35" si="191">AV125</f>
        <v>-124</v>
      </c>
      <c r="AW30" s="184">
        <f t="shared" ref="AW30:AW35" si="192">AW125-AV30</f>
        <v>-158</v>
      </c>
      <c r="AX30" s="184">
        <f t="shared" ref="AX30:AX35" si="193">AX125-SUM(AV30:AW30)</f>
        <v>-139</v>
      </c>
      <c r="AY30" s="185">
        <f t="shared" ref="AY30:AY35" si="194">AY125-AX30-AW30-AV30</f>
        <v>-110</v>
      </c>
      <c r="AZ30" s="572">
        <f t="shared" ref="AZ30:AZ35" si="195">AZ125</f>
        <v>-127</v>
      </c>
      <c r="BA30" s="184">
        <f t="shared" ref="BA30:BA35" si="196">BA125-AZ30</f>
        <v>-151</v>
      </c>
      <c r="BB30" s="184">
        <f t="shared" ref="BB30:BB35" si="197">BB125-SUM(AZ30:BA30)</f>
        <v>-186</v>
      </c>
      <c r="BC30" s="185">
        <f t="shared" ref="BC30:BC35" si="198">BC125-BB30-BA30-AZ30</f>
        <v>-231</v>
      </c>
      <c r="BD30" s="572">
        <f t="shared" ref="BD30:BD35" si="199">BD125</f>
        <v>-189</v>
      </c>
      <c r="BE30" s="184">
        <f t="shared" ref="BE30:BG30" si="200">-BE60-BE61</f>
        <v>-196.75037492037757</v>
      </c>
      <c r="BF30" s="184">
        <f t="shared" si="200"/>
        <v>-209.35216233226427</v>
      </c>
      <c r="BG30" s="184">
        <f t="shared" si="200"/>
        <v>-197.26236323651841</v>
      </c>
      <c r="BH30" s="572">
        <f t="shared" ref="BH30:BK30" si="201">-BH60-BH61</f>
        <v>-154.02432575675084</v>
      </c>
      <c r="BI30" s="184">
        <f t="shared" si="201"/>
        <v>-163.57548156572383</v>
      </c>
      <c r="BJ30" s="184">
        <f t="shared" si="201"/>
        <v>-173.62935136515625</v>
      </c>
      <c r="BK30" s="184">
        <f t="shared" si="201"/>
        <v>-163.07259415480493</v>
      </c>
      <c r="BL30" s="572">
        <f t="shared" ref="BL30:BO30" si="202">-BL60-BL61</f>
        <v>-158.96222707352942</v>
      </c>
      <c r="BM30" s="184">
        <f t="shared" si="202"/>
        <v>-168.76959175725926</v>
      </c>
      <c r="BN30" s="184">
        <f t="shared" si="202"/>
        <v>-179.03977436062695</v>
      </c>
      <c r="BO30" s="184">
        <f t="shared" si="202"/>
        <v>-168.24888751252197</v>
      </c>
      <c r="BP30" s="20"/>
      <c r="BQ30" s="184">
        <f t="shared" ref="BQ30:BQ35" si="203">SUM(D30:G30)</f>
        <v>-1288</v>
      </c>
      <c r="BR30" s="184">
        <f t="shared" ref="BR30:BR35" si="204">SUM(H30:K30)</f>
        <v>-1272</v>
      </c>
      <c r="BS30" s="184">
        <f t="shared" ref="BS30:BS35" si="205">SUM(L30:O30)</f>
        <v>-625</v>
      </c>
      <c r="BT30" s="184">
        <f t="shared" ref="BT30:BT35" si="206">SUM(P30:S30)</f>
        <v>-763</v>
      </c>
      <c r="BU30" s="184">
        <f t="shared" ref="BU30:BU35" si="207">SUM(T30:W30)</f>
        <v>-753</v>
      </c>
      <c r="BV30" s="185">
        <f t="shared" ref="BV30:BV35" si="208">SUM(X30:AA30)</f>
        <v>-1199</v>
      </c>
      <c r="BW30" s="572">
        <f t="shared" ref="BW30:BW35" si="209">SUM(AB30:AE30)</f>
        <v>-816</v>
      </c>
      <c r="BX30" s="572">
        <f t="shared" ref="BX30:BX35" si="210">SUM(AF30:AI30)</f>
        <v>-495</v>
      </c>
      <c r="BY30" s="184">
        <f t="shared" ref="BY30:BY35" si="211">SUM(AJ30:AM30)</f>
        <v>-412</v>
      </c>
      <c r="BZ30" s="184">
        <f t="shared" ref="BZ30:BZ35" si="212">SUM(AN30:AQ30)</f>
        <v>-385</v>
      </c>
      <c r="CA30" s="184">
        <f t="shared" ref="CA30:CA35" si="213">SUM(AR30:AU30)</f>
        <v>-551</v>
      </c>
      <c r="CB30" s="184">
        <f t="shared" ref="CB30:CB35" si="214">SUM(AV30:AY30)</f>
        <v>-531</v>
      </c>
      <c r="CC30" s="184">
        <f t="shared" ref="CC30:CC35" si="215">SUM(AZ30:BC30)</f>
        <v>-695</v>
      </c>
      <c r="CD30" s="184">
        <f t="shared" ref="CD30:CD35" si="216">SUM(BD30:BG30)</f>
        <v>-792.36490048916016</v>
      </c>
      <c r="CE30" s="184">
        <f t="shared" ref="CE30:CE35" si="217">SUM(BH30:BK30)</f>
        <v>-654.30175284243592</v>
      </c>
      <c r="CF30" s="185">
        <f t="shared" ref="CF30:CF35" si="218">SUM(BL30:BO30)</f>
        <v>-675.02048070393766</v>
      </c>
      <c r="CG30" s="567"/>
      <c r="CH30" s="8"/>
    </row>
    <row r="31" spans="1:86" ht="14.25" customHeight="1">
      <c r="A31" s="8"/>
      <c r="B31" s="336" t="str">
        <f t="shared" si="146"/>
        <v>Purchase of short-term investments</v>
      </c>
      <c r="C31" s="24"/>
      <c r="D31" s="572">
        <f t="shared" si="147"/>
        <v>-818</v>
      </c>
      <c r="E31" s="184">
        <f t="shared" si="148"/>
        <v>-248</v>
      </c>
      <c r="F31" s="184">
        <f t="shared" si="149"/>
        <v>-2095</v>
      </c>
      <c r="G31" s="185">
        <f t="shared" si="150"/>
        <v>-2690</v>
      </c>
      <c r="H31" s="572">
        <f t="shared" si="151"/>
        <v>-1153</v>
      </c>
      <c r="I31" s="184">
        <f t="shared" si="152"/>
        <v>-3063</v>
      </c>
      <c r="J31" s="184">
        <f t="shared" si="153"/>
        <v>-1330</v>
      </c>
      <c r="K31" s="185">
        <f t="shared" si="154"/>
        <v>-1275</v>
      </c>
      <c r="L31" s="572">
        <f t="shared" si="155"/>
        <v>-846</v>
      </c>
      <c r="M31" s="184">
        <f t="shared" si="156"/>
        <v>-1479</v>
      </c>
      <c r="N31" s="184">
        <f t="shared" si="157"/>
        <v>-1916</v>
      </c>
      <c r="O31" s="185">
        <f t="shared" si="158"/>
        <v>-794</v>
      </c>
      <c r="P31" s="572">
        <f t="shared" si="159"/>
        <v>-362</v>
      </c>
      <c r="Q31" s="184">
        <f t="shared" si="160"/>
        <v>0</v>
      </c>
      <c r="R31" s="184">
        <f t="shared" si="161"/>
        <v>0</v>
      </c>
      <c r="S31" s="185">
        <f t="shared" si="162"/>
        <v>-1384</v>
      </c>
      <c r="T31" s="572">
        <f t="shared" si="163"/>
        <v>-220</v>
      </c>
      <c r="U31" s="184">
        <f t="shared" si="164"/>
        <v>-343</v>
      </c>
      <c r="V31" s="184">
        <f t="shared" si="165"/>
        <v>-879</v>
      </c>
      <c r="W31" s="185">
        <f t="shared" si="166"/>
        <v>-831</v>
      </c>
      <c r="X31" s="572">
        <f t="shared" si="167"/>
        <v>-599</v>
      </c>
      <c r="Y31" s="184">
        <f t="shared" si="168"/>
        <v>-613</v>
      </c>
      <c r="Z31" s="184">
        <f t="shared" si="169"/>
        <v>-599</v>
      </c>
      <c r="AA31" s="185">
        <f t="shared" si="170"/>
        <v>-699</v>
      </c>
      <c r="AB31" s="572">
        <f t="shared" si="171"/>
        <v>-872</v>
      </c>
      <c r="AC31" s="184">
        <f t="shared" si="172"/>
        <v>-816</v>
      </c>
      <c r="AD31" s="184">
        <f t="shared" si="173"/>
        <v>-761</v>
      </c>
      <c r="AE31" s="185">
        <f t="shared" si="174"/>
        <v>-1204</v>
      </c>
      <c r="AF31" s="572">
        <f t="shared" si="175"/>
        <v>-242</v>
      </c>
      <c r="AG31" s="184">
        <f t="shared" si="176"/>
        <v>-415</v>
      </c>
      <c r="AH31" s="184">
        <f t="shared" si="177"/>
        <v>-1484</v>
      </c>
      <c r="AI31" s="185">
        <f t="shared" si="178"/>
        <v>-661</v>
      </c>
      <c r="AJ31" s="572">
        <f t="shared" si="179"/>
        <v>-536</v>
      </c>
      <c r="AK31" s="184">
        <f t="shared" si="180"/>
        <v>-1848</v>
      </c>
      <c r="AL31" s="184">
        <f t="shared" si="181"/>
        <v>-793</v>
      </c>
      <c r="AM31" s="185">
        <f t="shared" si="182"/>
        <v>-730</v>
      </c>
      <c r="AN31" s="572">
        <f t="shared" si="183"/>
        <v>-1051</v>
      </c>
      <c r="AO31" s="184">
        <f t="shared" si="184"/>
        <v>-415</v>
      </c>
      <c r="AP31" s="184">
        <f t="shared" si="185"/>
        <v>-704</v>
      </c>
      <c r="AQ31" s="185">
        <f t="shared" si="186"/>
        <v>-937</v>
      </c>
      <c r="AR31" s="572">
        <f t="shared" si="187"/>
        <v>-335</v>
      </c>
      <c r="AS31" s="184">
        <f t="shared" si="188"/>
        <v>-919</v>
      </c>
      <c r="AT31" s="184">
        <f t="shared" si="189"/>
        <v>-459</v>
      </c>
      <c r="AU31" s="185">
        <f t="shared" si="190"/>
        <v>-1054</v>
      </c>
      <c r="AV31" s="572">
        <f t="shared" si="191"/>
        <v>-200</v>
      </c>
      <c r="AW31" s="184">
        <f t="shared" si="192"/>
        <v>-993</v>
      </c>
      <c r="AX31" s="184">
        <f t="shared" si="193"/>
        <v>-978</v>
      </c>
      <c r="AY31" s="185">
        <f t="shared" si="194"/>
        <v>-1332</v>
      </c>
      <c r="AZ31" s="572">
        <f t="shared" si="195"/>
        <v>-757</v>
      </c>
      <c r="BA31" s="184">
        <f t="shared" si="196"/>
        <v>-1130</v>
      </c>
      <c r="BB31" s="184">
        <f t="shared" si="197"/>
        <v>-1218</v>
      </c>
      <c r="BC31" s="185">
        <f t="shared" si="198"/>
        <v>-1450</v>
      </c>
      <c r="BD31" s="572">
        <f t="shared" si="199"/>
        <v>-996</v>
      </c>
      <c r="BE31" s="186">
        <v>0</v>
      </c>
      <c r="BF31" s="186">
        <v>0</v>
      </c>
      <c r="BG31" s="186">
        <v>0</v>
      </c>
      <c r="BH31" s="574">
        <v>0</v>
      </c>
      <c r="BI31" s="186">
        <v>0</v>
      </c>
      <c r="BJ31" s="186">
        <v>0</v>
      </c>
      <c r="BK31" s="186">
        <v>0</v>
      </c>
      <c r="BL31" s="574">
        <v>0</v>
      </c>
      <c r="BM31" s="186">
        <v>0</v>
      </c>
      <c r="BN31" s="186">
        <v>0</v>
      </c>
      <c r="BO31" s="186">
        <v>0</v>
      </c>
      <c r="BP31" s="20"/>
      <c r="BQ31" s="184">
        <f t="shared" si="203"/>
        <v>-5851</v>
      </c>
      <c r="BR31" s="184">
        <f t="shared" si="204"/>
        <v>-6821</v>
      </c>
      <c r="BS31" s="184">
        <f t="shared" si="205"/>
        <v>-5035</v>
      </c>
      <c r="BT31" s="184">
        <f t="shared" si="206"/>
        <v>-1746</v>
      </c>
      <c r="BU31" s="184">
        <f t="shared" si="207"/>
        <v>-2273</v>
      </c>
      <c r="BV31" s="185">
        <f t="shared" si="208"/>
        <v>-2510</v>
      </c>
      <c r="BW31" s="572">
        <f t="shared" si="209"/>
        <v>-3653</v>
      </c>
      <c r="BX31" s="572">
        <f t="shared" si="210"/>
        <v>-2802</v>
      </c>
      <c r="BY31" s="184">
        <f t="shared" si="211"/>
        <v>-3907</v>
      </c>
      <c r="BZ31" s="184">
        <f t="shared" si="212"/>
        <v>-3107</v>
      </c>
      <c r="CA31" s="184">
        <f t="shared" si="213"/>
        <v>-2767</v>
      </c>
      <c r="CB31" s="184">
        <f t="shared" si="214"/>
        <v>-3503</v>
      </c>
      <c r="CC31" s="184">
        <f t="shared" si="215"/>
        <v>-4555</v>
      </c>
      <c r="CD31" s="184">
        <f t="shared" si="216"/>
        <v>-996</v>
      </c>
      <c r="CE31" s="184">
        <f t="shared" si="217"/>
        <v>0</v>
      </c>
      <c r="CF31" s="185">
        <f t="shared" si="218"/>
        <v>0</v>
      </c>
      <c r="CG31" s="567"/>
      <c r="CH31" s="8"/>
    </row>
    <row r="32" spans="1:86" ht="14.25" customHeight="1">
      <c r="A32" s="8"/>
      <c r="B32" s="336" t="str">
        <f t="shared" si="146"/>
        <v>Sales and redemptions of short-term investments</v>
      </c>
      <c r="C32" s="24"/>
      <c r="D32" s="572">
        <f t="shared" si="147"/>
        <v>1204</v>
      </c>
      <c r="E32" s="184">
        <f t="shared" si="148"/>
        <v>1192</v>
      </c>
      <c r="F32" s="184">
        <f t="shared" si="149"/>
        <v>1147</v>
      </c>
      <c r="G32" s="185">
        <f t="shared" si="150"/>
        <v>1887</v>
      </c>
      <c r="H32" s="572">
        <f t="shared" si="151"/>
        <v>2341</v>
      </c>
      <c r="I32" s="184">
        <f t="shared" si="152"/>
        <v>1983</v>
      </c>
      <c r="J32" s="184">
        <f t="shared" si="153"/>
        <v>2585</v>
      </c>
      <c r="K32" s="185">
        <f t="shared" si="154"/>
        <v>1509</v>
      </c>
      <c r="L32" s="572">
        <f t="shared" si="155"/>
        <v>1011</v>
      </c>
      <c r="M32" s="184">
        <f t="shared" si="156"/>
        <v>1529</v>
      </c>
      <c r="N32" s="184">
        <f t="shared" si="157"/>
        <v>1374</v>
      </c>
      <c r="O32" s="185">
        <f t="shared" si="158"/>
        <v>2067</v>
      </c>
      <c r="P32" s="572">
        <f t="shared" si="159"/>
        <v>958</v>
      </c>
      <c r="Q32" s="184">
        <f t="shared" si="160"/>
        <v>111</v>
      </c>
      <c r="R32" s="184">
        <f t="shared" si="161"/>
        <v>49</v>
      </c>
      <c r="S32" s="185">
        <f t="shared" si="162"/>
        <v>182</v>
      </c>
      <c r="T32" s="572">
        <f t="shared" si="163"/>
        <v>729</v>
      </c>
      <c r="U32" s="184">
        <f t="shared" si="164"/>
        <v>544</v>
      </c>
      <c r="V32" s="184">
        <f t="shared" si="165"/>
        <v>139</v>
      </c>
      <c r="W32" s="185">
        <f t="shared" si="166"/>
        <v>618</v>
      </c>
      <c r="X32" s="572">
        <f t="shared" si="167"/>
        <v>768</v>
      </c>
      <c r="Y32" s="184">
        <f t="shared" si="168"/>
        <v>1033</v>
      </c>
      <c r="Z32" s="184">
        <f t="shared" si="169"/>
        <v>374</v>
      </c>
      <c r="AA32" s="185">
        <f t="shared" si="170"/>
        <v>389</v>
      </c>
      <c r="AB32" s="572">
        <f t="shared" si="171"/>
        <v>1111</v>
      </c>
      <c r="AC32" s="184">
        <f t="shared" si="172"/>
        <v>505</v>
      </c>
      <c r="AD32" s="184">
        <f t="shared" si="173"/>
        <v>1638</v>
      </c>
      <c r="AE32" s="185">
        <f t="shared" si="174"/>
        <v>301</v>
      </c>
      <c r="AF32" s="572">
        <f t="shared" si="175"/>
        <v>613</v>
      </c>
      <c r="AG32" s="184">
        <f t="shared" si="176"/>
        <v>853</v>
      </c>
      <c r="AH32" s="184">
        <f t="shared" si="177"/>
        <v>173</v>
      </c>
      <c r="AI32" s="185">
        <f t="shared" si="178"/>
        <v>559</v>
      </c>
      <c r="AJ32" s="572">
        <f t="shared" si="179"/>
        <v>615</v>
      </c>
      <c r="AK32" s="184">
        <f t="shared" si="180"/>
        <v>2268</v>
      </c>
      <c r="AL32" s="184">
        <f t="shared" si="181"/>
        <v>681</v>
      </c>
      <c r="AM32" s="185">
        <f t="shared" si="182"/>
        <v>685</v>
      </c>
      <c r="AN32" s="572">
        <f t="shared" si="183"/>
        <v>785</v>
      </c>
      <c r="AO32" s="184">
        <f t="shared" si="184"/>
        <v>1294</v>
      </c>
      <c r="AP32" s="184">
        <f t="shared" si="185"/>
        <v>412</v>
      </c>
      <c r="AQ32" s="185">
        <f t="shared" si="186"/>
        <v>475</v>
      </c>
      <c r="AR32" s="572">
        <f t="shared" si="187"/>
        <v>615</v>
      </c>
      <c r="AS32" s="184">
        <f t="shared" si="188"/>
        <v>860</v>
      </c>
      <c r="AT32" s="184">
        <f t="shared" si="189"/>
        <v>980</v>
      </c>
      <c r="AU32" s="185">
        <f t="shared" si="190"/>
        <v>437</v>
      </c>
      <c r="AV32" s="572">
        <f t="shared" si="191"/>
        <v>900</v>
      </c>
      <c r="AW32" s="184">
        <f t="shared" si="192"/>
        <v>1210</v>
      </c>
      <c r="AX32" s="184">
        <f t="shared" si="193"/>
        <v>515</v>
      </c>
      <c r="AY32" s="185">
        <f t="shared" si="194"/>
        <v>765</v>
      </c>
      <c r="AZ32" s="572">
        <f t="shared" si="195"/>
        <v>1120</v>
      </c>
      <c r="BA32" s="184">
        <f t="shared" si="196"/>
        <v>1265</v>
      </c>
      <c r="BB32" s="184">
        <f t="shared" si="197"/>
        <v>920</v>
      </c>
      <c r="BC32" s="185">
        <f t="shared" si="198"/>
        <v>790</v>
      </c>
      <c r="BD32" s="572">
        <f t="shared" si="199"/>
        <v>1455</v>
      </c>
      <c r="BE32" s="186">
        <v>0</v>
      </c>
      <c r="BF32" s="186">
        <v>0</v>
      </c>
      <c r="BG32" s="186">
        <v>0</v>
      </c>
      <c r="BH32" s="574">
        <v>0</v>
      </c>
      <c r="BI32" s="186">
        <v>0</v>
      </c>
      <c r="BJ32" s="186">
        <v>0</v>
      </c>
      <c r="BK32" s="186">
        <v>0</v>
      </c>
      <c r="BL32" s="574">
        <v>0</v>
      </c>
      <c r="BM32" s="186">
        <v>0</v>
      </c>
      <c r="BN32" s="186">
        <v>0</v>
      </c>
      <c r="BO32" s="186">
        <v>0</v>
      </c>
      <c r="BP32" s="20"/>
      <c r="BQ32" s="184">
        <f t="shared" si="203"/>
        <v>5430</v>
      </c>
      <c r="BR32" s="184">
        <f t="shared" si="204"/>
        <v>8418</v>
      </c>
      <c r="BS32" s="184">
        <f t="shared" si="205"/>
        <v>5981</v>
      </c>
      <c r="BT32" s="184">
        <f t="shared" si="206"/>
        <v>1300</v>
      </c>
      <c r="BU32" s="184">
        <f t="shared" si="207"/>
        <v>2030</v>
      </c>
      <c r="BV32" s="185">
        <f t="shared" si="208"/>
        <v>2564</v>
      </c>
      <c r="BW32" s="572">
        <f t="shared" si="209"/>
        <v>3555</v>
      </c>
      <c r="BX32" s="572">
        <f t="shared" si="210"/>
        <v>2198</v>
      </c>
      <c r="BY32" s="184">
        <f t="shared" si="211"/>
        <v>4249</v>
      </c>
      <c r="BZ32" s="184">
        <f t="shared" si="212"/>
        <v>2966</v>
      </c>
      <c r="CA32" s="184">
        <f t="shared" si="213"/>
        <v>2892</v>
      </c>
      <c r="CB32" s="184">
        <f t="shared" si="214"/>
        <v>3390</v>
      </c>
      <c r="CC32" s="184">
        <f t="shared" si="215"/>
        <v>4095</v>
      </c>
      <c r="CD32" s="184">
        <f t="shared" si="216"/>
        <v>1455</v>
      </c>
      <c r="CE32" s="184">
        <f t="shared" si="217"/>
        <v>0</v>
      </c>
      <c r="CF32" s="185">
        <f t="shared" si="218"/>
        <v>0</v>
      </c>
      <c r="CG32" s="567"/>
      <c r="CH32" s="8"/>
    </row>
    <row r="33" spans="1:86" ht="14.25" customHeight="1">
      <c r="A33" s="8"/>
      <c r="B33" s="336" t="str">
        <f t="shared" si="146"/>
        <v>Purchase of long-term investments</v>
      </c>
      <c r="C33" s="24"/>
      <c r="D33" s="572">
        <f t="shared" si="147"/>
        <v>-2</v>
      </c>
      <c r="E33" s="184">
        <f t="shared" si="148"/>
        <v>-6</v>
      </c>
      <c r="F33" s="184">
        <f t="shared" si="149"/>
        <v>-5</v>
      </c>
      <c r="G33" s="185">
        <f t="shared" si="150"/>
        <v>-4</v>
      </c>
      <c r="H33" s="572">
        <f t="shared" si="151"/>
        <v>-5</v>
      </c>
      <c r="I33" s="184">
        <f t="shared" si="152"/>
        <v>-17</v>
      </c>
      <c r="J33" s="184">
        <f t="shared" si="153"/>
        <v>-11</v>
      </c>
      <c r="K33" s="185">
        <f t="shared" si="154"/>
        <v>-7</v>
      </c>
      <c r="L33" s="572">
        <f t="shared" si="155"/>
        <v>-5</v>
      </c>
      <c r="M33" s="184">
        <f t="shared" si="156"/>
        <v>-6</v>
      </c>
      <c r="N33" s="184">
        <f t="shared" si="157"/>
        <v>-15</v>
      </c>
      <c r="O33" s="185">
        <f t="shared" si="158"/>
        <v>-4</v>
      </c>
      <c r="P33" s="572">
        <f t="shared" si="159"/>
        <v>-2</v>
      </c>
      <c r="Q33" s="184">
        <f t="shared" si="160"/>
        <v>-3</v>
      </c>
      <c r="R33" s="184">
        <f t="shared" si="161"/>
        <v>-3</v>
      </c>
      <c r="S33" s="185">
        <f t="shared" si="162"/>
        <v>-1</v>
      </c>
      <c r="T33" s="572">
        <f t="shared" si="163"/>
        <v>-2</v>
      </c>
      <c r="U33" s="184">
        <f t="shared" si="164"/>
        <v>-3</v>
      </c>
      <c r="V33" s="184">
        <f t="shared" si="165"/>
        <v>0</v>
      </c>
      <c r="W33" s="185">
        <f t="shared" si="166"/>
        <v>-4</v>
      </c>
      <c r="X33" s="572">
        <f t="shared" si="167"/>
        <v>-2</v>
      </c>
      <c r="Y33" s="184">
        <f t="shared" si="168"/>
        <v>0</v>
      </c>
      <c r="Z33" s="184">
        <f t="shared" si="169"/>
        <v>-4</v>
      </c>
      <c r="AA33" s="185">
        <f t="shared" si="170"/>
        <v>-2</v>
      </c>
      <c r="AB33" s="572">
        <f t="shared" si="171"/>
        <v>-1</v>
      </c>
      <c r="AC33" s="184">
        <f t="shared" si="172"/>
        <v>-2</v>
      </c>
      <c r="AD33" s="184">
        <f t="shared" si="173"/>
        <v>-1</v>
      </c>
      <c r="AE33" s="185">
        <f t="shared" si="174"/>
        <v>-2</v>
      </c>
      <c r="AF33" s="572">
        <f t="shared" si="175"/>
        <v>-1</v>
      </c>
      <c r="AG33" s="184">
        <f t="shared" si="176"/>
        <v>0</v>
      </c>
      <c r="AH33" s="184">
        <f t="shared" si="177"/>
        <v>0</v>
      </c>
      <c r="AI33" s="185">
        <f t="shared" si="178"/>
        <v>0</v>
      </c>
      <c r="AJ33" s="572">
        <f t="shared" si="179"/>
        <v>0</v>
      </c>
      <c r="AK33" s="184">
        <f t="shared" si="180"/>
        <v>-1</v>
      </c>
      <c r="AL33" s="184">
        <f t="shared" si="181"/>
        <v>0</v>
      </c>
      <c r="AM33" s="185">
        <f t="shared" si="182"/>
        <v>1</v>
      </c>
      <c r="AN33" s="572">
        <f t="shared" si="183"/>
        <v>0</v>
      </c>
      <c r="AO33" s="184">
        <f t="shared" si="184"/>
        <v>0</v>
      </c>
      <c r="AP33" s="184">
        <f t="shared" si="185"/>
        <v>0</v>
      </c>
      <c r="AQ33" s="185">
        <f t="shared" si="186"/>
        <v>0</v>
      </c>
      <c r="AR33" s="572">
        <f t="shared" si="187"/>
        <v>0</v>
      </c>
      <c r="AS33" s="184">
        <f t="shared" si="188"/>
        <v>0</v>
      </c>
      <c r="AT33" s="184">
        <f t="shared" si="189"/>
        <v>0</v>
      </c>
      <c r="AU33" s="185">
        <f t="shared" si="190"/>
        <v>0</v>
      </c>
      <c r="AV33" s="572">
        <f t="shared" si="191"/>
        <v>0</v>
      </c>
      <c r="AW33" s="184">
        <f t="shared" si="192"/>
        <v>0</v>
      </c>
      <c r="AX33" s="184">
        <f t="shared" si="193"/>
        <v>0</v>
      </c>
      <c r="AY33" s="185">
        <f t="shared" si="194"/>
        <v>0</v>
      </c>
      <c r="AZ33" s="572">
        <f t="shared" si="195"/>
        <v>0</v>
      </c>
      <c r="BA33" s="184">
        <f t="shared" si="196"/>
        <v>0</v>
      </c>
      <c r="BB33" s="184">
        <f t="shared" si="197"/>
        <v>0</v>
      </c>
      <c r="BC33" s="185">
        <f t="shared" si="198"/>
        <v>0</v>
      </c>
      <c r="BD33" s="572">
        <f t="shared" si="199"/>
        <v>0</v>
      </c>
      <c r="BE33" s="186">
        <v>0</v>
      </c>
      <c r="BF33" s="186">
        <v>0</v>
      </c>
      <c r="BG33" s="186">
        <v>0</v>
      </c>
      <c r="BH33" s="574">
        <v>0</v>
      </c>
      <c r="BI33" s="186">
        <v>0</v>
      </c>
      <c r="BJ33" s="186">
        <v>0</v>
      </c>
      <c r="BK33" s="186">
        <v>0</v>
      </c>
      <c r="BL33" s="574">
        <v>0</v>
      </c>
      <c r="BM33" s="186">
        <v>0</v>
      </c>
      <c r="BN33" s="186">
        <v>0</v>
      </c>
      <c r="BO33" s="186">
        <v>0</v>
      </c>
      <c r="BP33" s="20"/>
      <c r="BQ33" s="184">
        <f t="shared" si="203"/>
        <v>-17</v>
      </c>
      <c r="BR33" s="184">
        <f t="shared" si="204"/>
        <v>-40</v>
      </c>
      <c r="BS33" s="184">
        <f t="shared" si="205"/>
        <v>-30</v>
      </c>
      <c r="BT33" s="184">
        <f t="shared" si="206"/>
        <v>-9</v>
      </c>
      <c r="BU33" s="184">
        <f t="shared" si="207"/>
        <v>-9</v>
      </c>
      <c r="BV33" s="185">
        <f t="shared" si="208"/>
        <v>-8</v>
      </c>
      <c r="BW33" s="572">
        <f t="shared" si="209"/>
        <v>-6</v>
      </c>
      <c r="BX33" s="572">
        <f t="shared" si="210"/>
        <v>-1</v>
      </c>
      <c r="BY33" s="184">
        <f t="shared" si="211"/>
        <v>0</v>
      </c>
      <c r="BZ33" s="184">
        <f t="shared" si="212"/>
        <v>0</v>
      </c>
      <c r="CA33" s="184">
        <f t="shared" si="213"/>
        <v>0</v>
      </c>
      <c r="CB33" s="184">
        <f t="shared" si="214"/>
        <v>0</v>
      </c>
      <c r="CC33" s="184">
        <f t="shared" si="215"/>
        <v>0</v>
      </c>
      <c r="CD33" s="184">
        <f t="shared" si="216"/>
        <v>0</v>
      </c>
      <c r="CE33" s="184">
        <f t="shared" si="217"/>
        <v>0</v>
      </c>
      <c r="CF33" s="185">
        <f t="shared" si="218"/>
        <v>0</v>
      </c>
      <c r="CG33" s="567"/>
      <c r="CH33" s="8"/>
    </row>
    <row r="34" spans="1:86" ht="14.25" customHeight="1">
      <c r="A34" s="8"/>
      <c r="B34" s="336" t="str">
        <f t="shared" si="146"/>
        <v>Sales and redemptions of long-term investments</v>
      </c>
      <c r="C34" s="24"/>
      <c r="D34" s="572">
        <f t="shared" si="147"/>
        <v>0</v>
      </c>
      <c r="E34" s="184">
        <f t="shared" si="148"/>
        <v>0</v>
      </c>
      <c r="F34" s="184">
        <f t="shared" si="149"/>
        <v>39</v>
      </c>
      <c r="G34" s="185">
        <f t="shared" si="150"/>
        <v>14</v>
      </c>
      <c r="H34" s="572">
        <f t="shared" si="151"/>
        <v>7</v>
      </c>
      <c r="I34" s="184">
        <f t="shared" si="152"/>
        <v>2</v>
      </c>
      <c r="J34" s="184">
        <f t="shared" si="153"/>
        <v>0</v>
      </c>
      <c r="K34" s="185">
        <f t="shared" si="154"/>
        <v>2</v>
      </c>
      <c r="L34" s="572">
        <f t="shared" si="155"/>
        <v>2</v>
      </c>
      <c r="M34" s="184">
        <f t="shared" si="156"/>
        <v>3</v>
      </c>
      <c r="N34" s="184">
        <f t="shared" si="157"/>
        <v>4</v>
      </c>
      <c r="O34" s="185">
        <f t="shared" si="158"/>
        <v>2</v>
      </c>
      <c r="P34" s="572">
        <f t="shared" si="159"/>
        <v>16</v>
      </c>
      <c r="Q34" s="184">
        <f t="shared" si="160"/>
        <v>0</v>
      </c>
      <c r="R34" s="184">
        <f t="shared" si="161"/>
        <v>32</v>
      </c>
      <c r="S34" s="185">
        <f t="shared" si="162"/>
        <v>7</v>
      </c>
      <c r="T34" s="572">
        <f t="shared" si="163"/>
        <v>3</v>
      </c>
      <c r="U34" s="184">
        <f t="shared" si="164"/>
        <v>43</v>
      </c>
      <c r="V34" s="184">
        <f t="shared" si="165"/>
        <v>16</v>
      </c>
      <c r="W34" s="185">
        <f t="shared" si="166"/>
        <v>2</v>
      </c>
      <c r="X34" s="572">
        <f t="shared" si="167"/>
        <v>1</v>
      </c>
      <c r="Y34" s="184">
        <f t="shared" si="168"/>
        <v>67</v>
      </c>
      <c r="Z34" s="184">
        <f t="shared" si="169"/>
        <v>22</v>
      </c>
      <c r="AA34" s="185">
        <f t="shared" si="170"/>
        <v>57</v>
      </c>
      <c r="AB34" s="572">
        <f t="shared" si="171"/>
        <v>19</v>
      </c>
      <c r="AC34" s="184">
        <f t="shared" si="172"/>
        <v>45</v>
      </c>
      <c r="AD34" s="184">
        <f t="shared" si="173"/>
        <v>11</v>
      </c>
      <c r="AE34" s="185">
        <f t="shared" si="174"/>
        <v>82</v>
      </c>
      <c r="AF34" s="572">
        <f t="shared" si="175"/>
        <v>3</v>
      </c>
      <c r="AG34" s="184">
        <f t="shared" si="176"/>
        <v>29</v>
      </c>
      <c r="AH34" s="184">
        <f t="shared" si="177"/>
        <v>20</v>
      </c>
      <c r="AI34" s="185">
        <f t="shared" si="178"/>
        <v>9</v>
      </c>
      <c r="AJ34" s="572">
        <f t="shared" si="179"/>
        <v>9</v>
      </c>
      <c r="AK34" s="184">
        <f t="shared" si="180"/>
        <v>6</v>
      </c>
      <c r="AL34" s="184">
        <f t="shared" si="181"/>
        <v>3</v>
      </c>
      <c r="AM34" s="185">
        <f t="shared" si="182"/>
        <v>28</v>
      </c>
      <c r="AN34" s="572">
        <f t="shared" si="183"/>
        <v>1</v>
      </c>
      <c r="AO34" s="184">
        <f t="shared" si="184"/>
        <v>-1</v>
      </c>
      <c r="AP34" s="184">
        <f t="shared" si="185"/>
        <v>0</v>
      </c>
      <c r="AQ34" s="185">
        <f t="shared" si="186"/>
        <v>0</v>
      </c>
      <c r="AR34" s="572">
        <f t="shared" si="187"/>
        <v>1</v>
      </c>
      <c r="AS34" s="184">
        <f t="shared" si="188"/>
        <v>-1</v>
      </c>
      <c r="AT34" s="184">
        <f t="shared" si="189"/>
        <v>10</v>
      </c>
      <c r="AU34" s="185">
        <f t="shared" si="190"/>
        <v>-10</v>
      </c>
      <c r="AV34" s="572">
        <f t="shared" si="191"/>
        <v>0</v>
      </c>
      <c r="AW34" s="184">
        <f t="shared" si="192"/>
        <v>0</v>
      </c>
      <c r="AX34" s="184">
        <f t="shared" si="193"/>
        <v>0</v>
      </c>
      <c r="AY34" s="185">
        <f t="shared" si="194"/>
        <v>0</v>
      </c>
      <c r="AZ34" s="572">
        <f t="shared" si="195"/>
        <v>0</v>
      </c>
      <c r="BA34" s="184">
        <f t="shared" si="196"/>
        <v>0</v>
      </c>
      <c r="BB34" s="184">
        <f t="shared" si="197"/>
        <v>0</v>
      </c>
      <c r="BC34" s="185">
        <f t="shared" si="198"/>
        <v>0</v>
      </c>
      <c r="BD34" s="572">
        <f t="shared" si="199"/>
        <v>0</v>
      </c>
      <c r="BE34" s="186">
        <v>0</v>
      </c>
      <c r="BF34" s="186">
        <v>0</v>
      </c>
      <c r="BG34" s="186">
        <v>0</v>
      </c>
      <c r="BH34" s="574">
        <v>0</v>
      </c>
      <c r="BI34" s="186">
        <v>0</v>
      </c>
      <c r="BJ34" s="186">
        <v>0</v>
      </c>
      <c r="BK34" s="186">
        <v>0</v>
      </c>
      <c r="BL34" s="574">
        <v>0</v>
      </c>
      <c r="BM34" s="186">
        <v>0</v>
      </c>
      <c r="BN34" s="186">
        <v>0</v>
      </c>
      <c r="BO34" s="186">
        <v>0</v>
      </c>
      <c r="BP34" s="20"/>
      <c r="BQ34" s="184">
        <f t="shared" si="203"/>
        <v>53</v>
      </c>
      <c r="BR34" s="184">
        <f t="shared" si="204"/>
        <v>11</v>
      </c>
      <c r="BS34" s="184">
        <f t="shared" si="205"/>
        <v>11</v>
      </c>
      <c r="BT34" s="184">
        <f t="shared" si="206"/>
        <v>55</v>
      </c>
      <c r="BU34" s="184">
        <f t="shared" si="207"/>
        <v>64</v>
      </c>
      <c r="BV34" s="185">
        <f t="shared" si="208"/>
        <v>147</v>
      </c>
      <c r="BW34" s="572">
        <f t="shared" si="209"/>
        <v>157</v>
      </c>
      <c r="BX34" s="572">
        <f t="shared" si="210"/>
        <v>61</v>
      </c>
      <c r="BY34" s="184">
        <f t="shared" si="211"/>
        <v>46</v>
      </c>
      <c r="BZ34" s="184">
        <f t="shared" si="212"/>
        <v>0</v>
      </c>
      <c r="CA34" s="184">
        <f t="shared" si="213"/>
        <v>0</v>
      </c>
      <c r="CB34" s="184">
        <f t="shared" si="214"/>
        <v>0</v>
      </c>
      <c r="CC34" s="184">
        <f t="shared" si="215"/>
        <v>0</v>
      </c>
      <c r="CD34" s="184">
        <f t="shared" si="216"/>
        <v>0</v>
      </c>
      <c r="CE34" s="184">
        <f t="shared" si="217"/>
        <v>0</v>
      </c>
      <c r="CF34" s="185">
        <f t="shared" si="218"/>
        <v>0</v>
      </c>
      <c r="CG34" s="567"/>
      <c r="CH34" s="8"/>
    </row>
    <row r="35" spans="1:86" ht="14.25" customHeight="1">
      <c r="A35" s="12"/>
      <c r="B35" s="336" t="str">
        <f t="shared" si="146"/>
        <v>Other investing activities</v>
      </c>
      <c r="C35" s="24"/>
      <c r="D35" s="572">
        <f t="shared" si="147"/>
        <v>42</v>
      </c>
      <c r="E35" s="184">
        <f t="shared" si="148"/>
        <v>0</v>
      </c>
      <c r="F35" s="184">
        <f t="shared" si="149"/>
        <v>0</v>
      </c>
      <c r="G35" s="185">
        <f t="shared" si="150"/>
        <v>0</v>
      </c>
      <c r="H35" s="572">
        <f t="shared" si="151"/>
        <v>-173</v>
      </c>
      <c r="I35" s="184">
        <f t="shared" si="152"/>
        <v>2954</v>
      </c>
      <c r="J35" s="184">
        <f t="shared" si="153"/>
        <v>0</v>
      </c>
      <c r="K35" s="185">
        <f t="shared" si="154"/>
        <v>219</v>
      </c>
      <c r="L35" s="572">
        <f t="shared" si="155"/>
        <v>-27</v>
      </c>
      <c r="M35" s="184">
        <f t="shared" si="156"/>
        <v>0</v>
      </c>
      <c r="N35" s="184">
        <f t="shared" si="157"/>
        <v>57</v>
      </c>
      <c r="O35" s="185">
        <f t="shared" si="158"/>
        <v>-30</v>
      </c>
      <c r="P35" s="572">
        <f t="shared" si="159"/>
        <v>0</v>
      </c>
      <c r="Q35" s="184">
        <f t="shared" si="160"/>
        <v>-19</v>
      </c>
      <c r="R35" s="184">
        <f t="shared" si="161"/>
        <v>0</v>
      </c>
      <c r="S35" s="185">
        <f t="shared" si="162"/>
        <v>0</v>
      </c>
      <c r="T35" s="572">
        <f t="shared" si="163"/>
        <v>-104</v>
      </c>
      <c r="U35" s="184">
        <f t="shared" si="164"/>
        <v>-51</v>
      </c>
      <c r="V35" s="184">
        <f t="shared" si="165"/>
        <v>0</v>
      </c>
      <c r="W35" s="185">
        <f t="shared" si="166"/>
        <v>0</v>
      </c>
      <c r="X35" s="572">
        <f t="shared" si="167"/>
        <v>0</v>
      </c>
      <c r="Y35" s="184">
        <f t="shared" si="168"/>
        <v>0</v>
      </c>
      <c r="Z35" s="184">
        <f t="shared" si="169"/>
        <v>-59</v>
      </c>
      <c r="AA35" s="185">
        <f t="shared" si="170"/>
        <v>8</v>
      </c>
      <c r="AB35" s="572">
        <f t="shared" si="171"/>
        <v>0</v>
      </c>
      <c r="AC35" s="184">
        <f t="shared" si="172"/>
        <v>0</v>
      </c>
      <c r="AD35" s="184">
        <f t="shared" si="173"/>
        <v>-5390</v>
      </c>
      <c r="AE35" s="185">
        <f t="shared" si="174"/>
        <v>-19</v>
      </c>
      <c r="AF35" s="572">
        <f t="shared" si="175"/>
        <v>0</v>
      </c>
      <c r="AG35" s="184">
        <f t="shared" si="176"/>
        <v>0</v>
      </c>
      <c r="AH35" s="184">
        <f t="shared" si="177"/>
        <v>0</v>
      </c>
      <c r="AI35" s="185">
        <f t="shared" si="178"/>
        <v>0</v>
      </c>
      <c r="AJ35" s="572">
        <f t="shared" si="179"/>
        <v>18</v>
      </c>
      <c r="AK35" s="184">
        <f t="shared" si="180"/>
        <v>-18</v>
      </c>
      <c r="AL35" s="184">
        <f t="shared" si="181"/>
        <v>21</v>
      </c>
      <c r="AM35" s="185">
        <f t="shared" si="182"/>
        <v>0</v>
      </c>
      <c r="AN35" s="572">
        <f t="shared" si="183"/>
        <v>37</v>
      </c>
      <c r="AO35" s="184">
        <f t="shared" si="184"/>
        <v>4</v>
      </c>
      <c r="AP35" s="184">
        <f t="shared" si="185"/>
        <v>12</v>
      </c>
      <c r="AQ35" s="185">
        <f t="shared" si="186"/>
        <v>96</v>
      </c>
      <c r="AR35" s="572">
        <f t="shared" si="187"/>
        <v>0</v>
      </c>
      <c r="AS35" s="184">
        <f t="shared" si="188"/>
        <v>11</v>
      </c>
      <c r="AT35" s="184">
        <f t="shared" si="189"/>
        <v>-3</v>
      </c>
      <c r="AU35" s="185">
        <f t="shared" si="190"/>
        <v>116</v>
      </c>
      <c r="AV35" s="572">
        <f t="shared" si="191"/>
        <v>-3</v>
      </c>
      <c r="AW35" s="184">
        <f t="shared" si="192"/>
        <v>6</v>
      </c>
      <c r="AX35" s="184">
        <f t="shared" si="193"/>
        <v>-1</v>
      </c>
      <c r="AY35" s="185">
        <f t="shared" si="194"/>
        <v>-8</v>
      </c>
      <c r="AZ35" s="572">
        <f t="shared" si="195"/>
        <v>31</v>
      </c>
      <c r="BA35" s="184">
        <f t="shared" si="196"/>
        <v>8</v>
      </c>
      <c r="BB35" s="184">
        <f t="shared" si="197"/>
        <v>-4</v>
      </c>
      <c r="BC35" s="185">
        <f t="shared" si="198"/>
        <v>-7</v>
      </c>
      <c r="BD35" s="572">
        <f t="shared" si="199"/>
        <v>-4</v>
      </c>
      <c r="BE35" s="184">
        <f>BS!BD21-BS!BE21</f>
        <v>0</v>
      </c>
      <c r="BF35" s="184">
        <f>BS!BE21-BS!BF21</f>
        <v>0</v>
      </c>
      <c r="BG35" s="184">
        <f>BS!BF21-BS!BG21</f>
        <v>0</v>
      </c>
      <c r="BH35" s="572">
        <f>BS!BG21-BS!BH21</f>
        <v>0</v>
      </c>
      <c r="BI35" s="184">
        <f>BS!BH21-BS!BI21</f>
        <v>0</v>
      </c>
      <c r="BJ35" s="184">
        <f>BS!BI21-BS!BJ21</f>
        <v>0</v>
      </c>
      <c r="BK35" s="184">
        <f>BS!BJ21-BS!BK21</f>
        <v>0</v>
      </c>
      <c r="BL35" s="572">
        <f>BS!BK21-BS!BL21</f>
        <v>0</v>
      </c>
      <c r="BM35" s="184">
        <f>BS!BL21-BS!BM21</f>
        <v>0</v>
      </c>
      <c r="BN35" s="184">
        <f>BS!BM21-BS!BN21</f>
        <v>0</v>
      </c>
      <c r="BO35" s="184">
        <f>BS!BN21-BS!BO21</f>
        <v>0</v>
      </c>
      <c r="BP35" s="152"/>
      <c r="BQ35" s="184">
        <f t="shared" si="203"/>
        <v>42</v>
      </c>
      <c r="BR35" s="184">
        <f t="shared" si="204"/>
        <v>3000</v>
      </c>
      <c r="BS35" s="184">
        <f t="shared" si="205"/>
        <v>0</v>
      </c>
      <c r="BT35" s="184">
        <f t="shared" si="206"/>
        <v>-19</v>
      </c>
      <c r="BU35" s="184">
        <f t="shared" si="207"/>
        <v>-155</v>
      </c>
      <c r="BV35" s="185">
        <f t="shared" si="208"/>
        <v>-51</v>
      </c>
      <c r="BW35" s="572">
        <f t="shared" si="209"/>
        <v>-5409</v>
      </c>
      <c r="BX35" s="572">
        <f t="shared" si="210"/>
        <v>0</v>
      </c>
      <c r="BY35" s="184">
        <f t="shared" si="211"/>
        <v>21</v>
      </c>
      <c r="BZ35" s="184">
        <f t="shared" si="212"/>
        <v>149</v>
      </c>
      <c r="CA35" s="184">
        <f t="shared" si="213"/>
        <v>124</v>
      </c>
      <c r="CB35" s="184">
        <f t="shared" si="214"/>
        <v>-6</v>
      </c>
      <c r="CC35" s="184">
        <f t="shared" si="215"/>
        <v>28</v>
      </c>
      <c r="CD35" s="184">
        <f t="shared" si="216"/>
        <v>-4</v>
      </c>
      <c r="CE35" s="184">
        <f t="shared" si="217"/>
        <v>0</v>
      </c>
      <c r="CF35" s="185">
        <f t="shared" si="218"/>
        <v>0</v>
      </c>
      <c r="CG35" s="567"/>
      <c r="CH35" s="12"/>
    </row>
    <row r="36" spans="1:86" ht="14.25" customHeight="1" thickBot="1">
      <c r="A36" s="8"/>
      <c r="B36" s="188" t="str">
        <f t="shared" si="146"/>
        <v>Net cash used for investing activities</v>
      </c>
      <c r="C36" s="189"/>
      <c r="D36" s="191">
        <f t="shared" ref="D36:AM36" si="219">SUM(D30:D35)</f>
        <v>159</v>
      </c>
      <c r="E36" s="190">
        <f t="shared" si="219"/>
        <v>691</v>
      </c>
      <c r="F36" s="190">
        <f t="shared" si="219"/>
        <v>-1354</v>
      </c>
      <c r="G36" s="190">
        <f t="shared" si="219"/>
        <v>-1127</v>
      </c>
      <c r="H36" s="191">
        <f t="shared" si="219"/>
        <v>609</v>
      </c>
      <c r="I36" s="190">
        <f t="shared" si="219"/>
        <v>1485</v>
      </c>
      <c r="J36" s="190">
        <f t="shared" si="219"/>
        <v>968</v>
      </c>
      <c r="K36" s="190">
        <f t="shared" si="219"/>
        <v>234</v>
      </c>
      <c r="L36" s="191">
        <f t="shared" si="219"/>
        <v>-44</v>
      </c>
      <c r="M36" s="190">
        <f t="shared" si="219"/>
        <v>-127</v>
      </c>
      <c r="N36" s="190">
        <f t="shared" si="219"/>
        <v>-648</v>
      </c>
      <c r="O36" s="190">
        <f t="shared" si="219"/>
        <v>1121</v>
      </c>
      <c r="P36" s="191">
        <f t="shared" si="219"/>
        <v>391</v>
      </c>
      <c r="Q36" s="190">
        <f t="shared" si="219"/>
        <v>-181</v>
      </c>
      <c r="R36" s="190">
        <f t="shared" si="219"/>
        <v>-119</v>
      </c>
      <c r="S36" s="190">
        <f t="shared" si="219"/>
        <v>-1273</v>
      </c>
      <c r="T36" s="191">
        <f t="shared" si="219"/>
        <v>363</v>
      </c>
      <c r="U36" s="190">
        <f t="shared" si="219"/>
        <v>142</v>
      </c>
      <c r="V36" s="190">
        <f t="shared" si="219"/>
        <v>-950</v>
      </c>
      <c r="W36" s="192">
        <f t="shared" si="219"/>
        <v>-651</v>
      </c>
      <c r="X36" s="191">
        <f t="shared" si="219"/>
        <v>-51</v>
      </c>
      <c r="Y36" s="190">
        <f t="shared" si="219"/>
        <v>204</v>
      </c>
      <c r="Z36" s="190">
        <f t="shared" si="219"/>
        <v>-662</v>
      </c>
      <c r="AA36" s="192">
        <f t="shared" si="219"/>
        <v>-548</v>
      </c>
      <c r="AB36" s="191">
        <f t="shared" si="219"/>
        <v>63</v>
      </c>
      <c r="AC36" s="190">
        <f t="shared" si="219"/>
        <v>-544</v>
      </c>
      <c r="AD36" s="190">
        <f t="shared" si="219"/>
        <v>-4696</v>
      </c>
      <c r="AE36" s="192">
        <f t="shared" si="219"/>
        <v>-995</v>
      </c>
      <c r="AF36" s="191">
        <f t="shared" si="219"/>
        <v>270</v>
      </c>
      <c r="AG36" s="190">
        <f t="shared" si="219"/>
        <v>321</v>
      </c>
      <c r="AH36" s="190">
        <f t="shared" si="219"/>
        <v>-1441</v>
      </c>
      <c r="AI36" s="192">
        <f t="shared" si="219"/>
        <v>-189</v>
      </c>
      <c r="AJ36" s="191">
        <f t="shared" si="219"/>
        <v>22</v>
      </c>
      <c r="AK36" s="190">
        <f t="shared" si="219"/>
        <v>309</v>
      </c>
      <c r="AL36" s="190">
        <f t="shared" si="219"/>
        <v>-211</v>
      </c>
      <c r="AM36" s="192">
        <f t="shared" si="219"/>
        <v>-123</v>
      </c>
      <c r="AN36" s="191">
        <f t="shared" ref="AN36:AS36" si="220">SUM(AN30:AN35)</f>
        <v>-305</v>
      </c>
      <c r="AO36" s="190">
        <f t="shared" si="220"/>
        <v>802</v>
      </c>
      <c r="AP36" s="190">
        <f t="shared" si="220"/>
        <v>-383</v>
      </c>
      <c r="AQ36" s="192">
        <f t="shared" si="220"/>
        <v>-491</v>
      </c>
      <c r="AR36" s="191">
        <f t="shared" si="220"/>
        <v>158</v>
      </c>
      <c r="AS36" s="190">
        <f t="shared" si="220"/>
        <v>-174</v>
      </c>
      <c r="AT36" s="190">
        <f t="shared" ref="AT36:BD36" si="221">SUM(AT30:AT35)</f>
        <v>389</v>
      </c>
      <c r="AU36" s="192">
        <f t="shared" si="221"/>
        <v>-675</v>
      </c>
      <c r="AV36" s="191">
        <f t="shared" si="221"/>
        <v>573</v>
      </c>
      <c r="AW36" s="190">
        <f t="shared" si="221"/>
        <v>65</v>
      </c>
      <c r="AX36" s="190">
        <f>SUM(AX30:AX35)</f>
        <v>-603</v>
      </c>
      <c r="AY36" s="192">
        <f t="shared" ref="AY36:BA36" si="222">SUM(AY30:AY35)</f>
        <v>-685</v>
      </c>
      <c r="AZ36" s="191">
        <f t="shared" si="222"/>
        <v>267</v>
      </c>
      <c r="BA36" s="190">
        <f t="shared" si="222"/>
        <v>-8</v>
      </c>
      <c r="BB36" s="190">
        <f>SUM(BB30:BB35)</f>
        <v>-488</v>
      </c>
      <c r="BC36" s="192">
        <f t="shared" si="221"/>
        <v>-898</v>
      </c>
      <c r="BD36" s="191">
        <f t="shared" si="221"/>
        <v>266</v>
      </c>
      <c r="BE36" s="190">
        <f t="shared" ref="BE36:BG36" si="223">SUM(BE30:BE35)</f>
        <v>-196.75037492037757</v>
      </c>
      <c r="BF36" s="190">
        <f t="shared" si="223"/>
        <v>-209.35216233226427</v>
      </c>
      <c r="BG36" s="190">
        <f t="shared" si="223"/>
        <v>-197.26236323651841</v>
      </c>
      <c r="BH36" s="191">
        <f t="shared" ref="BH36:BK36" si="224">SUM(BH30:BH35)</f>
        <v>-154.02432575675084</v>
      </c>
      <c r="BI36" s="190">
        <f t="shared" si="224"/>
        <v>-163.57548156572383</v>
      </c>
      <c r="BJ36" s="190">
        <f t="shared" si="224"/>
        <v>-173.62935136515625</v>
      </c>
      <c r="BK36" s="190">
        <f t="shared" si="224"/>
        <v>-163.07259415480493</v>
      </c>
      <c r="BL36" s="191">
        <f t="shared" ref="BL36:BO36" si="225">SUM(BL30:BL35)</f>
        <v>-158.96222707352942</v>
      </c>
      <c r="BM36" s="190">
        <f t="shared" si="225"/>
        <v>-168.76959175725926</v>
      </c>
      <c r="BN36" s="190">
        <f t="shared" si="225"/>
        <v>-179.03977436062695</v>
      </c>
      <c r="BO36" s="190">
        <f t="shared" si="225"/>
        <v>-168.24888751252197</v>
      </c>
      <c r="BP36" s="20"/>
      <c r="BQ36" s="190">
        <f t="shared" ref="BQ36:CA36" si="226">SUM(BQ30:BQ35)</f>
        <v>-1631</v>
      </c>
      <c r="BR36" s="190">
        <f t="shared" si="226"/>
        <v>3296</v>
      </c>
      <c r="BS36" s="190">
        <f t="shared" si="226"/>
        <v>302</v>
      </c>
      <c r="BT36" s="190">
        <f t="shared" si="226"/>
        <v>-1182</v>
      </c>
      <c r="BU36" s="190">
        <f t="shared" si="226"/>
        <v>-1096</v>
      </c>
      <c r="BV36" s="192">
        <f t="shared" si="226"/>
        <v>-1057</v>
      </c>
      <c r="BW36" s="191">
        <f t="shared" si="226"/>
        <v>-6172</v>
      </c>
      <c r="BX36" s="191">
        <f t="shared" si="226"/>
        <v>-1039</v>
      </c>
      <c r="BY36" s="190">
        <f t="shared" si="226"/>
        <v>-3</v>
      </c>
      <c r="BZ36" s="190">
        <f t="shared" si="226"/>
        <v>-377</v>
      </c>
      <c r="CA36" s="190">
        <f t="shared" si="226"/>
        <v>-302</v>
      </c>
      <c r="CB36" s="190">
        <f>SUM(CB30:CB35)</f>
        <v>-650</v>
      </c>
      <c r="CC36" s="190">
        <f>SUM(CC30:CC35)</f>
        <v>-1127</v>
      </c>
      <c r="CD36" s="190">
        <f>SUM(CD30:CD35)</f>
        <v>-337.36490048916016</v>
      </c>
      <c r="CE36" s="190">
        <f>SUM(CE30:CE35)</f>
        <v>-654.30175284243592</v>
      </c>
      <c r="CF36" s="192">
        <f>SUM(CF30:CF35)</f>
        <v>-675.02048070393766</v>
      </c>
      <c r="CG36" s="567"/>
      <c r="CH36" s="8"/>
    </row>
    <row r="37" spans="1:86" ht="14.25" customHeight="1" thickTop="1">
      <c r="A37" s="8"/>
      <c r="B37" s="342"/>
      <c r="C37" s="21"/>
      <c r="D37" s="574"/>
      <c r="E37" s="186"/>
      <c r="F37" s="193"/>
      <c r="G37" s="187"/>
      <c r="H37" s="574"/>
      <c r="I37" s="186"/>
      <c r="J37" s="193"/>
      <c r="K37" s="187"/>
      <c r="L37" s="574"/>
      <c r="M37" s="186"/>
      <c r="N37" s="193"/>
      <c r="O37" s="187"/>
      <c r="P37" s="574"/>
      <c r="Q37" s="186"/>
      <c r="R37" s="193"/>
      <c r="S37" s="187"/>
      <c r="T37" s="574"/>
      <c r="U37" s="186"/>
      <c r="V37" s="193"/>
      <c r="W37" s="187"/>
      <c r="X37" s="574"/>
      <c r="Y37" s="186"/>
      <c r="Z37" s="186"/>
      <c r="AA37" s="187"/>
      <c r="AB37" s="574"/>
      <c r="AC37" s="186"/>
      <c r="AD37" s="186"/>
      <c r="AE37" s="187"/>
      <c r="AF37" s="574"/>
      <c r="AG37" s="184"/>
      <c r="AH37" s="186"/>
      <c r="AI37" s="187"/>
      <c r="AJ37" s="574"/>
      <c r="AK37" s="184"/>
      <c r="AL37" s="184"/>
      <c r="AM37" s="187"/>
      <c r="AN37" s="574"/>
      <c r="AO37" s="184"/>
      <c r="AP37" s="184"/>
      <c r="AQ37" s="187"/>
      <c r="AR37" s="574"/>
      <c r="AS37" s="184"/>
      <c r="AT37" s="184"/>
      <c r="AU37" s="187"/>
      <c r="AV37" s="574"/>
      <c r="AW37" s="184"/>
      <c r="AX37" s="184"/>
      <c r="AY37" s="187"/>
      <c r="AZ37" s="574"/>
      <c r="BA37" s="186"/>
      <c r="BB37" s="184"/>
      <c r="BC37" s="187"/>
      <c r="BD37" s="574"/>
      <c r="BE37" s="186"/>
      <c r="BF37" s="186"/>
      <c r="BG37" s="186"/>
      <c r="BH37" s="574"/>
      <c r="BI37" s="186"/>
      <c r="BJ37" s="186"/>
      <c r="BK37" s="186"/>
      <c r="BL37" s="574"/>
      <c r="BM37" s="186"/>
      <c r="BN37" s="186"/>
      <c r="BO37" s="186"/>
      <c r="BP37" s="20"/>
      <c r="BQ37" s="186"/>
      <c r="BR37" s="186"/>
      <c r="BS37" s="186"/>
      <c r="BT37" s="186"/>
      <c r="BU37" s="186"/>
      <c r="BV37" s="187"/>
      <c r="BW37" s="574"/>
      <c r="BX37" s="574"/>
      <c r="BY37" s="186"/>
      <c r="BZ37" s="186"/>
      <c r="CA37" s="186"/>
      <c r="CB37" s="186"/>
      <c r="CC37" s="186"/>
      <c r="CD37" s="186"/>
      <c r="CE37" s="186"/>
      <c r="CF37" s="187"/>
      <c r="CG37" s="567"/>
      <c r="CH37" s="8"/>
    </row>
    <row r="38" spans="1:86" ht="14.25" customHeight="1">
      <c r="A38" s="8"/>
      <c r="B38" s="578" t="str">
        <f>B133</f>
        <v>Cash flows from financing activities:</v>
      </c>
      <c r="C38" s="194"/>
      <c r="D38" s="574"/>
      <c r="E38" s="186"/>
      <c r="F38" s="186"/>
      <c r="G38" s="187"/>
      <c r="H38" s="574"/>
      <c r="I38" s="186"/>
      <c r="J38" s="186"/>
      <c r="K38" s="187"/>
      <c r="L38" s="574"/>
      <c r="M38" s="186"/>
      <c r="N38" s="186"/>
      <c r="O38" s="187"/>
      <c r="P38" s="574"/>
      <c r="Q38" s="186"/>
      <c r="R38" s="186"/>
      <c r="S38" s="187"/>
      <c r="T38" s="574"/>
      <c r="U38" s="186"/>
      <c r="V38" s="186"/>
      <c r="W38" s="187"/>
      <c r="X38" s="574"/>
      <c r="Y38" s="186"/>
      <c r="Z38" s="195"/>
      <c r="AA38" s="187"/>
      <c r="AB38" s="574"/>
      <c r="AC38" s="186"/>
      <c r="AD38" s="186"/>
      <c r="AE38" s="187"/>
      <c r="AF38" s="574"/>
      <c r="AG38" s="184"/>
      <c r="AH38" s="186"/>
      <c r="AI38" s="187"/>
      <c r="AJ38" s="574"/>
      <c r="AK38" s="184"/>
      <c r="AL38" s="184"/>
      <c r="AM38" s="187"/>
      <c r="AN38" s="574"/>
      <c r="AO38" s="184"/>
      <c r="AP38" s="184"/>
      <c r="AQ38" s="187"/>
      <c r="AR38" s="574"/>
      <c r="AS38" s="184"/>
      <c r="AT38" s="184"/>
      <c r="AU38" s="187"/>
      <c r="AV38" s="574"/>
      <c r="AW38" s="184"/>
      <c r="AX38" s="184"/>
      <c r="AY38" s="187"/>
      <c r="AZ38" s="574"/>
      <c r="BA38" s="186"/>
      <c r="BB38" s="184"/>
      <c r="BC38" s="187"/>
      <c r="BD38" s="574"/>
      <c r="BE38" s="186"/>
      <c r="BF38" s="186"/>
      <c r="BG38" s="186"/>
      <c r="BH38" s="574"/>
      <c r="BI38" s="186"/>
      <c r="BJ38" s="186"/>
      <c r="BK38" s="186"/>
      <c r="BL38" s="574"/>
      <c r="BM38" s="186"/>
      <c r="BN38" s="186"/>
      <c r="BO38" s="186"/>
      <c r="BP38" s="20"/>
      <c r="BQ38" s="186"/>
      <c r="BR38" s="186"/>
      <c r="BS38" s="186"/>
      <c r="BT38" s="186"/>
      <c r="BU38" s="186"/>
      <c r="BV38" s="187"/>
      <c r="BW38" s="574"/>
      <c r="BX38" s="574"/>
      <c r="BY38" s="186"/>
      <c r="BZ38" s="186"/>
      <c r="CA38" s="186"/>
      <c r="CB38" s="186"/>
      <c r="CC38" s="186"/>
      <c r="CD38" s="186"/>
      <c r="CE38" s="186"/>
      <c r="CF38" s="187"/>
      <c r="CG38" s="567"/>
      <c r="CH38" s="8"/>
    </row>
    <row r="39" spans="1:86" ht="14.25" customHeight="1">
      <c r="A39" s="8"/>
      <c r="B39" s="336" t="s">
        <v>42</v>
      </c>
      <c r="C39" s="194"/>
      <c r="D39" s="572">
        <f>D134</f>
        <v>0</v>
      </c>
      <c r="E39" s="184">
        <f>E134-D39</f>
        <v>-10</v>
      </c>
      <c r="F39" s="184">
        <f>F134-E39-D39</f>
        <v>0</v>
      </c>
      <c r="G39" s="185">
        <f>G134-F39-E39-D39</f>
        <v>274</v>
      </c>
      <c r="H39" s="572">
        <f>H134</f>
        <v>-311</v>
      </c>
      <c r="I39" s="184">
        <f>I134-H39</f>
        <v>-275</v>
      </c>
      <c r="J39" s="184">
        <f>J134-I39-H39</f>
        <v>0</v>
      </c>
      <c r="K39" s="185">
        <f>K134-J39-I39-H39</f>
        <v>0</v>
      </c>
      <c r="L39" s="572">
        <f>L134</f>
        <v>0</v>
      </c>
      <c r="M39" s="184">
        <f>M134-L39</f>
        <v>-43</v>
      </c>
      <c r="N39" s="184">
        <f>N134-M39-L39</f>
        <v>0</v>
      </c>
      <c r="O39" s="185">
        <f>O134-N39-M39-L39</f>
        <v>0</v>
      </c>
      <c r="P39" s="572">
        <f>P134</f>
        <v>0</v>
      </c>
      <c r="Q39" s="184">
        <f>Q134-P39</f>
        <v>0</v>
      </c>
      <c r="R39" s="184">
        <f>R134-Q39-P39</f>
        <v>0</v>
      </c>
      <c r="S39" s="185">
        <f>S134-R39-Q39-P39</f>
        <v>0</v>
      </c>
      <c r="T39" s="572">
        <f>T134</f>
        <v>0</v>
      </c>
      <c r="U39" s="184">
        <f>U134-T39</f>
        <v>0</v>
      </c>
      <c r="V39" s="184">
        <f>V134-U39-T39</f>
        <v>0</v>
      </c>
      <c r="W39" s="185">
        <f>W134-V39-U39-T39</f>
        <v>0</v>
      </c>
      <c r="X39" s="572">
        <f>X134</f>
        <v>0</v>
      </c>
      <c r="Y39" s="184">
        <f>Y134-X39</f>
        <v>0</v>
      </c>
      <c r="Z39" s="184">
        <f>Z134-Y39-X39</f>
        <v>0</v>
      </c>
      <c r="AA39" s="185">
        <f>AA134-Z39-Y39-X39</f>
        <v>0</v>
      </c>
      <c r="AB39" s="572">
        <f>AB134</f>
        <v>0</v>
      </c>
      <c r="AC39" s="184">
        <f>AC134-AB39</f>
        <v>3497</v>
      </c>
      <c r="AD39" s="184">
        <f>AD134-SUM(AB39:AC39)</f>
        <v>1200</v>
      </c>
      <c r="AE39" s="185">
        <f>AE134-AD39-AC39-AB39</f>
        <v>-212</v>
      </c>
      <c r="AF39" s="572">
        <f>AF134</f>
        <v>-300</v>
      </c>
      <c r="AG39" s="184">
        <f>AG134-AF39</f>
        <v>-575</v>
      </c>
      <c r="AH39" s="184">
        <f>AH134-SUM(AF39:AG39)</f>
        <v>985</v>
      </c>
      <c r="AI39" s="185">
        <f>AI134-AH39-AG39-AF39</f>
        <v>-3</v>
      </c>
      <c r="AJ39" s="572">
        <f>AJ134</f>
        <v>0</v>
      </c>
      <c r="AK39" s="184">
        <f>AK134-AJ39</f>
        <v>-1500</v>
      </c>
      <c r="AL39" s="184">
        <f>AL134-SUM(AJ39:AK39)</f>
        <v>0</v>
      </c>
      <c r="AM39" s="185">
        <f>AM134-AL39-AK39-AJ39</f>
        <v>986</v>
      </c>
      <c r="AN39" s="572">
        <f>AN134</f>
        <v>498</v>
      </c>
      <c r="AO39" s="184">
        <f>AO134-AN39</f>
        <v>-1498</v>
      </c>
      <c r="AP39" s="184">
        <f>AP134-SUM(AN39:AO39)</f>
        <v>0</v>
      </c>
      <c r="AQ39" s="185">
        <f>AQ134-AP39-AO39-AN39</f>
        <v>498</v>
      </c>
      <c r="AR39" s="572">
        <f>AR134</f>
        <v>0</v>
      </c>
      <c r="AS39" s="184">
        <f>AS134-AR39</f>
        <v>-250</v>
      </c>
      <c r="AT39" s="184">
        <f>AT134-SUM(AR39:AS39)</f>
        <v>-750</v>
      </c>
      <c r="AU39" s="185">
        <f>AU134-AT39-AS39-AR39</f>
        <v>0</v>
      </c>
      <c r="AV39" s="572">
        <f>AV134</f>
        <v>0</v>
      </c>
      <c r="AW39" s="184">
        <f>AW134-AV39</f>
        <v>-501</v>
      </c>
      <c r="AX39" s="184">
        <f>AX134-SUM(AV39:AW39)</f>
        <v>-499</v>
      </c>
      <c r="AY39" s="185">
        <f>AY134-AX39-AW39-AV39</f>
        <v>499</v>
      </c>
      <c r="AZ39" s="572">
        <f>AZ134</f>
        <v>-250</v>
      </c>
      <c r="BA39" s="184">
        <f>BA134-AZ39</f>
        <v>230</v>
      </c>
      <c r="BB39" s="184">
        <f>BB134-SUM(AZ39:BA39)</f>
        <v>-605</v>
      </c>
      <c r="BC39" s="185">
        <f>BC134-BB39-BA39-AZ39</f>
        <v>1099</v>
      </c>
      <c r="BD39" s="572">
        <f>BD134</f>
        <v>0</v>
      </c>
      <c r="BE39" s="184">
        <v>0</v>
      </c>
      <c r="BF39" s="184">
        <v>0</v>
      </c>
      <c r="BG39" s="184">
        <v>0</v>
      </c>
      <c r="BH39" s="572">
        <v>0</v>
      </c>
      <c r="BI39" s="184">
        <v>0</v>
      </c>
      <c r="BJ39" s="184">
        <v>0</v>
      </c>
      <c r="BK39" s="184">
        <v>0</v>
      </c>
      <c r="BL39" s="572">
        <v>0</v>
      </c>
      <c r="BM39" s="184">
        <v>0</v>
      </c>
      <c r="BN39" s="184">
        <v>0</v>
      </c>
      <c r="BO39" s="184">
        <v>0</v>
      </c>
      <c r="BP39" s="152"/>
      <c r="BQ39" s="184">
        <f>SUM(D39:G39)</f>
        <v>264</v>
      </c>
      <c r="BR39" s="184">
        <f>SUM(H39:K39)</f>
        <v>-586</v>
      </c>
      <c r="BS39" s="184">
        <f>SUM(L39:O39)</f>
        <v>-43</v>
      </c>
      <c r="BT39" s="184">
        <f>SUM(P39:S39)</f>
        <v>0</v>
      </c>
      <c r="BU39" s="184">
        <f>SUM(T39:W39)</f>
        <v>0</v>
      </c>
      <c r="BV39" s="185">
        <f>SUM(X39:AA39)</f>
        <v>0</v>
      </c>
      <c r="BW39" s="572">
        <f>SUM(AB39:AE39)</f>
        <v>4485</v>
      </c>
      <c r="BX39" s="572">
        <f>SUM(AF39:AI39)</f>
        <v>107</v>
      </c>
      <c r="BY39" s="184">
        <f>SUM(AJ39:AM39)</f>
        <v>-514</v>
      </c>
      <c r="BZ39" s="184">
        <f>SUM(AN39:AQ39)</f>
        <v>-502</v>
      </c>
      <c r="CA39" s="184">
        <f>SUM(AR39:AU39)</f>
        <v>-1000</v>
      </c>
      <c r="CB39" s="184">
        <f>SUM(AV39:AY39)</f>
        <v>-501</v>
      </c>
      <c r="CC39" s="184">
        <f>SUM(AZ39:BC39)</f>
        <v>474</v>
      </c>
      <c r="CD39" s="184">
        <f>SUM(BD39:BG39)</f>
        <v>0</v>
      </c>
      <c r="CE39" s="184">
        <f t="shared" ref="CE39:CE43" si="227">SUM(BH39:BK39)</f>
        <v>0</v>
      </c>
      <c r="CF39" s="185">
        <f t="shared" ref="CF39:CF43" si="228">SUM(BL39:BO39)</f>
        <v>0</v>
      </c>
      <c r="CG39" s="567"/>
      <c r="CH39" s="8"/>
    </row>
    <row r="40" spans="1:86" ht="14.25" customHeight="1">
      <c r="A40" s="12"/>
      <c r="B40" s="336" t="str">
        <f>B135</f>
        <v>Dividends paid</v>
      </c>
      <c r="C40" s="24"/>
      <c r="D40" s="572">
        <f>D135</f>
        <v>-43</v>
      </c>
      <c r="E40" s="184">
        <f>E135-D40</f>
        <v>-41</v>
      </c>
      <c r="F40" s="184">
        <f>F135-E40-D40</f>
        <v>-41</v>
      </c>
      <c r="G40" s="185">
        <f>G135-F40-E40-D40</f>
        <v>-48</v>
      </c>
      <c r="H40" s="572">
        <f>H135</f>
        <v>-48</v>
      </c>
      <c r="I40" s="184">
        <f>I135-H40</f>
        <v>-47</v>
      </c>
      <c r="J40" s="184">
        <f>J135-I40-H40</f>
        <v>-46</v>
      </c>
      <c r="K40" s="185">
        <f>K135-J40-I40-H40</f>
        <v>-58</v>
      </c>
      <c r="L40" s="572">
        <f>L135</f>
        <v>-58</v>
      </c>
      <c r="M40" s="184">
        <f>M135-L40</f>
        <v>-115</v>
      </c>
      <c r="N40" s="184">
        <f>N135-M40-L40</f>
        <v>-114</v>
      </c>
      <c r="O40" s="185">
        <f>O135-N40-M40-L40</f>
        <v>-138</v>
      </c>
      <c r="P40" s="572">
        <f>P135</f>
        <v>-133</v>
      </c>
      <c r="Q40" s="184">
        <f>Q135-P40</f>
        <v>-132</v>
      </c>
      <c r="R40" s="184">
        <f>R135-Q40-P40</f>
        <v>-131</v>
      </c>
      <c r="S40" s="185">
        <f>S135-R40-Q40-P40</f>
        <v>-141</v>
      </c>
      <c r="T40" s="572">
        <f>T135</f>
        <v>-141</v>
      </c>
      <c r="U40" s="184">
        <f>U135-T40</f>
        <v>-139</v>
      </c>
      <c r="V40" s="184">
        <f>V135-U40-T40</f>
        <v>-138</v>
      </c>
      <c r="W40" s="185">
        <f>W135-V40-U40-T40</f>
        <v>-149</v>
      </c>
      <c r="X40" s="572">
        <f>X135</f>
        <v>-149</v>
      </c>
      <c r="Y40" s="184">
        <f>Y135-X40</f>
        <v>-147</v>
      </c>
      <c r="Z40" s="184">
        <f>Z135-Y40-X40</f>
        <v>-143</v>
      </c>
      <c r="AA40" s="185">
        <f>AA135-Z40-Y40-X40</f>
        <v>-153</v>
      </c>
      <c r="AB40" s="572">
        <f>AB135</f>
        <v>-153</v>
      </c>
      <c r="AC40" s="184">
        <f>AC135-AB40</f>
        <v>-150</v>
      </c>
      <c r="AD40" s="184">
        <f>AD135-SUM(AB40:AC40)</f>
        <v>-148</v>
      </c>
      <c r="AE40" s="185">
        <f>AE135-AD40-AC40-AB40</f>
        <v>-193</v>
      </c>
      <c r="AF40" s="572">
        <f>AF135</f>
        <v>-195</v>
      </c>
      <c r="AG40" s="184">
        <f>AG135-AF40</f>
        <v>-195</v>
      </c>
      <c r="AH40" s="184">
        <f>AH135-SUM(AF40:AG40)</f>
        <v>-194</v>
      </c>
      <c r="AI40" s="185">
        <f>AI135-AH40-AG40-AF40</f>
        <v>-235</v>
      </c>
      <c r="AJ40" s="572">
        <f>AJ135</f>
        <v>-232</v>
      </c>
      <c r="AK40" s="184">
        <f>AK135-AJ40</f>
        <v>-309</v>
      </c>
      <c r="AL40" s="184">
        <f>AL135-SUM(AJ40:AK40)</f>
        <v>-308</v>
      </c>
      <c r="AM40" s="185">
        <f>AM135-AL40-AK40-AJ40</f>
        <v>-326</v>
      </c>
      <c r="AN40" s="572">
        <f>AN135</f>
        <v>-325</v>
      </c>
      <c r="AO40" s="184">
        <f>AO135-AN40</f>
        <v>-323</v>
      </c>
      <c r="AP40" s="184">
        <f>AP135-SUM(AN40:AO40)</f>
        <v>-319</v>
      </c>
      <c r="AQ40" s="185">
        <f>AQ135-AP40-AO40-AN40</f>
        <v>-356</v>
      </c>
      <c r="AR40" s="572">
        <f>AR135</f>
        <v>-356</v>
      </c>
      <c r="AS40" s="184">
        <f>AS135-AR40</f>
        <v>-354</v>
      </c>
      <c r="AT40" s="184">
        <f>AT135-SUM(AR40:AS40)</f>
        <v>-348</v>
      </c>
      <c r="AU40" s="185">
        <f>AU135-AT40-AS40-AR40</f>
        <v>-386</v>
      </c>
      <c r="AV40" s="572">
        <f>AV135</f>
        <v>-383</v>
      </c>
      <c r="AW40" s="184">
        <f>AW135-AV40</f>
        <v>-382</v>
      </c>
      <c r="AX40" s="184">
        <f>AX135-SUM(AV40:AW40)</f>
        <v>-382</v>
      </c>
      <c r="AY40" s="185">
        <f>AY135-AX40-AW40-AV40</f>
        <v>-499</v>
      </c>
      <c r="AZ40" s="572">
        <f>AZ135</f>
        <v>-500</v>
      </c>
      <c r="BA40" s="184">
        <f>BA135-AZ40</f>
        <v>-498</v>
      </c>
      <c r="BB40" s="184">
        <f>BB135-SUM(AZ40:BA40)</f>
        <v>-495</v>
      </c>
      <c r="BC40" s="185">
        <f>BC135-BB40-BA40-AZ40</f>
        <v>-611</v>
      </c>
      <c r="BD40" s="572">
        <f>BD135</f>
        <v>-611</v>
      </c>
      <c r="BE40" s="184">
        <f>-IS!BE102*IS!BE106</f>
        <v>-620.62</v>
      </c>
      <c r="BF40" s="184">
        <f>-IS!BF102*IS!BF106</f>
        <v>-618.14</v>
      </c>
      <c r="BG40" s="185">
        <f>-IS!BG102*IS!BG106</f>
        <v>-615.66</v>
      </c>
      <c r="BH40" s="572">
        <f>-IS!BH102*IS!BH106</f>
        <v>-494.5</v>
      </c>
      <c r="BI40" s="184">
        <f>-IS!BI102*IS!BI106</f>
        <v>-492.5</v>
      </c>
      <c r="BJ40" s="184">
        <f>-IS!BJ102*IS!BJ106</f>
        <v>-490.5</v>
      </c>
      <c r="BK40" s="185">
        <f>-IS!BK102*IS!BK106</f>
        <v>-488.5</v>
      </c>
      <c r="BL40" s="572">
        <f>-IS!BL102*IS!BL106</f>
        <v>-486.5</v>
      </c>
      <c r="BM40" s="184">
        <f>-IS!BM102*IS!BM106</f>
        <v>-484.5</v>
      </c>
      <c r="BN40" s="184">
        <f>-IS!BN102*IS!BN106</f>
        <v>-482.5</v>
      </c>
      <c r="BO40" s="185">
        <f>-IS!BO102*IS!BO106</f>
        <v>-480.5</v>
      </c>
      <c r="BP40" s="152"/>
      <c r="BQ40" s="184">
        <f>SUM(D40:G40)</f>
        <v>-173</v>
      </c>
      <c r="BR40" s="184">
        <f>SUM(H40:K40)</f>
        <v>-199</v>
      </c>
      <c r="BS40" s="184">
        <f>SUM(L40:O40)</f>
        <v>-425</v>
      </c>
      <c r="BT40" s="184">
        <f>SUM(P40:S40)</f>
        <v>-537</v>
      </c>
      <c r="BU40" s="184">
        <f>SUM(T40:W40)</f>
        <v>-567</v>
      </c>
      <c r="BV40" s="185">
        <f>SUM(X40:AA40)</f>
        <v>-592</v>
      </c>
      <c r="BW40" s="572">
        <f>SUM(AB40:AE40)</f>
        <v>-644</v>
      </c>
      <c r="BX40" s="572">
        <f>SUM(AF40:AI40)</f>
        <v>-819</v>
      </c>
      <c r="BY40" s="184">
        <f>SUM(AJ40:AM40)</f>
        <v>-1175</v>
      </c>
      <c r="BZ40" s="184">
        <f>SUM(AN40:AQ40)</f>
        <v>-1323</v>
      </c>
      <c r="CA40" s="184">
        <f>SUM(AR40:AU40)</f>
        <v>-1444</v>
      </c>
      <c r="CB40" s="184">
        <f>SUM(AV40:AY40)</f>
        <v>-1646</v>
      </c>
      <c r="CC40" s="184">
        <f>SUM(AZ40:BC40)</f>
        <v>-2104</v>
      </c>
      <c r="CD40" s="184">
        <f>SUM(BD40:BG40)</f>
        <v>-2465.4199999999996</v>
      </c>
      <c r="CE40" s="184">
        <f t="shared" si="227"/>
        <v>-1966</v>
      </c>
      <c r="CF40" s="185">
        <f t="shared" si="228"/>
        <v>-1934</v>
      </c>
      <c r="CG40" s="567"/>
      <c r="CH40" s="12"/>
    </row>
    <row r="41" spans="1:86" ht="14.25" customHeight="1">
      <c r="A41" s="8"/>
      <c r="B41" s="336" t="str">
        <f>B136</f>
        <v>Issue of Common Stock/Tax benefit/Purchase of options</v>
      </c>
      <c r="C41" s="24"/>
      <c r="D41" s="572">
        <f>D136</f>
        <v>57</v>
      </c>
      <c r="E41" s="184">
        <f>E136-D41</f>
        <v>116</v>
      </c>
      <c r="F41" s="184">
        <f>F136-E41-D41</f>
        <v>160</v>
      </c>
      <c r="G41" s="185">
        <f>G136-F41-E41-D41</f>
        <v>128</v>
      </c>
      <c r="H41" s="572">
        <f>H136</f>
        <v>142</v>
      </c>
      <c r="I41" s="184">
        <f>I136-H41</f>
        <v>137</v>
      </c>
      <c r="J41" s="184">
        <f>J136-I41-H41</f>
        <v>82</v>
      </c>
      <c r="K41" s="185">
        <f>K136-J41-I41-H41</f>
        <v>57</v>
      </c>
      <c r="L41" s="572">
        <f>L136</f>
        <v>154</v>
      </c>
      <c r="M41" s="184">
        <f>M136-L41</f>
        <v>374</v>
      </c>
      <c r="N41" s="184">
        <f>N136-M41-L41</f>
        <v>166</v>
      </c>
      <c r="O41" s="185">
        <f>O136-N41-M41-L41</f>
        <v>67</v>
      </c>
      <c r="P41" s="572">
        <f>P136</f>
        <v>76</v>
      </c>
      <c r="Q41" s="184">
        <f>Q136-P41</f>
        <v>89</v>
      </c>
      <c r="R41" s="184">
        <f>R136-Q41-P41</f>
        <v>30</v>
      </c>
      <c r="S41" s="185">
        <f>S136-R41-Q41-P41</f>
        <v>15</v>
      </c>
      <c r="T41" s="572">
        <f>T136</f>
        <v>18</v>
      </c>
      <c r="U41" s="184">
        <f>U136-T41</f>
        <v>19</v>
      </c>
      <c r="V41" s="184">
        <f>V136-U41-T41</f>
        <v>34</v>
      </c>
      <c r="W41" s="185">
        <f>W136-V41-U41-T41</f>
        <v>38</v>
      </c>
      <c r="X41" s="572">
        <f>X136</f>
        <v>29</v>
      </c>
      <c r="Y41" s="184">
        <f>Y136-X41</f>
        <v>50</v>
      </c>
      <c r="Z41" s="184">
        <f>Z136-Y41-X41</f>
        <v>41</v>
      </c>
      <c r="AA41" s="185">
        <f>AA136-Z41-Y41-X41</f>
        <v>287</v>
      </c>
      <c r="AB41" s="572">
        <f>AB136</f>
        <v>350</v>
      </c>
      <c r="AC41" s="184">
        <f>AC136-AB41</f>
        <v>180</v>
      </c>
      <c r="AD41" s="184">
        <f>AD136-SUM(AB41:AC41)</f>
        <v>34</v>
      </c>
      <c r="AE41" s="185">
        <f>AE136-AD41-AC41-AB41</f>
        <v>157</v>
      </c>
      <c r="AF41" s="572">
        <f>AF136</f>
        <v>277</v>
      </c>
      <c r="AG41" s="184">
        <f>AG136-AF41</f>
        <v>73</v>
      </c>
      <c r="AH41" s="184">
        <f>AH136-SUM(AF41:AG41)</f>
        <v>66</v>
      </c>
      <c r="AI41" s="185">
        <f>AI136-AH41-AG41-AF41</f>
        <v>145</v>
      </c>
      <c r="AJ41" s="572">
        <f>AJ136</f>
        <v>506</v>
      </c>
      <c r="AK41" s="184">
        <f>AK136-AJ41</f>
        <v>354</v>
      </c>
      <c r="AL41" s="184">
        <f>AL136-SUM(AJ41:AK41)</f>
        <v>358</v>
      </c>
      <c r="AM41" s="185">
        <f>AM136-AL41-AK41-AJ41</f>
        <v>176</v>
      </c>
      <c r="AN41" s="572">
        <f>AN136</f>
        <v>332</v>
      </c>
      <c r="AO41" s="184">
        <f>AO136-AN41</f>
        <v>140</v>
      </c>
      <c r="AP41" s="184">
        <f>AP136-SUM(AN41:AO41)</f>
        <v>68</v>
      </c>
      <c r="AQ41" s="185">
        <f>AQ136-AP41-AO41-AN41</f>
        <v>76</v>
      </c>
      <c r="AR41" s="572">
        <f>AR136</f>
        <v>246</v>
      </c>
      <c r="AS41" s="184">
        <f>AS136-AR41</f>
        <v>115</v>
      </c>
      <c r="AT41" s="184">
        <f>AT136-SUM(AR41:AS41)</f>
        <v>-29</v>
      </c>
      <c r="AU41" s="185">
        <f>AU136-AT41-AS41-AR41</f>
        <v>110</v>
      </c>
      <c r="AV41" s="572">
        <f>AV136</f>
        <v>0</v>
      </c>
      <c r="AW41" s="184">
        <f>AW136-AV41</f>
        <v>325</v>
      </c>
      <c r="AX41" s="184">
        <f>AX136-SUM(AV41:AW41)</f>
        <v>159</v>
      </c>
      <c r="AY41" s="185">
        <f>AY136-AX41-AW41-AV41</f>
        <v>-12</v>
      </c>
      <c r="AZ41" s="572">
        <f>AZ136</f>
        <v>161</v>
      </c>
      <c r="BA41" s="184">
        <f>BA136-AZ41</f>
        <v>84</v>
      </c>
      <c r="BB41" s="184">
        <f>BB136-SUM(AZ41:BA41)</f>
        <v>76</v>
      </c>
      <c r="BC41" s="185">
        <f>BC136-BB41-BA41-AZ41</f>
        <v>162</v>
      </c>
      <c r="BD41" s="572">
        <f>BD136</f>
        <v>178</v>
      </c>
      <c r="BE41" s="184">
        <v>0</v>
      </c>
      <c r="BF41" s="184">
        <v>0</v>
      </c>
      <c r="BG41" s="184">
        <v>0</v>
      </c>
      <c r="BH41" s="572">
        <v>0</v>
      </c>
      <c r="BI41" s="184">
        <v>0</v>
      </c>
      <c r="BJ41" s="184">
        <v>0</v>
      </c>
      <c r="BK41" s="184">
        <v>0</v>
      </c>
      <c r="BL41" s="572">
        <v>0</v>
      </c>
      <c r="BM41" s="184">
        <v>0</v>
      </c>
      <c r="BN41" s="184">
        <v>0</v>
      </c>
      <c r="BO41" s="184">
        <v>0</v>
      </c>
      <c r="BP41" s="20"/>
      <c r="BQ41" s="184">
        <f>SUM(D41:G41)</f>
        <v>461</v>
      </c>
      <c r="BR41" s="184">
        <f>SUM(H41:K41)</f>
        <v>418</v>
      </c>
      <c r="BS41" s="184">
        <f>SUM(L41:O41)</f>
        <v>761</v>
      </c>
      <c r="BT41" s="184">
        <f>SUM(P41:S41)</f>
        <v>210</v>
      </c>
      <c r="BU41" s="184">
        <f>SUM(T41:W41)</f>
        <v>109</v>
      </c>
      <c r="BV41" s="185">
        <f>SUM(X41:AA41)</f>
        <v>407</v>
      </c>
      <c r="BW41" s="572">
        <f>SUM(AB41:AE41)</f>
        <v>721</v>
      </c>
      <c r="BX41" s="572">
        <f>SUM(AF41:AI41)</f>
        <v>561</v>
      </c>
      <c r="BY41" s="184">
        <f>SUM(AJ41:AM41)</f>
        <v>1394</v>
      </c>
      <c r="BZ41" s="184">
        <f>SUM(AN41:AQ41)</f>
        <v>616</v>
      </c>
      <c r="CA41" s="184">
        <f>SUM(AR41:AU41)</f>
        <v>442</v>
      </c>
      <c r="CB41" s="184">
        <f>SUM(AV41:AY41)</f>
        <v>472</v>
      </c>
      <c r="CC41" s="184">
        <f>SUM(AZ41:BC41)</f>
        <v>483</v>
      </c>
      <c r="CD41" s="184">
        <f>SUM(BD41:BG41)</f>
        <v>178</v>
      </c>
      <c r="CE41" s="184">
        <f t="shared" si="227"/>
        <v>0</v>
      </c>
      <c r="CF41" s="185">
        <f t="shared" si="228"/>
        <v>0</v>
      </c>
      <c r="CG41" s="567"/>
      <c r="CH41" s="8"/>
    </row>
    <row r="42" spans="1:86" ht="14.25" customHeight="1">
      <c r="A42" s="8"/>
      <c r="B42" s="336" t="str">
        <f>B137</f>
        <v>Common stock repurchase</v>
      </c>
      <c r="C42" s="24"/>
      <c r="D42" s="572">
        <f>D137</f>
        <v>-1493</v>
      </c>
      <c r="E42" s="184">
        <f>E137-D42</f>
        <v>-1292</v>
      </c>
      <c r="F42" s="184">
        <f>F137-E42-D42</f>
        <v>-496</v>
      </c>
      <c r="G42" s="185">
        <f>G137-F42-E42-D42</f>
        <v>-870</v>
      </c>
      <c r="H42" s="572">
        <f>H137</f>
        <v>-1440</v>
      </c>
      <c r="I42" s="184">
        <f>I137-H42</f>
        <v>-1037</v>
      </c>
      <c r="J42" s="184">
        <f>J137-I42-H42</f>
        <v>-1695</v>
      </c>
      <c r="K42" s="185">
        <f>K137-J42-I42-H42</f>
        <v>-1130</v>
      </c>
      <c r="L42" s="572">
        <f>L137</f>
        <v>-857</v>
      </c>
      <c r="M42" s="184">
        <f>M137-L42</f>
        <v>-742</v>
      </c>
      <c r="N42" s="184">
        <f>N137-M42-L42</f>
        <v>-1409</v>
      </c>
      <c r="O42" s="185">
        <f>O137-N42-M42-L42</f>
        <v>-1878</v>
      </c>
      <c r="P42" s="572">
        <f>P137</f>
        <v>-874</v>
      </c>
      <c r="Q42" s="184">
        <f>Q137-P42</f>
        <v>890</v>
      </c>
      <c r="R42" s="184">
        <f>R137-Q42-P42</f>
        <v>-1752</v>
      </c>
      <c r="S42" s="185">
        <f>S137-R42-Q42-P42</f>
        <v>-386</v>
      </c>
      <c r="T42" s="572">
        <f>T137</f>
        <v>-101</v>
      </c>
      <c r="U42" s="184">
        <f>U137-T42</f>
        <v>-250</v>
      </c>
      <c r="V42" s="184">
        <f>V137-U42-T42</f>
        <v>-251</v>
      </c>
      <c r="W42" s="185">
        <f>W137-V42-U42-T42</f>
        <v>-352</v>
      </c>
      <c r="X42" s="572">
        <f>X137</f>
        <v>-504</v>
      </c>
      <c r="Y42" s="184">
        <f>Y137-X42</f>
        <v>-750</v>
      </c>
      <c r="Z42" s="184">
        <f>Z137-Y42-X42</f>
        <v>-600</v>
      </c>
      <c r="AA42" s="185">
        <f>AA137-Z42-Y42-X42</f>
        <v>-600</v>
      </c>
      <c r="AB42" s="572">
        <f>AB137</f>
        <v>-771</v>
      </c>
      <c r="AC42" s="184">
        <f>AC137-AB42</f>
        <v>-452</v>
      </c>
      <c r="AD42" s="184">
        <f>AD137-SUM(AB42:AC42)</f>
        <v>-450</v>
      </c>
      <c r="AE42" s="185">
        <f>AE137-AD42-AC42-AB42</f>
        <v>-300</v>
      </c>
      <c r="AF42" s="572">
        <f>AF137</f>
        <v>-300</v>
      </c>
      <c r="AG42" s="184">
        <f>AG137-AF42</f>
        <v>-300</v>
      </c>
      <c r="AH42" s="184">
        <f>AH137-SUM(AF42:AG42)</f>
        <v>-600</v>
      </c>
      <c r="AI42" s="185">
        <f>AI137-AH42-AG42-AF42</f>
        <v>-600</v>
      </c>
      <c r="AJ42" s="572">
        <f>AJ137</f>
        <v>-679</v>
      </c>
      <c r="AK42" s="184">
        <f>AK137-AJ42</f>
        <v>-721</v>
      </c>
      <c r="AL42" s="184">
        <f>AL137-SUM(AJ42:AK42)</f>
        <v>-734</v>
      </c>
      <c r="AM42" s="185">
        <f>AM137-AL42-AK42-AJ42</f>
        <v>-734</v>
      </c>
      <c r="AN42" s="572">
        <f>AN137</f>
        <v>-720</v>
      </c>
      <c r="AO42" s="184">
        <f>AO137-AN42</f>
        <v>-743</v>
      </c>
      <c r="AP42" s="184">
        <f>AP137-SUM(AN42:AO42)</f>
        <v>-670</v>
      </c>
      <c r="AQ42" s="185">
        <f>AQ137-AP42-AO42-AN42</f>
        <v>-698</v>
      </c>
      <c r="AR42" s="572">
        <f>AR137</f>
        <v>-670</v>
      </c>
      <c r="AS42" s="184">
        <f>AS137-AR42</f>
        <v>-654</v>
      </c>
      <c r="AT42" s="184">
        <f>AT137-SUM(AR42:AS42)</f>
        <v>-790</v>
      </c>
      <c r="AU42" s="185">
        <f>AU137-AT42-AS42-AR42</f>
        <v>-627</v>
      </c>
      <c r="AV42" s="572">
        <f>AV137</f>
        <v>-630</v>
      </c>
      <c r="AW42" s="184">
        <f>AW137-AV42</f>
        <v>-527</v>
      </c>
      <c r="AX42" s="184">
        <f>AX137-SUM(AV42:AW42)</f>
        <v>-500</v>
      </c>
      <c r="AY42" s="185">
        <f>AY137-AX42-AW42-AV42</f>
        <v>-475</v>
      </c>
      <c r="AZ42" s="572">
        <f>AZ137</f>
        <v>-550</v>
      </c>
      <c r="BA42" s="184">
        <f>BA137-AZ42</f>
        <v>-650</v>
      </c>
      <c r="BB42" s="184">
        <f>BB137-SUM(AZ42:BA42)</f>
        <v>-650</v>
      </c>
      <c r="BC42" s="185">
        <f>BC137-BB42-BA42-AZ42</f>
        <v>-706</v>
      </c>
      <c r="BD42" s="572">
        <f>BD137</f>
        <v>-873</v>
      </c>
      <c r="BE42" s="184">
        <f t="shared" ref="BE42:BG42" si="229">BD42</f>
        <v>-873</v>
      </c>
      <c r="BF42" s="184">
        <f t="shared" si="229"/>
        <v>-873</v>
      </c>
      <c r="BG42" s="184">
        <f t="shared" si="229"/>
        <v>-873</v>
      </c>
      <c r="BH42" s="572">
        <f t="shared" ref="BH42" si="230">BG42</f>
        <v>-873</v>
      </c>
      <c r="BI42" s="184">
        <f t="shared" ref="BI42" si="231">BH42</f>
        <v>-873</v>
      </c>
      <c r="BJ42" s="184">
        <f t="shared" ref="BJ42" si="232">BI42</f>
        <v>-873</v>
      </c>
      <c r="BK42" s="184">
        <f t="shared" ref="BK42" si="233">BJ42</f>
        <v>-873</v>
      </c>
      <c r="BL42" s="572">
        <f t="shared" ref="BL42" si="234">BK42</f>
        <v>-873</v>
      </c>
      <c r="BM42" s="184">
        <f t="shared" ref="BM42" si="235">BL42</f>
        <v>-873</v>
      </c>
      <c r="BN42" s="184">
        <f t="shared" ref="BN42" si="236">BM42</f>
        <v>-873</v>
      </c>
      <c r="BO42" s="184">
        <f t="shared" ref="BO42" si="237">BN42</f>
        <v>-873</v>
      </c>
      <c r="BP42" s="20"/>
      <c r="BQ42" s="184">
        <f>SUM(D42:G42)</f>
        <v>-4151</v>
      </c>
      <c r="BR42" s="184">
        <f>SUM(H42:K42)</f>
        <v>-5302</v>
      </c>
      <c r="BS42" s="184">
        <f>SUM(L42:O42)</f>
        <v>-4886</v>
      </c>
      <c r="BT42" s="184">
        <f>SUM(P42:S42)</f>
        <v>-2122</v>
      </c>
      <c r="BU42" s="184">
        <f>SUM(T42:W42)</f>
        <v>-954</v>
      </c>
      <c r="BV42" s="185">
        <f>SUM(X42:AA42)</f>
        <v>-2454</v>
      </c>
      <c r="BW42" s="572">
        <f>SUM(AB42:AE42)</f>
        <v>-1973</v>
      </c>
      <c r="BX42" s="572">
        <f>SUM(AF42:AI42)</f>
        <v>-1800</v>
      </c>
      <c r="BY42" s="184">
        <f>SUM(AJ42:AM42)</f>
        <v>-2868</v>
      </c>
      <c r="BZ42" s="184">
        <f>SUM(AN42:AQ42)</f>
        <v>-2831</v>
      </c>
      <c r="CA42" s="184">
        <f>SUM(AR42:AU42)</f>
        <v>-2741</v>
      </c>
      <c r="CB42" s="184">
        <f>SUM(AV42:AY42)</f>
        <v>-2132</v>
      </c>
      <c r="CC42" s="184">
        <f>SUM(AZ42:BC42)</f>
        <v>-2556</v>
      </c>
      <c r="CD42" s="184">
        <f>SUM(BD42:BG42)</f>
        <v>-3492</v>
      </c>
      <c r="CE42" s="184">
        <f t="shared" si="227"/>
        <v>-3492</v>
      </c>
      <c r="CF42" s="185">
        <f t="shared" si="228"/>
        <v>-3492</v>
      </c>
      <c r="CG42" s="567"/>
      <c r="CH42" s="8"/>
    </row>
    <row r="43" spans="1:86" ht="14.25" customHeight="1">
      <c r="A43" s="8"/>
      <c r="B43" s="336" t="str">
        <f>B138</f>
        <v>Other</v>
      </c>
      <c r="C43" s="24"/>
      <c r="D43" s="572">
        <f>D138</f>
        <v>0</v>
      </c>
      <c r="E43" s="184">
        <f>E138-D43</f>
        <v>0</v>
      </c>
      <c r="F43" s="184">
        <f>F138-E43-D43</f>
        <v>42</v>
      </c>
      <c r="G43" s="185">
        <f>G138-F43-E43-D43</f>
        <v>17</v>
      </c>
      <c r="H43" s="572">
        <f>H138</f>
        <v>7</v>
      </c>
      <c r="I43" s="184">
        <f>I138-H43</f>
        <v>57</v>
      </c>
      <c r="J43" s="184">
        <f>J138-I43-H43</f>
        <v>21</v>
      </c>
      <c r="K43" s="185">
        <f>K138-J43-I43-H43</f>
        <v>-190</v>
      </c>
      <c r="L43" s="572">
        <f>L138</f>
        <v>34</v>
      </c>
      <c r="M43" s="184">
        <f>M138-L43</f>
        <v>56</v>
      </c>
      <c r="N43" s="184">
        <f>N138-M43-L43</f>
        <v>16</v>
      </c>
      <c r="O43" s="185">
        <f>O138-N43-M43-L43</f>
        <v>-77</v>
      </c>
      <c r="P43" s="572">
        <f>P138</f>
        <v>13</v>
      </c>
      <c r="Q43" s="184">
        <f>Q138-P43</f>
        <v>-1320</v>
      </c>
      <c r="R43" s="184">
        <f>R138-Q43-P43</f>
        <v>1324</v>
      </c>
      <c r="S43" s="185">
        <f>S138-R43-Q43-P43</f>
        <v>2</v>
      </c>
      <c r="T43" s="572">
        <f>T138</f>
        <v>0</v>
      </c>
      <c r="U43" s="184">
        <f>U138-T43</f>
        <v>0</v>
      </c>
      <c r="V43" s="184">
        <f>V138-U43-T43</f>
        <v>0</v>
      </c>
      <c r="W43" s="185">
        <f>W138-V43-U43-T43</f>
        <v>1</v>
      </c>
      <c r="X43" s="572">
        <f>X138</f>
        <v>0</v>
      </c>
      <c r="Y43" s="184">
        <f>Y138-X43</f>
        <v>2</v>
      </c>
      <c r="Z43" s="184">
        <f>Z138-Y43-X43</f>
        <v>1</v>
      </c>
      <c r="AA43" s="185">
        <f>AA138-Z43-Y43-X43</f>
        <v>10</v>
      </c>
      <c r="AB43" s="572">
        <f>AB138</f>
        <v>19</v>
      </c>
      <c r="AC43" s="184">
        <f>AC138-AB43</f>
        <v>-4</v>
      </c>
      <c r="AD43" s="184">
        <f>AD138-SUM(AB43:AC43)</f>
        <v>0</v>
      </c>
      <c r="AE43" s="185">
        <f>AE138-AD43-AC43-AB43</f>
        <v>-15</v>
      </c>
      <c r="AF43" s="572">
        <f>AF138</f>
        <v>0</v>
      </c>
      <c r="AG43" s="184">
        <f>AG138-AF43</f>
        <v>0</v>
      </c>
      <c r="AH43" s="184">
        <f>AH138-SUM(AF43:AG43)</f>
        <v>0</v>
      </c>
      <c r="AI43" s="185">
        <f>AI138-AH43-AG43-AF43</f>
        <v>0</v>
      </c>
      <c r="AJ43" s="572">
        <f>AJ138</f>
        <v>0</v>
      </c>
      <c r="AK43" s="184">
        <f>AK138-AJ43</f>
        <v>979</v>
      </c>
      <c r="AL43" s="184">
        <f>AL138-SUM(AJ43:AK43)</f>
        <v>0</v>
      </c>
      <c r="AM43" s="185">
        <f>AM138-AL43-AK43-AJ43</f>
        <v>-986</v>
      </c>
      <c r="AN43" s="572">
        <f>AN138</f>
        <v>-4</v>
      </c>
      <c r="AO43" s="184">
        <f>AO138-AN43</f>
        <v>498</v>
      </c>
      <c r="AP43" s="184">
        <f>AP138-SUM(AN43:AO43)</f>
        <v>11</v>
      </c>
      <c r="AQ43" s="185">
        <f>AQ138-AP43-AO43-AN43</f>
        <v>-408</v>
      </c>
      <c r="AR43" s="572">
        <f>AR138</f>
        <v>56</v>
      </c>
      <c r="AS43" s="184">
        <f>AS138-AR43</f>
        <v>439</v>
      </c>
      <c r="AT43" s="184">
        <f>AT138-SUM(AR43:AS43)</f>
        <v>68</v>
      </c>
      <c r="AU43" s="185">
        <f>AU138-AT43-AS43-AR43</f>
        <v>15</v>
      </c>
      <c r="AV43" s="572">
        <f>AV138</f>
        <v>68</v>
      </c>
      <c r="AW43" s="184">
        <f>AW138-AV43</f>
        <v>11</v>
      </c>
      <c r="AX43" s="184">
        <f>AX138-SUM(AV43:AW43)</f>
        <v>546</v>
      </c>
      <c r="AY43" s="185">
        <f>AY138-AX43-AW43-AV43</f>
        <v>-628</v>
      </c>
      <c r="AZ43" s="572">
        <f>AZ138</f>
        <v>-4</v>
      </c>
      <c r="BA43" s="184">
        <f>BA138-AZ43</f>
        <v>-8</v>
      </c>
      <c r="BB43" s="184">
        <f>BB138-SUM(AZ43:BA43)</f>
        <v>596</v>
      </c>
      <c r="BC43" s="185">
        <f>BC138-BB43-BA43-AZ43</f>
        <v>-615</v>
      </c>
      <c r="BD43" s="572">
        <f>BD138</f>
        <v>-11</v>
      </c>
      <c r="BE43" s="184">
        <v>0</v>
      </c>
      <c r="BF43" s="184">
        <v>0</v>
      </c>
      <c r="BG43" s="184">
        <v>0</v>
      </c>
      <c r="BH43" s="572">
        <v>0</v>
      </c>
      <c r="BI43" s="184">
        <v>0</v>
      </c>
      <c r="BJ43" s="184">
        <v>0</v>
      </c>
      <c r="BK43" s="184">
        <v>0</v>
      </c>
      <c r="BL43" s="572">
        <v>0</v>
      </c>
      <c r="BM43" s="184">
        <v>0</v>
      </c>
      <c r="BN43" s="184">
        <v>0</v>
      </c>
      <c r="BO43" s="184">
        <v>0</v>
      </c>
      <c r="BP43" s="20"/>
      <c r="BQ43" s="184">
        <f>SUM(D43:G43)</f>
        <v>59</v>
      </c>
      <c r="BR43" s="184">
        <f>SUM(H43:K43)</f>
        <v>-105</v>
      </c>
      <c r="BS43" s="184">
        <f>SUM(L43:O43)</f>
        <v>29</v>
      </c>
      <c r="BT43" s="184">
        <f>SUM(P43:S43)</f>
        <v>19</v>
      </c>
      <c r="BU43" s="184">
        <f>SUM(T43:W43)</f>
        <v>1</v>
      </c>
      <c r="BV43" s="185">
        <f>SUM(X43:AA43)</f>
        <v>13</v>
      </c>
      <c r="BW43" s="572">
        <f>SUM(AB43:AE43)</f>
        <v>0</v>
      </c>
      <c r="BX43" s="572">
        <f>SUM(AF43:AI43)</f>
        <v>0</v>
      </c>
      <c r="BY43" s="184">
        <f>SUM(AJ43:AM43)</f>
        <v>-7</v>
      </c>
      <c r="BZ43" s="184">
        <f>SUM(AN43:AQ43)</f>
        <v>97</v>
      </c>
      <c r="CA43" s="184">
        <f>SUM(AR43:AU43)</f>
        <v>578</v>
      </c>
      <c r="CB43" s="184">
        <f>SUM(AV43:AY43)</f>
        <v>-3</v>
      </c>
      <c r="CC43" s="184">
        <f>SUM(AZ43:BC43)</f>
        <v>-31</v>
      </c>
      <c r="CD43" s="184">
        <f>SUM(BD43:BG43)</f>
        <v>-11</v>
      </c>
      <c r="CE43" s="184">
        <f t="shared" si="227"/>
        <v>0</v>
      </c>
      <c r="CF43" s="185">
        <f t="shared" si="228"/>
        <v>0</v>
      </c>
      <c r="CG43" s="567"/>
      <c r="CH43" s="8"/>
    </row>
    <row r="44" spans="1:86" ht="14.25" customHeight="1" thickBot="1">
      <c r="A44" s="8"/>
      <c r="B44" s="188" t="str">
        <f>B139</f>
        <v>Net cash used for financing activities</v>
      </c>
      <c r="C44" s="189"/>
      <c r="D44" s="191">
        <f t="shared" ref="D44:AM44" si="238">SUM(D39:D43)</f>
        <v>-1479</v>
      </c>
      <c r="E44" s="190">
        <f t="shared" si="238"/>
        <v>-1227</v>
      </c>
      <c r="F44" s="190">
        <f t="shared" si="238"/>
        <v>-335</v>
      </c>
      <c r="G44" s="190">
        <f t="shared" si="238"/>
        <v>-499</v>
      </c>
      <c r="H44" s="191">
        <f t="shared" si="238"/>
        <v>-1650</v>
      </c>
      <c r="I44" s="190">
        <f t="shared" si="238"/>
        <v>-1165</v>
      </c>
      <c r="J44" s="190">
        <f t="shared" si="238"/>
        <v>-1638</v>
      </c>
      <c r="K44" s="190">
        <f t="shared" si="238"/>
        <v>-1321</v>
      </c>
      <c r="L44" s="191">
        <f t="shared" si="238"/>
        <v>-727</v>
      </c>
      <c r="M44" s="190">
        <f t="shared" si="238"/>
        <v>-470</v>
      </c>
      <c r="N44" s="190">
        <f t="shared" si="238"/>
        <v>-1341</v>
      </c>
      <c r="O44" s="190">
        <f t="shared" si="238"/>
        <v>-2026</v>
      </c>
      <c r="P44" s="191">
        <f t="shared" si="238"/>
        <v>-918</v>
      </c>
      <c r="Q44" s="190">
        <f t="shared" si="238"/>
        <v>-473</v>
      </c>
      <c r="R44" s="190">
        <f t="shared" si="238"/>
        <v>-529</v>
      </c>
      <c r="S44" s="190">
        <f t="shared" si="238"/>
        <v>-510</v>
      </c>
      <c r="T44" s="191">
        <f t="shared" si="238"/>
        <v>-224</v>
      </c>
      <c r="U44" s="190">
        <f t="shared" si="238"/>
        <v>-370</v>
      </c>
      <c r="V44" s="190">
        <f t="shared" si="238"/>
        <v>-355</v>
      </c>
      <c r="W44" s="192">
        <f t="shared" si="238"/>
        <v>-462</v>
      </c>
      <c r="X44" s="191">
        <f t="shared" si="238"/>
        <v>-624</v>
      </c>
      <c r="Y44" s="190">
        <f t="shared" si="238"/>
        <v>-845</v>
      </c>
      <c r="Z44" s="190">
        <f t="shared" si="238"/>
        <v>-701</v>
      </c>
      <c r="AA44" s="192">
        <f t="shared" si="238"/>
        <v>-456</v>
      </c>
      <c r="AB44" s="191">
        <f t="shared" si="238"/>
        <v>-555</v>
      </c>
      <c r="AC44" s="190">
        <f t="shared" si="238"/>
        <v>3071</v>
      </c>
      <c r="AD44" s="190">
        <f t="shared" si="238"/>
        <v>636</v>
      </c>
      <c r="AE44" s="192">
        <f t="shared" si="238"/>
        <v>-563</v>
      </c>
      <c r="AF44" s="191">
        <f t="shared" si="238"/>
        <v>-518</v>
      </c>
      <c r="AG44" s="190">
        <f t="shared" si="238"/>
        <v>-997</v>
      </c>
      <c r="AH44" s="190">
        <f t="shared" si="238"/>
        <v>257</v>
      </c>
      <c r="AI44" s="192">
        <f t="shared" si="238"/>
        <v>-693</v>
      </c>
      <c r="AJ44" s="191">
        <f t="shared" si="238"/>
        <v>-405</v>
      </c>
      <c r="AK44" s="190">
        <f t="shared" si="238"/>
        <v>-1197</v>
      </c>
      <c r="AL44" s="190">
        <f t="shared" si="238"/>
        <v>-684</v>
      </c>
      <c r="AM44" s="192">
        <f t="shared" si="238"/>
        <v>-884</v>
      </c>
      <c r="AN44" s="191">
        <f t="shared" ref="AN44:AS44" si="239">SUM(AN39:AN43)</f>
        <v>-219</v>
      </c>
      <c r="AO44" s="190">
        <f t="shared" si="239"/>
        <v>-1926</v>
      </c>
      <c r="AP44" s="190">
        <f t="shared" si="239"/>
        <v>-910</v>
      </c>
      <c r="AQ44" s="192">
        <f t="shared" si="239"/>
        <v>-888</v>
      </c>
      <c r="AR44" s="191">
        <f t="shared" si="239"/>
        <v>-724</v>
      </c>
      <c r="AS44" s="190">
        <f t="shared" si="239"/>
        <v>-704</v>
      </c>
      <c r="AT44" s="190">
        <f t="shared" ref="AT44:BD44" si="240">SUM(AT39:AT43)</f>
        <v>-1849</v>
      </c>
      <c r="AU44" s="192">
        <f t="shared" si="240"/>
        <v>-888</v>
      </c>
      <c r="AV44" s="191">
        <f t="shared" si="240"/>
        <v>-945</v>
      </c>
      <c r="AW44" s="190">
        <f t="shared" si="240"/>
        <v>-1074</v>
      </c>
      <c r="AX44" s="190">
        <f>SUM(AX39:AX43)</f>
        <v>-676</v>
      </c>
      <c r="AY44" s="192">
        <f t="shared" ref="AY44:BA44" si="241">SUM(AY39:AY43)</f>
        <v>-1115</v>
      </c>
      <c r="AZ44" s="191">
        <f t="shared" si="241"/>
        <v>-1143</v>
      </c>
      <c r="BA44" s="190">
        <f t="shared" si="241"/>
        <v>-842</v>
      </c>
      <c r="BB44" s="190">
        <f>SUM(BB39:BB43)</f>
        <v>-1078</v>
      </c>
      <c r="BC44" s="192">
        <f t="shared" si="240"/>
        <v>-671</v>
      </c>
      <c r="BD44" s="191">
        <f t="shared" si="240"/>
        <v>-1317</v>
      </c>
      <c r="BE44" s="190">
        <f t="shared" ref="BE44:BG44" si="242">SUM(BE39:BE43)</f>
        <v>-1493.62</v>
      </c>
      <c r="BF44" s="190">
        <f t="shared" si="242"/>
        <v>-1491.1399999999999</v>
      </c>
      <c r="BG44" s="190">
        <f t="shared" si="242"/>
        <v>-1488.6599999999999</v>
      </c>
      <c r="BH44" s="191">
        <f t="shared" ref="BH44:BK44" si="243">SUM(BH39:BH43)</f>
        <v>-1367.5</v>
      </c>
      <c r="BI44" s="190">
        <f t="shared" si="243"/>
        <v>-1365.5</v>
      </c>
      <c r="BJ44" s="190">
        <f t="shared" si="243"/>
        <v>-1363.5</v>
      </c>
      <c r="BK44" s="190">
        <f t="shared" si="243"/>
        <v>-1361.5</v>
      </c>
      <c r="BL44" s="191">
        <f t="shared" ref="BL44:BO44" si="244">SUM(BL39:BL43)</f>
        <v>-1359.5</v>
      </c>
      <c r="BM44" s="190">
        <f t="shared" si="244"/>
        <v>-1357.5</v>
      </c>
      <c r="BN44" s="190">
        <f t="shared" si="244"/>
        <v>-1355.5</v>
      </c>
      <c r="BO44" s="190">
        <f t="shared" si="244"/>
        <v>-1353.5</v>
      </c>
      <c r="BP44" s="20"/>
      <c r="BQ44" s="190">
        <f t="shared" ref="BQ44:BX44" si="245">SUM(BQ39:BQ43)</f>
        <v>-3540</v>
      </c>
      <c r="BR44" s="190">
        <f t="shared" si="245"/>
        <v>-5774</v>
      </c>
      <c r="BS44" s="190">
        <f t="shared" si="245"/>
        <v>-4564</v>
      </c>
      <c r="BT44" s="190">
        <f t="shared" si="245"/>
        <v>-2430</v>
      </c>
      <c r="BU44" s="190">
        <f t="shared" si="245"/>
        <v>-1411</v>
      </c>
      <c r="BV44" s="192">
        <f t="shared" si="245"/>
        <v>-2626</v>
      </c>
      <c r="BW44" s="191">
        <f t="shared" si="245"/>
        <v>2589</v>
      </c>
      <c r="BX44" s="191">
        <f t="shared" si="245"/>
        <v>-1951</v>
      </c>
      <c r="BY44" s="190">
        <f>SUM(BY39:BY43)</f>
        <v>-3170</v>
      </c>
      <c r="BZ44" s="190">
        <f t="shared" ref="BZ44:CA44" si="246">SUM(BZ39:BZ43)</f>
        <v>-3943</v>
      </c>
      <c r="CA44" s="190">
        <f t="shared" si="246"/>
        <v>-4165</v>
      </c>
      <c r="CB44" s="190">
        <f>SUM(CB39:CB43)</f>
        <v>-3810</v>
      </c>
      <c r="CC44" s="190">
        <f>SUM(CC39:CC43)</f>
        <v>-3734</v>
      </c>
      <c r="CD44" s="190">
        <f>SUM(CD39:CD43)</f>
        <v>-5790.42</v>
      </c>
      <c r="CE44" s="190">
        <f>SUM(CE39:CE43)</f>
        <v>-5458</v>
      </c>
      <c r="CF44" s="192">
        <f>SUM(CF39:CF43)</f>
        <v>-5426</v>
      </c>
      <c r="CG44" s="567"/>
      <c r="CH44" s="8"/>
    </row>
    <row r="45" spans="1:86" ht="14.25" customHeight="1" thickTop="1">
      <c r="A45" s="8"/>
      <c r="B45" s="320"/>
      <c r="C45" s="39"/>
      <c r="D45" s="579"/>
      <c r="E45" s="196"/>
      <c r="F45" s="196"/>
      <c r="G45" s="196"/>
      <c r="H45" s="579"/>
      <c r="I45" s="196"/>
      <c r="J45" s="196"/>
      <c r="K45" s="196"/>
      <c r="L45" s="579"/>
      <c r="M45" s="196"/>
      <c r="N45" s="196"/>
      <c r="O45" s="196"/>
      <c r="P45" s="579"/>
      <c r="Q45" s="196"/>
      <c r="R45" s="196"/>
      <c r="S45" s="196"/>
      <c r="T45" s="579"/>
      <c r="U45" s="196"/>
      <c r="V45" s="196"/>
      <c r="W45" s="197"/>
      <c r="X45" s="579"/>
      <c r="Y45" s="196"/>
      <c r="Z45" s="196"/>
      <c r="AA45" s="197"/>
      <c r="AB45" s="579"/>
      <c r="AC45" s="196"/>
      <c r="AD45" s="196"/>
      <c r="AE45" s="197"/>
      <c r="AF45" s="579"/>
      <c r="AG45" s="196"/>
      <c r="AH45" s="196"/>
      <c r="AI45" s="197"/>
      <c r="AJ45" s="579"/>
      <c r="AK45" s="196"/>
      <c r="AL45" s="196"/>
      <c r="AM45" s="197"/>
      <c r="AN45" s="579"/>
      <c r="AO45" s="196"/>
      <c r="AP45" s="196"/>
      <c r="AQ45" s="197"/>
      <c r="AR45" s="579"/>
      <c r="AS45" s="196"/>
      <c r="AT45" s="196"/>
      <c r="AU45" s="197"/>
      <c r="AV45" s="579"/>
      <c r="AW45" s="196"/>
      <c r="AX45" s="196"/>
      <c r="AY45" s="197"/>
      <c r="AZ45" s="579"/>
      <c r="BA45" s="196"/>
      <c r="BB45" s="196"/>
      <c r="BC45" s="197"/>
      <c r="BD45" s="579"/>
      <c r="BE45" s="196"/>
      <c r="BF45" s="196"/>
      <c r="BG45" s="196"/>
      <c r="BH45" s="580"/>
      <c r="BI45" s="196"/>
      <c r="BJ45" s="196"/>
      <c r="BK45" s="196"/>
      <c r="BL45" s="580"/>
      <c r="BM45" s="196"/>
      <c r="BN45" s="196"/>
      <c r="BO45" s="196"/>
      <c r="BP45" s="20"/>
      <c r="BQ45" s="196"/>
      <c r="BR45" s="196"/>
      <c r="BS45" s="196"/>
      <c r="BT45" s="196"/>
      <c r="BU45" s="196"/>
      <c r="BV45" s="197"/>
      <c r="BW45" s="579"/>
      <c r="BX45" s="579"/>
      <c r="BY45" s="196"/>
      <c r="BZ45" s="196"/>
      <c r="CA45" s="196"/>
      <c r="CB45" s="196"/>
      <c r="CC45" s="196"/>
      <c r="CD45" s="196"/>
      <c r="CE45" s="196"/>
      <c r="CF45" s="197"/>
      <c r="CG45" s="567"/>
      <c r="CH45" s="8"/>
    </row>
    <row r="46" spans="1:86" ht="14.25" customHeight="1">
      <c r="A46" s="8"/>
      <c r="B46" s="320" t="str">
        <f>B141</f>
        <v>Effect of exchange rate changes on cash and cash equivalents</v>
      </c>
      <c r="C46" s="39"/>
      <c r="D46" s="572">
        <f>D141</f>
        <v>0</v>
      </c>
      <c r="E46" s="184">
        <f>E141-D46</f>
        <v>8</v>
      </c>
      <c r="F46" s="184">
        <f>F141-E46-D46</f>
        <v>-2</v>
      </c>
      <c r="G46" s="184">
        <f>G141-F46-E46-D46</f>
        <v>-6</v>
      </c>
      <c r="H46" s="572">
        <f>H141</f>
        <v>2</v>
      </c>
      <c r="I46" s="184">
        <f>I141-H46</f>
        <v>3</v>
      </c>
      <c r="J46" s="184">
        <f>J141-I46-H46</f>
        <v>-5</v>
      </c>
      <c r="K46" s="184">
        <f>K141-J46-I46-H46</f>
        <v>0</v>
      </c>
      <c r="L46" s="572">
        <f>L141</f>
        <v>-1</v>
      </c>
      <c r="M46" s="184">
        <f>M141-L46</f>
        <v>0</v>
      </c>
      <c r="N46" s="184">
        <f>N141-M46-L46</f>
        <v>-1</v>
      </c>
      <c r="O46" s="184">
        <f>O141-N46-M46-L46</f>
        <v>1.99</v>
      </c>
      <c r="P46" s="572">
        <f>P141</f>
        <v>8</v>
      </c>
      <c r="Q46" s="184">
        <f>Q141-P46</f>
        <v>3</v>
      </c>
      <c r="R46" s="184">
        <f>R141-Q46-P46</f>
        <v>-7</v>
      </c>
      <c r="S46" s="184">
        <f>S141-R46-Q46-P46</f>
        <v>-4</v>
      </c>
      <c r="T46" s="572">
        <f>T141</f>
        <v>0</v>
      </c>
      <c r="U46" s="184">
        <f>U141-T46</f>
        <v>0</v>
      </c>
      <c r="V46" s="184">
        <f>V141-U46-T46</f>
        <v>0</v>
      </c>
      <c r="W46" s="185">
        <f>W141-V46-U46-T46</f>
        <v>0</v>
      </c>
      <c r="X46" s="572">
        <f>X141</f>
        <v>0</v>
      </c>
      <c r="Y46" s="184">
        <f>Y141-X46</f>
        <v>0</v>
      </c>
      <c r="Z46" s="184">
        <f>Z141-Y46-X46</f>
        <v>0</v>
      </c>
      <c r="AA46" s="185">
        <f>AA141-Z46-Y46-X46</f>
        <v>0</v>
      </c>
      <c r="AB46" s="572">
        <f>AB141</f>
        <v>0</v>
      </c>
      <c r="AC46" s="184">
        <f>AC141-AB46</f>
        <v>0</v>
      </c>
      <c r="AD46" s="184">
        <f>AD141-AC46-AB46</f>
        <v>0</v>
      </c>
      <c r="AE46" s="185">
        <f>AE141-AD46-AC46-AB46</f>
        <v>0</v>
      </c>
      <c r="AF46" s="572">
        <f>AF141</f>
        <v>0</v>
      </c>
      <c r="AG46" s="184">
        <f>AG141-AF46</f>
        <v>0</v>
      </c>
      <c r="AH46" s="184">
        <f>AH141-AG46-AF46</f>
        <v>0</v>
      </c>
      <c r="AI46" s="185">
        <f>AI141-AH46-AG46-AF46</f>
        <v>0</v>
      </c>
      <c r="AJ46" s="572">
        <f>AJ141</f>
        <v>0</v>
      </c>
      <c r="AK46" s="184">
        <f>AK141-AJ46</f>
        <v>0</v>
      </c>
      <c r="AL46" s="184">
        <f>AL141-AK46-AJ46</f>
        <v>0</v>
      </c>
      <c r="AM46" s="185">
        <f>AM141-AL46-AK46-AJ46</f>
        <v>0</v>
      </c>
      <c r="AN46" s="572">
        <f>AN141</f>
        <v>0</v>
      </c>
      <c r="AO46" s="184">
        <f>AO141-AN46</f>
        <v>0</v>
      </c>
      <c r="AP46" s="184">
        <f>AP141-AO46-AN46</f>
        <v>0</v>
      </c>
      <c r="AQ46" s="185">
        <f>AQ141-AP46-AO46-AN46</f>
        <v>0</v>
      </c>
      <c r="AR46" s="572">
        <f>AR141</f>
        <v>0</v>
      </c>
      <c r="AS46" s="184">
        <f>AS141-AR46</f>
        <v>0</v>
      </c>
      <c r="AT46" s="184">
        <f>AT141-AS46-AR46</f>
        <v>0</v>
      </c>
      <c r="AU46" s="185">
        <f>AU141-AT46-AS46-AR46</f>
        <v>0</v>
      </c>
      <c r="AV46" s="572">
        <f>AV141</f>
        <v>0</v>
      </c>
      <c r="AW46" s="184">
        <f>AW141-AV46</f>
        <v>0</v>
      </c>
      <c r="AX46" s="184">
        <f>AX141-AW46-AV46</f>
        <v>0</v>
      </c>
      <c r="AY46" s="185">
        <f>AY141-AX46-AW46-AV46</f>
        <v>0</v>
      </c>
      <c r="AZ46" s="572">
        <f>AZ141</f>
        <v>0</v>
      </c>
      <c r="BA46" s="184">
        <f>BA141-AZ46</f>
        <v>0</v>
      </c>
      <c r="BB46" s="184">
        <f>BB141-BA46-AZ46</f>
        <v>0</v>
      </c>
      <c r="BC46" s="185">
        <f>BC141-BB46-BA46-AZ46</f>
        <v>0</v>
      </c>
      <c r="BD46" s="572">
        <f>BD141</f>
        <v>0</v>
      </c>
      <c r="BE46" s="184">
        <f t="shared" ref="BE46:BE47" si="247">BD46</f>
        <v>0</v>
      </c>
      <c r="BF46" s="184">
        <f t="shared" ref="BF46:BF47" si="248">BE46</f>
        <v>0</v>
      </c>
      <c r="BG46" s="184">
        <f t="shared" ref="BG46:BG47" si="249">BF46</f>
        <v>0</v>
      </c>
      <c r="BH46" s="572">
        <f t="shared" ref="BH46:BH47" si="250">BG46</f>
        <v>0</v>
      </c>
      <c r="BI46" s="184">
        <f t="shared" ref="BI46:BI47" si="251">BH46</f>
        <v>0</v>
      </c>
      <c r="BJ46" s="184">
        <f t="shared" ref="BJ46:BJ47" si="252">BI46</f>
        <v>0</v>
      </c>
      <c r="BK46" s="184">
        <f t="shared" ref="BK46:BK47" si="253">BJ46</f>
        <v>0</v>
      </c>
      <c r="BL46" s="572">
        <f t="shared" ref="BL46:BL47" si="254">BK46</f>
        <v>0</v>
      </c>
      <c r="BM46" s="184">
        <f t="shared" ref="BM46:BM47" si="255">BL46</f>
        <v>0</v>
      </c>
      <c r="BN46" s="184">
        <f t="shared" ref="BN46:BN47" si="256">BM46</f>
        <v>0</v>
      </c>
      <c r="BO46" s="184">
        <f t="shared" ref="BO46:BO47" si="257">BN46</f>
        <v>0</v>
      </c>
      <c r="BP46" s="20"/>
      <c r="BQ46" s="184">
        <f>SUM(D46:G46)</f>
        <v>0</v>
      </c>
      <c r="BR46" s="184">
        <f>SUM(H46:K46)</f>
        <v>0</v>
      </c>
      <c r="BS46" s="184">
        <f>SUM(L46:O46)</f>
        <v>-1.0000000000000009E-2</v>
      </c>
      <c r="BT46" s="184">
        <f>SUM(P46:S46)</f>
        <v>0</v>
      </c>
      <c r="BU46" s="184">
        <f>SUM(T46:W46)</f>
        <v>0</v>
      </c>
      <c r="BV46" s="185">
        <f>SUM(X46:AA46)</f>
        <v>0</v>
      </c>
      <c r="BW46" s="572">
        <f>SUM(AB46:AE46)</f>
        <v>0</v>
      </c>
      <c r="BX46" s="572">
        <f>SUM(AF46:AI46)</f>
        <v>0</v>
      </c>
      <c r="BY46" s="184">
        <f>SUM(AJ46:AM46)</f>
        <v>0</v>
      </c>
      <c r="BZ46" s="184">
        <f>SUM(AN46:AQ46)</f>
        <v>0</v>
      </c>
      <c r="CA46" s="184">
        <f t="shared" ref="CA46:CF47" si="258">BZ46</f>
        <v>0</v>
      </c>
      <c r="CB46" s="184">
        <f t="shared" si="258"/>
        <v>0</v>
      </c>
      <c r="CC46" s="184">
        <f t="shared" si="258"/>
        <v>0</v>
      </c>
      <c r="CD46" s="184">
        <f t="shared" si="258"/>
        <v>0</v>
      </c>
      <c r="CE46" s="184">
        <f t="shared" si="258"/>
        <v>0</v>
      </c>
      <c r="CF46" s="185">
        <f t="shared" si="258"/>
        <v>0</v>
      </c>
      <c r="CG46" s="567"/>
      <c r="CH46" s="8"/>
    </row>
    <row r="47" spans="1:86" ht="14.25" customHeight="1">
      <c r="A47" s="8"/>
      <c r="B47" s="320" t="str">
        <f>B142</f>
        <v>Net cash provided by discontinued operations</v>
      </c>
      <c r="C47" s="39"/>
      <c r="D47" s="572">
        <f>D142</f>
        <v>15.25</v>
      </c>
      <c r="E47" s="184">
        <f>E142-D47</f>
        <v>40.25</v>
      </c>
      <c r="F47" s="184">
        <f>F142-E47-D47</f>
        <v>38.25</v>
      </c>
      <c r="G47" s="184">
        <f>G142-F47-E47-D47</f>
        <v>14.25</v>
      </c>
      <c r="H47" s="572">
        <f>H142</f>
        <v>25.25</v>
      </c>
      <c r="I47" s="184">
        <f>I142-H47</f>
        <v>-33.75</v>
      </c>
      <c r="J47" s="184">
        <f>J142-I47-H47</f>
        <v>0.25</v>
      </c>
      <c r="K47" s="184">
        <f>K142-J47-I47-H47</f>
        <v>-0.75</v>
      </c>
      <c r="L47" s="572">
        <f>L142</f>
        <v>0</v>
      </c>
      <c r="M47" s="184">
        <f>M142-L47</f>
        <v>0.33</v>
      </c>
      <c r="N47" s="184">
        <f>N142-M47-L47</f>
        <v>0.33</v>
      </c>
      <c r="O47" s="184">
        <f>O142-N47-M47-L47</f>
        <v>-0.66</v>
      </c>
      <c r="P47" s="572">
        <f>P142</f>
        <v>0</v>
      </c>
      <c r="Q47" s="184">
        <f>Q142-P47</f>
        <v>0</v>
      </c>
      <c r="R47" s="184">
        <f>R142-Q47-P47</f>
        <v>0</v>
      </c>
      <c r="S47" s="184">
        <f>S142-R47-Q47-P47</f>
        <v>0</v>
      </c>
      <c r="T47" s="572">
        <f>T142</f>
        <v>0</v>
      </c>
      <c r="U47" s="184">
        <f>U142-T47</f>
        <v>0</v>
      </c>
      <c r="V47" s="184">
        <f>V142-U47-T47</f>
        <v>0</v>
      </c>
      <c r="W47" s="185">
        <f>W142-V47-U47-T47</f>
        <v>0</v>
      </c>
      <c r="X47" s="572">
        <f>X142</f>
        <v>0</v>
      </c>
      <c r="Y47" s="184">
        <f>Y142-X47</f>
        <v>0</v>
      </c>
      <c r="Z47" s="184">
        <f>Z142-Y47-X47</f>
        <v>0</v>
      </c>
      <c r="AA47" s="185">
        <f>AA142-Z47-Y47-X47</f>
        <v>0</v>
      </c>
      <c r="AB47" s="572">
        <f>AB142</f>
        <v>0</v>
      </c>
      <c r="AC47" s="184">
        <f>AC142-AB47</f>
        <v>0</v>
      </c>
      <c r="AD47" s="184">
        <f>AD142-AC47-AB47</f>
        <v>0</v>
      </c>
      <c r="AE47" s="185">
        <f>AE142-AD47-AC47-AB47</f>
        <v>-1</v>
      </c>
      <c r="AF47" s="572">
        <f>AF142</f>
        <v>0</v>
      </c>
      <c r="AG47" s="184">
        <f>AG142-AF47</f>
        <v>0</v>
      </c>
      <c r="AH47" s="184">
        <f>AH142-AG47-AF47</f>
        <v>0</v>
      </c>
      <c r="AI47" s="185">
        <f>AI142-AH47-AG47-AF47</f>
        <v>0</v>
      </c>
      <c r="AJ47" s="572">
        <f>AJ142</f>
        <v>0</v>
      </c>
      <c r="AK47" s="184">
        <f>AK142-AJ47</f>
        <v>0</v>
      </c>
      <c r="AL47" s="184">
        <f>AL142-AK47-AJ47</f>
        <v>0</v>
      </c>
      <c r="AM47" s="185">
        <f>AM142-AL47-AK47-AJ47</f>
        <v>0</v>
      </c>
      <c r="AN47" s="572">
        <f>AN142</f>
        <v>0</v>
      </c>
      <c r="AO47" s="184">
        <f>AO142-AN47</f>
        <v>0</v>
      </c>
      <c r="AP47" s="184">
        <f>AP142-AO47-AN47</f>
        <v>0</v>
      </c>
      <c r="AQ47" s="185">
        <f>AQ142-AP47-AO47-AN47</f>
        <v>0</v>
      </c>
      <c r="AR47" s="572">
        <f>AR142</f>
        <v>0</v>
      </c>
      <c r="AS47" s="184">
        <f>AS142-AR47</f>
        <v>0</v>
      </c>
      <c r="AT47" s="184">
        <f>AT142-AS47-AR47</f>
        <v>0</v>
      </c>
      <c r="AU47" s="185">
        <f>AU142-AT47-AS47-AR47</f>
        <v>0</v>
      </c>
      <c r="AV47" s="572">
        <f>AV142</f>
        <v>0</v>
      </c>
      <c r="AW47" s="184">
        <f>AW142-AV47</f>
        <v>0</v>
      </c>
      <c r="AX47" s="184">
        <f>AX142-AW47-AV47</f>
        <v>0</v>
      </c>
      <c r="AY47" s="185">
        <f>AY142-AX47-AW47-AV47</f>
        <v>0</v>
      </c>
      <c r="AZ47" s="572">
        <f>AZ142</f>
        <v>0</v>
      </c>
      <c r="BA47" s="184">
        <f>BA142-AZ47</f>
        <v>0</v>
      </c>
      <c r="BB47" s="184">
        <f>BB142-BA47-AZ47</f>
        <v>0</v>
      </c>
      <c r="BC47" s="185">
        <f>BC142-BB47-BA47-AZ47</f>
        <v>0</v>
      </c>
      <c r="BD47" s="572">
        <f>BD142</f>
        <v>0</v>
      </c>
      <c r="BE47" s="184">
        <f t="shared" si="247"/>
        <v>0</v>
      </c>
      <c r="BF47" s="184">
        <f t="shared" si="248"/>
        <v>0</v>
      </c>
      <c r="BG47" s="184">
        <f t="shared" si="249"/>
        <v>0</v>
      </c>
      <c r="BH47" s="572">
        <f t="shared" si="250"/>
        <v>0</v>
      </c>
      <c r="BI47" s="184">
        <f t="shared" si="251"/>
        <v>0</v>
      </c>
      <c r="BJ47" s="184">
        <f t="shared" si="252"/>
        <v>0</v>
      </c>
      <c r="BK47" s="184">
        <f t="shared" si="253"/>
        <v>0</v>
      </c>
      <c r="BL47" s="572">
        <f t="shared" si="254"/>
        <v>0</v>
      </c>
      <c r="BM47" s="184">
        <f t="shared" si="255"/>
        <v>0</v>
      </c>
      <c r="BN47" s="184">
        <f t="shared" si="256"/>
        <v>0</v>
      </c>
      <c r="BO47" s="184">
        <f t="shared" si="257"/>
        <v>0</v>
      </c>
      <c r="BP47" s="20"/>
      <c r="BQ47" s="184">
        <f>SUM(D47:G47)</f>
        <v>108</v>
      </c>
      <c r="BR47" s="184">
        <f>SUM(H47:K47)</f>
        <v>-9</v>
      </c>
      <c r="BS47" s="184">
        <f>SUM(L47:O47)</f>
        <v>0</v>
      </c>
      <c r="BT47" s="184">
        <f>SUM(P47:S47)</f>
        <v>0</v>
      </c>
      <c r="BU47" s="184">
        <f>SUM(T47:W47)</f>
        <v>0</v>
      </c>
      <c r="BV47" s="185">
        <f>SUM(X47:AA47)</f>
        <v>0</v>
      </c>
      <c r="BW47" s="572">
        <f>SUM(AB47:AE47)</f>
        <v>-1</v>
      </c>
      <c r="BX47" s="572">
        <f>SUM(AF47:AI47)</f>
        <v>0</v>
      </c>
      <c r="BY47" s="184">
        <f>SUM(AJ47:AM47)</f>
        <v>0</v>
      </c>
      <c r="BZ47" s="184">
        <f>SUM(AN47:AQ47)</f>
        <v>0</v>
      </c>
      <c r="CA47" s="184">
        <f t="shared" si="258"/>
        <v>0</v>
      </c>
      <c r="CB47" s="184">
        <f t="shared" si="258"/>
        <v>0</v>
      </c>
      <c r="CC47" s="184">
        <f t="shared" si="258"/>
        <v>0</v>
      </c>
      <c r="CD47" s="184">
        <f t="shared" si="258"/>
        <v>0</v>
      </c>
      <c r="CE47" s="184">
        <f t="shared" si="258"/>
        <v>0</v>
      </c>
      <c r="CF47" s="185">
        <f t="shared" si="258"/>
        <v>0</v>
      </c>
      <c r="CG47" s="567"/>
      <c r="CH47" s="8"/>
    </row>
    <row r="48" spans="1:86" ht="14.25" customHeight="1">
      <c r="A48" s="8"/>
      <c r="B48" s="320"/>
      <c r="C48" s="39"/>
      <c r="D48" s="581"/>
      <c r="E48" s="198"/>
      <c r="F48" s="198"/>
      <c r="G48" s="199"/>
      <c r="H48" s="581"/>
      <c r="I48" s="198"/>
      <c r="J48" s="198"/>
      <c r="K48" s="199"/>
      <c r="L48" s="581"/>
      <c r="M48" s="198"/>
      <c r="N48" s="198"/>
      <c r="O48" s="199"/>
      <c r="P48" s="581"/>
      <c r="Q48" s="198"/>
      <c r="R48" s="198"/>
      <c r="S48" s="199"/>
      <c r="T48" s="581"/>
      <c r="U48" s="198"/>
      <c r="V48" s="198"/>
      <c r="W48" s="199"/>
      <c r="X48" s="581"/>
      <c r="Y48" s="198"/>
      <c r="Z48" s="198"/>
      <c r="AA48" s="199"/>
      <c r="AB48" s="581"/>
      <c r="AC48" s="198"/>
      <c r="AD48" s="198"/>
      <c r="AE48" s="199"/>
      <c r="AF48" s="581"/>
      <c r="AG48" s="196"/>
      <c r="AH48" s="198"/>
      <c r="AI48" s="199"/>
      <c r="AJ48" s="581"/>
      <c r="AK48" s="196"/>
      <c r="AL48" s="196"/>
      <c r="AM48" s="199"/>
      <c r="AN48" s="581"/>
      <c r="AO48" s="196"/>
      <c r="AP48" s="196"/>
      <c r="AQ48" s="199"/>
      <c r="AR48" s="581"/>
      <c r="AS48" s="196"/>
      <c r="AT48" s="196"/>
      <c r="AU48" s="199"/>
      <c r="AV48" s="581"/>
      <c r="AW48" s="196"/>
      <c r="AX48" s="196"/>
      <c r="AY48" s="199"/>
      <c r="AZ48" s="581"/>
      <c r="BA48" s="198"/>
      <c r="BB48" s="196"/>
      <c r="BC48" s="199"/>
      <c r="BD48" s="581"/>
      <c r="BE48" s="198"/>
      <c r="BF48" s="198"/>
      <c r="BG48" s="198"/>
      <c r="BH48" s="581"/>
      <c r="BI48" s="198"/>
      <c r="BJ48" s="198"/>
      <c r="BK48" s="198"/>
      <c r="BL48" s="581"/>
      <c r="BM48" s="198"/>
      <c r="BN48" s="198"/>
      <c r="BO48" s="198"/>
      <c r="BP48" s="20"/>
      <c r="BQ48" s="198"/>
      <c r="BR48" s="198"/>
      <c r="BS48" s="198"/>
      <c r="BT48" s="198"/>
      <c r="BU48" s="198"/>
      <c r="BV48" s="199"/>
      <c r="BW48" s="581"/>
      <c r="BX48" s="581"/>
      <c r="BY48" s="198"/>
      <c r="BZ48" s="198"/>
      <c r="CA48" s="198"/>
      <c r="CB48" s="198"/>
      <c r="CC48" s="198"/>
      <c r="CD48" s="198"/>
      <c r="CE48" s="198"/>
      <c r="CF48" s="199"/>
      <c r="CG48" s="567"/>
      <c r="CH48" s="8"/>
    </row>
    <row r="49" spans="1:86" ht="14.25" customHeight="1">
      <c r="A49" s="8"/>
      <c r="B49" s="320" t="s">
        <v>241</v>
      </c>
      <c r="C49" s="39"/>
      <c r="D49" s="581">
        <v>2663</v>
      </c>
      <c r="E49" s="196">
        <f t="shared" ref="E49:BD49" si="259">D52</f>
        <v>1856</v>
      </c>
      <c r="F49" s="196">
        <f t="shared" si="259"/>
        <v>2133</v>
      </c>
      <c r="G49" s="197">
        <f t="shared" si="259"/>
        <v>1946</v>
      </c>
      <c r="H49" s="579">
        <f t="shared" si="259"/>
        <v>1214</v>
      </c>
      <c r="I49" s="196">
        <f>H52</f>
        <v>722</v>
      </c>
      <c r="J49" s="200">
        <f t="shared" si="259"/>
        <v>1678</v>
      </c>
      <c r="K49" s="197">
        <f t="shared" si="259"/>
        <v>1430</v>
      </c>
      <c r="L49" s="579">
        <f t="shared" si="259"/>
        <v>1183</v>
      </c>
      <c r="M49" s="196">
        <f t="shared" si="259"/>
        <v>965</v>
      </c>
      <c r="N49" s="200">
        <f t="shared" si="259"/>
        <v>1266</v>
      </c>
      <c r="O49" s="197">
        <f t="shared" si="259"/>
        <v>807</v>
      </c>
      <c r="P49" s="579">
        <f t="shared" si="259"/>
        <v>1328</v>
      </c>
      <c r="Q49" s="196">
        <f t="shared" si="259"/>
        <v>1450</v>
      </c>
      <c r="R49" s="200">
        <f t="shared" si="259"/>
        <v>1317</v>
      </c>
      <c r="S49" s="197">
        <f t="shared" si="259"/>
        <v>1715</v>
      </c>
      <c r="T49" s="579">
        <f t="shared" si="259"/>
        <v>1046</v>
      </c>
      <c r="U49" s="196">
        <f t="shared" si="259"/>
        <v>1436</v>
      </c>
      <c r="V49" s="196">
        <f t="shared" si="259"/>
        <v>1765</v>
      </c>
      <c r="W49" s="197">
        <f t="shared" si="259"/>
        <v>1294</v>
      </c>
      <c r="X49" s="579">
        <f t="shared" si="259"/>
        <v>1182</v>
      </c>
      <c r="Y49" s="196">
        <f t="shared" si="259"/>
        <v>1217</v>
      </c>
      <c r="Z49" s="196">
        <f t="shared" si="259"/>
        <v>1138</v>
      </c>
      <c r="AA49" s="197">
        <f t="shared" si="259"/>
        <v>1093</v>
      </c>
      <c r="AB49" s="579">
        <f t="shared" si="259"/>
        <v>1319</v>
      </c>
      <c r="AC49" s="196">
        <f t="shared" si="259"/>
        <v>1343</v>
      </c>
      <c r="AD49" s="196">
        <f t="shared" si="259"/>
        <v>4501</v>
      </c>
      <c r="AE49" s="197">
        <f t="shared" si="259"/>
        <v>1581</v>
      </c>
      <c r="AF49" s="579">
        <f t="shared" si="259"/>
        <v>992</v>
      </c>
      <c r="AG49" s="196">
        <f t="shared" si="259"/>
        <v>1193</v>
      </c>
      <c r="AH49" s="196">
        <f t="shared" si="259"/>
        <v>1192</v>
      </c>
      <c r="AI49" s="197">
        <f t="shared" si="259"/>
        <v>1210</v>
      </c>
      <c r="AJ49" s="579">
        <f t="shared" si="259"/>
        <v>1416</v>
      </c>
      <c r="AK49" s="196">
        <f t="shared" si="259"/>
        <v>1393</v>
      </c>
      <c r="AL49" s="196">
        <f t="shared" si="259"/>
        <v>1180</v>
      </c>
      <c r="AM49" s="197">
        <f t="shared" si="259"/>
        <v>1435</v>
      </c>
      <c r="AN49" s="579">
        <f t="shared" si="259"/>
        <v>1627</v>
      </c>
      <c r="AO49" s="196">
        <f t="shared" si="259"/>
        <v>1565</v>
      </c>
      <c r="AP49" s="196">
        <f t="shared" si="259"/>
        <v>1216</v>
      </c>
      <c r="AQ49" s="197">
        <f t="shared" si="259"/>
        <v>1306</v>
      </c>
      <c r="AR49" s="579">
        <f t="shared" si="259"/>
        <v>1199</v>
      </c>
      <c r="AS49" s="196">
        <f t="shared" si="259"/>
        <v>1242</v>
      </c>
      <c r="AT49" s="196">
        <f t="shared" si="259"/>
        <v>1184</v>
      </c>
      <c r="AU49" s="197">
        <f t="shared" si="259"/>
        <v>1133</v>
      </c>
      <c r="AV49" s="579">
        <f t="shared" si="259"/>
        <v>1000</v>
      </c>
      <c r="AW49" s="196">
        <f t="shared" si="259"/>
        <v>1281</v>
      </c>
      <c r="AX49" s="196">
        <f t="shared" si="259"/>
        <v>1234.9999999999998</v>
      </c>
      <c r="AY49" s="197">
        <f t="shared" si="259"/>
        <v>1368.9999999999998</v>
      </c>
      <c r="AZ49" s="579">
        <f t="shared" si="259"/>
        <v>1154</v>
      </c>
      <c r="BA49" s="196">
        <f t="shared" si="259"/>
        <v>1073</v>
      </c>
      <c r="BB49" s="196">
        <f t="shared" si="259"/>
        <v>1140</v>
      </c>
      <c r="BC49" s="197">
        <f t="shared" si="259"/>
        <v>1296</v>
      </c>
      <c r="BD49" s="579">
        <f t="shared" si="259"/>
        <v>1656</v>
      </c>
      <c r="BE49" s="196">
        <f t="shared" ref="BE49:BG49" si="260">BD52</f>
        <v>1717</v>
      </c>
      <c r="BF49" s="196">
        <f t="shared" si="260"/>
        <v>1632.8016919910269</v>
      </c>
      <c r="BG49" s="196">
        <f t="shared" si="260"/>
        <v>1588.1940409265503</v>
      </c>
      <c r="BH49" s="579">
        <f t="shared" ref="BH49" si="261">BG52</f>
        <v>1810.7193133421742</v>
      </c>
      <c r="BI49" s="196">
        <f t="shared" ref="BI49" si="262">BH52</f>
        <v>1661.3100114877773</v>
      </c>
      <c r="BJ49" s="196">
        <f t="shared" ref="BJ49" si="263">BI52</f>
        <v>1858.0076757262957</v>
      </c>
      <c r="BK49" s="196">
        <f t="shared" ref="BK49" si="264">BJ52</f>
        <v>2144.8835409091344</v>
      </c>
      <c r="BL49" s="579">
        <f t="shared" ref="BL49" si="265">BK52</f>
        <v>2662.2447526034139</v>
      </c>
      <c r="BM49" s="196">
        <f t="shared" ref="BM49" si="266">BL52</f>
        <v>2993.4708538753248</v>
      </c>
      <c r="BN49" s="196">
        <f t="shared" ref="BN49" si="267">BM52</f>
        <v>3239.482519721857</v>
      </c>
      <c r="BO49" s="196">
        <f t="shared" ref="BO49" si="268">BN52</f>
        <v>3627.0838747555199</v>
      </c>
      <c r="BP49" s="20"/>
      <c r="BQ49" s="196">
        <f>D49</f>
        <v>2663</v>
      </c>
      <c r="BR49" s="196">
        <f>H49</f>
        <v>1214</v>
      </c>
      <c r="BS49" s="196">
        <f>L49</f>
        <v>1183</v>
      </c>
      <c r="BT49" s="196">
        <f>P49</f>
        <v>1328</v>
      </c>
      <c r="BU49" s="196">
        <f>T49</f>
        <v>1046</v>
      </c>
      <c r="BV49" s="197">
        <f>X49</f>
        <v>1182</v>
      </c>
      <c r="BW49" s="579">
        <f>AB49</f>
        <v>1319</v>
      </c>
      <c r="BX49" s="579">
        <f>AF49</f>
        <v>992</v>
      </c>
      <c r="BY49" s="196">
        <f>AJ49</f>
        <v>1416</v>
      </c>
      <c r="BZ49" s="196">
        <f>AN49</f>
        <v>1627</v>
      </c>
      <c r="CA49" s="196">
        <f t="shared" ref="CA49:CF49" si="269">BZ52</f>
        <v>1199</v>
      </c>
      <c r="CB49" s="196">
        <f t="shared" si="269"/>
        <v>1000</v>
      </c>
      <c r="CC49" s="196">
        <f t="shared" si="269"/>
        <v>1154</v>
      </c>
      <c r="CD49" s="196">
        <f t="shared" si="269"/>
        <v>1656</v>
      </c>
      <c r="CE49" s="196">
        <f t="shared" si="269"/>
        <v>1810.7193133421733</v>
      </c>
      <c r="CF49" s="197">
        <f t="shared" si="269"/>
        <v>2662.2447526034121</v>
      </c>
      <c r="CG49" s="567"/>
      <c r="CH49" s="8"/>
    </row>
    <row r="50" spans="1:86" ht="14.25" customHeight="1">
      <c r="A50" s="8"/>
      <c r="B50" s="320" t="s">
        <v>242</v>
      </c>
      <c r="C50" s="39"/>
      <c r="D50" s="581">
        <v>0</v>
      </c>
      <c r="E50" s="198">
        <v>0</v>
      </c>
      <c r="F50" s="198">
        <v>0</v>
      </c>
      <c r="G50" s="198">
        <v>0</v>
      </c>
      <c r="H50" s="581">
        <v>0</v>
      </c>
      <c r="I50" s="198">
        <v>0</v>
      </c>
      <c r="J50" s="198">
        <v>0</v>
      </c>
      <c r="K50" s="198">
        <v>0</v>
      </c>
      <c r="L50" s="581">
        <v>0</v>
      </c>
      <c r="M50" s="198">
        <v>0</v>
      </c>
      <c r="N50" s="198">
        <v>0</v>
      </c>
      <c r="O50" s="198">
        <v>0</v>
      </c>
      <c r="P50" s="581">
        <v>0</v>
      </c>
      <c r="Q50" s="198">
        <v>0</v>
      </c>
      <c r="R50" s="198">
        <v>0</v>
      </c>
      <c r="S50" s="198">
        <v>0</v>
      </c>
      <c r="T50" s="581">
        <v>0</v>
      </c>
      <c r="U50" s="198">
        <v>0</v>
      </c>
      <c r="V50" s="198">
        <v>0</v>
      </c>
      <c r="W50" s="199">
        <v>0</v>
      </c>
      <c r="X50" s="581">
        <v>0</v>
      </c>
      <c r="Y50" s="198">
        <v>0</v>
      </c>
      <c r="Z50" s="198">
        <v>0</v>
      </c>
      <c r="AA50" s="199">
        <v>0</v>
      </c>
      <c r="AB50" s="581">
        <v>0</v>
      </c>
      <c r="AC50" s="198">
        <v>0</v>
      </c>
      <c r="AD50" s="198"/>
      <c r="AE50" s="199">
        <v>0</v>
      </c>
      <c r="AF50" s="581">
        <v>0</v>
      </c>
      <c r="AG50" s="196">
        <v>0</v>
      </c>
      <c r="AH50" s="198"/>
      <c r="AI50" s="199">
        <v>0</v>
      </c>
      <c r="AJ50" s="581">
        <v>0</v>
      </c>
      <c r="AK50" s="196">
        <v>0</v>
      </c>
      <c r="AL50" s="196"/>
      <c r="AM50" s="185">
        <v>0</v>
      </c>
      <c r="AN50" s="581">
        <v>0</v>
      </c>
      <c r="AO50" s="196">
        <v>0</v>
      </c>
      <c r="AP50" s="196"/>
      <c r="AQ50" s="185">
        <v>0</v>
      </c>
      <c r="AR50" s="581">
        <v>0</v>
      </c>
      <c r="AS50" s="196">
        <v>0</v>
      </c>
      <c r="AT50" s="196"/>
      <c r="AU50" s="185">
        <v>0</v>
      </c>
      <c r="AV50" s="581">
        <v>0</v>
      </c>
      <c r="AW50" s="184">
        <f t="shared" ref="AW50:AX50" si="270">+AW145-AV145</f>
        <v>-83.000000000000227</v>
      </c>
      <c r="AX50" s="184">
        <f t="shared" si="270"/>
        <v>-50</v>
      </c>
      <c r="AY50" s="185">
        <f>+AY145-AX145</f>
        <v>133.00000000000023</v>
      </c>
      <c r="AZ50" s="581">
        <v>0</v>
      </c>
      <c r="BA50" s="198">
        <f t="shared" ref="BA50:BB50" si="271">+BA145-AZ145</f>
        <v>0</v>
      </c>
      <c r="BB50" s="184">
        <f t="shared" si="271"/>
        <v>0</v>
      </c>
      <c r="BC50" s="185">
        <f>+BC145-BB145</f>
        <v>0</v>
      </c>
      <c r="BD50" s="581">
        <v>0</v>
      </c>
      <c r="BE50" s="198"/>
      <c r="BF50" s="198"/>
      <c r="BG50" s="198"/>
      <c r="BH50" s="581"/>
      <c r="BI50" s="198"/>
      <c r="BJ50" s="198"/>
      <c r="BK50" s="198"/>
      <c r="BL50" s="581"/>
      <c r="BM50" s="198"/>
      <c r="BN50" s="198"/>
      <c r="BO50" s="198"/>
      <c r="BP50" s="20"/>
      <c r="BQ50" s="198"/>
      <c r="BR50" s="198"/>
      <c r="BS50" s="198"/>
      <c r="BT50" s="198"/>
      <c r="BU50" s="198"/>
      <c r="BV50" s="199"/>
      <c r="BW50" s="581"/>
      <c r="BX50" s="581"/>
      <c r="BY50" s="184">
        <f>SUM(AJ50:AM50)</f>
        <v>0</v>
      </c>
      <c r="BZ50" s="184">
        <f>SUM(AN50:AQ50)</f>
        <v>0</v>
      </c>
      <c r="CA50" s="184">
        <f>AT50</f>
        <v>0</v>
      </c>
      <c r="CB50" s="184"/>
      <c r="CC50" s="184"/>
      <c r="CD50" s="184"/>
      <c r="CE50" s="184"/>
      <c r="CF50" s="185"/>
      <c r="CG50" s="567"/>
      <c r="CH50" s="8"/>
    </row>
    <row r="51" spans="1:86" ht="14.25" customHeight="1">
      <c r="A51" s="8"/>
      <c r="B51" s="578" t="s">
        <v>243</v>
      </c>
      <c r="C51" s="194"/>
      <c r="D51" s="579">
        <f t="shared" ref="D51:AI51" si="272">D44+D36+D27+D46+D47</f>
        <v>-807</v>
      </c>
      <c r="E51" s="196">
        <f t="shared" si="272"/>
        <v>277</v>
      </c>
      <c r="F51" s="196">
        <f t="shared" si="272"/>
        <v>-187</v>
      </c>
      <c r="G51" s="196">
        <f t="shared" si="272"/>
        <v>-732</v>
      </c>
      <c r="H51" s="579">
        <f t="shared" si="272"/>
        <v>-492</v>
      </c>
      <c r="I51" s="196">
        <f t="shared" si="272"/>
        <v>956</v>
      </c>
      <c r="J51" s="196">
        <f t="shared" si="272"/>
        <v>-248</v>
      </c>
      <c r="K51" s="196">
        <f t="shared" si="272"/>
        <v>-247</v>
      </c>
      <c r="L51" s="579">
        <f t="shared" si="272"/>
        <v>-218</v>
      </c>
      <c r="M51" s="196">
        <f t="shared" si="272"/>
        <v>300.99999999999994</v>
      </c>
      <c r="N51" s="196">
        <f t="shared" si="272"/>
        <v>-458.99999999999994</v>
      </c>
      <c r="O51" s="196">
        <f t="shared" si="272"/>
        <v>521.00000000000011</v>
      </c>
      <c r="P51" s="579">
        <f t="shared" si="272"/>
        <v>122</v>
      </c>
      <c r="Q51" s="196">
        <f t="shared" si="272"/>
        <v>-133</v>
      </c>
      <c r="R51" s="196">
        <f t="shared" si="272"/>
        <v>398</v>
      </c>
      <c r="S51" s="196">
        <f t="shared" si="272"/>
        <v>-669</v>
      </c>
      <c r="T51" s="579">
        <f t="shared" si="272"/>
        <v>390</v>
      </c>
      <c r="U51" s="196">
        <f t="shared" si="272"/>
        <v>329</v>
      </c>
      <c r="V51" s="196">
        <f t="shared" si="272"/>
        <v>-471</v>
      </c>
      <c r="W51" s="197">
        <f t="shared" si="272"/>
        <v>-112</v>
      </c>
      <c r="X51" s="579">
        <f t="shared" si="272"/>
        <v>35</v>
      </c>
      <c r="Y51" s="196">
        <f t="shared" si="272"/>
        <v>-79</v>
      </c>
      <c r="Z51" s="196">
        <f t="shared" si="272"/>
        <v>-45</v>
      </c>
      <c r="AA51" s="197">
        <f t="shared" si="272"/>
        <v>226</v>
      </c>
      <c r="AB51" s="579">
        <f t="shared" si="272"/>
        <v>24</v>
      </c>
      <c r="AC51" s="196">
        <f t="shared" si="272"/>
        <v>3158</v>
      </c>
      <c r="AD51" s="196">
        <f t="shared" si="272"/>
        <v>-2920</v>
      </c>
      <c r="AE51" s="197">
        <f t="shared" si="272"/>
        <v>-589</v>
      </c>
      <c r="AF51" s="579">
        <f t="shared" si="272"/>
        <v>201</v>
      </c>
      <c r="AG51" s="196">
        <f t="shared" si="272"/>
        <v>-1</v>
      </c>
      <c r="AH51" s="196">
        <f t="shared" si="272"/>
        <v>18</v>
      </c>
      <c r="AI51" s="197">
        <f t="shared" si="272"/>
        <v>206</v>
      </c>
      <c r="AJ51" s="579">
        <f t="shared" ref="AJ51:AO51" si="273">AJ44+AJ36+AJ27+AJ46+AJ47</f>
        <v>-23</v>
      </c>
      <c r="AK51" s="196">
        <f t="shared" si="273"/>
        <v>-213</v>
      </c>
      <c r="AL51" s="196">
        <f t="shared" si="273"/>
        <v>255</v>
      </c>
      <c r="AM51" s="197">
        <f t="shared" si="273"/>
        <v>192</v>
      </c>
      <c r="AN51" s="579">
        <f t="shared" si="273"/>
        <v>-62</v>
      </c>
      <c r="AO51" s="196">
        <f t="shared" si="273"/>
        <v>-349</v>
      </c>
      <c r="AP51" s="196">
        <f t="shared" ref="AP51:AU51" si="274">AP44+AP36+AP27+AP46+AP47</f>
        <v>90</v>
      </c>
      <c r="AQ51" s="197">
        <f t="shared" si="274"/>
        <v>-107</v>
      </c>
      <c r="AR51" s="579">
        <f t="shared" si="274"/>
        <v>43</v>
      </c>
      <c r="AS51" s="196">
        <f t="shared" si="274"/>
        <v>-58</v>
      </c>
      <c r="AT51" s="196">
        <f t="shared" si="274"/>
        <v>-51</v>
      </c>
      <c r="AU51" s="197">
        <f t="shared" si="274"/>
        <v>-133</v>
      </c>
      <c r="AV51" s="579">
        <f t="shared" ref="AV51:AY51" si="275">AV44+AV36+AV27+AV46+AV47</f>
        <v>281</v>
      </c>
      <c r="AW51" s="196">
        <f t="shared" si="275"/>
        <v>37</v>
      </c>
      <c r="AX51" s="196">
        <f t="shared" si="275"/>
        <v>184</v>
      </c>
      <c r="AY51" s="197">
        <f t="shared" si="275"/>
        <v>-348</v>
      </c>
      <c r="AZ51" s="579">
        <f t="shared" ref="AZ51:BB51" si="276">AZ44+AZ36+AZ27+AZ46+AZ47</f>
        <v>-81</v>
      </c>
      <c r="BA51" s="196">
        <f t="shared" si="276"/>
        <v>67</v>
      </c>
      <c r="BB51" s="196">
        <f t="shared" si="276"/>
        <v>156</v>
      </c>
      <c r="BC51" s="197">
        <f t="shared" ref="BC51:BD51" si="277">BC44+BC36+BC27+BC46+BC47</f>
        <v>360</v>
      </c>
      <c r="BD51" s="579">
        <f t="shared" si="277"/>
        <v>61</v>
      </c>
      <c r="BE51" s="196">
        <f t="shared" ref="BE51:BG51" si="278">BE44+BE36+BE27+BE46+BE47</f>
        <v>-84.198308008973072</v>
      </c>
      <c r="BF51" s="196">
        <f t="shared" si="278"/>
        <v>-44.607651064476613</v>
      </c>
      <c r="BG51" s="196">
        <f t="shared" si="278"/>
        <v>222.52527241562393</v>
      </c>
      <c r="BH51" s="579">
        <f t="shared" ref="BH51:BK51" si="279">BH44+BH36+BH27+BH46+BH47</f>
        <v>-149.40930185439697</v>
      </c>
      <c r="BI51" s="196">
        <f t="shared" si="279"/>
        <v>196.69766423851843</v>
      </c>
      <c r="BJ51" s="196">
        <f t="shared" si="279"/>
        <v>286.87586518283842</v>
      </c>
      <c r="BK51" s="196">
        <f t="shared" si="279"/>
        <v>517.36121169427952</v>
      </c>
      <c r="BL51" s="579">
        <f t="shared" ref="BL51:BO51" si="280">BL44+BL36+BL27+BL46+BL47</f>
        <v>331.22610127191092</v>
      </c>
      <c r="BM51" s="196">
        <f t="shared" si="280"/>
        <v>246.01166584653197</v>
      </c>
      <c r="BN51" s="196">
        <f t="shared" si="280"/>
        <v>387.60135503366314</v>
      </c>
      <c r="BO51" s="196">
        <f t="shared" si="280"/>
        <v>624.35975806655301</v>
      </c>
      <c r="BP51" s="20"/>
      <c r="BQ51" s="196">
        <f t="shared" ref="BQ51:BZ51" si="281">BQ44+BQ36+BQ27+BQ46+BQ47</f>
        <v>-1449</v>
      </c>
      <c r="BR51" s="196">
        <f t="shared" si="281"/>
        <v>-31</v>
      </c>
      <c r="BS51" s="196">
        <f t="shared" si="281"/>
        <v>145.00000000000023</v>
      </c>
      <c r="BT51" s="196">
        <f t="shared" si="281"/>
        <v>-282</v>
      </c>
      <c r="BU51" s="196">
        <f t="shared" si="281"/>
        <v>136</v>
      </c>
      <c r="BV51" s="197">
        <f t="shared" si="281"/>
        <v>137</v>
      </c>
      <c r="BW51" s="579">
        <f t="shared" si="281"/>
        <v>-327</v>
      </c>
      <c r="BX51" s="579">
        <f t="shared" si="281"/>
        <v>424</v>
      </c>
      <c r="BY51" s="196">
        <f t="shared" si="281"/>
        <v>211</v>
      </c>
      <c r="BZ51" s="196">
        <f t="shared" si="281"/>
        <v>-428</v>
      </c>
      <c r="CA51" s="196">
        <f t="shared" ref="CA51:CF51" si="282">CA44+CA36+CA27+CA46+CA47</f>
        <v>-199</v>
      </c>
      <c r="CB51" s="196">
        <f t="shared" si="282"/>
        <v>154</v>
      </c>
      <c r="CC51" s="196">
        <f t="shared" si="282"/>
        <v>502</v>
      </c>
      <c r="CD51" s="196">
        <f t="shared" si="282"/>
        <v>154.71931334217334</v>
      </c>
      <c r="CE51" s="196">
        <f t="shared" si="282"/>
        <v>851.52543926123872</v>
      </c>
      <c r="CF51" s="197">
        <f t="shared" si="282"/>
        <v>1589.1988802186588</v>
      </c>
      <c r="CG51" s="567"/>
      <c r="CH51" s="8"/>
    </row>
    <row r="52" spans="1:86" ht="14.25" customHeight="1">
      <c r="A52" s="8"/>
      <c r="B52" s="201" t="s">
        <v>244</v>
      </c>
      <c r="C52" s="202"/>
      <c r="D52" s="204">
        <f t="shared" ref="D52:AM52" si="283">D51+D49+D50</f>
        <v>1856</v>
      </c>
      <c r="E52" s="203">
        <f t="shared" si="283"/>
        <v>2133</v>
      </c>
      <c r="F52" s="203">
        <f t="shared" si="283"/>
        <v>1946</v>
      </c>
      <c r="G52" s="203">
        <f t="shared" si="283"/>
        <v>1214</v>
      </c>
      <c r="H52" s="204">
        <f t="shared" si="283"/>
        <v>722</v>
      </c>
      <c r="I52" s="203">
        <f t="shared" si="283"/>
        <v>1678</v>
      </c>
      <c r="J52" s="203">
        <f t="shared" si="283"/>
        <v>1430</v>
      </c>
      <c r="K52" s="203">
        <f t="shared" si="283"/>
        <v>1183</v>
      </c>
      <c r="L52" s="204">
        <f t="shared" si="283"/>
        <v>965</v>
      </c>
      <c r="M52" s="203">
        <f t="shared" si="283"/>
        <v>1266</v>
      </c>
      <c r="N52" s="203">
        <f t="shared" si="283"/>
        <v>807</v>
      </c>
      <c r="O52" s="203">
        <f t="shared" si="283"/>
        <v>1328</v>
      </c>
      <c r="P52" s="204">
        <f t="shared" si="283"/>
        <v>1450</v>
      </c>
      <c r="Q52" s="203">
        <f t="shared" si="283"/>
        <v>1317</v>
      </c>
      <c r="R52" s="203">
        <f t="shared" si="283"/>
        <v>1715</v>
      </c>
      <c r="S52" s="203">
        <f t="shared" si="283"/>
        <v>1046</v>
      </c>
      <c r="T52" s="204">
        <f t="shared" si="283"/>
        <v>1436</v>
      </c>
      <c r="U52" s="203">
        <f t="shared" si="283"/>
        <v>1765</v>
      </c>
      <c r="V52" s="203">
        <f t="shared" si="283"/>
        <v>1294</v>
      </c>
      <c r="W52" s="205">
        <f t="shared" si="283"/>
        <v>1182</v>
      </c>
      <c r="X52" s="204">
        <f t="shared" si="283"/>
        <v>1217</v>
      </c>
      <c r="Y52" s="203">
        <f t="shared" si="283"/>
        <v>1138</v>
      </c>
      <c r="Z52" s="203">
        <f t="shared" si="283"/>
        <v>1093</v>
      </c>
      <c r="AA52" s="205">
        <f t="shared" si="283"/>
        <v>1319</v>
      </c>
      <c r="AB52" s="204">
        <f t="shared" si="283"/>
        <v>1343</v>
      </c>
      <c r="AC52" s="203">
        <f t="shared" si="283"/>
        <v>4501</v>
      </c>
      <c r="AD52" s="203">
        <f>AD51+AD49+AD50</f>
        <v>1581</v>
      </c>
      <c r="AE52" s="205">
        <f t="shared" si="283"/>
        <v>992</v>
      </c>
      <c r="AF52" s="204">
        <f t="shared" si="283"/>
        <v>1193</v>
      </c>
      <c r="AG52" s="203">
        <f t="shared" si="283"/>
        <v>1192</v>
      </c>
      <c r="AH52" s="203">
        <f>AH51+AH49+AH50</f>
        <v>1210</v>
      </c>
      <c r="AI52" s="205">
        <f t="shared" si="283"/>
        <v>1416</v>
      </c>
      <c r="AJ52" s="204">
        <f t="shared" si="283"/>
        <v>1393</v>
      </c>
      <c r="AK52" s="203">
        <f t="shared" si="283"/>
        <v>1180</v>
      </c>
      <c r="AL52" s="203">
        <f>AL51+AL49+AL50</f>
        <v>1435</v>
      </c>
      <c r="AM52" s="205">
        <f t="shared" si="283"/>
        <v>1627</v>
      </c>
      <c r="AN52" s="204">
        <f t="shared" ref="AN52:AS52" si="284">AN51+AN49+AN50</f>
        <v>1565</v>
      </c>
      <c r="AO52" s="203">
        <f t="shared" si="284"/>
        <v>1216</v>
      </c>
      <c r="AP52" s="203">
        <f t="shared" si="284"/>
        <v>1306</v>
      </c>
      <c r="AQ52" s="205">
        <f t="shared" si="284"/>
        <v>1199</v>
      </c>
      <c r="AR52" s="204">
        <f t="shared" si="284"/>
        <v>1242</v>
      </c>
      <c r="AS52" s="203">
        <f t="shared" si="284"/>
        <v>1184</v>
      </c>
      <c r="AT52" s="203">
        <f t="shared" ref="AT52:BD52" si="285">AT51+AT49+AT50</f>
        <v>1133</v>
      </c>
      <c r="AU52" s="205">
        <f t="shared" si="285"/>
        <v>1000</v>
      </c>
      <c r="AV52" s="204">
        <f t="shared" si="285"/>
        <v>1281</v>
      </c>
      <c r="AW52" s="203">
        <f t="shared" si="285"/>
        <v>1234.9999999999998</v>
      </c>
      <c r="AX52" s="203">
        <f>AX51+AX49+AX50</f>
        <v>1368.9999999999998</v>
      </c>
      <c r="AY52" s="205">
        <f t="shared" ref="AY52:BA52" si="286">AY51+AY49+AY50</f>
        <v>1154</v>
      </c>
      <c r="AZ52" s="204">
        <f t="shared" si="286"/>
        <v>1073</v>
      </c>
      <c r="BA52" s="203">
        <f t="shared" si="286"/>
        <v>1140</v>
      </c>
      <c r="BB52" s="203">
        <f>BB51+BB49+BB50</f>
        <v>1296</v>
      </c>
      <c r="BC52" s="205">
        <f t="shared" si="285"/>
        <v>1656</v>
      </c>
      <c r="BD52" s="204">
        <f t="shared" si="285"/>
        <v>1717</v>
      </c>
      <c r="BE52" s="203">
        <f t="shared" ref="BE52:BG52" si="287">BE51+BE49+BE50</f>
        <v>1632.8016919910269</v>
      </c>
      <c r="BF52" s="203">
        <f t="shared" si="287"/>
        <v>1588.1940409265503</v>
      </c>
      <c r="BG52" s="203">
        <f t="shared" si="287"/>
        <v>1810.7193133421742</v>
      </c>
      <c r="BH52" s="204">
        <f t="shared" ref="BH52:BK52" si="288">BH51+BH49+BH50</f>
        <v>1661.3100114877773</v>
      </c>
      <c r="BI52" s="203">
        <f t="shared" si="288"/>
        <v>1858.0076757262957</v>
      </c>
      <c r="BJ52" s="203">
        <f t="shared" si="288"/>
        <v>2144.8835409091344</v>
      </c>
      <c r="BK52" s="203">
        <f t="shared" si="288"/>
        <v>2662.2447526034139</v>
      </c>
      <c r="BL52" s="204">
        <f t="shared" ref="BL52:BO52" si="289">BL51+BL49+BL50</f>
        <v>2993.4708538753248</v>
      </c>
      <c r="BM52" s="203">
        <f t="shared" si="289"/>
        <v>3239.482519721857</v>
      </c>
      <c r="BN52" s="203">
        <f t="shared" si="289"/>
        <v>3627.0838747555199</v>
      </c>
      <c r="BO52" s="203">
        <f t="shared" si="289"/>
        <v>4251.4436328220727</v>
      </c>
      <c r="BP52" s="20"/>
      <c r="BQ52" s="203">
        <f t="shared" ref="BQ52:BZ52" si="290">BQ51+BQ49+BQ50</f>
        <v>1214</v>
      </c>
      <c r="BR52" s="203">
        <f t="shared" si="290"/>
        <v>1183</v>
      </c>
      <c r="BS52" s="203">
        <f t="shared" si="290"/>
        <v>1328.0000000000002</v>
      </c>
      <c r="BT52" s="203">
        <f t="shared" si="290"/>
        <v>1046</v>
      </c>
      <c r="BU52" s="203">
        <f t="shared" si="290"/>
        <v>1182</v>
      </c>
      <c r="BV52" s="205">
        <f t="shared" si="290"/>
        <v>1319</v>
      </c>
      <c r="BW52" s="204">
        <f t="shared" si="290"/>
        <v>992</v>
      </c>
      <c r="BX52" s="204">
        <f t="shared" si="290"/>
        <v>1416</v>
      </c>
      <c r="BY52" s="203">
        <f t="shared" si="290"/>
        <v>1627</v>
      </c>
      <c r="BZ52" s="203">
        <f t="shared" si="290"/>
        <v>1199</v>
      </c>
      <c r="CA52" s="203">
        <f t="shared" ref="CA52:CF52" si="291">CA51+CA49+CA50</f>
        <v>1000</v>
      </c>
      <c r="CB52" s="203">
        <f t="shared" si="291"/>
        <v>1154</v>
      </c>
      <c r="CC52" s="203">
        <f t="shared" si="291"/>
        <v>1656</v>
      </c>
      <c r="CD52" s="203">
        <f t="shared" si="291"/>
        <v>1810.7193133421733</v>
      </c>
      <c r="CE52" s="203">
        <f t="shared" si="291"/>
        <v>2662.2447526034121</v>
      </c>
      <c r="CF52" s="205">
        <f t="shared" si="291"/>
        <v>4251.4436328220709</v>
      </c>
      <c r="CG52" s="297"/>
      <c r="CH52" s="8"/>
    </row>
    <row r="53" spans="1:86" ht="14.25" customHeight="1">
      <c r="A53" s="8"/>
      <c r="B53" s="206"/>
      <c r="C53" s="206"/>
      <c r="D53" s="207"/>
      <c r="E53" s="196"/>
      <c r="F53" s="196"/>
      <c r="G53" s="196"/>
      <c r="H53" s="207"/>
      <c r="I53" s="196"/>
      <c r="J53" s="196"/>
      <c r="K53" s="196"/>
      <c r="L53" s="207"/>
      <c r="M53" s="196"/>
      <c r="N53" s="196"/>
      <c r="O53" s="196"/>
      <c r="P53" s="207"/>
      <c r="Q53" s="196"/>
      <c r="R53" s="196"/>
      <c r="S53" s="196"/>
      <c r="T53" s="207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6"/>
      <c r="AU53" s="196"/>
      <c r="AV53" s="196"/>
      <c r="AW53" s="196"/>
      <c r="AX53" s="196"/>
      <c r="AY53" s="196"/>
      <c r="AZ53" s="196"/>
      <c r="BA53" s="196"/>
      <c r="BB53" s="196"/>
      <c r="BC53" s="196"/>
      <c r="BD53" s="196"/>
      <c r="BE53" s="196"/>
      <c r="BF53" s="196"/>
      <c r="BG53" s="196"/>
      <c r="BH53" s="196"/>
      <c r="BI53" s="196"/>
      <c r="BJ53" s="196"/>
      <c r="BK53" s="196"/>
      <c r="BL53" s="196"/>
      <c r="BM53" s="196"/>
      <c r="BN53" s="196"/>
      <c r="BO53" s="196"/>
      <c r="BP53" s="14"/>
      <c r="BQ53" s="208"/>
      <c r="BR53" s="208"/>
      <c r="BS53" s="208"/>
      <c r="BT53" s="208"/>
      <c r="BU53" s="208"/>
      <c r="BV53" s="208"/>
      <c r="BW53" s="208"/>
      <c r="BX53" s="208"/>
      <c r="BY53" s="208"/>
      <c r="BZ53" s="208"/>
      <c r="CA53" s="208"/>
      <c r="CB53" s="208"/>
      <c r="CC53" s="208"/>
      <c r="CD53" s="208"/>
      <c r="CE53" s="208"/>
      <c r="CF53" s="208"/>
      <c r="CG53" s="8"/>
      <c r="CH53" s="8"/>
    </row>
    <row r="54" spans="1:86" ht="14.25" customHeight="1">
      <c r="A54" s="8"/>
      <c r="B54" s="58" t="s">
        <v>218</v>
      </c>
      <c r="C54" s="209"/>
      <c r="D54" s="148">
        <f>BS!D11</f>
        <v>1856</v>
      </c>
      <c r="E54" s="148">
        <f>BS!E11</f>
        <v>2133</v>
      </c>
      <c r="F54" s="148">
        <f>BS!F11</f>
        <v>1946</v>
      </c>
      <c r="G54" s="148">
        <f>BS!G11</f>
        <v>1214</v>
      </c>
      <c r="H54" s="148">
        <f>BS!H11</f>
        <v>722</v>
      </c>
      <c r="I54" s="148">
        <f>BS!I11</f>
        <v>1678</v>
      </c>
      <c r="J54" s="148">
        <f>BS!J11</f>
        <v>1430</v>
      </c>
      <c r="K54" s="148">
        <f>BS!K11</f>
        <v>1183</v>
      </c>
      <c r="L54" s="148">
        <f>BS!L11</f>
        <v>965</v>
      </c>
      <c r="M54" s="148">
        <f>BS!M11</f>
        <v>1266</v>
      </c>
      <c r="N54" s="148">
        <f>BS!N11</f>
        <v>807</v>
      </c>
      <c r="O54" s="148">
        <f>BS!O11</f>
        <v>1328</v>
      </c>
      <c r="P54" s="148">
        <f>BS!P11</f>
        <v>1450</v>
      </c>
      <c r="Q54" s="148">
        <f>BS!Q11</f>
        <v>1317</v>
      </c>
      <c r="R54" s="148">
        <f>BS!R11</f>
        <v>1715</v>
      </c>
      <c r="S54" s="148">
        <f>BS!S11</f>
        <v>1046</v>
      </c>
      <c r="T54" s="148">
        <f>BS!T11</f>
        <v>1436</v>
      </c>
      <c r="U54" s="148">
        <f>BS!U11</f>
        <v>1765</v>
      </c>
      <c r="V54" s="148">
        <f>BS!V11</f>
        <v>1294</v>
      </c>
      <c r="W54" s="151">
        <f>BS!W11</f>
        <v>1182</v>
      </c>
      <c r="X54" s="150">
        <f>BS!X11</f>
        <v>1217</v>
      </c>
      <c r="Y54" s="148">
        <f>BS!Y11</f>
        <v>1138</v>
      </c>
      <c r="Z54" s="148">
        <f>BS!Z11</f>
        <v>1093</v>
      </c>
      <c r="AA54" s="151">
        <f>BS!AA11</f>
        <v>1319</v>
      </c>
      <c r="AB54" s="150">
        <f>BS!AB11</f>
        <v>1343</v>
      </c>
      <c r="AC54" s="148">
        <f>BS!AC11</f>
        <v>4501</v>
      </c>
      <c r="AD54" s="148">
        <f>BS!AD11</f>
        <v>1581</v>
      </c>
      <c r="AE54" s="151">
        <f>BS!AE11</f>
        <v>992</v>
      </c>
      <c r="AF54" s="150">
        <f>BS!AF11</f>
        <v>1193</v>
      </c>
      <c r="AG54" s="148">
        <f>BS!AG11</f>
        <v>1192</v>
      </c>
      <c r="AH54" s="148">
        <f>BS!AH11</f>
        <v>1210</v>
      </c>
      <c r="AI54" s="151">
        <f>BS!AI11</f>
        <v>1416</v>
      </c>
      <c r="AJ54" s="150">
        <f>BS!AJ11</f>
        <v>1393</v>
      </c>
      <c r="AK54" s="148">
        <f>BS!AK11</f>
        <v>1180</v>
      </c>
      <c r="AL54" s="148">
        <f>BS!AL11</f>
        <v>1435</v>
      </c>
      <c r="AM54" s="151">
        <f>BS!AM11</f>
        <v>1627</v>
      </c>
      <c r="AN54" s="150">
        <f>BS!AN11</f>
        <v>1565</v>
      </c>
      <c r="AO54" s="148">
        <f>BS!AO11</f>
        <v>1216</v>
      </c>
      <c r="AP54" s="148">
        <f>BS!AP11</f>
        <v>1306</v>
      </c>
      <c r="AQ54" s="151">
        <f>BS!AQ11</f>
        <v>1199</v>
      </c>
      <c r="AR54" s="150">
        <f>BS!AR11</f>
        <v>1242</v>
      </c>
      <c r="AS54" s="148">
        <f>BS!AS11</f>
        <v>1184</v>
      </c>
      <c r="AT54" s="148">
        <f>BS!AT11</f>
        <v>1133</v>
      </c>
      <c r="AU54" s="151">
        <f>BS!AU11</f>
        <v>1000</v>
      </c>
      <c r="AV54" s="150">
        <f>BS!AV11</f>
        <v>1281</v>
      </c>
      <c r="AW54" s="148">
        <f>BS!AW11</f>
        <v>1235</v>
      </c>
      <c r="AX54" s="148">
        <f>BS!AX11</f>
        <v>1369</v>
      </c>
      <c r="AY54" s="151">
        <f>BS!AY11</f>
        <v>1154</v>
      </c>
      <c r="AZ54" s="150">
        <f>BS!AZ11</f>
        <v>1073</v>
      </c>
      <c r="BA54" s="148">
        <f>BS!BA11</f>
        <v>1140</v>
      </c>
      <c r="BB54" s="148">
        <f>BS!BB11</f>
        <v>1296</v>
      </c>
      <c r="BC54" s="151">
        <f>BS!BC11</f>
        <v>1656</v>
      </c>
      <c r="BD54" s="150">
        <f>BS!BD11</f>
        <v>1717</v>
      </c>
      <c r="BE54" s="148">
        <f>BS!BE11</f>
        <v>1632.8016919910269</v>
      </c>
      <c r="BF54" s="148">
        <f>BS!BF11</f>
        <v>1588.1940409265503</v>
      </c>
      <c r="BG54" s="149">
        <f>BS!BG11</f>
        <v>1810.7193133421742</v>
      </c>
      <c r="BH54" s="148">
        <f>BS!BH11</f>
        <v>1661.3100114877773</v>
      </c>
      <c r="BI54" s="148">
        <f>BS!BI11</f>
        <v>1858.0076757262957</v>
      </c>
      <c r="BJ54" s="148">
        <f>BS!BJ11</f>
        <v>2144.8835409091344</v>
      </c>
      <c r="BK54" s="149">
        <f>BS!BK11</f>
        <v>2662.2447526034139</v>
      </c>
      <c r="BL54" s="148">
        <f>BS!BL11</f>
        <v>2993.4708538753248</v>
      </c>
      <c r="BM54" s="148">
        <f>BS!BM11</f>
        <v>3239.482519721857</v>
      </c>
      <c r="BN54" s="148">
        <f>BS!BN11</f>
        <v>3627.0838747555199</v>
      </c>
      <c r="BO54" s="149">
        <f>BS!BO11</f>
        <v>4251.4436328220727</v>
      </c>
      <c r="BP54" s="20"/>
      <c r="BQ54" s="210">
        <f>BS!G11</f>
        <v>1214</v>
      </c>
      <c r="BR54" s="210">
        <f>BS!K11</f>
        <v>1183</v>
      </c>
      <c r="BS54" s="210">
        <f>BS!O11</f>
        <v>1328</v>
      </c>
      <c r="BT54" s="210">
        <f>BS!S11</f>
        <v>1046</v>
      </c>
      <c r="BU54" s="210">
        <f>BS!W11</f>
        <v>1182</v>
      </c>
      <c r="BV54" s="210">
        <f>BS!AA11</f>
        <v>1319</v>
      </c>
      <c r="BW54" s="210">
        <f>BS!AE11</f>
        <v>992</v>
      </c>
      <c r="BX54" s="210">
        <f>BS!AI11</f>
        <v>1416</v>
      </c>
      <c r="BY54" s="210">
        <f>BS!AM11</f>
        <v>1627</v>
      </c>
      <c r="BZ54" s="210">
        <f>BS!AQ11</f>
        <v>1199</v>
      </c>
      <c r="CA54" s="210">
        <f>BS!CA11</f>
        <v>1000</v>
      </c>
      <c r="CB54" s="210">
        <f>BS!CB11</f>
        <v>1154</v>
      </c>
      <c r="CC54" s="210">
        <f>BS!CC11</f>
        <v>1656</v>
      </c>
      <c r="CD54" s="210">
        <f>BS!CD11</f>
        <v>1810.7193133421742</v>
      </c>
      <c r="CE54" s="210">
        <f>BS!CE11</f>
        <v>2662.2447526034139</v>
      </c>
      <c r="CF54" s="149">
        <f>BS!CF11</f>
        <v>4251.4436328220727</v>
      </c>
      <c r="CG54" s="297"/>
      <c r="CH54" s="8"/>
    </row>
    <row r="55" spans="1:86" ht="14.25" customHeight="1">
      <c r="A55" s="8"/>
      <c r="B55" s="117" t="s">
        <v>196</v>
      </c>
      <c r="C55" s="118"/>
      <c r="D55" s="119">
        <f>IF(ROUND(D54,4)=ROUND(D52,4),0,(D54-D52))</f>
        <v>0</v>
      </c>
      <c r="E55" s="119">
        <f t="shared" ref="E55:AQ55" si="292">IF(ROUND(E54,4)=ROUND(E52,4),0,(E54-E52))</f>
        <v>0</v>
      </c>
      <c r="F55" s="119">
        <f t="shared" si="292"/>
        <v>0</v>
      </c>
      <c r="G55" s="119">
        <f t="shared" si="292"/>
        <v>0</v>
      </c>
      <c r="H55" s="119">
        <f t="shared" si="292"/>
        <v>0</v>
      </c>
      <c r="I55" s="119">
        <f t="shared" si="292"/>
        <v>0</v>
      </c>
      <c r="J55" s="119">
        <f t="shared" si="292"/>
        <v>0</v>
      </c>
      <c r="K55" s="119">
        <f t="shared" si="292"/>
        <v>0</v>
      </c>
      <c r="L55" s="119">
        <f t="shared" si="292"/>
        <v>0</v>
      </c>
      <c r="M55" s="119">
        <f t="shared" si="292"/>
        <v>0</v>
      </c>
      <c r="N55" s="119">
        <f t="shared" si="292"/>
        <v>0</v>
      </c>
      <c r="O55" s="120">
        <f t="shared" si="292"/>
        <v>0</v>
      </c>
      <c r="P55" s="119">
        <f t="shared" si="292"/>
        <v>0</v>
      </c>
      <c r="Q55" s="119">
        <f t="shared" si="292"/>
        <v>0</v>
      </c>
      <c r="R55" s="119">
        <f t="shared" si="292"/>
        <v>0</v>
      </c>
      <c r="S55" s="120">
        <f t="shared" si="292"/>
        <v>0</v>
      </c>
      <c r="T55" s="119">
        <f t="shared" si="292"/>
        <v>0</v>
      </c>
      <c r="U55" s="119">
        <f t="shared" si="292"/>
        <v>0</v>
      </c>
      <c r="V55" s="119">
        <f t="shared" si="292"/>
        <v>0</v>
      </c>
      <c r="W55" s="120">
        <f t="shared" si="292"/>
        <v>0</v>
      </c>
      <c r="X55" s="119">
        <f t="shared" si="292"/>
        <v>0</v>
      </c>
      <c r="Y55" s="119">
        <f t="shared" si="292"/>
        <v>0</v>
      </c>
      <c r="Z55" s="153">
        <f t="shared" si="292"/>
        <v>0</v>
      </c>
      <c r="AA55" s="120">
        <f>IF(ROUND(AA54,4)=ROUND(AA52,4),0,(AA54-AA52))</f>
        <v>0</v>
      </c>
      <c r="AB55" s="119">
        <f t="shared" si="292"/>
        <v>0</v>
      </c>
      <c r="AC55" s="119">
        <f t="shared" si="292"/>
        <v>0</v>
      </c>
      <c r="AD55" s="119">
        <f t="shared" si="292"/>
        <v>0</v>
      </c>
      <c r="AE55" s="120">
        <f>IF(ROUND(AE54,4)=ROUND(AE52,4),0,(AE54-AE52))</f>
        <v>0</v>
      </c>
      <c r="AF55" s="119">
        <f t="shared" si="292"/>
        <v>0</v>
      </c>
      <c r="AG55" s="119">
        <f t="shared" si="292"/>
        <v>0</v>
      </c>
      <c r="AH55" s="119">
        <f t="shared" si="292"/>
        <v>0</v>
      </c>
      <c r="AI55" s="120">
        <f>IF(ROUND(AI54,4)=ROUND(AI52,4),0,(AI54-AI52))</f>
        <v>0</v>
      </c>
      <c r="AJ55" s="121">
        <f t="shared" si="292"/>
        <v>0</v>
      </c>
      <c r="AK55" s="119">
        <f t="shared" si="292"/>
        <v>0</v>
      </c>
      <c r="AL55" s="119">
        <f t="shared" si="292"/>
        <v>0</v>
      </c>
      <c r="AM55" s="120">
        <f>IF(ROUND(AM54,4)=ROUND(AM52,4),0,(AM54-AM52))</f>
        <v>0</v>
      </c>
      <c r="AN55" s="121">
        <f>IF(ROUND(AN54,4)=ROUND(AN52,4),0,(AN54-AN52))</f>
        <v>0</v>
      </c>
      <c r="AO55" s="119">
        <f>IF(ROUND(AO54,4)=ROUND(AO52,4),0,(AO54-AO52))</f>
        <v>0</v>
      </c>
      <c r="AP55" s="119">
        <f t="shared" si="292"/>
        <v>0</v>
      </c>
      <c r="AQ55" s="120">
        <f t="shared" si="292"/>
        <v>0</v>
      </c>
      <c r="AR55" s="121">
        <f t="shared" ref="AR55:BD55" si="293">IF(ROUND(AR54,4)=ROUND(AR52,4),0,(AR54-AR52))</f>
        <v>0</v>
      </c>
      <c r="AS55" s="119">
        <f t="shared" si="293"/>
        <v>0</v>
      </c>
      <c r="AT55" s="119">
        <f t="shared" si="293"/>
        <v>0</v>
      </c>
      <c r="AU55" s="120">
        <f t="shared" si="293"/>
        <v>0</v>
      </c>
      <c r="AV55" s="121">
        <f t="shared" si="293"/>
        <v>0</v>
      </c>
      <c r="AW55" s="119">
        <f>IF(ROUND(AW54,4)=ROUND(AW52,4),0,(AW54-AW52))</f>
        <v>0</v>
      </c>
      <c r="AX55" s="119">
        <f>IF(ROUND(AX54,4)=ROUND(AX52,4),0,(AX54-AX52))</f>
        <v>0</v>
      </c>
      <c r="AY55" s="120">
        <f t="shared" ref="AY55:AZ55" si="294">IF(ROUND(AY54,4)=ROUND(AY52,4),0,(AY54-AY52))</f>
        <v>0</v>
      </c>
      <c r="AZ55" s="121">
        <f t="shared" si="294"/>
        <v>0</v>
      </c>
      <c r="BA55" s="119">
        <f t="shared" si="293"/>
        <v>0</v>
      </c>
      <c r="BB55" s="119">
        <f>IF(ROUND(BB54,4)=ROUND(BB52,4),0,(BB54-BB52))</f>
        <v>0</v>
      </c>
      <c r="BC55" s="120">
        <f t="shared" si="293"/>
        <v>0</v>
      </c>
      <c r="BD55" s="121">
        <f t="shared" si="293"/>
        <v>0</v>
      </c>
      <c r="BE55" s="119">
        <f t="shared" ref="BE55:BG55" si="295">IF(ROUND(BE54,4)=ROUND(BE52,4),0,(BE54-BE52))</f>
        <v>0</v>
      </c>
      <c r="BF55" s="119">
        <f t="shared" si="295"/>
        <v>0</v>
      </c>
      <c r="BG55" s="120">
        <f t="shared" si="295"/>
        <v>0</v>
      </c>
      <c r="BH55" s="121">
        <f t="shared" ref="BH55:BK55" si="296">IF(ROUND(BH54,4)=ROUND(BH52,4),0,(BH54-BH52))</f>
        <v>0</v>
      </c>
      <c r="BI55" s="119">
        <f t="shared" si="296"/>
        <v>0</v>
      </c>
      <c r="BJ55" s="119">
        <f t="shared" si="296"/>
        <v>0</v>
      </c>
      <c r="BK55" s="120">
        <f t="shared" si="296"/>
        <v>0</v>
      </c>
      <c r="BL55" s="121">
        <f t="shared" ref="BL55:BO55" si="297">IF(ROUND(BL54,4)=ROUND(BL52,4),0,(BL54-BL52))</f>
        <v>0</v>
      </c>
      <c r="BM55" s="119">
        <f t="shared" si="297"/>
        <v>0</v>
      </c>
      <c r="BN55" s="119">
        <f t="shared" si="297"/>
        <v>0</v>
      </c>
      <c r="BO55" s="120">
        <f t="shared" si="297"/>
        <v>0</v>
      </c>
      <c r="BP55" s="20"/>
      <c r="BQ55" s="211">
        <f t="shared" ref="BQ55:BX55" si="298">IF(ROUND(BQ54,4)=ROUND(BQ52,4),0,(BQ54-BQ52))</f>
        <v>0</v>
      </c>
      <c r="BR55" s="211">
        <f t="shared" si="298"/>
        <v>0</v>
      </c>
      <c r="BS55" s="211">
        <f t="shared" si="298"/>
        <v>0</v>
      </c>
      <c r="BT55" s="211">
        <f t="shared" si="298"/>
        <v>0</v>
      </c>
      <c r="BU55" s="211">
        <f t="shared" si="298"/>
        <v>0</v>
      </c>
      <c r="BV55" s="211">
        <f t="shared" si="298"/>
        <v>0</v>
      </c>
      <c r="BW55" s="119">
        <f t="shared" si="298"/>
        <v>0</v>
      </c>
      <c r="BX55" s="119">
        <f t="shared" si="298"/>
        <v>0</v>
      </c>
      <c r="BY55" s="119">
        <f t="shared" ref="BY55:CA55" si="299">IF(ROUND(BY54,4)=ROUND(BY52,4),0,(BY54-BY52))</f>
        <v>0</v>
      </c>
      <c r="BZ55" s="119">
        <f t="shared" si="299"/>
        <v>0</v>
      </c>
      <c r="CA55" s="119">
        <f t="shared" si="299"/>
        <v>0</v>
      </c>
      <c r="CB55" s="119">
        <f>IF(ROUND(CB54,4)=ROUND(CB52,4),0,(CB54-CB52))</f>
        <v>0</v>
      </c>
      <c r="CC55" s="119">
        <f>IF(ROUND(CC54,4)=ROUND(CC52,4),0,(CC54-CC52))</f>
        <v>0</v>
      </c>
      <c r="CD55" s="119">
        <f>IF(ROUND(CD54,4)=ROUND(CD52,4),0,(CD54-CD52))</f>
        <v>0</v>
      </c>
      <c r="CE55" s="119">
        <f>IF(ROUND(CE54,4)=ROUND(CE52,4),0,(CE54-CE52))</f>
        <v>0</v>
      </c>
      <c r="CF55" s="120">
        <f>IF(ROUND(CF54,4)=ROUND(CF52,4),0,(CF54-CF52))</f>
        <v>0</v>
      </c>
      <c r="CG55" s="297"/>
      <c r="CH55" s="8"/>
    </row>
    <row r="56" spans="1:86" ht="14.25" customHeight="1">
      <c r="A56" s="8"/>
      <c r="B56" s="212"/>
      <c r="C56" s="212"/>
      <c r="D56" s="582"/>
      <c r="E56" s="582"/>
      <c r="F56" s="582"/>
      <c r="G56" s="582"/>
      <c r="H56" s="582"/>
      <c r="I56" s="582"/>
      <c r="J56" s="582"/>
      <c r="K56" s="582"/>
      <c r="L56" s="582"/>
      <c r="M56" s="582"/>
      <c r="N56" s="582"/>
      <c r="O56" s="582"/>
      <c r="P56" s="582"/>
      <c r="Q56" s="582"/>
      <c r="R56" s="582"/>
      <c r="S56" s="582"/>
      <c r="T56" s="582"/>
      <c r="U56" s="582"/>
      <c r="V56" s="582"/>
      <c r="W56" s="582"/>
      <c r="X56" s="582"/>
      <c r="Y56" s="582"/>
      <c r="Z56" s="582"/>
      <c r="AA56" s="582"/>
      <c r="AB56" s="582"/>
      <c r="AC56" s="582"/>
      <c r="AD56" s="582"/>
      <c r="AE56" s="582"/>
      <c r="AF56" s="582"/>
      <c r="AG56" s="582"/>
      <c r="AH56" s="582"/>
      <c r="AI56" s="582"/>
      <c r="AJ56" s="582"/>
      <c r="AK56" s="213"/>
      <c r="AL56" s="213"/>
      <c r="AM56" s="582"/>
      <c r="AN56" s="582"/>
      <c r="AO56" s="583"/>
      <c r="AP56" s="213"/>
      <c r="AQ56" s="582"/>
      <c r="AR56" s="582"/>
      <c r="AS56" s="213"/>
      <c r="AT56" s="213"/>
      <c r="AU56" s="582"/>
      <c r="AV56" s="582"/>
      <c r="AW56" s="213"/>
      <c r="AX56" s="213"/>
      <c r="AY56" s="582"/>
      <c r="AZ56" s="582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14"/>
      <c r="BW56" s="213"/>
      <c r="BX56" s="213"/>
      <c r="BY56" s="213"/>
      <c r="BZ56" s="213"/>
      <c r="CA56" s="213"/>
      <c r="CB56" s="213"/>
      <c r="CC56" s="213"/>
      <c r="CD56" s="213"/>
      <c r="CE56" s="213"/>
      <c r="CF56" s="213"/>
      <c r="CG56" s="8"/>
      <c r="CH56" s="8"/>
    </row>
    <row r="57" spans="1:86" ht="14.25" customHeight="1">
      <c r="A57" s="8"/>
      <c r="B57" s="14"/>
      <c r="C57" s="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58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14"/>
      <c r="BQ57" s="214"/>
      <c r="BR57" s="214"/>
      <c r="BS57" s="214"/>
      <c r="BT57" s="214"/>
      <c r="BU57" s="214"/>
      <c r="BV57" s="214"/>
      <c r="BW57" s="214"/>
      <c r="BX57" s="214"/>
      <c r="BY57" s="214"/>
      <c r="BZ57" s="214"/>
      <c r="CA57" s="214"/>
      <c r="CB57" s="214"/>
      <c r="CC57" s="214"/>
      <c r="CD57" s="214"/>
      <c r="CE57" s="214"/>
      <c r="CF57" s="214"/>
      <c r="CG57" s="8"/>
      <c r="CH57" s="8"/>
    </row>
    <row r="58" spans="1:86" ht="14.25" customHeight="1">
      <c r="A58" s="8"/>
      <c r="B58" s="14"/>
      <c r="C58" s="215"/>
      <c r="D58" s="214"/>
      <c r="E58" s="214"/>
      <c r="F58" s="214"/>
      <c r="G58" s="249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58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49"/>
      <c r="BD58" s="214"/>
      <c r="BE58" s="214"/>
      <c r="BF58" s="214"/>
      <c r="BG58" s="249"/>
      <c r="BH58" s="214"/>
      <c r="BI58" s="214"/>
      <c r="BJ58" s="214"/>
      <c r="BK58" s="249"/>
      <c r="BL58" s="214"/>
      <c r="BM58" s="214"/>
      <c r="BN58" s="214"/>
      <c r="BO58" s="249"/>
      <c r="BP58" s="14"/>
      <c r="BQ58" s="214"/>
      <c r="BR58" s="214"/>
      <c r="BS58" s="214"/>
      <c r="BT58" s="214"/>
      <c r="BU58" s="214"/>
      <c r="BV58" s="214"/>
      <c r="BW58" s="214"/>
      <c r="BX58" s="214"/>
      <c r="BY58" s="214"/>
      <c r="BZ58" s="214"/>
      <c r="CA58" s="214"/>
      <c r="CB58" s="214"/>
      <c r="CC58" s="214"/>
      <c r="CD58" s="214"/>
      <c r="CE58" s="214"/>
      <c r="CF58" s="214"/>
      <c r="CG58" s="8"/>
      <c r="CH58" s="8"/>
    </row>
    <row r="59" spans="1:86" ht="14.25" customHeight="1">
      <c r="A59" s="8"/>
      <c r="B59" s="126" t="s">
        <v>245</v>
      </c>
      <c r="C59" s="127"/>
      <c r="D59" s="216" t="str">
        <f t="shared" ref="D59:AQ59" si="300">D9</f>
        <v>F1Q05A</v>
      </c>
      <c r="E59" s="216" t="str">
        <f t="shared" si="300"/>
        <v>F2Q05A</v>
      </c>
      <c r="F59" s="216" t="str">
        <f t="shared" si="300"/>
        <v>F3Q05A</v>
      </c>
      <c r="G59" s="217" t="str">
        <f t="shared" si="300"/>
        <v>F4Q05A</v>
      </c>
      <c r="H59" s="216" t="str">
        <f t="shared" si="300"/>
        <v>F1Q06A</v>
      </c>
      <c r="I59" s="216" t="str">
        <f t="shared" si="300"/>
        <v>F2Q06A</v>
      </c>
      <c r="J59" s="216" t="str">
        <f t="shared" si="300"/>
        <v>F3Q06A</v>
      </c>
      <c r="K59" s="217" t="str">
        <f t="shared" si="300"/>
        <v>F4Q06A</v>
      </c>
      <c r="L59" s="216" t="str">
        <f t="shared" si="300"/>
        <v>F1Q07A</v>
      </c>
      <c r="M59" s="216" t="str">
        <f t="shared" si="300"/>
        <v>F2Q07A</v>
      </c>
      <c r="N59" s="216" t="str">
        <f t="shared" si="300"/>
        <v>F3Q07A</v>
      </c>
      <c r="O59" s="217" t="str">
        <f t="shared" si="300"/>
        <v>F4Q07A</v>
      </c>
      <c r="P59" s="216" t="str">
        <f t="shared" si="300"/>
        <v>F1Q08A</v>
      </c>
      <c r="Q59" s="216" t="str">
        <f t="shared" si="300"/>
        <v>F2Q08A</v>
      </c>
      <c r="R59" s="216" t="str">
        <f t="shared" si="300"/>
        <v>F3Q08A</v>
      </c>
      <c r="S59" s="217" t="str">
        <f t="shared" si="300"/>
        <v>F4Q08A</v>
      </c>
      <c r="T59" s="216" t="str">
        <f t="shared" si="300"/>
        <v>F1Q09A</v>
      </c>
      <c r="U59" s="216" t="str">
        <f t="shared" si="300"/>
        <v>F2Q09A</v>
      </c>
      <c r="V59" s="216" t="str">
        <f t="shared" si="300"/>
        <v>F3Q09A</v>
      </c>
      <c r="W59" s="217" t="str">
        <f t="shared" si="300"/>
        <v>F4Q09A</v>
      </c>
      <c r="X59" s="216" t="str">
        <f t="shared" si="300"/>
        <v>F1Q10A</v>
      </c>
      <c r="Y59" s="216" t="str">
        <f t="shared" si="300"/>
        <v>F2Q10A</v>
      </c>
      <c r="Z59" s="216" t="str">
        <f t="shared" si="300"/>
        <v>F3Q10A</v>
      </c>
      <c r="AA59" s="217" t="str">
        <f t="shared" si="300"/>
        <v>F4Q10A</v>
      </c>
      <c r="AB59" s="216" t="str">
        <f>AB9</f>
        <v>F1Q11A</v>
      </c>
      <c r="AC59" s="216" t="str">
        <f t="shared" si="300"/>
        <v>F2Q11A</v>
      </c>
      <c r="AD59" s="216" t="str">
        <f t="shared" si="300"/>
        <v>F3Q11A</v>
      </c>
      <c r="AE59" s="217" t="str">
        <f t="shared" si="300"/>
        <v>F4Q11A</v>
      </c>
      <c r="AF59" s="216" t="str">
        <f t="shared" si="300"/>
        <v>F1Q12A</v>
      </c>
      <c r="AG59" s="216" t="str">
        <f t="shared" si="300"/>
        <v>F2Q12A</v>
      </c>
      <c r="AH59" s="216" t="str">
        <f>AH9</f>
        <v>F3Q12A</v>
      </c>
      <c r="AI59" s="217" t="str">
        <f>AI9</f>
        <v>F4Q12A</v>
      </c>
      <c r="AJ59" s="216" t="str">
        <f t="shared" si="300"/>
        <v>F1Q13A</v>
      </c>
      <c r="AK59" s="216" t="str">
        <f t="shared" si="300"/>
        <v>F2Q13A</v>
      </c>
      <c r="AL59" s="216" t="str">
        <f>AL9</f>
        <v>F3Q13A</v>
      </c>
      <c r="AM59" s="217" t="str">
        <f t="shared" si="300"/>
        <v>F4Q13A</v>
      </c>
      <c r="AN59" s="216" t="str">
        <f t="shared" si="300"/>
        <v>F1Q14A</v>
      </c>
      <c r="AO59" s="216" t="s">
        <v>429</v>
      </c>
      <c r="AP59" s="216" t="str">
        <f t="shared" si="300"/>
        <v>F3Q14A</v>
      </c>
      <c r="AQ59" s="217" t="str">
        <f t="shared" si="300"/>
        <v>F4Q14A</v>
      </c>
      <c r="AR59" s="216" t="str">
        <f t="shared" ref="AR59:AV59" si="301">AR9</f>
        <v>F1Q15A</v>
      </c>
      <c r="AS59" s="216" t="str">
        <f t="shared" si="301"/>
        <v>F2Q15A</v>
      </c>
      <c r="AT59" s="216" t="str">
        <f t="shared" si="301"/>
        <v>F3Q15A</v>
      </c>
      <c r="AU59" s="217" t="str">
        <f>AU9</f>
        <v>F4Q15A</v>
      </c>
      <c r="AV59" s="216" t="str">
        <f t="shared" si="301"/>
        <v>F1Q16A</v>
      </c>
      <c r="AW59" s="216" t="str">
        <f>AW9</f>
        <v>F2Q16A</v>
      </c>
      <c r="AX59" s="216" t="str">
        <f>AX9</f>
        <v>F3Q16A</v>
      </c>
      <c r="AY59" s="217" t="str">
        <f>AY9</f>
        <v>F4Q16A</v>
      </c>
      <c r="AZ59" s="216" t="str">
        <f t="shared" ref="AZ59" si="302">AZ9</f>
        <v>F1Q17A</v>
      </c>
      <c r="BA59" s="216" t="str">
        <f t="shared" ref="BA59:BG59" si="303">BA9</f>
        <v>F2Q17A</v>
      </c>
      <c r="BB59" s="216" t="str">
        <f t="shared" si="303"/>
        <v>F3Q17A</v>
      </c>
      <c r="BC59" s="217" t="str">
        <f t="shared" si="303"/>
        <v>F4Q17A</v>
      </c>
      <c r="BD59" s="216" t="str">
        <f t="shared" si="303"/>
        <v>F1Q18A</v>
      </c>
      <c r="BE59" s="216" t="str">
        <f t="shared" si="303"/>
        <v>F2Q18E</v>
      </c>
      <c r="BF59" s="216" t="str">
        <f t="shared" si="303"/>
        <v>F3Q18E</v>
      </c>
      <c r="BG59" s="217" t="str">
        <f t="shared" si="303"/>
        <v>F4Q18E</v>
      </c>
      <c r="BH59" s="216" t="str">
        <f t="shared" ref="BH59:BK59" si="304">BH9</f>
        <v>F1Q19E</v>
      </c>
      <c r="BI59" s="216" t="str">
        <f t="shared" si="304"/>
        <v>F2Q19E</v>
      </c>
      <c r="BJ59" s="216" t="str">
        <f t="shared" si="304"/>
        <v>F3Q19E</v>
      </c>
      <c r="BK59" s="217" t="str">
        <f t="shared" si="304"/>
        <v>F4Q19E</v>
      </c>
      <c r="BL59" s="216" t="str">
        <f t="shared" ref="BL59:BO59" si="305">BL9</f>
        <v>F1Q20E</v>
      </c>
      <c r="BM59" s="216" t="str">
        <f t="shared" si="305"/>
        <v>F2Q20E</v>
      </c>
      <c r="BN59" s="216" t="str">
        <f t="shared" si="305"/>
        <v>F3Q20E</v>
      </c>
      <c r="BO59" s="217" t="str">
        <f t="shared" si="305"/>
        <v>F4Q20E</v>
      </c>
      <c r="BP59" s="20"/>
      <c r="BQ59" s="17" t="str">
        <f>BQ9</f>
        <v>FY2005A</v>
      </c>
      <c r="BR59" s="18" t="str">
        <f>BR9</f>
        <v>FY2006A</v>
      </c>
      <c r="BS59" s="18" t="str">
        <f>BS9</f>
        <v>FY2007A</v>
      </c>
      <c r="BT59" s="18" t="str">
        <f>BT9</f>
        <v>FY2008A</v>
      </c>
      <c r="BU59" s="18" t="str">
        <f t="shared" ref="BU59:BZ59" si="306">BU9</f>
        <v>FY2009A</v>
      </c>
      <c r="BV59" s="18" t="str">
        <f t="shared" si="306"/>
        <v>FY2010A</v>
      </c>
      <c r="BW59" s="18" t="str">
        <f t="shared" si="306"/>
        <v>FY2011A</v>
      </c>
      <c r="BX59" s="18" t="str">
        <f t="shared" si="306"/>
        <v>FY2012A</v>
      </c>
      <c r="BY59" s="18" t="str">
        <f t="shared" si="306"/>
        <v>FY2013A</v>
      </c>
      <c r="BZ59" s="18" t="str">
        <f t="shared" si="306"/>
        <v>FY2014A</v>
      </c>
      <c r="CA59" s="18" t="str">
        <f t="shared" ref="CA59:CF59" si="307">CA9</f>
        <v>FY2015A</v>
      </c>
      <c r="CB59" s="18" t="str">
        <f t="shared" si="307"/>
        <v>FY2016A</v>
      </c>
      <c r="CC59" s="18" t="str">
        <f t="shared" si="307"/>
        <v>FY2017E</v>
      </c>
      <c r="CD59" s="18" t="str">
        <f t="shared" si="307"/>
        <v>FY2018E</v>
      </c>
      <c r="CE59" s="18" t="str">
        <f t="shared" si="307"/>
        <v>FY2019E</v>
      </c>
      <c r="CF59" s="19" t="str">
        <f t="shared" si="307"/>
        <v>FY2020E</v>
      </c>
      <c r="CG59" s="297"/>
      <c r="CH59" s="8"/>
    </row>
    <row r="60" spans="1:86" ht="14.25" customHeight="1">
      <c r="A60" s="8"/>
      <c r="B60" s="297" t="s">
        <v>246</v>
      </c>
      <c r="C60" s="218"/>
      <c r="D60" s="219">
        <f t="shared" ref="D60:AA60" si="308">-D30</f>
        <v>267</v>
      </c>
      <c r="E60" s="219">
        <f t="shared" si="308"/>
        <v>247</v>
      </c>
      <c r="F60" s="219">
        <f t="shared" si="308"/>
        <v>440</v>
      </c>
      <c r="G60" s="220">
        <f t="shared" si="308"/>
        <v>334</v>
      </c>
      <c r="H60" s="219">
        <f t="shared" si="308"/>
        <v>408</v>
      </c>
      <c r="I60" s="219">
        <f t="shared" si="308"/>
        <v>374</v>
      </c>
      <c r="J60" s="219">
        <f t="shared" si="308"/>
        <v>276</v>
      </c>
      <c r="K60" s="220">
        <f t="shared" si="308"/>
        <v>214</v>
      </c>
      <c r="L60" s="219">
        <f t="shared" si="308"/>
        <v>179</v>
      </c>
      <c r="M60" s="219">
        <f t="shared" si="308"/>
        <v>174</v>
      </c>
      <c r="N60" s="219">
        <f t="shared" si="308"/>
        <v>152</v>
      </c>
      <c r="O60" s="220">
        <f t="shared" si="308"/>
        <v>120</v>
      </c>
      <c r="P60" s="219">
        <f t="shared" si="308"/>
        <v>219</v>
      </c>
      <c r="Q60" s="219">
        <f t="shared" si="308"/>
        <v>270</v>
      </c>
      <c r="R60" s="219">
        <f t="shared" si="308"/>
        <v>197</v>
      </c>
      <c r="S60" s="220">
        <f t="shared" si="308"/>
        <v>77</v>
      </c>
      <c r="T60" s="219">
        <f t="shared" si="308"/>
        <v>43</v>
      </c>
      <c r="U60" s="219">
        <f t="shared" si="308"/>
        <v>48</v>
      </c>
      <c r="V60" s="219">
        <f t="shared" si="308"/>
        <v>226</v>
      </c>
      <c r="W60" s="220">
        <f t="shared" si="308"/>
        <v>436</v>
      </c>
      <c r="X60" s="219">
        <f t="shared" si="308"/>
        <v>219</v>
      </c>
      <c r="Y60" s="219">
        <f t="shared" si="308"/>
        <v>283</v>
      </c>
      <c r="Z60" s="219">
        <f t="shared" si="308"/>
        <v>396</v>
      </c>
      <c r="AA60" s="220">
        <f t="shared" si="308"/>
        <v>301</v>
      </c>
      <c r="AB60" s="219">
        <f t="shared" ref="AB60:AG60" si="309">-AB30</f>
        <v>194</v>
      </c>
      <c r="AC60" s="219">
        <f t="shared" si="309"/>
        <v>276</v>
      </c>
      <c r="AD60" s="219">
        <f t="shared" si="309"/>
        <v>193</v>
      </c>
      <c r="AE60" s="220">
        <f t="shared" si="309"/>
        <v>153</v>
      </c>
      <c r="AF60" s="219">
        <f t="shared" si="309"/>
        <v>103</v>
      </c>
      <c r="AG60" s="219">
        <f t="shared" si="309"/>
        <v>146</v>
      </c>
      <c r="AH60" s="219">
        <f t="shared" ref="AH60:AM60" si="310">-AH30</f>
        <v>150</v>
      </c>
      <c r="AI60" s="220">
        <f t="shared" si="310"/>
        <v>96</v>
      </c>
      <c r="AJ60" s="219">
        <f t="shared" si="310"/>
        <v>84</v>
      </c>
      <c r="AK60" s="219">
        <f t="shared" si="310"/>
        <v>98</v>
      </c>
      <c r="AL60" s="219">
        <f t="shared" si="310"/>
        <v>123</v>
      </c>
      <c r="AM60" s="220">
        <f t="shared" si="310"/>
        <v>107</v>
      </c>
      <c r="AN60" s="219">
        <f>-AN30</f>
        <v>77</v>
      </c>
      <c r="AO60" s="585">
        <v>80</v>
      </c>
      <c r="AP60" s="221">
        <v>103</v>
      </c>
      <c r="AQ60" s="220">
        <v>125</v>
      </c>
      <c r="AR60" s="219">
        <f t="shared" ref="AR60:AU60" si="311">-AR30</f>
        <v>123</v>
      </c>
      <c r="AS60" s="585">
        <f t="shared" si="311"/>
        <v>125</v>
      </c>
      <c r="AT60" s="585">
        <f t="shared" si="311"/>
        <v>139</v>
      </c>
      <c r="AU60" s="220">
        <f t="shared" si="311"/>
        <v>164</v>
      </c>
      <c r="AV60" s="219">
        <f>-AV30</f>
        <v>124</v>
      </c>
      <c r="AW60" s="585">
        <f>-AW30</f>
        <v>158</v>
      </c>
      <c r="AX60" s="585">
        <f>-AX30</f>
        <v>139</v>
      </c>
      <c r="AY60" s="220">
        <f t="shared" ref="AY60" si="312">-AY30</f>
        <v>110</v>
      </c>
      <c r="AZ60" s="219">
        <f>-AZ30</f>
        <v>127</v>
      </c>
      <c r="BA60" s="221">
        <f>-BA30</f>
        <v>151</v>
      </c>
      <c r="BB60" s="585">
        <f>-BB30</f>
        <v>186</v>
      </c>
      <c r="BC60" s="220">
        <f t="shared" ref="BC60" si="313">-BC30</f>
        <v>231</v>
      </c>
      <c r="BD60" s="219">
        <f>-BD30</f>
        <v>189</v>
      </c>
      <c r="BE60" s="221">
        <f>IS!BE7*BE62</f>
        <v>196.75037492037757</v>
      </c>
      <c r="BF60" s="221">
        <f>IS!BF7*BF62</f>
        <v>209.35216233226427</v>
      </c>
      <c r="BG60" s="222">
        <f>IS!BG7*BG62</f>
        <v>197.26236323651841</v>
      </c>
      <c r="BH60" s="221">
        <f>IS!BH7*BH62</f>
        <v>154.02432575675084</v>
      </c>
      <c r="BI60" s="221">
        <f>IS!BI7*BI62</f>
        <v>163.57548156572383</v>
      </c>
      <c r="BJ60" s="221">
        <f>IS!BJ7*BJ62</f>
        <v>173.62935136515625</v>
      </c>
      <c r="BK60" s="222">
        <f>IS!BK7*BK62</f>
        <v>163.07259415480493</v>
      </c>
      <c r="BL60" s="221">
        <f>IS!BL7*BL62</f>
        <v>158.96222707352942</v>
      </c>
      <c r="BM60" s="221">
        <f>IS!BM7*BM62</f>
        <v>168.76959175725926</v>
      </c>
      <c r="BN60" s="221">
        <f>IS!BN7*BN62</f>
        <v>179.03977436062695</v>
      </c>
      <c r="BO60" s="222">
        <f>IS!BO7*BO62</f>
        <v>168.24888751252197</v>
      </c>
      <c r="BP60" s="20"/>
      <c r="BQ60" s="223">
        <f>-BQ30</f>
        <v>1288</v>
      </c>
      <c r="BR60" s="586">
        <f>-BR30</f>
        <v>1272</v>
      </c>
      <c r="BS60" s="586">
        <f>-BS30</f>
        <v>625</v>
      </c>
      <c r="BT60" s="586">
        <f>-BT30</f>
        <v>763</v>
      </c>
      <c r="BU60" s="586">
        <f t="shared" ref="BU60:BZ60" si="314">-BU30</f>
        <v>753</v>
      </c>
      <c r="BV60" s="148">
        <f t="shared" si="314"/>
        <v>1199</v>
      </c>
      <c r="BW60" s="239">
        <f t="shared" si="314"/>
        <v>816</v>
      </c>
      <c r="BX60" s="148">
        <f t="shared" si="314"/>
        <v>495</v>
      </c>
      <c r="BY60" s="148">
        <f t="shared" si="314"/>
        <v>412</v>
      </c>
      <c r="BZ60" s="148">
        <f t="shared" si="314"/>
        <v>385</v>
      </c>
      <c r="CA60" s="148">
        <f t="shared" ref="CA60:CF60" si="315">-CA30</f>
        <v>551</v>
      </c>
      <c r="CB60" s="148">
        <f t="shared" si="315"/>
        <v>531</v>
      </c>
      <c r="CC60" s="148">
        <f t="shared" si="315"/>
        <v>695</v>
      </c>
      <c r="CD60" s="148">
        <f t="shared" si="315"/>
        <v>792.36490048916016</v>
      </c>
      <c r="CE60" s="148">
        <f t="shared" si="315"/>
        <v>654.30175284243592</v>
      </c>
      <c r="CF60" s="151">
        <f t="shared" si="315"/>
        <v>675.02048070393766</v>
      </c>
      <c r="CG60" s="567"/>
      <c r="CH60" s="8"/>
    </row>
    <row r="61" spans="1:86" ht="14.25" customHeight="1">
      <c r="A61" s="8"/>
      <c r="B61" s="297" t="s">
        <v>247</v>
      </c>
      <c r="C61" s="224"/>
      <c r="D61" s="219">
        <v>0</v>
      </c>
      <c r="E61" s="219">
        <v>0</v>
      </c>
      <c r="F61" s="219">
        <v>0</v>
      </c>
      <c r="G61" s="220">
        <v>0</v>
      </c>
      <c r="H61" s="219">
        <v>0</v>
      </c>
      <c r="I61" s="219">
        <v>0</v>
      </c>
      <c r="J61" s="219">
        <v>0</v>
      </c>
      <c r="K61" s="220">
        <v>0</v>
      </c>
      <c r="L61" s="219">
        <v>0</v>
      </c>
      <c r="M61" s="219">
        <v>0</v>
      </c>
      <c r="N61" s="219">
        <v>0</v>
      </c>
      <c r="O61" s="220">
        <v>0</v>
      </c>
      <c r="P61" s="219">
        <v>0</v>
      </c>
      <c r="Q61" s="219">
        <v>0</v>
      </c>
      <c r="R61" s="219">
        <v>0</v>
      </c>
      <c r="S61" s="220">
        <v>0</v>
      </c>
      <c r="T61" s="219">
        <v>0</v>
      </c>
      <c r="U61" s="219">
        <v>0</v>
      </c>
      <c r="V61" s="219">
        <v>0</v>
      </c>
      <c r="W61" s="220">
        <v>0</v>
      </c>
      <c r="X61" s="219">
        <v>0</v>
      </c>
      <c r="Y61" s="219">
        <v>0</v>
      </c>
      <c r="Z61" s="219">
        <v>0</v>
      </c>
      <c r="AA61" s="220">
        <v>0</v>
      </c>
      <c r="AB61" s="219">
        <v>1</v>
      </c>
      <c r="AC61" s="219">
        <v>0</v>
      </c>
      <c r="AD61" s="219">
        <v>0</v>
      </c>
      <c r="AE61" s="220">
        <v>0</v>
      </c>
      <c r="AF61" s="219">
        <v>1</v>
      </c>
      <c r="AG61" s="219">
        <v>0</v>
      </c>
      <c r="AH61" s="219">
        <v>0</v>
      </c>
      <c r="AI61" s="220">
        <v>0</v>
      </c>
      <c r="AJ61" s="227">
        <v>0</v>
      </c>
      <c r="AK61" s="219">
        <v>0</v>
      </c>
      <c r="AL61" s="219">
        <v>0</v>
      </c>
      <c r="AM61" s="220">
        <v>0</v>
      </c>
      <c r="AN61" s="227">
        <v>0</v>
      </c>
      <c r="AO61" s="585">
        <v>0</v>
      </c>
      <c r="AP61" s="227">
        <v>0</v>
      </c>
      <c r="AQ61" s="220">
        <v>0</v>
      </c>
      <c r="AR61" s="227">
        <v>0</v>
      </c>
      <c r="AS61" s="585">
        <v>0</v>
      </c>
      <c r="AT61" s="585">
        <v>0</v>
      </c>
      <c r="AU61" s="220">
        <v>0</v>
      </c>
      <c r="AV61" s="227">
        <v>0</v>
      </c>
      <c r="AW61" s="585">
        <v>0</v>
      </c>
      <c r="AX61" s="585">
        <v>0</v>
      </c>
      <c r="AY61" s="220">
        <v>0</v>
      </c>
      <c r="AZ61" s="227">
        <v>0</v>
      </c>
      <c r="BA61" s="227">
        <v>0</v>
      </c>
      <c r="BB61" s="585">
        <v>0</v>
      </c>
      <c r="BC61" s="220">
        <v>0</v>
      </c>
      <c r="BD61" s="227">
        <v>0</v>
      </c>
      <c r="BE61" s="227">
        <v>0</v>
      </c>
      <c r="BF61" s="227">
        <v>0</v>
      </c>
      <c r="BG61" s="228">
        <v>0</v>
      </c>
      <c r="BH61" s="227">
        <v>0</v>
      </c>
      <c r="BI61" s="227">
        <v>0</v>
      </c>
      <c r="BJ61" s="227">
        <v>0</v>
      </c>
      <c r="BK61" s="228">
        <v>0</v>
      </c>
      <c r="BL61" s="227">
        <v>0</v>
      </c>
      <c r="BM61" s="227">
        <v>0</v>
      </c>
      <c r="BN61" s="227">
        <v>0</v>
      </c>
      <c r="BO61" s="228">
        <v>0</v>
      </c>
      <c r="BP61" s="20"/>
      <c r="BQ61" s="587">
        <v>0</v>
      </c>
      <c r="BR61" s="229">
        <v>0</v>
      </c>
      <c r="BS61" s="229">
        <v>0</v>
      </c>
      <c r="BT61" s="229">
        <v>0</v>
      </c>
      <c r="BU61" s="229">
        <v>0</v>
      </c>
      <c r="BV61" s="229">
        <v>0</v>
      </c>
      <c r="BW61" s="229">
        <v>0</v>
      </c>
      <c r="BX61" s="229">
        <v>0</v>
      </c>
      <c r="BY61" s="229">
        <v>0</v>
      </c>
      <c r="BZ61" s="229">
        <v>0</v>
      </c>
      <c r="CA61" s="229">
        <v>0</v>
      </c>
      <c r="CB61" s="229">
        <v>0</v>
      </c>
      <c r="CC61" s="229">
        <v>0</v>
      </c>
      <c r="CD61" s="229">
        <v>0</v>
      </c>
      <c r="CE61" s="229">
        <v>0</v>
      </c>
      <c r="CF61" s="226">
        <v>0</v>
      </c>
      <c r="CG61" s="297"/>
      <c r="CH61" s="8"/>
    </row>
    <row r="62" spans="1:86" ht="14.25" customHeight="1">
      <c r="A62" s="12"/>
      <c r="B62" s="332" t="s">
        <v>248</v>
      </c>
      <c r="C62" s="29"/>
      <c r="D62" s="522">
        <f>D60/IS!D7</f>
        <v>9.8815692079940787E-2</v>
      </c>
      <c r="E62" s="76">
        <f>E60/IS!E7</f>
        <v>8.3136990912150793E-2</v>
      </c>
      <c r="F62" s="76">
        <f>F60/IS!F7</f>
        <v>0.1317759808325846</v>
      </c>
      <c r="G62" s="77">
        <f>G60/IS!G7</f>
        <v>0.10048134777376655</v>
      </c>
      <c r="H62" s="522">
        <f>H60/IS!H7</f>
        <v>0.122375524895021</v>
      </c>
      <c r="I62" s="76">
        <f>I60/IS!I7</f>
        <v>0.10116310522044901</v>
      </c>
      <c r="J62" s="76">
        <f>J60/IS!J7</f>
        <v>7.3384738101568731E-2</v>
      </c>
      <c r="K62" s="77">
        <f>K60/IS!K7</f>
        <v>6.1796130522668205E-2</v>
      </c>
      <c r="L62" s="522">
        <f>L60/IS!L7</f>
        <v>5.6095267941084298E-2</v>
      </c>
      <c r="M62" s="76">
        <f>M60/IS!M7</f>
        <v>5.0817757009345793E-2</v>
      </c>
      <c r="N62" s="76">
        <f>N60/IS!N7</f>
        <v>4.1496041496041497E-2</v>
      </c>
      <c r="O62" s="77">
        <f>O60/IS!O7</f>
        <v>3.3745781777277842E-2</v>
      </c>
      <c r="P62" s="522">
        <f>P60/IS!P7</f>
        <v>6.6931540342298285E-2</v>
      </c>
      <c r="Q62" s="76">
        <f>Q60/IS!Q7</f>
        <v>8.0572963294538946E-2</v>
      </c>
      <c r="R62" s="76">
        <f>R60/IS!R7</f>
        <v>5.8163566578092706E-2</v>
      </c>
      <c r="S62" s="77">
        <f>S60/IS!S7</f>
        <v>3.0911280610196708E-2</v>
      </c>
      <c r="T62" s="522">
        <f>T60/IS!T7</f>
        <v>2.0613614573346116E-2</v>
      </c>
      <c r="U62" s="76">
        <f>U60/IS!U7</f>
        <v>1.9536019536019536E-2</v>
      </c>
      <c r="V62" s="76">
        <f>V60/IS!V7</f>
        <v>7.8472222222222221E-2</v>
      </c>
      <c r="W62" s="77">
        <f>W60/IS!W7</f>
        <v>0.14513981358189082</v>
      </c>
      <c r="X62" s="522">
        <f>X60/IS!X7</f>
        <v>6.8330733229329171E-2</v>
      </c>
      <c r="Y62" s="76">
        <f>Y60/IS!Y7</f>
        <v>8.0949656750572085E-2</v>
      </c>
      <c r="Z62" s="76">
        <f>Z60/IS!Z7</f>
        <v>0.10588235294117647</v>
      </c>
      <c r="AA62" s="77">
        <f>AA60/IS!AA7</f>
        <v>8.5390070921985819E-2</v>
      </c>
      <c r="AB62" s="76">
        <f>AB60/IS!AB7</f>
        <v>5.7193396226415096E-2</v>
      </c>
      <c r="AC62" s="76">
        <f>AC60/IS!AC7</f>
        <v>7.9814921920185078E-2</v>
      </c>
      <c r="AD62" s="76">
        <f>AD60/IS!AD7</f>
        <v>5.5683785343335256E-2</v>
      </c>
      <c r="AE62" s="77">
        <f>AE60/IS!AE7</f>
        <v>4.4736842105263158E-2</v>
      </c>
      <c r="AF62" s="76">
        <f>AF60/IS!AF7</f>
        <v>3.3002242870874721E-2</v>
      </c>
      <c r="AG62" s="76">
        <f>AG60/IS!AG7</f>
        <v>4.3778110944527736E-2</v>
      </c>
      <c r="AH62" s="76">
        <f>AH60/IS!AH7</f>
        <v>4.4247787610619468E-2</v>
      </c>
      <c r="AI62" s="77">
        <f>AI60/IS!AI7</f>
        <v>3.2225579053373615E-2</v>
      </c>
      <c r="AJ62" s="76">
        <f>AJ60/IS!AJ7</f>
        <v>2.9116117850953208E-2</v>
      </c>
      <c r="AK62" s="76">
        <f>AK60/IS!AK7</f>
        <v>3.216278306531014E-2</v>
      </c>
      <c r="AL62" s="76">
        <f>AL60/IS!AL7</f>
        <v>3.7916152897657214E-2</v>
      </c>
      <c r="AM62" s="77">
        <f>AM60/IS!AM7</f>
        <v>3.5336856010568032E-2</v>
      </c>
      <c r="AN62" s="76">
        <f>AN60/IS!AN7</f>
        <v>2.5812939993295342E-2</v>
      </c>
      <c r="AO62" s="588">
        <f>AO60/IS!AO7</f>
        <v>2.4301336573511544E-2</v>
      </c>
      <c r="AP62" s="76">
        <f>AP60/IS!AP7</f>
        <v>2.9420165666952301E-2</v>
      </c>
      <c r="AQ62" s="77">
        <f>AQ60/IS!AQ7</f>
        <v>3.8237993270113187E-2</v>
      </c>
      <c r="AR62" s="76">
        <f>AR60/IS!AR7</f>
        <v>3.9047619047619046E-2</v>
      </c>
      <c r="AS62" s="588">
        <f>AS60/IS!AS7</f>
        <v>3.8675742574257425E-2</v>
      </c>
      <c r="AT62" s="588">
        <f>AT60/IS!AT7</f>
        <v>4.0536599591717702E-2</v>
      </c>
      <c r="AU62" s="77">
        <f>AU60/IS!AU7</f>
        <v>5.1426779554719346E-2</v>
      </c>
      <c r="AV62" s="76">
        <f>AV60/IS!AV7</f>
        <v>4.1223404255319146E-2</v>
      </c>
      <c r="AW62" s="588">
        <f>AW60/IS!AW7</f>
        <v>4.8273754964864038E-2</v>
      </c>
      <c r="AX62" s="588">
        <f>AX60/IS!AX7</f>
        <v>3.7823129251700678E-2</v>
      </c>
      <c r="AY62" s="77">
        <f>AY60/IS!AY7</f>
        <v>3.2220269478617461E-2</v>
      </c>
      <c r="AZ62" s="76">
        <f>AZ60/IS!AZ7</f>
        <v>3.7330981775426222E-2</v>
      </c>
      <c r="BA62" s="76">
        <f>BA60/IS!BA7</f>
        <v>4.0888166802057944E-2</v>
      </c>
      <c r="BB62" s="588">
        <f>BB60/IS!BB7</f>
        <v>4.5189504373177841E-2</v>
      </c>
      <c r="BC62" s="77">
        <f>BC60/IS!BC7</f>
        <v>6.1600000000000002E-2</v>
      </c>
      <c r="BD62" s="76">
        <f>BD60/IS!BD7</f>
        <v>4.9881235154394299E-2</v>
      </c>
      <c r="BE62" s="78">
        <f>BD62</f>
        <v>4.9881235154394299E-2</v>
      </c>
      <c r="BF62" s="78">
        <f>BE62</f>
        <v>4.9881235154394299E-2</v>
      </c>
      <c r="BG62" s="79">
        <f>BF62</f>
        <v>4.9881235154394299E-2</v>
      </c>
      <c r="BH62" s="78">
        <v>0.04</v>
      </c>
      <c r="BI62" s="78">
        <f>BH62</f>
        <v>0.04</v>
      </c>
      <c r="BJ62" s="78">
        <f>BI62</f>
        <v>0.04</v>
      </c>
      <c r="BK62" s="79">
        <f>BJ62</f>
        <v>0.04</v>
      </c>
      <c r="BL62" s="78">
        <v>0.04</v>
      </c>
      <c r="BM62" s="78">
        <f>BL62</f>
        <v>0.04</v>
      </c>
      <c r="BN62" s="78">
        <f>BM62</f>
        <v>0.04</v>
      </c>
      <c r="BO62" s="79">
        <f>BN62</f>
        <v>0.04</v>
      </c>
      <c r="BP62" s="152"/>
      <c r="BQ62" s="522">
        <f>BQ60/IS!BQ7</f>
        <v>0.10440985732814527</v>
      </c>
      <c r="BR62" s="76">
        <f>BR60/IS!BR7</f>
        <v>8.9231848474219569E-2</v>
      </c>
      <c r="BS62" s="76">
        <f>BS60/IS!BS7</f>
        <v>4.5178545612259653E-2</v>
      </c>
      <c r="BT62" s="76">
        <f>BT60/IS!BT7</f>
        <v>6.1035117190624752E-2</v>
      </c>
      <c r="BU62" s="76">
        <f>BU60/IS!BU7</f>
        <v>7.2216361369521434E-2</v>
      </c>
      <c r="BV62" s="76">
        <f>BV60/IS!BV7</f>
        <v>8.5851353286553064E-2</v>
      </c>
      <c r="BW62" s="76">
        <f>BW60/IS!BW7</f>
        <v>5.9405940594059403E-2</v>
      </c>
      <c r="BX62" s="76">
        <f>BX60/IS!BX7</f>
        <v>3.8596491228070177E-2</v>
      </c>
      <c r="BY62" s="76">
        <f>BY60/IS!BY7</f>
        <v>3.3759423139954114E-2</v>
      </c>
      <c r="BZ62" s="76">
        <f>BZ60/IS!BZ7</f>
        <v>2.9513223457263319E-2</v>
      </c>
      <c r="CA62" s="76">
        <f>CA60/IS!CA7</f>
        <v>4.2384615384615382E-2</v>
      </c>
      <c r="CB62" s="76">
        <f>CB60/IS!CB7</f>
        <v>3.9715781600598354E-2</v>
      </c>
      <c r="CC62" s="76">
        <f>CC60/IS!CC7</f>
        <v>4.6454114029810839E-2</v>
      </c>
      <c r="CD62" s="76">
        <f>CD60/IS!CD7</f>
        <v>4.9881235154394292E-2</v>
      </c>
      <c r="CE62" s="76">
        <f>CE60/IS!CE7</f>
        <v>4.0000000000000008E-2</v>
      </c>
      <c r="CF62" s="77">
        <f>CF60/IS!CF7</f>
        <v>0.04</v>
      </c>
      <c r="CG62" s="342"/>
      <c r="CH62" s="12"/>
    </row>
    <row r="63" spans="1:86" ht="14.25" customHeight="1">
      <c r="A63" s="8"/>
      <c r="B63" s="15" t="s">
        <v>249</v>
      </c>
      <c r="C63" s="16"/>
      <c r="D63" s="232"/>
      <c r="E63" s="232"/>
      <c r="F63" s="232"/>
      <c r="G63" s="233"/>
      <c r="H63" s="232"/>
      <c r="I63" s="232"/>
      <c r="J63" s="232"/>
      <c r="K63" s="233"/>
      <c r="L63" s="232"/>
      <c r="M63" s="232"/>
      <c r="N63" s="232"/>
      <c r="O63" s="233"/>
      <c r="P63" s="232"/>
      <c r="Q63" s="232"/>
      <c r="R63" s="232"/>
      <c r="S63" s="233"/>
      <c r="T63" s="232"/>
      <c r="U63" s="232"/>
      <c r="V63" s="232"/>
      <c r="W63" s="235"/>
      <c r="X63" s="232"/>
      <c r="Y63" s="232"/>
      <c r="Z63" s="234"/>
      <c r="AA63" s="235"/>
      <c r="AB63" s="236"/>
      <c r="AC63" s="232"/>
      <c r="AD63" s="232"/>
      <c r="AE63" s="235"/>
      <c r="AF63" s="236"/>
      <c r="AG63" s="232"/>
      <c r="AH63" s="232"/>
      <c r="AI63" s="235"/>
      <c r="AJ63" s="236"/>
      <c r="AK63" s="232"/>
      <c r="AL63" s="232"/>
      <c r="AM63" s="235"/>
      <c r="AN63" s="236"/>
      <c r="AO63" s="589"/>
      <c r="AP63" s="236"/>
      <c r="AQ63" s="235"/>
      <c r="AR63" s="236"/>
      <c r="AS63" s="589"/>
      <c r="AT63" s="589"/>
      <c r="AU63" s="235"/>
      <c r="AV63" s="236"/>
      <c r="AW63" s="589"/>
      <c r="AX63" s="589"/>
      <c r="AY63" s="235"/>
      <c r="AZ63" s="236"/>
      <c r="BA63" s="236"/>
      <c r="BB63" s="589"/>
      <c r="BC63" s="235"/>
      <c r="BD63" s="236"/>
      <c r="BE63" s="236"/>
      <c r="BF63" s="236"/>
      <c r="BG63" s="235"/>
      <c r="BH63" s="236"/>
      <c r="BI63" s="236"/>
      <c r="BJ63" s="236"/>
      <c r="BK63" s="235"/>
      <c r="BL63" s="236"/>
      <c r="BM63" s="236"/>
      <c r="BN63" s="236"/>
      <c r="BO63" s="235"/>
      <c r="BP63" s="20"/>
      <c r="BQ63" s="237"/>
      <c r="BR63" s="234"/>
      <c r="BS63" s="234"/>
      <c r="BT63" s="234"/>
      <c r="BU63" s="234"/>
      <c r="BV63" s="236"/>
      <c r="BW63" s="236"/>
      <c r="BX63" s="236"/>
      <c r="BY63" s="239"/>
      <c r="BZ63" s="239"/>
      <c r="CA63" s="239"/>
      <c r="CB63" s="239"/>
      <c r="CC63" s="239"/>
      <c r="CD63" s="239"/>
      <c r="CE63" s="239"/>
      <c r="CF63" s="220"/>
      <c r="CG63" s="297"/>
      <c r="CH63" s="8"/>
    </row>
    <row r="64" spans="1:86" ht="14.25" customHeight="1">
      <c r="A64" s="8"/>
      <c r="B64" s="297" t="s">
        <v>250</v>
      </c>
      <c r="C64" s="224"/>
      <c r="D64" s="227">
        <v>9409</v>
      </c>
      <c r="E64" s="227">
        <v>9323</v>
      </c>
      <c r="F64" s="227">
        <v>9189</v>
      </c>
      <c r="G64" s="590">
        <v>8374</v>
      </c>
      <c r="H64" s="227">
        <v>8442</v>
      </c>
      <c r="I64" s="227">
        <v>8406</v>
      </c>
      <c r="J64" s="227">
        <v>7890</v>
      </c>
      <c r="K64" s="590">
        <v>7751</v>
      </c>
      <c r="L64" s="227">
        <v>7715</v>
      </c>
      <c r="M64" s="227">
        <v>7657</v>
      </c>
      <c r="N64" s="227">
        <v>7597</v>
      </c>
      <c r="O64" s="590">
        <v>7568</v>
      </c>
      <c r="P64" s="227">
        <v>7493</v>
      </c>
      <c r="Q64" s="227">
        <v>7603</v>
      </c>
      <c r="R64" s="227">
        <v>7499</v>
      </c>
      <c r="S64" s="590">
        <v>7321</v>
      </c>
      <c r="T64" s="227">
        <v>7030</v>
      </c>
      <c r="U64" s="227">
        <v>6739</v>
      </c>
      <c r="V64" s="227">
        <v>6599</v>
      </c>
      <c r="W64" s="590">
        <v>6705</v>
      </c>
      <c r="X64" s="227">
        <v>6763</v>
      </c>
      <c r="Y64" s="227">
        <v>6831</v>
      </c>
      <c r="Z64" s="227">
        <v>6897</v>
      </c>
      <c r="AA64" s="590">
        <v>6907</v>
      </c>
      <c r="AB64" s="227">
        <v>6712</v>
      </c>
      <c r="AC64" s="227">
        <v>6573</v>
      </c>
      <c r="AD64" s="227">
        <v>7239</v>
      </c>
      <c r="AE64" s="590">
        <v>7133</v>
      </c>
      <c r="AF64" s="227">
        <v>6840</v>
      </c>
      <c r="AG64" s="227">
        <v>6840</v>
      </c>
      <c r="AH64" s="227">
        <v>6806</v>
      </c>
      <c r="AI64" s="590">
        <v>6891</v>
      </c>
      <c r="AJ64" s="227">
        <v>6773</v>
      </c>
      <c r="AK64" s="227">
        <v>6679</v>
      </c>
      <c r="AL64" s="227">
        <v>6539</v>
      </c>
      <c r="AM64" s="590">
        <v>6556</v>
      </c>
      <c r="AN64" s="227">
        <v>6426</v>
      </c>
      <c r="AO64" s="591">
        <v>6452</v>
      </c>
      <c r="AP64" s="227">
        <v>6393</v>
      </c>
      <c r="AQ64" s="590">
        <v>6266</v>
      </c>
      <c r="AR64" s="227">
        <v>6177</v>
      </c>
      <c r="AS64" s="591">
        <v>6097</v>
      </c>
      <c r="AT64" s="591">
        <v>5742</v>
      </c>
      <c r="AU64" s="590">
        <v>5465</v>
      </c>
      <c r="AV64" s="227">
        <v>5290</v>
      </c>
      <c r="AW64" s="591">
        <v>5152</v>
      </c>
      <c r="AX64" s="591">
        <v>4982</v>
      </c>
      <c r="AY64" s="590">
        <v>4923</v>
      </c>
      <c r="AZ64" s="227">
        <v>4833</v>
      </c>
      <c r="BA64" s="591">
        <v>4656</v>
      </c>
      <c r="BB64" s="591">
        <v>4668</v>
      </c>
      <c r="BC64" s="590">
        <v>4789</v>
      </c>
      <c r="BD64" s="227">
        <v>4907</v>
      </c>
      <c r="BE64" s="221">
        <f t="shared" ref="BE64:BG64" si="316">BD64+BE60+BE61+BE63</f>
        <v>5103.7503749203779</v>
      </c>
      <c r="BF64" s="221">
        <f t="shared" si="316"/>
        <v>5313.1025372526419</v>
      </c>
      <c r="BG64" s="222">
        <f t="shared" si="316"/>
        <v>5510.3649004891604</v>
      </c>
      <c r="BH64" s="221">
        <f t="shared" ref="BH64" si="317">BG64+BH60+BH61+BH63</f>
        <v>5664.3892262459112</v>
      </c>
      <c r="BI64" s="221">
        <f t="shared" ref="BI64" si="318">BH64+BI60+BI61+BI63</f>
        <v>5827.964707811635</v>
      </c>
      <c r="BJ64" s="221">
        <f t="shared" ref="BJ64" si="319">BI64+BJ60+BJ61+BJ63</f>
        <v>6001.5940591767912</v>
      </c>
      <c r="BK64" s="222">
        <f t="shared" ref="BK64" si="320">BJ64+BK60+BK61+BK63</f>
        <v>6164.6666533315965</v>
      </c>
      <c r="BL64" s="221">
        <f t="shared" ref="BL64" si="321">BK64+BL60+BL61+BL63</f>
        <v>6323.6288804051255</v>
      </c>
      <c r="BM64" s="221">
        <f t="shared" ref="BM64" si="322">BL64+BM60+BM61+BM63</f>
        <v>6492.3984721623847</v>
      </c>
      <c r="BN64" s="221">
        <f t="shared" ref="BN64" si="323">BM64+BN60+BN61+BN63</f>
        <v>6671.4382465230119</v>
      </c>
      <c r="BO64" s="222">
        <f t="shared" ref="BO64" si="324">BN64+BO60+BO61+BO63</f>
        <v>6839.6871340355337</v>
      </c>
      <c r="BP64" s="20"/>
      <c r="BQ64" s="592">
        <f>G64</f>
        <v>8374</v>
      </c>
      <c r="BR64" s="239">
        <f>K64</f>
        <v>7751</v>
      </c>
      <c r="BS64" s="239">
        <f>O64</f>
        <v>7568</v>
      </c>
      <c r="BT64" s="239">
        <f>S64</f>
        <v>7321</v>
      </c>
      <c r="BU64" s="239">
        <f>W64</f>
        <v>6705</v>
      </c>
      <c r="BV64" s="239">
        <f>AA64</f>
        <v>6907</v>
      </c>
      <c r="BW64" s="239">
        <f>AE64</f>
        <v>7133</v>
      </c>
      <c r="BX64" s="239">
        <f>AI64</f>
        <v>6891</v>
      </c>
      <c r="BY64" s="148">
        <f>AM64</f>
        <v>6556</v>
      </c>
      <c r="BZ64" s="148">
        <f>AQ64</f>
        <v>6266</v>
      </c>
      <c r="CA64" s="148">
        <f>AU64</f>
        <v>5465</v>
      </c>
      <c r="CB64" s="148">
        <f>AY64</f>
        <v>4923</v>
      </c>
      <c r="CC64" s="148">
        <f>BC64</f>
        <v>4789</v>
      </c>
      <c r="CD64" s="148">
        <f>BG64</f>
        <v>5510.3649004891604</v>
      </c>
      <c r="CE64" s="148">
        <f>BK64</f>
        <v>6164.6666533315965</v>
      </c>
      <c r="CF64" s="151">
        <f>BO64</f>
        <v>6839.6871340355337</v>
      </c>
      <c r="CG64" s="567"/>
      <c r="CH64" s="8"/>
    </row>
    <row r="65" spans="1:86" ht="14.25" customHeight="1">
      <c r="A65" s="8"/>
      <c r="B65" s="593" t="s">
        <v>251</v>
      </c>
      <c r="C65" s="230"/>
      <c r="D65" s="76">
        <f>D64/BS!D26</f>
        <v>0.62539049518112333</v>
      </c>
      <c r="E65" s="76">
        <f>E64/BS!E26</f>
        <v>0.64358691150075931</v>
      </c>
      <c r="F65" s="76">
        <f>F64/BS!F26</f>
        <v>0.61325413774693005</v>
      </c>
      <c r="G65" s="77">
        <f>G64/BS!G26</f>
        <v>0.55593175330279487</v>
      </c>
      <c r="H65" s="76">
        <f>H64/BS!H26</f>
        <v>0.60136771619888874</v>
      </c>
      <c r="I65" s="76">
        <f>I64/BS!I26</f>
        <v>0.52774987443495736</v>
      </c>
      <c r="J65" s="76">
        <f>J64/BS!J26</f>
        <v>0.53364896854920529</v>
      </c>
      <c r="K65" s="77">
        <f>K64/BS!K26</f>
        <v>0.55642498205312274</v>
      </c>
      <c r="L65" s="76">
        <f>L64/BS!L26</f>
        <v>0.56109090909090908</v>
      </c>
      <c r="M65" s="76">
        <f>M64/BS!M26</f>
        <v>0.54614835948644791</v>
      </c>
      <c r="N65" s="76">
        <f>N64/BS!N26</f>
        <v>0.55355581463130288</v>
      </c>
      <c r="O65" s="77">
        <f>O64/BS!O26</f>
        <v>0.59745796163258857</v>
      </c>
      <c r="P65" s="76">
        <f>P64/BS!P26</f>
        <v>0.60731074728481116</v>
      </c>
      <c r="Q65" s="76">
        <f>Q64/BS!Q26</f>
        <v>0.6140365046034566</v>
      </c>
      <c r="R65" s="76">
        <f>R64/BS!R26</f>
        <v>0.60155623295363392</v>
      </c>
      <c r="S65" s="77">
        <f>S64/BS!S26</f>
        <v>0.61402331627945983</v>
      </c>
      <c r="T65" s="76">
        <f>T64/BS!T26</f>
        <v>0.61024305555555558</v>
      </c>
      <c r="U65" s="76">
        <f>U64/BS!U26</f>
        <v>0.58549087749782802</v>
      </c>
      <c r="V65" s="76">
        <f>V64/BS!V26</f>
        <v>0.55439805091153493</v>
      </c>
      <c r="W65" s="77">
        <f>W64/BS!W26</f>
        <v>0.55326347058338143</v>
      </c>
      <c r="X65" s="76">
        <f>X64/BS!X26</f>
        <v>0.5467259498787389</v>
      </c>
      <c r="Y65" s="76">
        <f>Y64/BS!Y26</f>
        <v>0.56157513975665896</v>
      </c>
      <c r="Z65" s="76">
        <f>Z64/BS!Z26</f>
        <v>0.54526049490078266</v>
      </c>
      <c r="AA65" s="77">
        <f>AA64/BS!AA26</f>
        <v>0.51540929781359601</v>
      </c>
      <c r="AB65" s="76">
        <f>AB64/BS!AB26</f>
        <v>0.50428249436513894</v>
      </c>
      <c r="AC65" s="76">
        <f>AC64/BS!AC26</f>
        <v>0.38443092759387065</v>
      </c>
      <c r="AD65" s="76">
        <f>AD64/BS!AD26</f>
        <v>0.3462476682450854</v>
      </c>
      <c r="AE65" s="77">
        <f>AE64/BS!AE26</f>
        <v>0.34834204229135129</v>
      </c>
      <c r="AF65" s="76">
        <f>AF64/BS!AF26</f>
        <v>0.34184616922384925</v>
      </c>
      <c r="AG65" s="76">
        <f>AG64/BS!AG26</f>
        <v>0.35039188566159518</v>
      </c>
      <c r="AH65" s="76">
        <f>AH64/BS!AH26</f>
        <v>0.33177342302817586</v>
      </c>
      <c r="AI65" s="77">
        <f>AI64/BS!AI26</f>
        <v>0.34418860196793366</v>
      </c>
      <c r="AJ65" s="76">
        <f>AJ64/BS!AJ26</f>
        <v>0.34378965534744427</v>
      </c>
      <c r="AK65" s="76">
        <f>AK64/BS!AK26</f>
        <v>0.34431384678832871</v>
      </c>
      <c r="AL65" s="76">
        <f>AL64/BS!AL26</f>
        <v>0.339794221575556</v>
      </c>
      <c r="AM65" s="77">
        <f>AM64/BS!AM26</f>
        <v>0.34618227901573556</v>
      </c>
      <c r="AN65" s="76">
        <f>AN64/BS!AN26</f>
        <v>0.33937153419593347</v>
      </c>
      <c r="AO65" s="588">
        <v>0.36226838854576082</v>
      </c>
      <c r="AP65" s="76">
        <f>AP64/BS!AP26</f>
        <v>0.3571508379888268</v>
      </c>
      <c r="AQ65" s="77">
        <f>AQ64/BS!AQ26</f>
        <v>0.35357183162171313</v>
      </c>
      <c r="AR65" s="76">
        <f>AR64/BS!AR26</f>
        <v>0.35610515392597719</v>
      </c>
      <c r="AS65" s="588">
        <v>0.36226838854576082</v>
      </c>
      <c r="AT65" s="588">
        <f>AT64/BS!AT26</f>
        <v>0.34715840386940749</v>
      </c>
      <c r="AU65" s="77">
        <f>AU64/BS!AU26</f>
        <v>0.33672211953173137</v>
      </c>
      <c r="AV65" s="76">
        <f>AV64/BS!AV26</f>
        <v>0.33724340175953077</v>
      </c>
      <c r="AW65" s="588">
        <v>0.36226838854576082</v>
      </c>
      <c r="AX65" s="588">
        <f>AX64/BS!AX26</f>
        <v>0.30722742969906264</v>
      </c>
      <c r="AY65" s="77">
        <f>AY64/BS!AY26</f>
        <v>0.29961657841884243</v>
      </c>
      <c r="AZ65" s="76">
        <f>AZ64/BS!AZ26</f>
        <v>0.30247840781073976</v>
      </c>
      <c r="BA65" s="588">
        <f>BA64/BS!BA26</f>
        <v>0.28324613699963497</v>
      </c>
      <c r="BB65" s="588">
        <f>BB64/BS!BB26</f>
        <v>0.27573985468722312</v>
      </c>
      <c r="BC65" s="77">
        <f>BC64/BS!BC26</f>
        <v>0.27145448361863733</v>
      </c>
      <c r="BD65" s="76">
        <f>BD64/BS!BD26</f>
        <v>0.2802878848460616</v>
      </c>
      <c r="BE65" s="76">
        <f>BE64/BS!BE26</f>
        <v>0.29094171728855256</v>
      </c>
      <c r="BF65" s="76">
        <f>BF64/BS!BF26</f>
        <v>0.30029909662219834</v>
      </c>
      <c r="BG65" s="77">
        <f>BG64/BS!BG26</f>
        <v>0.31150837047604824</v>
      </c>
      <c r="BH65" s="76">
        <f>BH64/BS!BH26</f>
        <v>0.32512862390336289</v>
      </c>
      <c r="BI65" s="76">
        <f>BI64/BS!BI26</f>
        <v>0.32814569439738145</v>
      </c>
      <c r="BJ65" s="76">
        <f>BJ64/BS!BJ26</f>
        <v>0.32962111471113237</v>
      </c>
      <c r="BK65" s="77">
        <f>BK64/BS!BK26</f>
        <v>0.33386294239562164</v>
      </c>
      <c r="BL65" s="76">
        <f>BL64/BS!BL26</f>
        <v>0.33835679056183826</v>
      </c>
      <c r="BM65" s="76">
        <f>BM64/BS!BM26</f>
        <v>0.33983473400872238</v>
      </c>
      <c r="BN65" s="76">
        <f>BN64/BS!BN26</f>
        <v>0.33904193006754413</v>
      </c>
      <c r="BO65" s="77">
        <f>BO64/BS!BO26</f>
        <v>0.34099367338646397</v>
      </c>
      <c r="BP65" s="20"/>
      <c r="BQ65" s="522">
        <f>BQ64/BS!BQ26</f>
        <v>0.55593175330279487</v>
      </c>
      <c r="BR65" s="76">
        <f>BR64/BS!BR26</f>
        <v>0.55642498205312274</v>
      </c>
      <c r="BS65" s="76">
        <f>BS64/BS!BS26</f>
        <v>0.59745796163258857</v>
      </c>
      <c r="BT65" s="76">
        <f>BT64/BS!BT26</f>
        <v>0.61402331627945983</v>
      </c>
      <c r="BU65" s="76">
        <f>BU64/BS!BU26</f>
        <v>0.55326347058338143</v>
      </c>
      <c r="BV65" s="76">
        <f>BV64/BS!BV26</f>
        <v>0.51540929781359601</v>
      </c>
      <c r="BW65" s="76">
        <f>BW64/BS!BW26</f>
        <v>0.34834204229135129</v>
      </c>
      <c r="BX65" s="76">
        <f>BX64/BS!BX26</f>
        <v>0.34418860196793366</v>
      </c>
      <c r="BY65" s="76">
        <f>BY64/BS!BY26</f>
        <v>0.34618227901573556</v>
      </c>
      <c r="BZ65" s="76">
        <f>BZ64/BS!BZ26</f>
        <v>0.35357183162171313</v>
      </c>
      <c r="CA65" s="76">
        <f>CA64/BS!CA26</f>
        <v>0.33672211953173137</v>
      </c>
      <c r="CB65" s="76">
        <f>CB64/BS!CB26</f>
        <v>0.29961657841884243</v>
      </c>
      <c r="CC65" s="76">
        <f>CC64/BS!CC26</f>
        <v>0.27145448361863733</v>
      </c>
      <c r="CD65" s="76">
        <f>CD64/BS!CD26</f>
        <v>0.31150837047604824</v>
      </c>
      <c r="CE65" s="76">
        <f>CE64/BS!CE26</f>
        <v>0.33386294239562164</v>
      </c>
      <c r="CF65" s="77">
        <f>CF64/BS!CF26</f>
        <v>0.34099367338646397</v>
      </c>
      <c r="CG65" s="297"/>
      <c r="CH65" s="8"/>
    </row>
    <row r="66" spans="1:86" ht="14.25" customHeight="1">
      <c r="A66" s="8"/>
      <c r="B66" s="15" t="s">
        <v>252</v>
      </c>
      <c r="C66" s="16"/>
      <c r="D66" s="227">
        <v>5564</v>
      </c>
      <c r="E66" s="227">
        <v>5566</v>
      </c>
      <c r="F66" s="227">
        <v>5324</v>
      </c>
      <c r="G66" s="594">
        <v>4644</v>
      </c>
      <c r="H66" s="227">
        <v>4574</v>
      </c>
      <c r="I66" s="227">
        <v>4422</v>
      </c>
      <c r="J66" s="227">
        <v>3901</v>
      </c>
      <c r="K66" s="594">
        <v>3801</v>
      </c>
      <c r="L66" s="227">
        <v>3835</v>
      </c>
      <c r="M66" s="227">
        <v>3859</v>
      </c>
      <c r="N66" s="227">
        <v>3916</v>
      </c>
      <c r="O66" s="594">
        <v>3959</v>
      </c>
      <c r="P66" s="227">
        <v>3908</v>
      </c>
      <c r="Q66" s="227">
        <v>3999</v>
      </c>
      <c r="R66" s="227">
        <v>3982</v>
      </c>
      <c r="S66" s="594">
        <v>4017</v>
      </c>
      <c r="T66" s="227">
        <v>3915</v>
      </c>
      <c r="U66" s="227">
        <v>3799</v>
      </c>
      <c r="V66" s="227">
        <v>3654</v>
      </c>
      <c r="W66" s="594">
        <v>3547</v>
      </c>
      <c r="X66" s="227">
        <v>3601</v>
      </c>
      <c r="Y66" s="227">
        <v>3591</v>
      </c>
      <c r="Z66" s="227">
        <v>3441</v>
      </c>
      <c r="AA66" s="594">
        <v>3227</v>
      </c>
      <c r="AB66" s="227">
        <v>3055</v>
      </c>
      <c r="AC66" s="227">
        <v>2859</v>
      </c>
      <c r="AD66" s="227">
        <v>2667</v>
      </c>
      <c r="AE66" s="594">
        <v>2705</v>
      </c>
      <c r="AF66" s="227">
        <v>2562</v>
      </c>
      <c r="AG66" s="225">
        <v>2666</v>
      </c>
      <c r="AH66" s="225">
        <v>2751</v>
      </c>
      <c r="AI66" s="594">
        <v>2979</v>
      </c>
      <c r="AJ66" s="225">
        <v>3034</v>
      </c>
      <c r="AK66" s="225">
        <v>3068</v>
      </c>
      <c r="AL66" s="225">
        <v>3030</v>
      </c>
      <c r="AM66" s="594">
        <v>3157</v>
      </c>
      <c r="AN66" s="225">
        <v>3247</v>
      </c>
      <c r="AO66" s="595">
        <v>3408</v>
      </c>
      <c r="AP66" s="225">
        <v>3463</v>
      </c>
      <c r="AQ66" s="594">
        <v>3426</v>
      </c>
      <c r="AR66" s="225">
        <v>3419</v>
      </c>
      <c r="AS66" s="595">
        <v>3412</v>
      </c>
      <c r="AT66" s="595">
        <v>3113</v>
      </c>
      <c r="AU66" s="594">
        <v>2869</v>
      </c>
      <c r="AV66" s="225">
        <v>2736</v>
      </c>
      <c r="AW66" s="595">
        <v>2595</v>
      </c>
      <c r="AX66" s="595">
        <v>2437</v>
      </c>
      <c r="AY66" s="594">
        <v>2411</v>
      </c>
      <c r="AZ66" s="225">
        <v>2332</v>
      </c>
      <c r="BA66" s="595">
        <v>2142</v>
      </c>
      <c r="BB66" s="595">
        <v>2101</v>
      </c>
      <c r="BC66" s="594">
        <v>2125</v>
      </c>
      <c r="BD66" s="225">
        <v>2171</v>
      </c>
      <c r="BE66" s="219">
        <f t="shared" ref="BE66:BG66" si="325">BD66+BE75</f>
        <v>2300</v>
      </c>
      <c r="BF66" s="219">
        <f t="shared" si="325"/>
        <v>2428</v>
      </c>
      <c r="BG66" s="220">
        <f t="shared" si="325"/>
        <v>2556</v>
      </c>
      <c r="BH66" s="219">
        <f t="shared" ref="BH66" si="326">BG66+BH75</f>
        <v>2688</v>
      </c>
      <c r="BI66" s="219">
        <f t="shared" ref="BI66" si="327">BH66+BI75</f>
        <v>2812</v>
      </c>
      <c r="BJ66" s="219">
        <f t="shared" ref="BJ66" si="328">BI66+BJ75</f>
        <v>2935</v>
      </c>
      <c r="BK66" s="220">
        <f t="shared" ref="BK66" si="329">BJ66+BK75</f>
        <v>3058</v>
      </c>
      <c r="BL66" s="219">
        <f t="shared" ref="BL66" si="330">BK66+BL75</f>
        <v>3185</v>
      </c>
      <c r="BM66" s="219">
        <f t="shared" ref="BM66" si="331">BL66+BM75</f>
        <v>3304</v>
      </c>
      <c r="BN66" s="219">
        <f t="shared" ref="BN66" si="332">BM66+BN75</f>
        <v>3422</v>
      </c>
      <c r="BO66" s="220">
        <f t="shared" ref="BO66" si="333">BN66+BO75</f>
        <v>3540</v>
      </c>
      <c r="BP66" s="20"/>
      <c r="BQ66" s="238">
        <f>G66</f>
        <v>4644</v>
      </c>
      <c r="BR66" s="236">
        <f>K66</f>
        <v>3801</v>
      </c>
      <c r="BS66" s="236">
        <f>O66</f>
        <v>3959</v>
      </c>
      <c r="BT66" s="236">
        <f>S66</f>
        <v>4017</v>
      </c>
      <c r="BU66" s="236">
        <f>W66</f>
        <v>3547</v>
      </c>
      <c r="BV66" s="236">
        <f>AA66</f>
        <v>3227</v>
      </c>
      <c r="BW66" s="236">
        <f>AE66</f>
        <v>2705</v>
      </c>
      <c r="BX66" s="236">
        <f>BX64-BS!BX19</f>
        <v>2979</v>
      </c>
      <c r="BY66" s="236">
        <f>BY64-BS!BY19</f>
        <v>3157</v>
      </c>
      <c r="BZ66" s="236">
        <f>BZ64-BS!BZ19</f>
        <v>3426</v>
      </c>
      <c r="CA66" s="236">
        <f>CA64-BS!CA19</f>
        <v>2869</v>
      </c>
      <c r="CB66" s="236">
        <f>CB64-BS!CB19</f>
        <v>2411</v>
      </c>
      <c r="CC66" s="236">
        <f>CC64-BS!CC19</f>
        <v>2125</v>
      </c>
      <c r="CD66" s="236">
        <f>CD64-BS!CD19</f>
        <v>2556</v>
      </c>
      <c r="CE66" s="236">
        <f>CE64-BS!CE19</f>
        <v>3058</v>
      </c>
      <c r="CF66" s="235">
        <f>CF64-BS!CF19</f>
        <v>3540</v>
      </c>
      <c r="CG66" s="567"/>
      <c r="CH66" s="8"/>
    </row>
    <row r="67" spans="1:86" ht="14.25" customHeight="1">
      <c r="A67" s="8"/>
      <c r="B67" s="240" t="s">
        <v>253</v>
      </c>
      <c r="C67" s="241"/>
      <c r="D67" s="242">
        <f t="shared" ref="D67:AS67" si="334">D64-D66</f>
        <v>3845</v>
      </c>
      <c r="E67" s="242">
        <f t="shared" si="334"/>
        <v>3757</v>
      </c>
      <c r="F67" s="242">
        <f t="shared" si="334"/>
        <v>3865</v>
      </c>
      <c r="G67" s="243">
        <f t="shared" si="334"/>
        <v>3730</v>
      </c>
      <c r="H67" s="242">
        <f t="shared" si="334"/>
        <v>3868</v>
      </c>
      <c r="I67" s="242">
        <f t="shared" si="334"/>
        <v>3984</v>
      </c>
      <c r="J67" s="242">
        <f t="shared" si="334"/>
        <v>3989</v>
      </c>
      <c r="K67" s="243">
        <f t="shared" si="334"/>
        <v>3950</v>
      </c>
      <c r="L67" s="242">
        <f t="shared" si="334"/>
        <v>3880</v>
      </c>
      <c r="M67" s="242">
        <f t="shared" si="334"/>
        <v>3798</v>
      </c>
      <c r="N67" s="242">
        <f t="shared" si="334"/>
        <v>3681</v>
      </c>
      <c r="O67" s="243">
        <f t="shared" si="334"/>
        <v>3609</v>
      </c>
      <c r="P67" s="242">
        <f t="shared" si="334"/>
        <v>3585</v>
      </c>
      <c r="Q67" s="242">
        <f t="shared" si="334"/>
        <v>3604</v>
      </c>
      <c r="R67" s="242">
        <f t="shared" si="334"/>
        <v>3517</v>
      </c>
      <c r="S67" s="243">
        <f t="shared" si="334"/>
        <v>3304</v>
      </c>
      <c r="T67" s="242">
        <f t="shared" si="334"/>
        <v>3115</v>
      </c>
      <c r="U67" s="242">
        <f t="shared" si="334"/>
        <v>2940</v>
      </c>
      <c r="V67" s="242">
        <f t="shared" si="334"/>
        <v>2945</v>
      </c>
      <c r="W67" s="243">
        <f t="shared" si="334"/>
        <v>3158</v>
      </c>
      <c r="X67" s="242">
        <f t="shared" si="334"/>
        <v>3162</v>
      </c>
      <c r="Y67" s="242">
        <f t="shared" si="334"/>
        <v>3240</v>
      </c>
      <c r="Z67" s="242">
        <f t="shared" si="334"/>
        <v>3456</v>
      </c>
      <c r="AA67" s="243">
        <f t="shared" si="334"/>
        <v>3680</v>
      </c>
      <c r="AB67" s="242">
        <f t="shared" si="334"/>
        <v>3657</v>
      </c>
      <c r="AC67" s="242">
        <f t="shared" si="334"/>
        <v>3714</v>
      </c>
      <c r="AD67" s="242">
        <f t="shared" si="334"/>
        <v>4572</v>
      </c>
      <c r="AE67" s="243">
        <f t="shared" si="334"/>
        <v>4428</v>
      </c>
      <c r="AF67" s="242">
        <f t="shared" si="334"/>
        <v>4278</v>
      </c>
      <c r="AG67" s="242">
        <f t="shared" si="334"/>
        <v>4174</v>
      </c>
      <c r="AH67" s="242">
        <f t="shared" si="334"/>
        <v>4055</v>
      </c>
      <c r="AI67" s="243">
        <f t="shared" si="334"/>
        <v>3912</v>
      </c>
      <c r="AJ67" s="242">
        <f t="shared" si="334"/>
        <v>3739</v>
      </c>
      <c r="AK67" s="242">
        <f t="shared" si="334"/>
        <v>3611</v>
      </c>
      <c r="AL67" s="242">
        <f t="shared" si="334"/>
        <v>3509</v>
      </c>
      <c r="AM67" s="243">
        <f t="shared" si="334"/>
        <v>3399</v>
      </c>
      <c r="AN67" s="242">
        <f>AN64-AN66</f>
        <v>3179</v>
      </c>
      <c r="AO67" s="596">
        <f>AO64-AO66</f>
        <v>3044</v>
      </c>
      <c r="AP67" s="242">
        <f t="shared" si="334"/>
        <v>2930</v>
      </c>
      <c r="AQ67" s="243">
        <f t="shared" si="334"/>
        <v>2840</v>
      </c>
      <c r="AR67" s="242">
        <f t="shared" ref="AR67:AW67" si="335">AR64-AR66</f>
        <v>2758</v>
      </c>
      <c r="AS67" s="596">
        <f t="shared" si="334"/>
        <v>2685</v>
      </c>
      <c r="AT67" s="596">
        <f>AT64-AT66</f>
        <v>2629</v>
      </c>
      <c r="AU67" s="243">
        <f>AU64-AU66</f>
        <v>2596</v>
      </c>
      <c r="AV67" s="242">
        <f t="shared" si="335"/>
        <v>2554</v>
      </c>
      <c r="AW67" s="596">
        <f t="shared" si="335"/>
        <v>2557</v>
      </c>
      <c r="AX67" s="596">
        <f>AX64-AX66</f>
        <v>2545</v>
      </c>
      <c r="AY67" s="243">
        <f>AY64-AY66</f>
        <v>2512</v>
      </c>
      <c r="AZ67" s="242">
        <f t="shared" ref="AZ67" si="336">AZ64-AZ66</f>
        <v>2501</v>
      </c>
      <c r="BA67" s="242">
        <f t="shared" ref="BA67:BG67" si="337">BA64-BA66</f>
        <v>2514</v>
      </c>
      <c r="BB67" s="596">
        <f>BB64-BB66</f>
        <v>2567</v>
      </c>
      <c r="BC67" s="243">
        <f>BC64-BC66</f>
        <v>2664</v>
      </c>
      <c r="BD67" s="242">
        <f t="shared" ref="BD67" si="338">BD64-BD66</f>
        <v>2736</v>
      </c>
      <c r="BE67" s="242">
        <f t="shared" si="337"/>
        <v>2803.7503749203779</v>
      </c>
      <c r="BF67" s="242">
        <f t="shared" si="337"/>
        <v>2885.1025372526419</v>
      </c>
      <c r="BG67" s="243">
        <f t="shared" si="337"/>
        <v>2954.3649004891604</v>
      </c>
      <c r="BH67" s="242">
        <f t="shared" ref="BH67:BK67" si="339">BH64-BH66</f>
        <v>2976.3892262459112</v>
      </c>
      <c r="BI67" s="242">
        <f t="shared" si="339"/>
        <v>3015.964707811635</v>
      </c>
      <c r="BJ67" s="242">
        <f t="shared" si="339"/>
        <v>3066.5940591767912</v>
      </c>
      <c r="BK67" s="243">
        <f t="shared" si="339"/>
        <v>3106.6666533315965</v>
      </c>
      <c r="BL67" s="242">
        <f t="shared" ref="BL67:BO67" si="340">BL64-BL66</f>
        <v>3138.6288804051255</v>
      </c>
      <c r="BM67" s="242">
        <f t="shared" si="340"/>
        <v>3188.3984721623847</v>
      </c>
      <c r="BN67" s="242">
        <f t="shared" si="340"/>
        <v>3249.4382465230119</v>
      </c>
      <c r="BO67" s="243">
        <f t="shared" si="340"/>
        <v>3299.6871340355337</v>
      </c>
      <c r="BP67" s="20"/>
      <c r="BQ67" s="244">
        <f t="shared" ref="BQ67:BZ67" si="341">BQ64-BQ66</f>
        <v>3730</v>
      </c>
      <c r="BR67" s="242">
        <f t="shared" si="341"/>
        <v>3950</v>
      </c>
      <c r="BS67" s="242">
        <f t="shared" si="341"/>
        <v>3609</v>
      </c>
      <c r="BT67" s="242">
        <f t="shared" si="341"/>
        <v>3304</v>
      </c>
      <c r="BU67" s="242">
        <f t="shared" si="341"/>
        <v>3158</v>
      </c>
      <c r="BV67" s="242">
        <f t="shared" si="341"/>
        <v>3680</v>
      </c>
      <c r="BW67" s="242">
        <f t="shared" si="341"/>
        <v>4428</v>
      </c>
      <c r="BX67" s="242">
        <f t="shared" si="341"/>
        <v>3912</v>
      </c>
      <c r="BY67" s="242">
        <f t="shared" si="341"/>
        <v>3399</v>
      </c>
      <c r="BZ67" s="242">
        <f t="shared" si="341"/>
        <v>2840</v>
      </c>
      <c r="CA67" s="242">
        <f t="shared" ref="CA67:CF67" si="342">CA64-CA66</f>
        <v>2596</v>
      </c>
      <c r="CB67" s="242">
        <f t="shared" si="342"/>
        <v>2512</v>
      </c>
      <c r="CC67" s="242">
        <f t="shared" si="342"/>
        <v>2664</v>
      </c>
      <c r="CD67" s="242">
        <f t="shared" si="342"/>
        <v>2954.3649004891604</v>
      </c>
      <c r="CE67" s="242">
        <f t="shared" si="342"/>
        <v>3106.6666533315965</v>
      </c>
      <c r="CF67" s="243">
        <f t="shared" si="342"/>
        <v>3299.6871340355337</v>
      </c>
      <c r="CG67" s="297"/>
      <c r="CH67" s="8"/>
    </row>
    <row r="68" spans="1:86" ht="14.25" customHeight="1">
      <c r="A68" s="8"/>
      <c r="B68" s="14"/>
      <c r="C68" s="14"/>
      <c r="D68" s="221"/>
      <c r="E68" s="221"/>
      <c r="F68" s="221"/>
      <c r="G68" s="221"/>
      <c r="H68" s="221"/>
      <c r="I68" s="221"/>
      <c r="J68" s="221"/>
      <c r="K68" s="221"/>
      <c r="L68" s="221"/>
      <c r="M68" s="221"/>
      <c r="N68" s="221"/>
      <c r="O68" s="221"/>
      <c r="P68" s="221"/>
      <c r="Q68" s="221"/>
      <c r="R68" s="221"/>
      <c r="S68" s="221"/>
      <c r="T68" s="221"/>
      <c r="U68" s="221"/>
      <c r="V68" s="221"/>
      <c r="W68" s="221"/>
      <c r="X68" s="221"/>
      <c r="Y68" s="221"/>
      <c r="Z68" s="221"/>
      <c r="AA68" s="221"/>
      <c r="AB68" s="221"/>
      <c r="AC68" s="221"/>
      <c r="AD68" s="221"/>
      <c r="AE68" s="221"/>
      <c r="AF68" s="221"/>
      <c r="AG68" s="221"/>
      <c r="AH68" s="221"/>
      <c r="AI68" s="221"/>
      <c r="AJ68" s="221"/>
      <c r="AK68" s="221"/>
      <c r="AL68" s="221"/>
      <c r="AM68" s="221"/>
      <c r="AN68" s="221"/>
      <c r="AO68" s="597"/>
      <c r="AP68" s="221"/>
      <c r="AQ68" s="221"/>
      <c r="AR68" s="221"/>
      <c r="AS68" s="221"/>
      <c r="AT68" s="221"/>
      <c r="AU68" s="221"/>
      <c r="AV68" s="221"/>
      <c r="AW68" s="221"/>
      <c r="AX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  <c r="BI68" s="221"/>
      <c r="BJ68" s="221"/>
      <c r="BK68" s="221"/>
      <c r="BL68" s="221"/>
      <c r="BM68" s="221"/>
      <c r="BN68" s="221"/>
      <c r="BO68" s="221"/>
      <c r="BP68" s="14"/>
      <c r="BQ68" s="221"/>
      <c r="BR68" s="245"/>
      <c r="BS68" s="245"/>
      <c r="BT68" s="245"/>
      <c r="BU68" s="221"/>
      <c r="BV68" s="221"/>
      <c r="BW68" s="221"/>
      <c r="BX68" s="221"/>
      <c r="BY68" s="221"/>
      <c r="BZ68" s="221"/>
      <c r="CA68" s="221"/>
      <c r="CB68" s="221"/>
      <c r="CC68" s="221"/>
      <c r="CD68" s="221"/>
      <c r="CE68" s="221"/>
      <c r="CF68" s="221"/>
      <c r="CG68" s="8"/>
      <c r="CH68" s="8"/>
    </row>
    <row r="69" spans="1:86" ht="14.25" customHeight="1">
      <c r="A69" s="8"/>
      <c r="B69" s="58" t="s">
        <v>218</v>
      </c>
      <c r="C69" s="209"/>
      <c r="D69" s="148">
        <f>BS!D19</f>
        <v>3845</v>
      </c>
      <c r="E69" s="148">
        <f>BS!E19</f>
        <v>3757</v>
      </c>
      <c r="F69" s="148">
        <f>BS!F19</f>
        <v>3865</v>
      </c>
      <c r="G69" s="149">
        <f>BS!G19</f>
        <v>3730</v>
      </c>
      <c r="H69" s="148">
        <f>BS!H19</f>
        <v>3868</v>
      </c>
      <c r="I69" s="148">
        <f>BS!I19</f>
        <v>3984</v>
      </c>
      <c r="J69" s="148">
        <f>BS!J19</f>
        <v>3989</v>
      </c>
      <c r="K69" s="149">
        <f>BS!K19</f>
        <v>3950</v>
      </c>
      <c r="L69" s="148">
        <f>BS!L19</f>
        <v>3880</v>
      </c>
      <c r="M69" s="148">
        <f>BS!M19</f>
        <v>3798</v>
      </c>
      <c r="N69" s="148">
        <f>BS!N19</f>
        <v>3681</v>
      </c>
      <c r="O69" s="149">
        <f>BS!O19</f>
        <v>3609</v>
      </c>
      <c r="P69" s="148">
        <f>BS!P19</f>
        <v>3585</v>
      </c>
      <c r="Q69" s="148">
        <f>BS!Q19</f>
        <v>3604</v>
      </c>
      <c r="R69" s="148">
        <f>BS!R19</f>
        <v>3517</v>
      </c>
      <c r="S69" s="149">
        <f>BS!S19</f>
        <v>3304</v>
      </c>
      <c r="T69" s="148">
        <f>BS!T19</f>
        <v>3115</v>
      </c>
      <c r="U69" s="148">
        <f>BS!U19</f>
        <v>2940</v>
      </c>
      <c r="V69" s="148">
        <f>BS!V19</f>
        <v>2945</v>
      </c>
      <c r="W69" s="151">
        <f>BS!W19</f>
        <v>3158</v>
      </c>
      <c r="X69" s="150">
        <f>BS!X19</f>
        <v>3162</v>
      </c>
      <c r="Y69" s="148">
        <f>BS!Y19</f>
        <v>3240</v>
      </c>
      <c r="Z69" s="148">
        <f>BS!Z19</f>
        <v>3456</v>
      </c>
      <c r="AA69" s="151">
        <f>BS!AA19</f>
        <v>3680</v>
      </c>
      <c r="AB69" s="150">
        <f>BS!AB19</f>
        <v>3657</v>
      </c>
      <c r="AC69" s="148">
        <f>BS!AC19</f>
        <v>3714</v>
      </c>
      <c r="AD69" s="148">
        <f>BS!AD19</f>
        <v>4572</v>
      </c>
      <c r="AE69" s="151">
        <f>BS!AE19</f>
        <v>4428</v>
      </c>
      <c r="AF69" s="150">
        <f>BS!AF19</f>
        <v>4278</v>
      </c>
      <c r="AG69" s="148">
        <f>BS!AG19</f>
        <v>4174</v>
      </c>
      <c r="AH69" s="148">
        <f>BS!AH19</f>
        <v>4055</v>
      </c>
      <c r="AI69" s="151">
        <f>BS!AI19</f>
        <v>3912</v>
      </c>
      <c r="AJ69" s="148">
        <f>BS!AJ19</f>
        <v>3739</v>
      </c>
      <c r="AK69" s="148">
        <f>BS!AK19</f>
        <v>3611</v>
      </c>
      <c r="AL69" s="148">
        <f>BS!AL19</f>
        <v>3509</v>
      </c>
      <c r="AM69" s="151">
        <f>BS!AM19</f>
        <v>3399</v>
      </c>
      <c r="AN69" s="148">
        <f>BS!AN19</f>
        <v>3179</v>
      </c>
      <c r="AO69" s="598">
        <v>3044</v>
      </c>
      <c r="AP69" s="148">
        <f>BS!AP19</f>
        <v>2930</v>
      </c>
      <c r="AQ69" s="151">
        <f>BS!AQ19</f>
        <v>2840</v>
      </c>
      <c r="AR69" s="148">
        <f>BS!AR19</f>
        <v>2758</v>
      </c>
      <c r="AS69" s="148">
        <f>BS!AS19</f>
        <v>2685</v>
      </c>
      <c r="AT69" s="148">
        <f>BS!AT19</f>
        <v>2629</v>
      </c>
      <c r="AU69" s="151">
        <f>BS!AU19</f>
        <v>2596</v>
      </c>
      <c r="AV69" s="148">
        <f>BS!AV19</f>
        <v>2554</v>
      </c>
      <c r="AW69" s="148">
        <f>BS!AW19</f>
        <v>2557</v>
      </c>
      <c r="AX69" s="148">
        <f>BS!AX19</f>
        <v>2545</v>
      </c>
      <c r="AY69" s="151">
        <f>BS!AY19</f>
        <v>2512</v>
      </c>
      <c r="AZ69" s="148">
        <f>BS!AZ19</f>
        <v>2501</v>
      </c>
      <c r="BA69" s="148">
        <f>BS!BA19</f>
        <v>2514</v>
      </c>
      <c r="BB69" s="148">
        <f>BS!BB19</f>
        <v>2567</v>
      </c>
      <c r="BC69" s="151">
        <f>BS!BC19</f>
        <v>2664</v>
      </c>
      <c r="BD69" s="148">
        <f>BS!BD19</f>
        <v>2736</v>
      </c>
      <c r="BE69" s="148">
        <f>BS!BE19</f>
        <v>2803.7503749203779</v>
      </c>
      <c r="BF69" s="148">
        <f>BS!BF19</f>
        <v>2885.1025372526419</v>
      </c>
      <c r="BG69" s="149">
        <f>BS!BG19</f>
        <v>2954.3649004891604</v>
      </c>
      <c r="BH69" s="148">
        <f>BS!BH19</f>
        <v>2976.3892262459112</v>
      </c>
      <c r="BI69" s="148">
        <f>BS!BI19</f>
        <v>3015.964707811635</v>
      </c>
      <c r="BJ69" s="148">
        <f>BS!BJ19</f>
        <v>3066.5940591767912</v>
      </c>
      <c r="BK69" s="149">
        <f>BS!BK19</f>
        <v>3106.6666533315965</v>
      </c>
      <c r="BL69" s="148">
        <f>BS!BL19</f>
        <v>3138.6288804051255</v>
      </c>
      <c r="BM69" s="148">
        <f>BS!BM19</f>
        <v>3188.3984721623847</v>
      </c>
      <c r="BN69" s="148">
        <f>BS!BN19</f>
        <v>3249.4382465230119</v>
      </c>
      <c r="BO69" s="149">
        <f>BS!BO19</f>
        <v>3299.6871340355337</v>
      </c>
      <c r="BP69" s="152"/>
      <c r="BQ69" s="148">
        <f>BS!BQ19</f>
        <v>3730</v>
      </c>
      <c r="BR69" s="148">
        <f>BS!BR19</f>
        <v>3950</v>
      </c>
      <c r="BS69" s="148">
        <f>BS!BS19</f>
        <v>3609</v>
      </c>
      <c r="BT69" s="148">
        <f>BS!BT19</f>
        <v>3304</v>
      </c>
      <c r="BU69" s="148">
        <f>BS!BU19</f>
        <v>3158</v>
      </c>
      <c r="BV69" s="148">
        <f>BS!BV19</f>
        <v>3680</v>
      </c>
      <c r="BW69" s="148">
        <f>BS!BW19</f>
        <v>4428</v>
      </c>
      <c r="BX69" s="148">
        <f>BS!BX19</f>
        <v>3912</v>
      </c>
      <c r="BY69" s="210">
        <f>BS!BY19</f>
        <v>3399</v>
      </c>
      <c r="BZ69" s="210">
        <f>BS!BZ19</f>
        <v>2840</v>
      </c>
      <c r="CA69" s="210">
        <f>BS!CA19</f>
        <v>2596</v>
      </c>
      <c r="CB69" s="210">
        <f>BS!CB19</f>
        <v>2512</v>
      </c>
      <c r="CC69" s="210">
        <f>BS!CC19</f>
        <v>2664</v>
      </c>
      <c r="CD69" s="210">
        <f>BS!CD19</f>
        <v>2954.3649004891604</v>
      </c>
      <c r="CE69" s="210">
        <f>BS!CE19</f>
        <v>3106.6666533315965</v>
      </c>
      <c r="CF69" s="149">
        <f>BS!CF19</f>
        <v>3299.6871340355337</v>
      </c>
      <c r="CG69" s="297"/>
      <c r="CH69" s="8"/>
    </row>
    <row r="70" spans="1:86" ht="14.25" customHeight="1">
      <c r="A70" s="8"/>
      <c r="B70" s="117" t="s">
        <v>196</v>
      </c>
      <c r="C70" s="118"/>
      <c r="D70" s="119">
        <f t="shared" ref="D70:AQ70" si="343">IF(ROUND(D69,4)=ROUND(D67,4),0,(D69-D67))</f>
        <v>0</v>
      </c>
      <c r="E70" s="119">
        <f t="shared" si="343"/>
        <v>0</v>
      </c>
      <c r="F70" s="119">
        <f t="shared" si="343"/>
        <v>0</v>
      </c>
      <c r="G70" s="120">
        <f t="shared" si="343"/>
        <v>0</v>
      </c>
      <c r="H70" s="119">
        <f t="shared" si="343"/>
        <v>0</v>
      </c>
      <c r="I70" s="119">
        <f t="shared" si="343"/>
        <v>0</v>
      </c>
      <c r="J70" s="119">
        <f t="shared" si="343"/>
        <v>0</v>
      </c>
      <c r="K70" s="120">
        <f t="shared" si="343"/>
        <v>0</v>
      </c>
      <c r="L70" s="119">
        <f t="shared" si="343"/>
        <v>0</v>
      </c>
      <c r="M70" s="119">
        <f t="shared" si="343"/>
        <v>0</v>
      </c>
      <c r="N70" s="119">
        <f t="shared" si="343"/>
        <v>0</v>
      </c>
      <c r="O70" s="120">
        <f t="shared" si="343"/>
        <v>0</v>
      </c>
      <c r="P70" s="119">
        <f t="shared" si="343"/>
        <v>0</v>
      </c>
      <c r="Q70" s="119">
        <f t="shared" si="343"/>
        <v>0</v>
      </c>
      <c r="R70" s="119">
        <f t="shared" si="343"/>
        <v>0</v>
      </c>
      <c r="S70" s="120">
        <f t="shared" si="343"/>
        <v>0</v>
      </c>
      <c r="T70" s="119">
        <f t="shared" si="343"/>
        <v>0</v>
      </c>
      <c r="U70" s="119">
        <f t="shared" si="343"/>
        <v>0</v>
      </c>
      <c r="V70" s="119">
        <f t="shared" si="343"/>
        <v>0</v>
      </c>
      <c r="W70" s="120">
        <f t="shared" si="343"/>
        <v>0</v>
      </c>
      <c r="X70" s="119">
        <f t="shared" si="343"/>
        <v>0</v>
      </c>
      <c r="Y70" s="119">
        <f t="shared" si="343"/>
        <v>0</v>
      </c>
      <c r="Z70" s="153">
        <f>IF(ROUND(Z69,4)=ROUND(Z67,4),0,(Z69-Z67))</f>
        <v>0</v>
      </c>
      <c r="AA70" s="120">
        <f t="shared" si="343"/>
        <v>0</v>
      </c>
      <c r="AB70" s="119">
        <f t="shared" si="343"/>
        <v>0</v>
      </c>
      <c r="AC70" s="119">
        <f t="shared" si="343"/>
        <v>0</v>
      </c>
      <c r="AD70" s="119">
        <f t="shared" si="343"/>
        <v>0</v>
      </c>
      <c r="AE70" s="120">
        <f t="shared" si="343"/>
        <v>0</v>
      </c>
      <c r="AF70" s="119">
        <f t="shared" si="343"/>
        <v>0</v>
      </c>
      <c r="AG70" s="119">
        <f t="shared" si="343"/>
        <v>0</v>
      </c>
      <c r="AH70" s="119">
        <f t="shared" si="343"/>
        <v>0</v>
      </c>
      <c r="AI70" s="120">
        <f t="shared" si="343"/>
        <v>0</v>
      </c>
      <c r="AJ70" s="121">
        <f t="shared" si="343"/>
        <v>0</v>
      </c>
      <c r="AK70" s="119">
        <f t="shared" si="343"/>
        <v>0</v>
      </c>
      <c r="AL70" s="119">
        <f t="shared" si="343"/>
        <v>0</v>
      </c>
      <c r="AM70" s="120">
        <f t="shared" si="343"/>
        <v>0</v>
      </c>
      <c r="AN70" s="121">
        <f>IF(ROUND(AN69,4)=ROUND(AN67,4),0,(AN69-AN67))</f>
        <v>0</v>
      </c>
      <c r="AO70" s="599">
        <v>0</v>
      </c>
      <c r="AP70" s="119">
        <f t="shared" si="343"/>
        <v>0</v>
      </c>
      <c r="AQ70" s="120">
        <f t="shared" si="343"/>
        <v>0</v>
      </c>
      <c r="AR70" s="121">
        <f t="shared" ref="AR70:AV70" si="344">IF(ROUND(AR69,4)=ROUND(AR67,4),0,(AR69-AR67))</f>
        <v>0</v>
      </c>
      <c r="AS70" s="119">
        <f t="shared" si="344"/>
        <v>0</v>
      </c>
      <c r="AT70" s="119">
        <f t="shared" si="344"/>
        <v>0</v>
      </c>
      <c r="AU70" s="120">
        <f>IF(ROUND(AU69,4)=ROUND(AU67,4),0,(AU69-AU67))</f>
        <v>0</v>
      </c>
      <c r="AV70" s="121">
        <f t="shared" si="344"/>
        <v>0</v>
      </c>
      <c r="AW70" s="119">
        <f>IF(ROUND(AW69,4)=ROUND(AW67,4),0,(AW69-AW67))</f>
        <v>0</v>
      </c>
      <c r="AX70" s="119">
        <f>IF(ROUND(AX69,4)=ROUND(AX67,4),0,(AX69-AX67))</f>
        <v>0</v>
      </c>
      <c r="AY70" s="120">
        <f>IF(ROUND(AY69,4)=ROUND(AY67,4),0,(AY69-AY67))</f>
        <v>0</v>
      </c>
      <c r="AZ70" s="121">
        <f t="shared" ref="AZ70" si="345">IF(ROUND(AZ69,4)=ROUND(AZ67,4),0,(AZ69-AZ67))</f>
        <v>0</v>
      </c>
      <c r="BA70" s="119">
        <f t="shared" ref="BA70:BG70" si="346">IF(ROUND(BA69,4)=ROUND(BA67,4),0,(BA69-BA67))</f>
        <v>0</v>
      </c>
      <c r="BB70" s="119">
        <f>IF(ROUND(BB69,4)=ROUND(BB67,4),0,(BB69-BB67))</f>
        <v>0</v>
      </c>
      <c r="BC70" s="120">
        <f>IF(ROUND(BC69,4)=ROUND(BC67,4),0,(BC69-BC67))</f>
        <v>0</v>
      </c>
      <c r="BD70" s="121">
        <f t="shared" ref="BD70" si="347">IF(ROUND(BD69,4)=ROUND(BD67,4),0,(BD69-BD67))</f>
        <v>0</v>
      </c>
      <c r="BE70" s="119">
        <f t="shared" si="346"/>
        <v>0</v>
      </c>
      <c r="BF70" s="119">
        <f t="shared" si="346"/>
        <v>0</v>
      </c>
      <c r="BG70" s="120">
        <f t="shared" si="346"/>
        <v>0</v>
      </c>
      <c r="BH70" s="121">
        <f t="shared" ref="BH70:BK70" si="348">IF(ROUND(BH69,4)=ROUND(BH67,4),0,(BH69-BH67))</f>
        <v>0</v>
      </c>
      <c r="BI70" s="119">
        <f t="shared" si="348"/>
        <v>0</v>
      </c>
      <c r="BJ70" s="119">
        <f t="shared" si="348"/>
        <v>0</v>
      </c>
      <c r="BK70" s="120">
        <f t="shared" si="348"/>
        <v>0</v>
      </c>
      <c r="BL70" s="121">
        <f t="shared" ref="BL70:BO70" si="349">IF(ROUND(BL69,4)=ROUND(BL67,4),0,(BL69-BL67))</f>
        <v>0</v>
      </c>
      <c r="BM70" s="119">
        <f t="shared" si="349"/>
        <v>0</v>
      </c>
      <c r="BN70" s="119">
        <f t="shared" si="349"/>
        <v>0</v>
      </c>
      <c r="BO70" s="120">
        <f t="shared" si="349"/>
        <v>0</v>
      </c>
      <c r="BP70" s="152"/>
      <c r="BQ70" s="119">
        <f t="shared" ref="BQ70:BZ70" si="350">IF(ROUND(BQ69,4)=ROUND(BQ67,4),0,(BQ69-BQ67))</f>
        <v>0</v>
      </c>
      <c r="BR70" s="119">
        <f t="shared" si="350"/>
        <v>0</v>
      </c>
      <c r="BS70" s="119">
        <f t="shared" si="350"/>
        <v>0</v>
      </c>
      <c r="BT70" s="119">
        <f t="shared" si="350"/>
        <v>0</v>
      </c>
      <c r="BU70" s="119">
        <f t="shared" si="350"/>
        <v>0</v>
      </c>
      <c r="BV70" s="119">
        <f t="shared" si="350"/>
        <v>0</v>
      </c>
      <c r="BW70" s="119">
        <f t="shared" si="350"/>
        <v>0</v>
      </c>
      <c r="BX70" s="119">
        <f t="shared" si="350"/>
        <v>0</v>
      </c>
      <c r="BY70" s="119">
        <f t="shared" si="350"/>
        <v>0</v>
      </c>
      <c r="BZ70" s="119">
        <f t="shared" si="350"/>
        <v>0</v>
      </c>
      <c r="CA70" s="119">
        <f t="shared" ref="CA70:CF70" si="351">IF(ROUND(CA69,4)=ROUND(CA67,4),0,(CA69-CA67))</f>
        <v>0</v>
      </c>
      <c r="CB70" s="119">
        <f t="shared" si="351"/>
        <v>0</v>
      </c>
      <c r="CC70" s="119">
        <f t="shared" si="351"/>
        <v>0</v>
      </c>
      <c r="CD70" s="119">
        <f t="shared" si="351"/>
        <v>0</v>
      </c>
      <c r="CE70" s="119">
        <f t="shared" si="351"/>
        <v>0</v>
      </c>
      <c r="CF70" s="120">
        <f t="shared" si="351"/>
        <v>0</v>
      </c>
      <c r="CG70" s="297"/>
      <c r="CH70" s="8"/>
    </row>
    <row r="71" spans="1:86" ht="14.25" customHeight="1">
      <c r="A71" s="8"/>
      <c r="B71" s="14"/>
      <c r="C71" s="14"/>
      <c r="D71" s="214"/>
      <c r="E71" s="214"/>
      <c r="F71" s="246"/>
      <c r="G71" s="247"/>
      <c r="H71" s="214"/>
      <c r="I71" s="214"/>
      <c r="J71" s="246"/>
      <c r="K71" s="247"/>
      <c r="L71" s="214"/>
      <c r="M71" s="214"/>
      <c r="N71" s="246"/>
      <c r="O71" s="247"/>
      <c r="P71" s="214"/>
      <c r="Q71" s="214"/>
      <c r="R71" s="246"/>
      <c r="S71" s="247"/>
      <c r="T71" s="214"/>
      <c r="U71" s="214"/>
      <c r="V71" s="246"/>
      <c r="W71" s="247"/>
      <c r="X71" s="248"/>
      <c r="Y71" s="214"/>
      <c r="Z71" s="248"/>
      <c r="AA71" s="247"/>
      <c r="AB71" s="248"/>
      <c r="AC71" s="214"/>
      <c r="AD71" s="249"/>
      <c r="AE71" s="247"/>
      <c r="AF71" s="248"/>
      <c r="AG71" s="249"/>
      <c r="AH71" s="249"/>
      <c r="AI71" s="247"/>
      <c r="AJ71" s="249"/>
      <c r="AK71" s="249"/>
      <c r="AL71" s="249"/>
      <c r="AM71" s="249"/>
      <c r="AN71" s="249"/>
      <c r="AO71" s="249"/>
      <c r="AP71" s="249"/>
      <c r="AQ71" s="249"/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8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8"/>
      <c r="CH71" s="8"/>
    </row>
    <row r="72" spans="1:86" ht="14.25" customHeight="1">
      <c r="A72" s="8"/>
      <c r="B72" s="14"/>
      <c r="C72" s="14"/>
      <c r="D72" s="214"/>
      <c r="E72" s="214"/>
      <c r="F72" s="246"/>
      <c r="G72" s="225"/>
      <c r="H72" s="214"/>
      <c r="I72" s="214"/>
      <c r="J72" s="246"/>
      <c r="K72" s="225"/>
      <c r="L72" s="214"/>
      <c r="M72" s="214"/>
      <c r="N72" s="246"/>
      <c r="O72" s="225"/>
      <c r="P72" s="214"/>
      <c r="Q72" s="214"/>
      <c r="R72" s="246"/>
      <c r="S72" s="225"/>
      <c r="T72" s="214"/>
      <c r="U72" s="214"/>
      <c r="V72" s="246"/>
      <c r="W72" s="225"/>
      <c r="X72" s="250"/>
      <c r="Y72" s="214"/>
      <c r="Z72" s="250"/>
      <c r="AA72" s="225"/>
      <c r="AB72" s="250"/>
      <c r="AC72" s="214"/>
      <c r="AD72" s="249"/>
      <c r="AE72" s="249"/>
      <c r="AF72" s="250"/>
      <c r="AG72" s="249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8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8"/>
      <c r="CH72" s="8"/>
    </row>
    <row r="73" spans="1:86" ht="14.25" customHeight="1">
      <c r="A73" s="8"/>
      <c r="B73" s="14"/>
      <c r="C73" s="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51"/>
      <c r="X73" s="214"/>
      <c r="Y73" s="214"/>
      <c r="Z73" s="214"/>
      <c r="AA73" s="251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8"/>
      <c r="BQ73" s="214"/>
      <c r="BR73" s="214"/>
      <c r="BS73" s="214"/>
      <c r="BT73" s="214"/>
      <c r="BU73" s="214"/>
      <c r="BV73" s="214"/>
      <c r="BW73" s="214"/>
      <c r="BX73" s="214"/>
      <c r="BY73" s="214"/>
      <c r="BZ73" s="214"/>
      <c r="CA73" s="214"/>
      <c r="CB73" s="214"/>
      <c r="CC73" s="214"/>
      <c r="CD73" s="214"/>
      <c r="CE73" s="214"/>
      <c r="CF73" s="214"/>
      <c r="CG73" s="8"/>
      <c r="CH73" s="8"/>
    </row>
    <row r="74" spans="1:86" ht="14.25" customHeight="1">
      <c r="A74" s="8"/>
      <c r="B74" s="126" t="s">
        <v>254</v>
      </c>
      <c r="C74" s="127"/>
      <c r="D74" s="252" t="str">
        <f t="shared" ref="D74:AQ74" si="352">D59</f>
        <v>F1Q05A</v>
      </c>
      <c r="E74" s="216" t="str">
        <f t="shared" si="352"/>
        <v>F2Q05A</v>
      </c>
      <c r="F74" s="216" t="str">
        <f t="shared" si="352"/>
        <v>F3Q05A</v>
      </c>
      <c r="G74" s="217" t="str">
        <f t="shared" si="352"/>
        <v>F4Q05A</v>
      </c>
      <c r="H74" s="252" t="str">
        <f t="shared" si="352"/>
        <v>F1Q06A</v>
      </c>
      <c r="I74" s="216" t="str">
        <f t="shared" si="352"/>
        <v>F2Q06A</v>
      </c>
      <c r="J74" s="216" t="str">
        <f t="shared" si="352"/>
        <v>F3Q06A</v>
      </c>
      <c r="K74" s="217" t="str">
        <f t="shared" si="352"/>
        <v>F4Q06A</v>
      </c>
      <c r="L74" s="252" t="str">
        <f t="shared" si="352"/>
        <v>F1Q07A</v>
      </c>
      <c r="M74" s="216" t="str">
        <f t="shared" si="352"/>
        <v>F2Q07A</v>
      </c>
      <c r="N74" s="216" t="str">
        <f t="shared" si="352"/>
        <v>F3Q07A</v>
      </c>
      <c r="O74" s="217" t="str">
        <f t="shared" si="352"/>
        <v>F4Q07A</v>
      </c>
      <c r="P74" s="252" t="str">
        <f t="shared" si="352"/>
        <v>F1Q08A</v>
      </c>
      <c r="Q74" s="216" t="str">
        <f t="shared" si="352"/>
        <v>F2Q08A</v>
      </c>
      <c r="R74" s="216" t="str">
        <f t="shared" si="352"/>
        <v>F3Q08A</v>
      </c>
      <c r="S74" s="217" t="str">
        <f t="shared" si="352"/>
        <v>F4Q08A</v>
      </c>
      <c r="T74" s="252" t="str">
        <f t="shared" si="352"/>
        <v>F1Q09A</v>
      </c>
      <c r="U74" s="216" t="str">
        <f t="shared" si="352"/>
        <v>F2Q09A</v>
      </c>
      <c r="V74" s="216" t="str">
        <f t="shared" si="352"/>
        <v>F3Q09A</v>
      </c>
      <c r="W74" s="217" t="str">
        <f t="shared" si="352"/>
        <v>F4Q09A</v>
      </c>
      <c r="X74" s="252" t="str">
        <f t="shared" si="352"/>
        <v>F1Q10A</v>
      </c>
      <c r="Y74" s="216" t="str">
        <f t="shared" si="352"/>
        <v>F2Q10A</v>
      </c>
      <c r="Z74" s="216" t="str">
        <f t="shared" si="352"/>
        <v>F3Q10A</v>
      </c>
      <c r="AA74" s="217" t="str">
        <f t="shared" si="352"/>
        <v>F4Q10A</v>
      </c>
      <c r="AB74" s="252" t="str">
        <f>AB59</f>
        <v>F1Q11A</v>
      </c>
      <c r="AC74" s="216" t="str">
        <f>AC59</f>
        <v>F2Q11A</v>
      </c>
      <c r="AD74" s="216" t="str">
        <f t="shared" si="352"/>
        <v>F3Q11A</v>
      </c>
      <c r="AE74" s="217" t="str">
        <f t="shared" si="352"/>
        <v>F4Q11A</v>
      </c>
      <c r="AF74" s="252" t="str">
        <f t="shared" si="352"/>
        <v>F1Q12A</v>
      </c>
      <c r="AG74" s="216" t="str">
        <f t="shared" si="352"/>
        <v>F2Q12A</v>
      </c>
      <c r="AH74" s="216" t="str">
        <f t="shared" si="352"/>
        <v>F3Q12A</v>
      </c>
      <c r="AI74" s="217" t="str">
        <f>AI59</f>
        <v>F4Q12A</v>
      </c>
      <c r="AJ74" s="252" t="str">
        <f t="shared" si="352"/>
        <v>F1Q13A</v>
      </c>
      <c r="AK74" s="216" t="str">
        <f>AK59</f>
        <v>F2Q13A</v>
      </c>
      <c r="AL74" s="216" t="str">
        <f t="shared" si="352"/>
        <v>F3Q13A</v>
      </c>
      <c r="AM74" s="217" t="str">
        <f t="shared" si="352"/>
        <v>F4Q13A</v>
      </c>
      <c r="AN74" s="252" t="str">
        <f t="shared" si="352"/>
        <v>F1Q14A</v>
      </c>
      <c r="AO74" s="216" t="str">
        <f t="shared" si="352"/>
        <v>F2Q14E</v>
      </c>
      <c r="AP74" s="216" t="str">
        <f t="shared" si="352"/>
        <v>F3Q14A</v>
      </c>
      <c r="AQ74" s="217" t="str">
        <f t="shared" si="352"/>
        <v>F4Q14A</v>
      </c>
      <c r="AR74" s="252" t="str">
        <f t="shared" ref="AR74:AV74" si="353">AR59</f>
        <v>F1Q15A</v>
      </c>
      <c r="AS74" s="216" t="str">
        <f t="shared" si="353"/>
        <v>F2Q15A</v>
      </c>
      <c r="AT74" s="216" t="str">
        <f t="shared" si="353"/>
        <v>F3Q15A</v>
      </c>
      <c r="AU74" s="217" t="str">
        <f>AU59</f>
        <v>F4Q15A</v>
      </c>
      <c r="AV74" s="252" t="str">
        <f t="shared" si="353"/>
        <v>F1Q16A</v>
      </c>
      <c r="AW74" s="216" t="str">
        <f>AW59</f>
        <v>F2Q16A</v>
      </c>
      <c r="AX74" s="216" t="str">
        <f>AX59</f>
        <v>F3Q16A</v>
      </c>
      <c r="AY74" s="217" t="str">
        <f>AY59</f>
        <v>F4Q16A</v>
      </c>
      <c r="AZ74" s="252" t="str">
        <f t="shared" ref="AZ74" si="354">AZ59</f>
        <v>F1Q17A</v>
      </c>
      <c r="BA74" s="216" t="str">
        <f t="shared" ref="BA74:BG74" si="355">BA59</f>
        <v>F2Q17A</v>
      </c>
      <c r="BB74" s="216" t="str">
        <f t="shared" si="355"/>
        <v>F3Q17A</v>
      </c>
      <c r="BC74" s="217" t="str">
        <f t="shared" si="355"/>
        <v>F4Q17A</v>
      </c>
      <c r="BD74" s="252" t="str">
        <f t="shared" si="355"/>
        <v>F1Q18A</v>
      </c>
      <c r="BE74" s="216" t="str">
        <f t="shared" si="355"/>
        <v>F2Q18E</v>
      </c>
      <c r="BF74" s="216" t="str">
        <f t="shared" si="355"/>
        <v>F3Q18E</v>
      </c>
      <c r="BG74" s="217" t="str">
        <f t="shared" si="355"/>
        <v>F4Q18E</v>
      </c>
      <c r="BH74" s="252" t="str">
        <f t="shared" ref="BH74:BK74" si="356">BH59</f>
        <v>F1Q19E</v>
      </c>
      <c r="BI74" s="216" t="str">
        <f t="shared" si="356"/>
        <v>F2Q19E</v>
      </c>
      <c r="BJ74" s="216" t="str">
        <f t="shared" si="356"/>
        <v>F3Q19E</v>
      </c>
      <c r="BK74" s="217" t="str">
        <f t="shared" si="356"/>
        <v>F4Q19E</v>
      </c>
      <c r="BL74" s="252" t="str">
        <f t="shared" ref="BL74:BO74" si="357">BL59</f>
        <v>F1Q20E</v>
      </c>
      <c r="BM74" s="216" t="str">
        <f t="shared" si="357"/>
        <v>F2Q20E</v>
      </c>
      <c r="BN74" s="216" t="str">
        <f t="shared" si="357"/>
        <v>F3Q20E</v>
      </c>
      <c r="BO74" s="217" t="str">
        <f t="shared" si="357"/>
        <v>F4Q20E</v>
      </c>
      <c r="BP74" s="20"/>
      <c r="BQ74" s="17" t="str">
        <f>BQ59</f>
        <v>FY2005A</v>
      </c>
      <c r="BR74" s="18" t="str">
        <f>BR59</f>
        <v>FY2006A</v>
      </c>
      <c r="BS74" s="18" t="str">
        <f>BS59</f>
        <v>FY2007A</v>
      </c>
      <c r="BT74" s="18" t="str">
        <f>BT59</f>
        <v>FY2008A</v>
      </c>
      <c r="BU74" s="18" t="str">
        <f t="shared" ref="BU74:BZ74" si="358">BU59</f>
        <v>FY2009A</v>
      </c>
      <c r="BV74" s="18" t="str">
        <f t="shared" si="358"/>
        <v>FY2010A</v>
      </c>
      <c r="BW74" s="18" t="str">
        <f t="shared" si="358"/>
        <v>FY2011A</v>
      </c>
      <c r="BX74" s="18" t="str">
        <f t="shared" si="358"/>
        <v>FY2012A</v>
      </c>
      <c r="BY74" s="18" t="str">
        <f t="shared" si="358"/>
        <v>FY2013A</v>
      </c>
      <c r="BZ74" s="18" t="str">
        <f t="shared" si="358"/>
        <v>FY2014A</v>
      </c>
      <c r="CA74" s="18" t="str">
        <f t="shared" ref="CA74:CF74" si="359">CA59</f>
        <v>FY2015A</v>
      </c>
      <c r="CB74" s="18" t="str">
        <f t="shared" si="359"/>
        <v>FY2016A</v>
      </c>
      <c r="CC74" s="18" t="str">
        <f t="shared" si="359"/>
        <v>FY2017E</v>
      </c>
      <c r="CD74" s="18" t="str">
        <f t="shared" si="359"/>
        <v>FY2018E</v>
      </c>
      <c r="CE74" s="18" t="str">
        <f t="shared" si="359"/>
        <v>FY2019E</v>
      </c>
      <c r="CF74" s="19" t="str">
        <f t="shared" si="359"/>
        <v>FY2020E</v>
      </c>
      <c r="CG74" s="297"/>
      <c r="CH74" s="8"/>
    </row>
    <row r="75" spans="1:86" ht="14.25" customHeight="1">
      <c r="A75" s="8"/>
      <c r="B75" s="557" t="s">
        <v>255</v>
      </c>
      <c r="C75" s="10"/>
      <c r="D75" s="221">
        <f>D64*D76</f>
        <v>341</v>
      </c>
      <c r="E75" s="221">
        <f t="shared" ref="E75:Z75" si="360">E64*E76</f>
        <v>337</v>
      </c>
      <c r="F75" s="221">
        <f t="shared" si="360"/>
        <v>332</v>
      </c>
      <c r="G75" s="222">
        <f t="shared" si="360"/>
        <v>336</v>
      </c>
      <c r="H75" s="221">
        <f t="shared" si="360"/>
        <v>270</v>
      </c>
      <c r="I75" s="221">
        <f t="shared" si="360"/>
        <v>267</v>
      </c>
      <c r="J75" s="221">
        <f t="shared" si="360"/>
        <v>266</v>
      </c>
      <c r="K75" s="222">
        <f t="shared" si="360"/>
        <v>248.99999999999997</v>
      </c>
      <c r="L75" s="221">
        <f t="shared" si="360"/>
        <v>252.00000000000003</v>
      </c>
      <c r="M75" s="221">
        <f t="shared" si="360"/>
        <v>256</v>
      </c>
      <c r="N75" s="221">
        <f t="shared" si="360"/>
        <v>262</v>
      </c>
      <c r="O75" s="222">
        <f t="shared" si="360"/>
        <v>252.00000000000003</v>
      </c>
      <c r="P75" s="221">
        <f t="shared" si="360"/>
        <v>241</v>
      </c>
      <c r="Q75" s="221">
        <f t="shared" si="360"/>
        <v>246.00000000000003</v>
      </c>
      <c r="R75" s="221">
        <f t="shared" si="360"/>
        <v>251</v>
      </c>
      <c r="S75" s="222">
        <f t="shared" si="360"/>
        <v>284</v>
      </c>
      <c r="T75" s="221">
        <f t="shared" si="360"/>
        <v>229.99999999999997</v>
      </c>
      <c r="U75" s="221">
        <f t="shared" si="360"/>
        <v>221</v>
      </c>
      <c r="V75" s="221">
        <f t="shared" si="360"/>
        <v>217</v>
      </c>
      <c r="W75" s="222">
        <f t="shared" si="360"/>
        <v>209</v>
      </c>
      <c r="X75" s="221">
        <f t="shared" si="360"/>
        <v>211</v>
      </c>
      <c r="Y75" s="221">
        <f t="shared" si="360"/>
        <v>215</v>
      </c>
      <c r="Z75" s="221">
        <f t="shared" si="360"/>
        <v>213</v>
      </c>
      <c r="AA75" s="222">
        <f t="shared" ref="AA75:AJ75" si="361">AA64*AA76</f>
        <v>226</v>
      </c>
      <c r="AB75" s="221">
        <f t="shared" si="361"/>
        <v>224</v>
      </c>
      <c r="AC75" s="221">
        <f t="shared" si="361"/>
        <v>220</v>
      </c>
      <c r="AD75" s="221">
        <f t="shared" si="361"/>
        <v>213</v>
      </c>
      <c r="AE75" s="222">
        <f t="shared" si="361"/>
        <v>247</v>
      </c>
      <c r="AF75" s="221">
        <f t="shared" si="361"/>
        <v>243</v>
      </c>
      <c r="AG75" s="221">
        <f t="shared" si="361"/>
        <v>241</v>
      </c>
      <c r="AH75" s="221">
        <f t="shared" si="361"/>
        <v>241</v>
      </c>
      <c r="AI75" s="222">
        <f>AI64*AI76</f>
        <v>232</v>
      </c>
      <c r="AJ75" s="221">
        <f t="shared" si="361"/>
        <v>228</v>
      </c>
      <c r="AK75" s="221">
        <f t="shared" ref="AK75:AU75" si="362">AK64*AK76</f>
        <v>221</v>
      </c>
      <c r="AL75" s="221">
        <f t="shared" si="362"/>
        <v>217</v>
      </c>
      <c r="AM75" s="222">
        <f t="shared" si="362"/>
        <v>213</v>
      </c>
      <c r="AN75" s="221">
        <f t="shared" si="362"/>
        <v>213</v>
      </c>
      <c r="AO75" s="221">
        <f t="shared" si="362"/>
        <v>213</v>
      </c>
      <c r="AP75" s="221">
        <f t="shared" si="362"/>
        <v>213.00000000000003</v>
      </c>
      <c r="AQ75" s="222">
        <f t="shared" si="362"/>
        <v>211</v>
      </c>
      <c r="AR75" s="221">
        <f t="shared" si="362"/>
        <v>203.00000000000003</v>
      </c>
      <c r="AS75" s="221">
        <f t="shared" si="362"/>
        <v>197.99999999999997</v>
      </c>
      <c r="AT75" s="221">
        <f>AT64*AT76</f>
        <v>193</v>
      </c>
      <c r="AU75" s="222">
        <f t="shared" si="362"/>
        <v>172.00000000000003</v>
      </c>
      <c r="AV75" s="221">
        <f>AV64*AV76</f>
        <v>161</v>
      </c>
      <c r="AW75" s="221">
        <f>AW64*AW76</f>
        <v>155</v>
      </c>
      <c r="AX75" s="221">
        <f>AX64*AX76</f>
        <v>150</v>
      </c>
      <c r="AY75" s="222">
        <f t="shared" ref="AY75" si="363">AY64*AY76</f>
        <v>139</v>
      </c>
      <c r="AZ75" s="221">
        <f>AZ64*AZ76</f>
        <v>139</v>
      </c>
      <c r="BA75" s="221">
        <f>BA64*BA76</f>
        <v>134</v>
      </c>
      <c r="BB75" s="221">
        <f>BB64*BB76</f>
        <v>133</v>
      </c>
      <c r="BC75" s="222">
        <f t="shared" ref="BC75" si="364">BC64*BC76</f>
        <v>133</v>
      </c>
      <c r="BD75" s="221">
        <f>BD64*BD76</f>
        <v>137</v>
      </c>
      <c r="BE75" s="221">
        <f t="shared" ref="BE75:BK75" si="365">BA75-5</f>
        <v>129</v>
      </c>
      <c r="BF75" s="221">
        <f t="shared" si="365"/>
        <v>128</v>
      </c>
      <c r="BG75" s="222">
        <f t="shared" si="365"/>
        <v>128</v>
      </c>
      <c r="BH75" s="221">
        <f t="shared" si="365"/>
        <v>132</v>
      </c>
      <c r="BI75" s="221">
        <f t="shared" si="365"/>
        <v>124</v>
      </c>
      <c r="BJ75" s="221">
        <f t="shared" si="365"/>
        <v>123</v>
      </c>
      <c r="BK75" s="222">
        <f t="shared" si="365"/>
        <v>123</v>
      </c>
      <c r="BL75" s="221">
        <f t="shared" ref="BL75" si="366">BH75-5</f>
        <v>127</v>
      </c>
      <c r="BM75" s="221">
        <f t="shared" ref="BM75" si="367">BI75-5</f>
        <v>119</v>
      </c>
      <c r="BN75" s="221">
        <f t="shared" ref="BN75" si="368">BJ75-5</f>
        <v>118</v>
      </c>
      <c r="BO75" s="222">
        <f t="shared" ref="BO75" si="369">BK75-5</f>
        <v>118</v>
      </c>
      <c r="BP75" s="20"/>
      <c r="BQ75" s="223">
        <f>BQ64*BQ76</f>
        <v>1346</v>
      </c>
      <c r="BR75" s="586">
        <f>BR64*BR76</f>
        <v>1052</v>
      </c>
      <c r="BS75" s="586">
        <f>BS64*BS76</f>
        <v>1022</v>
      </c>
      <c r="BT75" s="586">
        <f>BT64*BT76</f>
        <v>1022.0000000000001</v>
      </c>
      <c r="BU75" s="586">
        <f t="shared" ref="BU75:CA75" si="370">BU64*BU76</f>
        <v>876.99999999999989</v>
      </c>
      <c r="BV75" s="148">
        <f t="shared" si="370"/>
        <v>865.00000000000011</v>
      </c>
      <c r="BW75" s="239">
        <f t="shared" si="370"/>
        <v>904.00000000000011</v>
      </c>
      <c r="BX75" s="239">
        <f t="shared" si="370"/>
        <v>957</v>
      </c>
      <c r="BY75" s="239">
        <f t="shared" si="370"/>
        <v>879</v>
      </c>
      <c r="BZ75" s="239">
        <f t="shared" si="370"/>
        <v>849.99999999999989</v>
      </c>
      <c r="CA75" s="239">
        <f t="shared" si="370"/>
        <v>766</v>
      </c>
      <c r="CB75" s="239">
        <f>CB64*CB76</f>
        <v>605</v>
      </c>
      <c r="CC75" s="239">
        <f>CC64*CC76</f>
        <v>539</v>
      </c>
      <c r="CD75" s="239">
        <f>CD64*CD76</f>
        <v>522</v>
      </c>
      <c r="CE75" s="239">
        <f>CE64*CE76</f>
        <v>502</v>
      </c>
      <c r="CF75" s="220">
        <f>CF64*CF76</f>
        <v>482</v>
      </c>
      <c r="CG75" s="567"/>
      <c r="CH75" s="8"/>
    </row>
    <row r="76" spans="1:86" ht="14.25" customHeight="1">
      <c r="A76" s="12"/>
      <c r="B76" s="600" t="s">
        <v>256</v>
      </c>
      <c r="C76" s="601"/>
      <c r="D76" s="602">
        <f t="shared" ref="D76:AA76" si="371">D78/D64</f>
        <v>3.6241896056966733E-2</v>
      </c>
      <c r="E76" s="232">
        <f t="shared" si="371"/>
        <v>3.6147162930387215E-2</v>
      </c>
      <c r="F76" s="232">
        <f>F78/F64</f>
        <v>3.6130155620851021E-2</v>
      </c>
      <c r="G76" s="233">
        <f t="shared" si="371"/>
        <v>4.0124193933604009E-2</v>
      </c>
      <c r="H76" s="602">
        <f t="shared" si="371"/>
        <v>3.1982942430703626E-2</v>
      </c>
      <c r="I76" s="232">
        <f t="shared" si="371"/>
        <v>3.1763026409707351E-2</v>
      </c>
      <c r="J76" s="232">
        <f t="shared" si="371"/>
        <v>3.371356147021546E-2</v>
      </c>
      <c r="K76" s="233">
        <f t="shared" si="371"/>
        <v>3.2124887111340469E-2</v>
      </c>
      <c r="L76" s="602">
        <f t="shared" si="371"/>
        <v>3.266364225534673E-2</v>
      </c>
      <c r="M76" s="232">
        <f t="shared" si="371"/>
        <v>3.3433459579469769E-2</v>
      </c>
      <c r="N76" s="232">
        <f t="shared" si="371"/>
        <v>3.4487297617480588E-2</v>
      </c>
      <c r="O76" s="233">
        <f t="shared" si="371"/>
        <v>3.3298097251585626E-2</v>
      </c>
      <c r="P76" s="602">
        <f t="shared" si="371"/>
        <v>3.2163352462298143E-2</v>
      </c>
      <c r="Q76" s="232">
        <f t="shared" si="371"/>
        <v>3.2355649085887152E-2</v>
      </c>
      <c r="R76" s="232">
        <f t="shared" si="371"/>
        <v>3.3471129483931189E-2</v>
      </c>
      <c r="S76" s="233">
        <f t="shared" si="371"/>
        <v>3.8792514683786368E-2</v>
      </c>
      <c r="T76" s="602">
        <f t="shared" si="371"/>
        <v>3.2716927453769556E-2</v>
      </c>
      <c r="U76" s="232">
        <f t="shared" si="371"/>
        <v>3.2794183113221548E-2</v>
      </c>
      <c r="V76" s="232">
        <f t="shared" si="371"/>
        <v>3.2883770268222458E-2</v>
      </c>
      <c r="W76" s="233">
        <f t="shared" si="371"/>
        <v>3.1170768083519762E-2</v>
      </c>
      <c r="X76" s="602">
        <f t="shared" si="371"/>
        <v>3.1199171965104244E-2</v>
      </c>
      <c r="Y76" s="232">
        <f t="shared" si="371"/>
        <v>3.1474161908944517E-2</v>
      </c>
      <c r="Z76" s="232">
        <f>Z78/Z64</f>
        <v>3.0882992605480643E-2</v>
      </c>
      <c r="AA76" s="233">
        <f t="shared" si="371"/>
        <v>3.2720428550745619E-2</v>
      </c>
      <c r="AB76" s="602">
        <f t="shared" ref="AB76:AH76" si="372">AB78/AB64</f>
        <v>3.3373063170441003E-2</v>
      </c>
      <c r="AC76" s="232">
        <f t="shared" si="372"/>
        <v>3.3470257112429638E-2</v>
      </c>
      <c r="AD76" s="232">
        <f t="shared" si="372"/>
        <v>2.9423953584749276E-2</v>
      </c>
      <c r="AE76" s="233">
        <f t="shared" si="372"/>
        <v>3.4627786345156314E-2</v>
      </c>
      <c r="AF76" s="602">
        <f t="shared" si="372"/>
        <v>3.5526315789473684E-2</v>
      </c>
      <c r="AG76" s="232">
        <f t="shared" si="372"/>
        <v>3.5233918128654972E-2</v>
      </c>
      <c r="AH76" s="232">
        <f t="shared" si="372"/>
        <v>3.5409932412577137E-2</v>
      </c>
      <c r="AI76" s="233">
        <f>AI78/AI64</f>
        <v>3.3667102017123786E-2</v>
      </c>
      <c r="AJ76" s="232">
        <f t="shared" ref="AJ76:AQ76" si="373">AJ78/AJ64</f>
        <v>3.3663073970175698E-2</v>
      </c>
      <c r="AK76" s="232">
        <f t="shared" si="373"/>
        <v>3.3088785746369219E-2</v>
      </c>
      <c r="AL76" s="232">
        <f>AL78/AL64</f>
        <v>3.3185502370393027E-2</v>
      </c>
      <c r="AM76" s="233">
        <f>AM78/AM64</f>
        <v>3.2489322757779132E-2</v>
      </c>
      <c r="AN76" s="232">
        <f>AN78/AN64</f>
        <v>3.3146591970121382E-2</v>
      </c>
      <c r="AO76" s="232">
        <f t="shared" si="373"/>
        <v>3.3013019218846869E-2</v>
      </c>
      <c r="AP76" s="232">
        <f t="shared" si="373"/>
        <v>3.3317691224777103E-2</v>
      </c>
      <c r="AQ76" s="233">
        <f t="shared" si="373"/>
        <v>3.3673795084583465E-2</v>
      </c>
      <c r="AR76" s="232">
        <f t="shared" ref="AR76:AT76" si="374">AR78/AR64</f>
        <v>3.2863849765258218E-2</v>
      </c>
      <c r="AS76" s="232">
        <f t="shared" si="374"/>
        <v>3.2474987698868293E-2</v>
      </c>
      <c r="AT76" s="232">
        <f t="shared" si="374"/>
        <v>3.3611981887843957E-2</v>
      </c>
      <c r="AU76" s="233">
        <f t="shared" ref="AU76:AZ76" si="375">AU78/AU64</f>
        <v>3.1473010064043919E-2</v>
      </c>
      <c r="AV76" s="232">
        <f t="shared" si="375"/>
        <v>3.0434782608695653E-2</v>
      </c>
      <c r="AW76" s="232">
        <f t="shared" si="375"/>
        <v>3.0085403726708076E-2</v>
      </c>
      <c r="AX76" s="232">
        <f t="shared" si="375"/>
        <v>3.0108390204737052E-2</v>
      </c>
      <c r="AY76" s="233">
        <f t="shared" si="375"/>
        <v>2.8234816169002641E-2</v>
      </c>
      <c r="AZ76" s="232">
        <f t="shared" si="375"/>
        <v>2.8760604179598592E-2</v>
      </c>
      <c r="BA76" s="232">
        <f t="shared" ref="BA76:BD76" si="376">BA78/BA64</f>
        <v>2.8780068728522335E-2</v>
      </c>
      <c r="BB76" s="232">
        <f t="shared" si="376"/>
        <v>2.8491859468723221E-2</v>
      </c>
      <c r="BC76" s="233">
        <f t="shared" si="376"/>
        <v>2.7771977448319066E-2</v>
      </c>
      <c r="BD76" s="232">
        <f t="shared" si="376"/>
        <v>2.7919298960668432E-2</v>
      </c>
      <c r="BE76" s="232">
        <f t="shared" ref="BE76:BG76" si="377">BE78/BE64</f>
        <v>2.5275530839811596E-2</v>
      </c>
      <c r="BF76" s="232">
        <f t="shared" si="377"/>
        <v>2.409138523161039E-2</v>
      </c>
      <c r="BG76" s="233">
        <f t="shared" si="377"/>
        <v>2.3228951677707825E-2</v>
      </c>
      <c r="BH76" s="232">
        <f t="shared" ref="BH76:BK76" si="378">BH78/BH64</f>
        <v>2.3303483346161814E-2</v>
      </c>
      <c r="BI76" s="232">
        <f t="shared" si="378"/>
        <v>2.1276724588567601E-2</v>
      </c>
      <c r="BJ76" s="232">
        <f t="shared" si="378"/>
        <v>2.0494555077734015E-2</v>
      </c>
      <c r="BK76" s="233">
        <f t="shared" si="378"/>
        <v>1.9952417043268122E-2</v>
      </c>
      <c r="BL76" s="232">
        <f t="shared" ref="BL76:BO76" si="379">BL78/BL64</f>
        <v>2.0083405019787261E-2</v>
      </c>
      <c r="BM76" s="232">
        <f t="shared" si="379"/>
        <v>1.832912759594766E-2</v>
      </c>
      <c r="BN76" s="232">
        <f t="shared" si="379"/>
        <v>1.7687340516341986E-2</v>
      </c>
      <c r="BO76" s="233">
        <f t="shared" si="379"/>
        <v>1.7252251117278513E-2</v>
      </c>
      <c r="BP76" s="152"/>
      <c r="BQ76" s="602">
        <f>BQ78/BQ64</f>
        <v>0.16073561022211608</v>
      </c>
      <c r="BR76" s="232">
        <f>BR78/BR64</f>
        <v>0.13572442265514129</v>
      </c>
      <c r="BS76" s="232">
        <f>BS78/BS64</f>
        <v>0.13504228329809725</v>
      </c>
      <c r="BT76" s="232">
        <f>BT78/BT64</f>
        <v>0.13959841551700589</v>
      </c>
      <c r="BU76" s="232">
        <f t="shared" ref="BU76:CA76" si="380">BU78/BU64</f>
        <v>0.13079791200596569</v>
      </c>
      <c r="BV76" s="232">
        <f t="shared" si="380"/>
        <v>0.12523526856811931</v>
      </c>
      <c r="BW76" s="232">
        <f t="shared" si="380"/>
        <v>0.12673489415393244</v>
      </c>
      <c r="BX76" s="232">
        <f t="shared" si="380"/>
        <v>0.13887679582063561</v>
      </c>
      <c r="BY76" s="232">
        <f t="shared" si="380"/>
        <v>0.13407565588773643</v>
      </c>
      <c r="BZ76" s="232">
        <f t="shared" si="380"/>
        <v>0.13565272901372485</v>
      </c>
      <c r="CA76" s="232">
        <f t="shared" si="380"/>
        <v>0.14016468435498627</v>
      </c>
      <c r="CB76" s="232">
        <f>CB78/CB64</f>
        <v>0.12289254519601869</v>
      </c>
      <c r="CC76" s="232">
        <f>CC78/CC64</f>
        <v>0.112549592816872</v>
      </c>
      <c r="CD76" s="232">
        <f>CD78/CD64</f>
        <v>9.4730568560652234E-2</v>
      </c>
      <c r="CE76" s="232">
        <f>CE78/CE64</f>
        <v>8.1431815900167459E-2</v>
      </c>
      <c r="CF76" s="233">
        <f>CF78/CF64</f>
        <v>7.0471059648544429E-2</v>
      </c>
      <c r="CG76" s="342"/>
      <c r="CH76" s="12"/>
    </row>
    <row r="77" spans="1:86" ht="14.25" customHeight="1">
      <c r="A77" s="8"/>
      <c r="B77" s="14"/>
      <c r="C77" s="14"/>
      <c r="D77" s="221"/>
      <c r="E77" s="221"/>
      <c r="F77" s="221"/>
      <c r="G77" s="221"/>
      <c r="H77" s="221"/>
      <c r="I77" s="221"/>
      <c r="J77" s="221"/>
      <c r="K77" s="221"/>
      <c r="L77" s="221"/>
      <c r="M77" s="221"/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221"/>
      <c r="Y77" s="221"/>
      <c r="Z77" s="221"/>
      <c r="AA77" s="221"/>
      <c r="AB77" s="221"/>
      <c r="AC77" s="221"/>
      <c r="AD77" s="221"/>
      <c r="AE77" s="221"/>
      <c r="AF77" s="221"/>
      <c r="AG77" s="221"/>
      <c r="AH77" s="221"/>
      <c r="AI77" s="221"/>
      <c r="AJ77" s="221"/>
      <c r="AK77" s="221"/>
      <c r="AL77" s="221"/>
      <c r="AM77" s="221"/>
      <c r="AN77" s="221"/>
      <c r="AO77" s="221"/>
      <c r="AP77" s="221"/>
      <c r="AQ77" s="221"/>
      <c r="AR77" s="221"/>
      <c r="AS77" s="221"/>
      <c r="AT77" s="221"/>
      <c r="AU77" s="221"/>
      <c r="AV77" s="221"/>
      <c r="AW77" s="221"/>
      <c r="AX77" s="221"/>
      <c r="AY77" s="221"/>
      <c r="AZ77" s="221"/>
      <c r="BA77" s="221"/>
      <c r="BB77" s="221"/>
      <c r="BC77" s="221"/>
      <c r="BD77" s="221"/>
      <c r="BE77" s="221"/>
      <c r="BF77" s="221"/>
      <c r="BG77" s="221"/>
      <c r="BH77" s="221"/>
      <c r="BI77" s="221"/>
      <c r="BJ77" s="221"/>
      <c r="BK77" s="221"/>
      <c r="BL77" s="221"/>
      <c r="BM77" s="221"/>
      <c r="BN77" s="221"/>
      <c r="BO77" s="221"/>
      <c r="BP77" s="8"/>
      <c r="BQ77" s="603"/>
      <c r="BR77" s="221"/>
      <c r="BS77" s="221"/>
      <c r="BT77" s="221"/>
      <c r="BU77" s="221"/>
      <c r="BV77" s="221"/>
      <c r="BW77" s="221"/>
      <c r="BX77" s="221"/>
      <c r="BY77" s="221"/>
      <c r="BZ77" s="221"/>
      <c r="CA77" s="221"/>
      <c r="CB77" s="221"/>
      <c r="CC77" s="221"/>
      <c r="CD77" s="221"/>
      <c r="CE77" s="221"/>
      <c r="CF77" s="221"/>
      <c r="CG77" s="8"/>
      <c r="CH77" s="8"/>
    </row>
    <row r="78" spans="1:86" ht="14.25" customHeight="1">
      <c r="A78" s="8"/>
      <c r="B78" s="58" t="s">
        <v>257</v>
      </c>
      <c r="C78" s="209"/>
      <c r="D78" s="148">
        <f t="shared" ref="D78:AQ78" si="381">D13</f>
        <v>341</v>
      </c>
      <c r="E78" s="148">
        <f t="shared" si="381"/>
        <v>337</v>
      </c>
      <c r="F78" s="148">
        <f t="shared" si="381"/>
        <v>332</v>
      </c>
      <c r="G78" s="149">
        <f t="shared" si="381"/>
        <v>336</v>
      </c>
      <c r="H78" s="148">
        <f t="shared" si="381"/>
        <v>270</v>
      </c>
      <c r="I78" s="148">
        <f t="shared" si="381"/>
        <v>267</v>
      </c>
      <c r="J78" s="148">
        <f t="shared" si="381"/>
        <v>266</v>
      </c>
      <c r="K78" s="149">
        <f t="shared" si="381"/>
        <v>249</v>
      </c>
      <c r="L78" s="148">
        <f t="shared" si="381"/>
        <v>252</v>
      </c>
      <c r="M78" s="148">
        <f t="shared" si="381"/>
        <v>256</v>
      </c>
      <c r="N78" s="148">
        <f t="shared" si="381"/>
        <v>262</v>
      </c>
      <c r="O78" s="149">
        <f t="shared" si="381"/>
        <v>252</v>
      </c>
      <c r="P78" s="148">
        <f t="shared" si="381"/>
        <v>241</v>
      </c>
      <c r="Q78" s="148">
        <f t="shared" si="381"/>
        <v>246</v>
      </c>
      <c r="R78" s="148">
        <f t="shared" si="381"/>
        <v>251</v>
      </c>
      <c r="S78" s="149">
        <f t="shared" si="381"/>
        <v>284</v>
      </c>
      <c r="T78" s="148">
        <f t="shared" si="381"/>
        <v>230</v>
      </c>
      <c r="U78" s="148">
        <f t="shared" si="381"/>
        <v>221</v>
      </c>
      <c r="V78" s="148">
        <f t="shared" si="381"/>
        <v>217</v>
      </c>
      <c r="W78" s="151">
        <f t="shared" si="381"/>
        <v>209</v>
      </c>
      <c r="X78" s="150">
        <f t="shared" si="381"/>
        <v>211</v>
      </c>
      <c r="Y78" s="148">
        <f t="shared" si="381"/>
        <v>215</v>
      </c>
      <c r="Z78" s="148">
        <f t="shared" si="381"/>
        <v>213</v>
      </c>
      <c r="AA78" s="151">
        <f t="shared" si="381"/>
        <v>226</v>
      </c>
      <c r="AB78" s="150">
        <f t="shared" ref="AB78:AG78" si="382">AB13</f>
        <v>224</v>
      </c>
      <c r="AC78" s="148">
        <f t="shared" si="382"/>
        <v>220</v>
      </c>
      <c r="AD78" s="148">
        <f t="shared" si="382"/>
        <v>213</v>
      </c>
      <c r="AE78" s="151">
        <f t="shared" si="382"/>
        <v>247</v>
      </c>
      <c r="AF78" s="150">
        <f t="shared" si="382"/>
        <v>243</v>
      </c>
      <c r="AG78" s="148">
        <f t="shared" si="382"/>
        <v>241</v>
      </c>
      <c r="AH78" s="148">
        <f t="shared" si="381"/>
        <v>241</v>
      </c>
      <c r="AI78" s="151">
        <f t="shared" si="381"/>
        <v>232</v>
      </c>
      <c r="AJ78" s="148">
        <f t="shared" si="381"/>
        <v>228</v>
      </c>
      <c r="AK78" s="148">
        <f t="shared" si="381"/>
        <v>221</v>
      </c>
      <c r="AL78" s="148">
        <f>AL13</f>
        <v>217</v>
      </c>
      <c r="AM78" s="151">
        <f>AM13</f>
        <v>213</v>
      </c>
      <c r="AN78" s="148">
        <f>AN13</f>
        <v>213</v>
      </c>
      <c r="AO78" s="148">
        <f t="shared" si="381"/>
        <v>213</v>
      </c>
      <c r="AP78" s="148">
        <f t="shared" si="381"/>
        <v>213</v>
      </c>
      <c r="AQ78" s="151">
        <f t="shared" si="381"/>
        <v>211</v>
      </c>
      <c r="AR78" s="148">
        <f t="shared" ref="AR78:AV78" si="383">AR13</f>
        <v>203</v>
      </c>
      <c r="AS78" s="148">
        <f t="shared" si="383"/>
        <v>198</v>
      </c>
      <c r="AT78" s="148">
        <f t="shared" si="383"/>
        <v>193</v>
      </c>
      <c r="AU78" s="151">
        <f t="shared" si="383"/>
        <v>172</v>
      </c>
      <c r="AV78" s="148">
        <f t="shared" si="383"/>
        <v>161</v>
      </c>
      <c r="AW78" s="148">
        <f>AW13</f>
        <v>155</v>
      </c>
      <c r="AX78" s="148">
        <f>AX13</f>
        <v>150</v>
      </c>
      <c r="AY78" s="151">
        <f t="shared" ref="AY78:AZ78" si="384">AY13</f>
        <v>139</v>
      </c>
      <c r="AZ78" s="148">
        <f t="shared" si="384"/>
        <v>139</v>
      </c>
      <c r="BA78" s="148">
        <f>BA13</f>
        <v>134</v>
      </c>
      <c r="BB78" s="148">
        <f>BB13</f>
        <v>133</v>
      </c>
      <c r="BC78" s="149">
        <f t="shared" ref="BC78:BD78" si="385">BC13</f>
        <v>133</v>
      </c>
      <c r="BD78" s="148">
        <f t="shared" si="385"/>
        <v>137</v>
      </c>
      <c r="BE78" s="148">
        <f t="shared" ref="BE78:BG78" si="386">BE13</f>
        <v>129</v>
      </c>
      <c r="BF78" s="148">
        <f t="shared" si="386"/>
        <v>128</v>
      </c>
      <c r="BG78" s="149">
        <f t="shared" si="386"/>
        <v>128</v>
      </c>
      <c r="BH78" s="148">
        <f t="shared" ref="BH78:BK78" si="387">BH13</f>
        <v>132</v>
      </c>
      <c r="BI78" s="148">
        <f t="shared" si="387"/>
        <v>124</v>
      </c>
      <c r="BJ78" s="148">
        <f t="shared" si="387"/>
        <v>123</v>
      </c>
      <c r="BK78" s="149">
        <f t="shared" si="387"/>
        <v>123</v>
      </c>
      <c r="BL78" s="148">
        <f t="shared" ref="BL78:BO78" si="388">BL13</f>
        <v>127</v>
      </c>
      <c r="BM78" s="148">
        <f t="shared" si="388"/>
        <v>119</v>
      </c>
      <c r="BN78" s="148">
        <f t="shared" si="388"/>
        <v>118</v>
      </c>
      <c r="BO78" s="149">
        <f t="shared" si="388"/>
        <v>118</v>
      </c>
      <c r="BP78" s="152"/>
      <c r="BQ78" s="148">
        <f>BQ13</f>
        <v>1346</v>
      </c>
      <c r="BR78" s="148">
        <f>BR13</f>
        <v>1052</v>
      </c>
      <c r="BS78" s="148">
        <f>BS13</f>
        <v>1022</v>
      </c>
      <c r="BT78" s="148">
        <f>BT13</f>
        <v>1022</v>
      </c>
      <c r="BU78" s="148">
        <f t="shared" ref="BU78:BZ78" si="389">BU13</f>
        <v>877</v>
      </c>
      <c r="BV78" s="148">
        <f t="shared" si="389"/>
        <v>865</v>
      </c>
      <c r="BW78" s="148">
        <f t="shared" si="389"/>
        <v>904</v>
      </c>
      <c r="BX78" s="148">
        <f t="shared" si="389"/>
        <v>957</v>
      </c>
      <c r="BY78" s="148">
        <f t="shared" si="389"/>
        <v>879</v>
      </c>
      <c r="BZ78" s="148">
        <f t="shared" si="389"/>
        <v>850</v>
      </c>
      <c r="CA78" s="148">
        <f t="shared" ref="CA78:CF78" si="390">CA13</f>
        <v>766</v>
      </c>
      <c r="CB78" s="148">
        <f t="shared" si="390"/>
        <v>605</v>
      </c>
      <c r="CC78" s="148">
        <f t="shared" si="390"/>
        <v>539</v>
      </c>
      <c r="CD78" s="148">
        <f t="shared" si="390"/>
        <v>522</v>
      </c>
      <c r="CE78" s="148">
        <f t="shared" si="390"/>
        <v>502</v>
      </c>
      <c r="CF78" s="151">
        <f t="shared" si="390"/>
        <v>482</v>
      </c>
      <c r="CG78" s="297"/>
      <c r="CH78" s="8"/>
    </row>
    <row r="79" spans="1:86" ht="14.25" customHeight="1">
      <c r="A79" s="8"/>
      <c r="B79" s="117" t="s">
        <v>196</v>
      </c>
      <c r="C79" s="118"/>
      <c r="D79" s="119">
        <f t="shared" ref="D79:AQ79" si="391">IF(ROUND(D78,4)=ROUND(D75,4),0,(D78-D75))</f>
        <v>0</v>
      </c>
      <c r="E79" s="119">
        <f t="shared" si="391"/>
        <v>0</v>
      </c>
      <c r="F79" s="119">
        <f t="shared" si="391"/>
        <v>0</v>
      </c>
      <c r="G79" s="120">
        <f t="shared" si="391"/>
        <v>0</v>
      </c>
      <c r="H79" s="119">
        <f t="shared" si="391"/>
        <v>0</v>
      </c>
      <c r="I79" s="119">
        <f t="shared" si="391"/>
        <v>0</v>
      </c>
      <c r="J79" s="119">
        <f t="shared" si="391"/>
        <v>0</v>
      </c>
      <c r="K79" s="120">
        <f t="shared" si="391"/>
        <v>0</v>
      </c>
      <c r="L79" s="119">
        <f t="shared" si="391"/>
        <v>0</v>
      </c>
      <c r="M79" s="119">
        <f t="shared" si="391"/>
        <v>0</v>
      </c>
      <c r="N79" s="119">
        <f t="shared" si="391"/>
        <v>0</v>
      </c>
      <c r="O79" s="120">
        <f t="shared" si="391"/>
        <v>0</v>
      </c>
      <c r="P79" s="119">
        <f t="shared" si="391"/>
        <v>0</v>
      </c>
      <c r="Q79" s="119">
        <f t="shared" si="391"/>
        <v>0</v>
      </c>
      <c r="R79" s="119">
        <f t="shared" si="391"/>
        <v>0</v>
      </c>
      <c r="S79" s="120">
        <f t="shared" si="391"/>
        <v>0</v>
      </c>
      <c r="T79" s="119">
        <f t="shared" si="391"/>
        <v>0</v>
      </c>
      <c r="U79" s="119">
        <f t="shared" si="391"/>
        <v>0</v>
      </c>
      <c r="V79" s="119">
        <f t="shared" si="391"/>
        <v>0</v>
      </c>
      <c r="W79" s="120">
        <f t="shared" si="391"/>
        <v>0</v>
      </c>
      <c r="X79" s="119">
        <f t="shared" si="391"/>
        <v>0</v>
      </c>
      <c r="Y79" s="119">
        <f t="shared" si="391"/>
        <v>0</v>
      </c>
      <c r="Z79" s="153">
        <f t="shared" si="391"/>
        <v>0</v>
      </c>
      <c r="AA79" s="120">
        <f t="shared" si="391"/>
        <v>0</v>
      </c>
      <c r="AB79" s="119">
        <f t="shared" si="391"/>
        <v>0</v>
      </c>
      <c r="AC79" s="119">
        <f t="shared" si="391"/>
        <v>0</v>
      </c>
      <c r="AD79" s="119">
        <f t="shared" si="391"/>
        <v>0</v>
      </c>
      <c r="AE79" s="120">
        <f t="shared" si="391"/>
        <v>0</v>
      </c>
      <c r="AF79" s="119">
        <f t="shared" si="391"/>
        <v>0</v>
      </c>
      <c r="AG79" s="119">
        <f t="shared" si="391"/>
        <v>0</v>
      </c>
      <c r="AH79" s="119">
        <f t="shared" si="391"/>
        <v>0</v>
      </c>
      <c r="AI79" s="120">
        <f t="shared" si="391"/>
        <v>0</v>
      </c>
      <c r="AJ79" s="121">
        <f t="shared" si="391"/>
        <v>0</v>
      </c>
      <c r="AK79" s="119">
        <f t="shared" si="391"/>
        <v>0</v>
      </c>
      <c r="AL79" s="119">
        <f t="shared" si="391"/>
        <v>0</v>
      </c>
      <c r="AM79" s="120">
        <f t="shared" si="391"/>
        <v>0</v>
      </c>
      <c r="AN79" s="121">
        <f>IF(ROUND(AN78,4)=ROUND(AN75,4),0,(AN78-AN75))</f>
        <v>0</v>
      </c>
      <c r="AO79" s="119">
        <f t="shared" si="391"/>
        <v>0</v>
      </c>
      <c r="AP79" s="119">
        <f t="shared" si="391"/>
        <v>0</v>
      </c>
      <c r="AQ79" s="120">
        <f t="shared" si="391"/>
        <v>0</v>
      </c>
      <c r="AR79" s="121">
        <f t="shared" ref="AR79:AT79" si="392">IF(ROUND(AR78,4)=ROUND(AR75,4),0,(AR78-AR75))</f>
        <v>0</v>
      </c>
      <c r="AS79" s="119">
        <f t="shared" si="392"/>
        <v>0</v>
      </c>
      <c r="AT79" s="119">
        <f t="shared" si="392"/>
        <v>0</v>
      </c>
      <c r="AU79" s="120">
        <f t="shared" ref="AU79:AZ79" si="393">IF(ROUND(AU78,4)=ROUND(AU75,4),0,(AU78-AU75))</f>
        <v>0</v>
      </c>
      <c r="AV79" s="121">
        <f t="shared" si="393"/>
        <v>0</v>
      </c>
      <c r="AW79" s="119">
        <f t="shared" si="393"/>
        <v>0</v>
      </c>
      <c r="AX79" s="119">
        <f t="shared" si="393"/>
        <v>0</v>
      </c>
      <c r="AY79" s="120">
        <f t="shared" si="393"/>
        <v>0</v>
      </c>
      <c r="AZ79" s="121">
        <f t="shared" si="393"/>
        <v>0</v>
      </c>
      <c r="BA79" s="119">
        <f t="shared" ref="BA79:BG79" si="394">IF(ROUND(BA78,4)=ROUND(BA75,4),0,(BA78-BA75))</f>
        <v>0</v>
      </c>
      <c r="BB79" s="119">
        <f t="shared" si="394"/>
        <v>0</v>
      </c>
      <c r="BC79" s="120">
        <f t="shared" si="394"/>
        <v>0</v>
      </c>
      <c r="BD79" s="121">
        <f t="shared" si="394"/>
        <v>0</v>
      </c>
      <c r="BE79" s="119">
        <f t="shared" si="394"/>
        <v>0</v>
      </c>
      <c r="BF79" s="119">
        <f t="shared" si="394"/>
        <v>0</v>
      </c>
      <c r="BG79" s="120">
        <f t="shared" si="394"/>
        <v>0</v>
      </c>
      <c r="BH79" s="121">
        <f t="shared" ref="BH79:BK79" si="395">IF(ROUND(BH78,4)=ROUND(BH75,4),0,(BH78-BH75))</f>
        <v>0</v>
      </c>
      <c r="BI79" s="119">
        <f t="shared" si="395"/>
        <v>0</v>
      </c>
      <c r="BJ79" s="119">
        <f t="shared" si="395"/>
        <v>0</v>
      </c>
      <c r="BK79" s="120">
        <f t="shared" si="395"/>
        <v>0</v>
      </c>
      <c r="BL79" s="121">
        <f t="shared" ref="BL79:BO79" si="396">IF(ROUND(BL78,4)=ROUND(BL75,4),0,(BL78-BL75))</f>
        <v>0</v>
      </c>
      <c r="BM79" s="119">
        <f t="shared" si="396"/>
        <v>0</v>
      </c>
      <c r="BN79" s="119">
        <f t="shared" si="396"/>
        <v>0</v>
      </c>
      <c r="BO79" s="120">
        <f t="shared" si="396"/>
        <v>0</v>
      </c>
      <c r="BP79" s="152"/>
      <c r="BQ79" s="119">
        <f t="shared" ref="BQ79:CA79" si="397">IF(ROUND(BQ78,4)=ROUND(BQ75,4),0,(BQ78-BQ75))</f>
        <v>0</v>
      </c>
      <c r="BR79" s="119">
        <f t="shared" si="397"/>
        <v>0</v>
      </c>
      <c r="BS79" s="119">
        <f t="shared" si="397"/>
        <v>0</v>
      </c>
      <c r="BT79" s="119">
        <f t="shared" si="397"/>
        <v>0</v>
      </c>
      <c r="BU79" s="119">
        <f t="shared" si="397"/>
        <v>0</v>
      </c>
      <c r="BV79" s="119">
        <f t="shared" si="397"/>
        <v>0</v>
      </c>
      <c r="BW79" s="119">
        <f t="shared" si="397"/>
        <v>0</v>
      </c>
      <c r="BX79" s="119">
        <f t="shared" si="397"/>
        <v>0</v>
      </c>
      <c r="BY79" s="119">
        <f t="shared" si="397"/>
        <v>0</v>
      </c>
      <c r="BZ79" s="119">
        <f t="shared" si="397"/>
        <v>0</v>
      </c>
      <c r="CA79" s="119">
        <f t="shared" si="397"/>
        <v>0</v>
      </c>
      <c r="CB79" s="119">
        <f>IF(ROUND(CB78,4)=ROUND(CB75,4),0,(CB78-CB75))</f>
        <v>0</v>
      </c>
      <c r="CC79" s="119">
        <f>IF(ROUND(CC78,4)=ROUND(CC75,4),0,(CC78-CC75))</f>
        <v>0</v>
      </c>
      <c r="CD79" s="119">
        <f>IF(ROUND(CD78,4)=ROUND(CD75,4),0,(CD78-CD75))</f>
        <v>0</v>
      </c>
      <c r="CE79" s="119">
        <f>IF(ROUND(CE78,4)=ROUND(CE75,4),0,(CE78-CE75))</f>
        <v>0</v>
      </c>
      <c r="CF79" s="120">
        <f>IF(ROUND(CF78,4)=ROUND(CF75,4),0,(CF78-CF75))</f>
        <v>0</v>
      </c>
      <c r="CG79" s="297"/>
      <c r="CH79" s="8"/>
    </row>
    <row r="80" spans="1:86" ht="14.25" customHeight="1">
      <c r="A80" s="8"/>
      <c r="B80" s="14"/>
      <c r="C80" s="14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1145">
        <f>AVERAGE(BZ83:CC83)*0.65</f>
        <v>2595.9375</v>
      </c>
      <c r="CD80" s="1145">
        <f>AVERAGE(CA83:CD83)*0.65</f>
        <v>2918.1976384181035</v>
      </c>
      <c r="CE80" s="8"/>
      <c r="CF80" s="8"/>
      <c r="CG80" s="8"/>
      <c r="CH80" s="8"/>
    </row>
    <row r="81" spans="1:92" ht="14.25" customHeight="1">
      <c r="A81" s="8"/>
      <c r="B81" s="14"/>
      <c r="C81" s="14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253"/>
      <c r="AK81" s="8"/>
      <c r="AL81" s="8"/>
      <c r="AM81" s="8"/>
      <c r="AN81" s="253"/>
      <c r="AO81" s="8"/>
      <c r="AP81" s="8"/>
      <c r="AQ81" s="8"/>
      <c r="AR81" s="253"/>
      <c r="AS81" s="8"/>
      <c r="AT81" s="8"/>
      <c r="AU81" s="8"/>
      <c r="AV81" s="253"/>
      <c r="AW81" s="8"/>
      <c r="AX81" s="8"/>
      <c r="AY81" s="8"/>
      <c r="AZ81" s="253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>
        <f>CC80/CC83</f>
        <v>0.55611343187660667</v>
      </c>
      <c r="CC81" s="8">
        <f>CC83*0.5</f>
        <v>2334</v>
      </c>
      <c r="CD81" s="8">
        <f>CD83*0.5</f>
        <v>2745.0696566710867</v>
      </c>
      <c r="CE81" s="8"/>
      <c r="CF81" s="8"/>
      <c r="CG81" s="8"/>
      <c r="CH81" s="8"/>
    </row>
    <row r="82" spans="1:92" ht="14.25" customHeight="1">
      <c r="A82" s="8"/>
      <c r="B82" s="126" t="s">
        <v>258</v>
      </c>
      <c r="C82" s="127"/>
      <c r="D82" s="252" t="str">
        <f t="shared" ref="D82:AQ82" si="398">D74</f>
        <v>F1Q05A</v>
      </c>
      <c r="E82" s="216" t="str">
        <f t="shared" si="398"/>
        <v>F2Q05A</v>
      </c>
      <c r="F82" s="216" t="str">
        <f t="shared" si="398"/>
        <v>F3Q05A</v>
      </c>
      <c r="G82" s="217" t="str">
        <f t="shared" si="398"/>
        <v>F4Q05A</v>
      </c>
      <c r="H82" s="252" t="str">
        <f t="shared" si="398"/>
        <v>F1Q06A</v>
      </c>
      <c r="I82" s="216" t="str">
        <f t="shared" si="398"/>
        <v>F2Q06A</v>
      </c>
      <c r="J82" s="216" t="str">
        <f t="shared" si="398"/>
        <v>F3Q06A</v>
      </c>
      <c r="K82" s="217" t="str">
        <f t="shared" si="398"/>
        <v>F4Q06A</v>
      </c>
      <c r="L82" s="252" t="str">
        <f t="shared" si="398"/>
        <v>F1Q07A</v>
      </c>
      <c r="M82" s="216" t="str">
        <f t="shared" si="398"/>
        <v>F2Q07A</v>
      </c>
      <c r="N82" s="216" t="str">
        <f t="shared" si="398"/>
        <v>F3Q07A</v>
      </c>
      <c r="O82" s="217" t="str">
        <f t="shared" si="398"/>
        <v>F4Q07A</v>
      </c>
      <c r="P82" s="252" t="str">
        <f t="shared" si="398"/>
        <v>F1Q08A</v>
      </c>
      <c r="Q82" s="216" t="str">
        <f t="shared" si="398"/>
        <v>F2Q08A</v>
      </c>
      <c r="R82" s="216" t="str">
        <f t="shared" si="398"/>
        <v>F3Q08A</v>
      </c>
      <c r="S82" s="217" t="str">
        <f t="shared" si="398"/>
        <v>F4Q08A</v>
      </c>
      <c r="T82" s="252" t="str">
        <f t="shared" si="398"/>
        <v>F1Q09A</v>
      </c>
      <c r="U82" s="216" t="str">
        <f t="shared" si="398"/>
        <v>F2Q09A</v>
      </c>
      <c r="V82" s="216" t="str">
        <f t="shared" si="398"/>
        <v>F3Q09A</v>
      </c>
      <c r="W82" s="217" t="str">
        <f t="shared" si="398"/>
        <v>F4Q09A</v>
      </c>
      <c r="X82" s="252" t="str">
        <f t="shared" si="398"/>
        <v>F1Q10A</v>
      </c>
      <c r="Y82" s="216" t="str">
        <f t="shared" si="398"/>
        <v>F2Q10A</v>
      </c>
      <c r="Z82" s="216" t="str">
        <f t="shared" si="398"/>
        <v>F3Q10A</v>
      </c>
      <c r="AA82" s="217" t="str">
        <f t="shared" si="398"/>
        <v>F4Q10A</v>
      </c>
      <c r="AB82" s="252" t="str">
        <f>AB74</f>
        <v>F1Q11A</v>
      </c>
      <c r="AC82" s="216" t="str">
        <f>AC74</f>
        <v>F2Q11A</v>
      </c>
      <c r="AD82" s="216" t="str">
        <f t="shared" si="398"/>
        <v>F3Q11A</v>
      </c>
      <c r="AE82" s="217" t="str">
        <f>AE74</f>
        <v>F4Q11A</v>
      </c>
      <c r="AF82" s="252" t="str">
        <f>AF74</f>
        <v>F1Q12A</v>
      </c>
      <c r="AG82" s="216" t="str">
        <f t="shared" si="398"/>
        <v>F2Q12A</v>
      </c>
      <c r="AH82" s="216" t="str">
        <f t="shared" si="398"/>
        <v>F3Q12A</v>
      </c>
      <c r="AI82" s="217" t="str">
        <f>AI74</f>
        <v>F4Q12A</v>
      </c>
      <c r="AJ82" s="252" t="str">
        <f t="shared" si="398"/>
        <v>F1Q13A</v>
      </c>
      <c r="AK82" s="216" t="str">
        <f>AK74</f>
        <v>F2Q13A</v>
      </c>
      <c r="AL82" s="216" t="str">
        <f t="shared" si="398"/>
        <v>F3Q13A</v>
      </c>
      <c r="AM82" s="217" t="str">
        <f t="shared" si="398"/>
        <v>F4Q13A</v>
      </c>
      <c r="AN82" s="252" t="str">
        <f t="shared" si="398"/>
        <v>F1Q14A</v>
      </c>
      <c r="AO82" s="216" t="str">
        <f t="shared" si="398"/>
        <v>F2Q14E</v>
      </c>
      <c r="AP82" s="216" t="str">
        <f t="shared" si="398"/>
        <v>F3Q14A</v>
      </c>
      <c r="AQ82" s="217" t="str">
        <f t="shared" si="398"/>
        <v>F4Q14A</v>
      </c>
      <c r="AR82" s="252" t="str">
        <f t="shared" ref="AR82:AV82" si="399">AR74</f>
        <v>F1Q15A</v>
      </c>
      <c r="AS82" s="216" t="str">
        <f t="shared" si="399"/>
        <v>F2Q15A</v>
      </c>
      <c r="AT82" s="216" t="str">
        <f t="shared" si="399"/>
        <v>F3Q15A</v>
      </c>
      <c r="AU82" s="217" t="str">
        <f>AU74</f>
        <v>F4Q15A</v>
      </c>
      <c r="AV82" s="252" t="str">
        <f t="shared" si="399"/>
        <v>F1Q16A</v>
      </c>
      <c r="AW82" s="216" t="str">
        <f>AW74</f>
        <v>F2Q16A</v>
      </c>
      <c r="AX82" s="216" t="str">
        <f>AX74</f>
        <v>F3Q16A</v>
      </c>
      <c r="AY82" s="217" t="str">
        <f>AY74</f>
        <v>F4Q16A</v>
      </c>
      <c r="AZ82" s="252" t="str">
        <f t="shared" ref="AZ82" si="400">AZ74</f>
        <v>F1Q17A</v>
      </c>
      <c r="BA82" s="216" t="str">
        <f t="shared" ref="BA82:BG82" si="401">BA74</f>
        <v>F2Q17A</v>
      </c>
      <c r="BB82" s="216" t="str">
        <f t="shared" si="401"/>
        <v>F3Q17A</v>
      </c>
      <c r="BC82" s="217" t="str">
        <f t="shared" si="401"/>
        <v>F4Q17A</v>
      </c>
      <c r="BD82" s="252" t="str">
        <f t="shared" si="401"/>
        <v>F1Q18A</v>
      </c>
      <c r="BE82" s="216" t="str">
        <f t="shared" si="401"/>
        <v>F2Q18E</v>
      </c>
      <c r="BF82" s="216" t="str">
        <f t="shared" si="401"/>
        <v>F3Q18E</v>
      </c>
      <c r="BG82" s="217" t="str">
        <f t="shared" si="401"/>
        <v>F4Q18E</v>
      </c>
      <c r="BH82" s="252" t="str">
        <f t="shared" ref="BH82:BK82" si="402">BH74</f>
        <v>F1Q19E</v>
      </c>
      <c r="BI82" s="216" t="str">
        <f t="shared" si="402"/>
        <v>F2Q19E</v>
      </c>
      <c r="BJ82" s="216" t="str">
        <f t="shared" si="402"/>
        <v>F3Q19E</v>
      </c>
      <c r="BK82" s="217" t="str">
        <f t="shared" si="402"/>
        <v>F4Q19E</v>
      </c>
      <c r="BL82" s="252" t="str">
        <f t="shared" ref="BL82:BO82" si="403">BL74</f>
        <v>F1Q20E</v>
      </c>
      <c r="BM82" s="216" t="str">
        <f t="shared" si="403"/>
        <v>F2Q20E</v>
      </c>
      <c r="BN82" s="216" t="str">
        <f t="shared" si="403"/>
        <v>F3Q20E</v>
      </c>
      <c r="BO82" s="217" t="str">
        <f t="shared" si="403"/>
        <v>F4Q20E</v>
      </c>
      <c r="BP82" s="20"/>
      <c r="BQ82" s="17" t="str">
        <f>BQ74</f>
        <v>FY2005A</v>
      </c>
      <c r="BR82" s="18" t="str">
        <f>BR74</f>
        <v>FY2006A</v>
      </c>
      <c r="BS82" s="18" t="str">
        <f>BS74</f>
        <v>FY2007A</v>
      </c>
      <c r="BT82" s="18" t="str">
        <f>BT74</f>
        <v>FY2008A</v>
      </c>
      <c r="BU82" s="18" t="str">
        <f t="shared" ref="BU82:BZ82" si="404">BU74</f>
        <v>FY2009A</v>
      </c>
      <c r="BV82" s="18" t="str">
        <f t="shared" si="404"/>
        <v>FY2010A</v>
      </c>
      <c r="BW82" s="18" t="str">
        <f t="shared" si="404"/>
        <v>FY2011A</v>
      </c>
      <c r="BX82" s="18" t="str">
        <f t="shared" si="404"/>
        <v>FY2012A</v>
      </c>
      <c r="BY82" s="18" t="str">
        <f t="shared" si="404"/>
        <v>FY2013A</v>
      </c>
      <c r="BZ82" s="18" t="str">
        <f t="shared" si="404"/>
        <v>FY2014A</v>
      </c>
      <c r="CA82" s="18" t="str">
        <f t="shared" ref="CA82:CF82" si="405">CA74</f>
        <v>FY2015A</v>
      </c>
      <c r="CB82" s="18" t="str">
        <f t="shared" si="405"/>
        <v>FY2016A</v>
      </c>
      <c r="CC82" s="18" t="str">
        <f t="shared" si="405"/>
        <v>FY2017E</v>
      </c>
      <c r="CD82" s="18" t="str">
        <f t="shared" si="405"/>
        <v>FY2018E</v>
      </c>
      <c r="CE82" s="18" t="str">
        <f t="shared" si="405"/>
        <v>FY2019E</v>
      </c>
      <c r="CF82" s="19" t="str">
        <f t="shared" si="405"/>
        <v>FY2020E</v>
      </c>
      <c r="CG82" s="297"/>
      <c r="CH82" s="8"/>
    </row>
    <row r="83" spans="1:92" ht="14.25" customHeight="1">
      <c r="A83" s="8"/>
      <c r="B83" s="297" t="s">
        <v>259</v>
      </c>
      <c r="C83" s="218"/>
      <c r="D83" s="221">
        <f t="shared" ref="D83:AA83" si="406">D27+D30</f>
        <v>230.75</v>
      </c>
      <c r="E83" s="221">
        <f t="shared" si="406"/>
        <v>517.75</v>
      </c>
      <c r="F83" s="221">
        <f t="shared" si="406"/>
        <v>1025.75</v>
      </c>
      <c r="G83" s="222">
        <f t="shared" si="406"/>
        <v>551.75</v>
      </c>
      <c r="H83" s="221">
        <f t="shared" si="406"/>
        <v>113.75</v>
      </c>
      <c r="I83" s="221">
        <f t="shared" si="406"/>
        <v>292.75</v>
      </c>
      <c r="J83" s="221">
        <f t="shared" si="406"/>
        <v>150.75</v>
      </c>
      <c r="K83" s="222">
        <f t="shared" si="406"/>
        <v>626.75</v>
      </c>
      <c r="L83" s="221">
        <f t="shared" si="406"/>
        <v>375</v>
      </c>
      <c r="M83" s="221">
        <f t="shared" si="406"/>
        <v>723.67</v>
      </c>
      <c r="N83" s="221">
        <f t="shared" si="406"/>
        <v>1378.67</v>
      </c>
      <c r="O83" s="222">
        <f t="shared" si="406"/>
        <v>1304.67</v>
      </c>
      <c r="P83" s="221">
        <f t="shared" si="406"/>
        <v>422</v>
      </c>
      <c r="Q83" s="221">
        <f t="shared" si="406"/>
        <v>248</v>
      </c>
      <c r="R83" s="221">
        <f t="shared" si="406"/>
        <v>856</v>
      </c>
      <c r="S83" s="222">
        <f t="shared" si="406"/>
        <v>1041</v>
      </c>
      <c r="T83" s="221">
        <f t="shared" si="406"/>
        <v>208</v>
      </c>
      <c r="U83" s="221">
        <f t="shared" si="406"/>
        <v>509</v>
      </c>
      <c r="V83" s="221">
        <f t="shared" si="406"/>
        <v>608</v>
      </c>
      <c r="W83" s="254">
        <f t="shared" si="406"/>
        <v>565</v>
      </c>
      <c r="X83" s="253">
        <f t="shared" si="406"/>
        <v>491</v>
      </c>
      <c r="Y83" s="221">
        <f t="shared" si="406"/>
        <v>279</v>
      </c>
      <c r="Z83" s="253">
        <f t="shared" si="406"/>
        <v>922</v>
      </c>
      <c r="AA83" s="254">
        <f t="shared" si="406"/>
        <v>929</v>
      </c>
      <c r="AB83" s="253">
        <f>AB27+AB30</f>
        <v>322</v>
      </c>
      <c r="AC83" s="221">
        <f>AC27+AC30</f>
        <v>355</v>
      </c>
      <c r="AD83" s="253">
        <f t="shared" ref="AD83:AQ83" si="407">AD27+AD30</f>
        <v>947</v>
      </c>
      <c r="AE83" s="254">
        <f t="shared" si="407"/>
        <v>817</v>
      </c>
      <c r="AF83" s="253">
        <f>AF27+AF30</f>
        <v>346</v>
      </c>
      <c r="AG83" s="253">
        <f t="shared" si="407"/>
        <v>529</v>
      </c>
      <c r="AH83" s="253">
        <f t="shared" si="407"/>
        <v>1052</v>
      </c>
      <c r="AI83" s="254">
        <f>AI27+AI30</f>
        <v>992</v>
      </c>
      <c r="AJ83" s="253">
        <f t="shared" si="407"/>
        <v>276</v>
      </c>
      <c r="AK83" s="253">
        <f>AK27+AK30</f>
        <v>577</v>
      </c>
      <c r="AL83" s="253">
        <f>AL27+AL30</f>
        <v>1027</v>
      </c>
      <c r="AM83" s="254">
        <f>AM27+AM30</f>
        <v>1092</v>
      </c>
      <c r="AN83" s="253">
        <f t="shared" si="407"/>
        <v>385</v>
      </c>
      <c r="AO83" s="253">
        <f t="shared" si="407"/>
        <v>695</v>
      </c>
      <c r="AP83" s="253">
        <f t="shared" si="407"/>
        <v>1280</v>
      </c>
      <c r="AQ83" s="254">
        <f t="shared" si="407"/>
        <v>1147</v>
      </c>
      <c r="AR83" s="253">
        <f t="shared" ref="AR83:AT83" si="408">AR27+AR30</f>
        <v>486</v>
      </c>
      <c r="AS83" s="253">
        <f t="shared" si="408"/>
        <v>695</v>
      </c>
      <c r="AT83" s="253">
        <f t="shared" si="408"/>
        <v>1270</v>
      </c>
      <c r="AU83" s="254">
        <f t="shared" ref="AU83:AZ83" si="409">AU27+AU30</f>
        <v>1266</v>
      </c>
      <c r="AV83" s="253">
        <f t="shared" si="409"/>
        <v>529</v>
      </c>
      <c r="AW83" s="253">
        <f t="shared" si="409"/>
        <v>888</v>
      </c>
      <c r="AX83" s="253">
        <f t="shared" si="409"/>
        <v>1324</v>
      </c>
      <c r="AY83" s="254">
        <f t="shared" si="409"/>
        <v>1342</v>
      </c>
      <c r="AZ83" s="253">
        <f t="shared" si="409"/>
        <v>668</v>
      </c>
      <c r="BA83" s="253">
        <f t="shared" ref="BA83:BG83" si="410">BA27+BA30</f>
        <v>766</v>
      </c>
      <c r="BB83" s="253">
        <f t="shared" si="410"/>
        <v>1536</v>
      </c>
      <c r="BC83" s="254">
        <f t="shared" si="410"/>
        <v>1698</v>
      </c>
      <c r="BD83" s="253">
        <f t="shared" si="410"/>
        <v>923</v>
      </c>
      <c r="BE83" s="253">
        <f t="shared" si="410"/>
        <v>1409.4216919910268</v>
      </c>
      <c r="BF83" s="253">
        <f t="shared" si="410"/>
        <v>1446.5323489355233</v>
      </c>
      <c r="BG83" s="254">
        <f t="shared" si="410"/>
        <v>1711.1852724156238</v>
      </c>
      <c r="BH83" s="253">
        <f t="shared" ref="BH83:BK83" si="411">BH27+BH30</f>
        <v>1218.090698145603</v>
      </c>
      <c r="BI83" s="253">
        <f t="shared" si="411"/>
        <v>1562.1976642385184</v>
      </c>
      <c r="BJ83" s="253">
        <f t="shared" si="411"/>
        <v>1650.3758651828384</v>
      </c>
      <c r="BK83" s="254">
        <f t="shared" si="411"/>
        <v>1878.8612116942795</v>
      </c>
      <c r="BL83" s="253">
        <f t="shared" ref="BL83:BO83" si="412">BL27+BL30</f>
        <v>1690.7261012719109</v>
      </c>
      <c r="BM83" s="253">
        <f t="shared" si="412"/>
        <v>1603.5116658465317</v>
      </c>
      <c r="BN83" s="253">
        <f t="shared" si="412"/>
        <v>1743.1013550336631</v>
      </c>
      <c r="BO83" s="254">
        <f t="shared" si="412"/>
        <v>1977.859758066553</v>
      </c>
      <c r="BP83" s="20"/>
      <c r="BQ83" s="255">
        <f>BQ27+BQ30</f>
        <v>2326</v>
      </c>
      <c r="BR83" s="604">
        <f>BR27+BR30</f>
        <v>1184</v>
      </c>
      <c r="BS83" s="604">
        <f>BS27+BS30</f>
        <v>3782.01</v>
      </c>
      <c r="BT83" s="604">
        <f>BT27+BT30</f>
        <v>2567</v>
      </c>
      <c r="BU83" s="604">
        <f t="shared" ref="BU83:BZ83" si="413">BU27+BU30</f>
        <v>1890</v>
      </c>
      <c r="BV83" s="256">
        <f t="shared" si="413"/>
        <v>2621</v>
      </c>
      <c r="BW83" s="604">
        <f t="shared" si="413"/>
        <v>2441</v>
      </c>
      <c r="BX83" s="604">
        <f t="shared" si="413"/>
        <v>2919</v>
      </c>
      <c r="BY83" s="604">
        <f t="shared" si="413"/>
        <v>2972</v>
      </c>
      <c r="BZ83" s="604">
        <f t="shared" si="413"/>
        <v>3507</v>
      </c>
      <c r="CA83" s="604">
        <f t="shared" ref="CA83:CF83" si="414">CA27+CA30</f>
        <v>3717</v>
      </c>
      <c r="CB83" s="604">
        <f t="shared" si="414"/>
        <v>4083</v>
      </c>
      <c r="CC83" s="604">
        <f t="shared" si="414"/>
        <v>4668</v>
      </c>
      <c r="CD83" s="604">
        <f t="shared" si="414"/>
        <v>5490.1393133421734</v>
      </c>
      <c r="CE83" s="604">
        <f t="shared" si="414"/>
        <v>6309.5254392612387</v>
      </c>
      <c r="CF83" s="605">
        <f t="shared" si="414"/>
        <v>7015.1988802186588</v>
      </c>
      <c r="CG83" s="297"/>
      <c r="CH83" s="8"/>
    </row>
    <row r="84" spans="1:92" ht="14.25" customHeight="1">
      <c r="A84" s="8"/>
      <c r="B84" s="297"/>
      <c r="C84" s="224"/>
      <c r="D84" s="221"/>
      <c r="E84" s="221"/>
      <c r="F84" s="221"/>
      <c r="G84" s="222"/>
      <c r="H84" s="221"/>
      <c r="I84" s="221"/>
      <c r="J84" s="221"/>
      <c r="K84" s="222"/>
      <c r="L84" s="221"/>
      <c r="M84" s="221"/>
      <c r="N84" s="221"/>
      <c r="O84" s="222"/>
      <c r="P84" s="221"/>
      <c r="Q84" s="221"/>
      <c r="R84" s="221"/>
      <c r="S84" s="222"/>
      <c r="T84" s="221"/>
      <c r="U84" s="221"/>
      <c r="V84" s="221"/>
      <c r="W84" s="605"/>
      <c r="X84" s="253"/>
      <c r="Y84" s="221"/>
      <c r="Z84" s="253"/>
      <c r="AA84" s="605"/>
      <c r="AB84" s="253"/>
      <c r="AC84" s="221"/>
      <c r="AD84" s="253"/>
      <c r="AE84" s="605"/>
      <c r="AF84" s="253"/>
      <c r="AG84" s="253"/>
      <c r="AH84" s="253"/>
      <c r="AI84" s="605"/>
      <c r="AJ84" s="253"/>
      <c r="AK84" s="253"/>
      <c r="AL84" s="253"/>
      <c r="AM84" s="605"/>
      <c r="AN84" s="253"/>
      <c r="AO84" s="253"/>
      <c r="AP84" s="253"/>
      <c r="AQ84" s="605"/>
      <c r="AR84" s="253"/>
      <c r="AS84" s="253"/>
      <c r="AT84" s="253"/>
      <c r="AU84" s="605"/>
      <c r="AV84" s="253"/>
      <c r="AW84" s="253"/>
      <c r="AX84" s="253"/>
      <c r="AY84" s="605"/>
      <c r="AZ84" s="253"/>
      <c r="BA84" s="253"/>
      <c r="BB84" s="253"/>
      <c r="BC84" s="605"/>
      <c r="BD84" s="253"/>
      <c r="BE84" s="253"/>
      <c r="BF84" s="253"/>
      <c r="BG84" s="605"/>
      <c r="BH84" s="253"/>
      <c r="BI84" s="253"/>
      <c r="BJ84" s="253"/>
      <c r="BK84" s="605"/>
      <c r="BL84" s="253"/>
      <c r="BM84" s="253"/>
      <c r="BN84" s="253"/>
      <c r="BO84" s="605"/>
      <c r="BP84" s="20"/>
      <c r="BQ84" s="606"/>
      <c r="BR84" s="604"/>
      <c r="BS84" s="604"/>
      <c r="BT84" s="604"/>
      <c r="BU84" s="604"/>
      <c r="BV84" s="604"/>
      <c r="BW84" s="604"/>
      <c r="BX84" s="604"/>
      <c r="BY84" s="604"/>
      <c r="BZ84" s="604"/>
      <c r="CA84" s="604"/>
      <c r="CB84" s="604"/>
      <c r="CC84" s="604"/>
      <c r="CD84" s="604"/>
      <c r="CE84" s="604"/>
      <c r="CF84" s="605"/>
      <c r="CG84" s="297"/>
      <c r="CH84" s="8"/>
    </row>
    <row r="85" spans="1:92" ht="14.25" customHeight="1">
      <c r="A85" s="8"/>
      <c r="B85" s="297" t="s">
        <v>280</v>
      </c>
      <c r="C85" s="224"/>
      <c r="D85" s="221"/>
      <c r="E85" s="221"/>
      <c r="F85" s="221"/>
      <c r="G85" s="222"/>
      <c r="H85" s="221"/>
      <c r="I85" s="221"/>
      <c r="J85" s="221"/>
      <c r="K85" s="222"/>
      <c r="L85" s="221"/>
      <c r="M85" s="221"/>
      <c r="N85" s="221"/>
      <c r="O85" s="222"/>
      <c r="P85" s="221"/>
      <c r="Q85" s="221"/>
      <c r="R85" s="221"/>
      <c r="S85" s="222"/>
      <c r="T85" s="221"/>
      <c r="U85" s="221"/>
      <c r="V85" s="221"/>
      <c r="W85" s="605"/>
      <c r="X85" s="253"/>
      <c r="Y85" s="221"/>
      <c r="Z85" s="253"/>
      <c r="AA85" s="605"/>
      <c r="AB85" s="253"/>
      <c r="AC85" s="221"/>
      <c r="AD85" s="253"/>
      <c r="AE85" s="605"/>
      <c r="AF85" s="253">
        <f>+AF11</f>
        <v>265</v>
      </c>
      <c r="AG85" s="253">
        <f t="shared" ref="AG85:AQ85" si="415">+AG11</f>
        <v>446</v>
      </c>
      <c r="AH85" s="253">
        <f t="shared" si="415"/>
        <v>784</v>
      </c>
      <c r="AI85" s="605">
        <f t="shared" si="415"/>
        <v>264</v>
      </c>
      <c r="AJ85" s="253">
        <f t="shared" si="415"/>
        <v>362</v>
      </c>
      <c r="AK85" s="253">
        <f>+AK11</f>
        <v>660</v>
      </c>
      <c r="AL85" s="253">
        <f>+AL11</f>
        <v>629</v>
      </c>
      <c r="AM85" s="605">
        <f t="shared" si="415"/>
        <v>511</v>
      </c>
      <c r="AN85" s="253">
        <f t="shared" si="415"/>
        <v>487</v>
      </c>
      <c r="AO85" s="253">
        <f t="shared" si="415"/>
        <v>683</v>
      </c>
      <c r="AP85" s="253">
        <f t="shared" si="415"/>
        <v>826</v>
      </c>
      <c r="AQ85" s="605">
        <f t="shared" si="415"/>
        <v>825</v>
      </c>
      <c r="AR85" s="253">
        <f t="shared" ref="AR85:AT85" si="416">+AR11</f>
        <v>656</v>
      </c>
      <c r="AS85" s="253">
        <f t="shared" si="416"/>
        <v>696</v>
      </c>
      <c r="AT85" s="253">
        <f t="shared" si="416"/>
        <v>798</v>
      </c>
      <c r="AU85" s="605">
        <f t="shared" ref="AU85:AZ85" si="417">+AU11</f>
        <v>836</v>
      </c>
      <c r="AV85" s="253">
        <f t="shared" si="417"/>
        <v>711</v>
      </c>
      <c r="AW85" s="253">
        <f t="shared" si="417"/>
        <v>819</v>
      </c>
      <c r="AX85" s="253">
        <f t="shared" si="417"/>
        <v>1018</v>
      </c>
      <c r="AY85" s="605">
        <f t="shared" si="417"/>
        <v>1047</v>
      </c>
      <c r="AZ85" s="253">
        <f t="shared" si="417"/>
        <v>997</v>
      </c>
      <c r="BA85" s="253">
        <f t="shared" ref="BA85:BG85" si="418">+BA11</f>
        <v>1056</v>
      </c>
      <c r="BB85" s="253">
        <f t="shared" si="418"/>
        <v>1285</v>
      </c>
      <c r="BC85" s="605">
        <f t="shared" si="418"/>
        <v>344</v>
      </c>
      <c r="BD85" s="253">
        <f t="shared" si="418"/>
        <v>1366</v>
      </c>
      <c r="BE85" s="253">
        <f t="shared" si="418"/>
        <v>1307.4845627079944</v>
      </c>
      <c r="BF85" s="253">
        <f t="shared" si="418"/>
        <v>1421.0687695702522</v>
      </c>
      <c r="BG85" s="605">
        <f t="shared" si="418"/>
        <v>1331.8287717151222</v>
      </c>
      <c r="BH85" s="253">
        <f t="shared" ref="BH85:BK85" si="419">+BH11</f>
        <v>1304.0549473576293</v>
      </c>
      <c r="BI85" s="253">
        <f t="shared" si="419"/>
        <v>1434.593935677289</v>
      </c>
      <c r="BJ85" s="253">
        <f t="shared" si="419"/>
        <v>1590.9708675970537</v>
      </c>
      <c r="BK85" s="605">
        <f t="shared" si="419"/>
        <v>1464.2880820737823</v>
      </c>
      <c r="BL85" s="253">
        <f t="shared" ref="BL85:BO85" si="420">+BL11</f>
        <v>1410.0760391412059</v>
      </c>
      <c r="BM85" s="253">
        <f t="shared" si="420"/>
        <v>1572.503971479651</v>
      </c>
      <c r="BN85" s="253">
        <f t="shared" si="420"/>
        <v>1727.9733908024286</v>
      </c>
      <c r="BO85" s="605">
        <f t="shared" si="420"/>
        <v>1580.2072980989387</v>
      </c>
      <c r="BP85" s="20"/>
      <c r="BQ85" s="606"/>
      <c r="BR85" s="604"/>
      <c r="BS85" s="604"/>
      <c r="BT85" s="604"/>
      <c r="BU85" s="604"/>
      <c r="BV85" s="604"/>
      <c r="BW85" s="604"/>
      <c r="BX85" s="604">
        <f t="shared" ref="BX85:CA85" si="421">+BX11</f>
        <v>1759</v>
      </c>
      <c r="BY85" s="604">
        <f t="shared" si="421"/>
        <v>2162</v>
      </c>
      <c r="BZ85" s="604">
        <f t="shared" si="421"/>
        <v>2821</v>
      </c>
      <c r="CA85" s="604">
        <f t="shared" si="421"/>
        <v>2986</v>
      </c>
      <c r="CB85" s="604">
        <f>+CB11</f>
        <v>3595</v>
      </c>
      <c r="CC85" s="604">
        <f>+CC11</f>
        <v>3682</v>
      </c>
      <c r="CD85" s="604">
        <f>+CD11</f>
        <v>5426.3821039933691</v>
      </c>
      <c r="CE85" s="604">
        <f>+CE11</f>
        <v>5793.9078327057541</v>
      </c>
      <c r="CF85" s="605">
        <f>+CF11</f>
        <v>6290.7606995222241</v>
      </c>
      <c r="CG85" s="297"/>
      <c r="CH85" s="8"/>
    </row>
    <row r="86" spans="1:92" ht="14.25" customHeight="1">
      <c r="A86" s="8"/>
      <c r="B86" s="297" t="s">
        <v>78</v>
      </c>
      <c r="C86" s="224"/>
      <c r="D86" s="221"/>
      <c r="E86" s="221"/>
      <c r="F86" s="221"/>
      <c r="G86" s="222"/>
      <c r="H86" s="221"/>
      <c r="I86" s="221"/>
      <c r="J86" s="221"/>
      <c r="K86" s="222"/>
      <c r="L86" s="221"/>
      <c r="M86" s="221"/>
      <c r="N86" s="221"/>
      <c r="O86" s="222"/>
      <c r="P86" s="221"/>
      <c r="Q86" s="221"/>
      <c r="R86" s="221"/>
      <c r="S86" s="222"/>
      <c r="T86" s="221"/>
      <c r="U86" s="221"/>
      <c r="V86" s="221"/>
      <c r="W86" s="605"/>
      <c r="X86" s="253"/>
      <c r="Y86" s="221"/>
      <c r="Z86" s="253"/>
      <c r="AA86" s="605"/>
      <c r="AB86" s="253"/>
      <c r="AC86" s="221"/>
      <c r="AD86" s="253"/>
      <c r="AE86" s="605"/>
      <c r="AF86" s="253">
        <f>+AF13</f>
        <v>243</v>
      </c>
      <c r="AG86" s="253">
        <f t="shared" ref="AG86:AQ86" si="422">+AG13</f>
        <v>241</v>
      </c>
      <c r="AH86" s="253">
        <f t="shared" si="422"/>
        <v>241</v>
      </c>
      <c r="AI86" s="605">
        <f t="shared" si="422"/>
        <v>232</v>
      </c>
      <c r="AJ86" s="253">
        <f t="shared" si="422"/>
        <v>228</v>
      </c>
      <c r="AK86" s="253">
        <f>+AK13</f>
        <v>221</v>
      </c>
      <c r="AL86" s="253">
        <f>+AL13</f>
        <v>217</v>
      </c>
      <c r="AM86" s="605">
        <f t="shared" si="422"/>
        <v>213</v>
      </c>
      <c r="AN86" s="253">
        <f t="shared" si="422"/>
        <v>213</v>
      </c>
      <c r="AO86" s="253">
        <f t="shared" si="422"/>
        <v>213</v>
      </c>
      <c r="AP86" s="253">
        <f t="shared" si="422"/>
        <v>213</v>
      </c>
      <c r="AQ86" s="605">
        <f t="shared" si="422"/>
        <v>211</v>
      </c>
      <c r="AR86" s="253">
        <f t="shared" ref="AR86:AT86" si="423">+AR13</f>
        <v>203</v>
      </c>
      <c r="AS86" s="253">
        <f t="shared" si="423"/>
        <v>198</v>
      </c>
      <c r="AT86" s="253">
        <f t="shared" si="423"/>
        <v>193</v>
      </c>
      <c r="AU86" s="605">
        <f t="shared" ref="AU86:AZ86" si="424">+AU13</f>
        <v>172</v>
      </c>
      <c r="AV86" s="253">
        <f t="shared" si="424"/>
        <v>161</v>
      </c>
      <c r="AW86" s="253">
        <f t="shared" si="424"/>
        <v>155</v>
      </c>
      <c r="AX86" s="253">
        <f t="shared" si="424"/>
        <v>150</v>
      </c>
      <c r="AY86" s="605">
        <f t="shared" si="424"/>
        <v>139</v>
      </c>
      <c r="AZ86" s="253">
        <f t="shared" si="424"/>
        <v>139</v>
      </c>
      <c r="BA86" s="253">
        <f t="shared" ref="BA86:BG86" si="425">+BA13</f>
        <v>134</v>
      </c>
      <c r="BB86" s="253">
        <f t="shared" si="425"/>
        <v>133</v>
      </c>
      <c r="BC86" s="605">
        <f t="shared" si="425"/>
        <v>133</v>
      </c>
      <c r="BD86" s="253">
        <f t="shared" si="425"/>
        <v>137</v>
      </c>
      <c r="BE86" s="253">
        <f t="shared" si="425"/>
        <v>129</v>
      </c>
      <c r="BF86" s="253">
        <f t="shared" si="425"/>
        <v>128</v>
      </c>
      <c r="BG86" s="605">
        <f t="shared" si="425"/>
        <v>128</v>
      </c>
      <c r="BH86" s="253">
        <f t="shared" ref="BH86:BK86" si="426">+BH13</f>
        <v>132</v>
      </c>
      <c r="BI86" s="253">
        <f t="shared" si="426"/>
        <v>124</v>
      </c>
      <c r="BJ86" s="253">
        <f t="shared" si="426"/>
        <v>123</v>
      </c>
      <c r="BK86" s="605">
        <f t="shared" si="426"/>
        <v>123</v>
      </c>
      <c r="BL86" s="253">
        <f t="shared" ref="BL86:BO86" si="427">+BL13</f>
        <v>127</v>
      </c>
      <c r="BM86" s="253">
        <f t="shared" si="427"/>
        <v>119</v>
      </c>
      <c r="BN86" s="253">
        <f t="shared" si="427"/>
        <v>118</v>
      </c>
      <c r="BO86" s="605">
        <f t="shared" si="427"/>
        <v>118</v>
      </c>
      <c r="BP86" s="20"/>
      <c r="BQ86" s="606"/>
      <c r="BR86" s="604"/>
      <c r="BS86" s="604"/>
      <c r="BT86" s="604"/>
      <c r="BU86" s="604"/>
      <c r="BV86" s="604"/>
      <c r="BW86" s="604"/>
      <c r="BX86" s="604">
        <f t="shared" ref="BX86:CA86" si="428">+BX13</f>
        <v>957</v>
      </c>
      <c r="BY86" s="604">
        <f t="shared" si="428"/>
        <v>879</v>
      </c>
      <c r="BZ86" s="604">
        <f t="shared" si="428"/>
        <v>850</v>
      </c>
      <c r="CA86" s="604">
        <f t="shared" si="428"/>
        <v>766</v>
      </c>
      <c r="CB86" s="604">
        <f>+CB13</f>
        <v>605</v>
      </c>
      <c r="CC86" s="604">
        <f>+CC13</f>
        <v>539</v>
      </c>
      <c r="CD86" s="604">
        <f>+CD13</f>
        <v>522</v>
      </c>
      <c r="CE86" s="604">
        <f>+CE13</f>
        <v>502</v>
      </c>
      <c r="CF86" s="605">
        <f>+CF13</f>
        <v>482</v>
      </c>
      <c r="CG86" s="297"/>
      <c r="CH86" s="8"/>
    </row>
    <row r="87" spans="1:92" ht="14.25" customHeight="1">
      <c r="A87" s="8"/>
      <c r="B87" s="297" t="s">
        <v>79</v>
      </c>
      <c r="C87" s="224"/>
      <c r="D87" s="221"/>
      <c r="E87" s="221"/>
      <c r="F87" s="221"/>
      <c r="G87" s="222"/>
      <c r="H87" s="221"/>
      <c r="I87" s="221"/>
      <c r="J87" s="221"/>
      <c r="K87" s="222"/>
      <c r="L87" s="221"/>
      <c r="M87" s="221"/>
      <c r="N87" s="221"/>
      <c r="O87" s="222"/>
      <c r="P87" s="221"/>
      <c r="Q87" s="221"/>
      <c r="R87" s="221"/>
      <c r="S87" s="222"/>
      <c r="T87" s="221"/>
      <c r="U87" s="221"/>
      <c r="V87" s="221"/>
      <c r="W87" s="605"/>
      <c r="X87" s="253"/>
      <c r="Y87" s="221"/>
      <c r="Z87" s="253"/>
      <c r="AA87" s="605"/>
      <c r="AB87" s="253"/>
      <c r="AC87" s="221"/>
      <c r="AD87" s="253"/>
      <c r="AE87" s="605"/>
      <c r="AF87" s="253">
        <f>+AF15</f>
        <v>86</v>
      </c>
      <c r="AG87" s="253">
        <f t="shared" ref="AG87:AQ87" si="429">+AG15</f>
        <v>85</v>
      </c>
      <c r="AH87" s="253">
        <f t="shared" si="429"/>
        <v>86</v>
      </c>
      <c r="AI87" s="605">
        <f t="shared" si="429"/>
        <v>85</v>
      </c>
      <c r="AJ87" s="253">
        <f t="shared" si="429"/>
        <v>85</v>
      </c>
      <c r="AK87" s="253">
        <f>+AK15</f>
        <v>85</v>
      </c>
      <c r="AL87" s="253">
        <f>+AL15</f>
        <v>83</v>
      </c>
      <c r="AM87" s="605">
        <f t="shared" si="429"/>
        <v>83</v>
      </c>
      <c r="AN87" s="253">
        <f t="shared" si="429"/>
        <v>81</v>
      </c>
      <c r="AO87" s="253">
        <f t="shared" si="429"/>
        <v>110</v>
      </c>
      <c r="AP87" s="253">
        <f t="shared" si="429"/>
        <v>80</v>
      </c>
      <c r="AQ87" s="605">
        <f t="shared" si="429"/>
        <v>109</v>
      </c>
      <c r="AR87" s="253">
        <f t="shared" ref="AR87:AT87" si="430">+AR15</f>
        <v>80</v>
      </c>
      <c r="AS87" s="253">
        <f t="shared" si="430"/>
        <v>106</v>
      </c>
      <c r="AT87" s="253">
        <f t="shared" si="430"/>
        <v>54</v>
      </c>
      <c r="AU87" s="605">
        <f t="shared" ref="AU87:AZ87" si="431">+AU15</f>
        <v>127</v>
      </c>
      <c r="AV87" s="253">
        <f t="shared" si="431"/>
        <v>80</v>
      </c>
      <c r="AW87" s="253">
        <f t="shared" si="431"/>
        <v>95</v>
      </c>
      <c r="AX87" s="253">
        <f t="shared" si="431"/>
        <v>64</v>
      </c>
      <c r="AY87" s="605">
        <f t="shared" si="431"/>
        <v>111</v>
      </c>
      <c r="AZ87" s="253">
        <f t="shared" si="431"/>
        <v>80</v>
      </c>
      <c r="BA87" s="253">
        <f t="shared" ref="BA87:BG87" si="432">+BA15</f>
        <v>91</v>
      </c>
      <c r="BB87" s="253">
        <f t="shared" si="432"/>
        <v>68</v>
      </c>
      <c r="BC87" s="605">
        <f t="shared" si="432"/>
        <v>126</v>
      </c>
      <c r="BD87" s="253">
        <f t="shared" si="432"/>
        <v>80</v>
      </c>
      <c r="BE87" s="253">
        <f t="shared" si="432"/>
        <v>80</v>
      </c>
      <c r="BF87" s="253">
        <f t="shared" si="432"/>
        <v>80</v>
      </c>
      <c r="BG87" s="605">
        <f t="shared" si="432"/>
        <v>80</v>
      </c>
      <c r="BH87" s="253">
        <f t="shared" ref="BH87:BK87" si="433">+BH15</f>
        <v>80</v>
      </c>
      <c r="BI87" s="253">
        <f t="shared" si="433"/>
        <v>80</v>
      </c>
      <c r="BJ87" s="253">
        <f t="shared" si="433"/>
        <v>80</v>
      </c>
      <c r="BK87" s="605">
        <f t="shared" si="433"/>
        <v>80</v>
      </c>
      <c r="BL87" s="253">
        <f t="shared" ref="BL87:BO87" si="434">+BL15</f>
        <v>70</v>
      </c>
      <c r="BM87" s="253">
        <f t="shared" si="434"/>
        <v>70</v>
      </c>
      <c r="BN87" s="253">
        <f t="shared" si="434"/>
        <v>70</v>
      </c>
      <c r="BO87" s="605">
        <f t="shared" si="434"/>
        <v>70</v>
      </c>
      <c r="BP87" s="20"/>
      <c r="BQ87" s="606"/>
      <c r="BR87" s="604"/>
      <c r="BS87" s="604"/>
      <c r="BT87" s="604"/>
      <c r="BU87" s="604"/>
      <c r="BV87" s="604"/>
      <c r="BW87" s="604"/>
      <c r="BX87" s="604">
        <f t="shared" ref="BX87:CA87" si="435">+BX15</f>
        <v>342</v>
      </c>
      <c r="BY87" s="604">
        <f t="shared" si="435"/>
        <v>336</v>
      </c>
      <c r="BZ87" s="604">
        <f t="shared" si="435"/>
        <v>380</v>
      </c>
      <c r="CA87" s="604">
        <f t="shared" si="435"/>
        <v>367</v>
      </c>
      <c r="CB87" s="604">
        <f>+CB15</f>
        <v>350</v>
      </c>
      <c r="CC87" s="604">
        <f>+CC15</f>
        <v>365</v>
      </c>
      <c r="CD87" s="604">
        <f>+CD15</f>
        <v>320</v>
      </c>
      <c r="CE87" s="604">
        <f>+CE15</f>
        <v>320</v>
      </c>
      <c r="CF87" s="605">
        <f>+CF15</f>
        <v>280</v>
      </c>
      <c r="CG87" s="297"/>
      <c r="CH87" s="8"/>
    </row>
    <row r="88" spans="1:92" ht="14.25" customHeight="1">
      <c r="A88" s="368"/>
      <c r="B88" s="547" t="s">
        <v>75</v>
      </c>
      <c r="C88" s="607"/>
      <c r="D88" s="608"/>
      <c r="E88" s="608"/>
      <c r="F88" s="608"/>
      <c r="G88" s="609"/>
      <c r="H88" s="608"/>
      <c r="I88" s="608"/>
      <c r="J88" s="608"/>
      <c r="K88" s="609"/>
      <c r="L88" s="608"/>
      <c r="M88" s="608"/>
      <c r="N88" s="608"/>
      <c r="O88" s="609"/>
      <c r="P88" s="608"/>
      <c r="Q88" s="608"/>
      <c r="R88" s="608"/>
      <c r="S88" s="609"/>
      <c r="T88" s="608"/>
      <c r="U88" s="608"/>
      <c r="V88" s="608"/>
      <c r="W88" s="610"/>
      <c r="X88" s="611"/>
      <c r="Y88" s="608"/>
      <c r="Z88" s="611"/>
      <c r="AA88" s="610"/>
      <c r="AB88" s="611"/>
      <c r="AC88" s="608"/>
      <c r="AD88" s="611"/>
      <c r="AE88" s="610"/>
      <c r="AF88" s="611">
        <f>+AF30</f>
        <v>-103</v>
      </c>
      <c r="AG88" s="611">
        <f t="shared" ref="AG88:AQ88" si="436">+AG30</f>
        <v>-146</v>
      </c>
      <c r="AH88" s="611">
        <f t="shared" si="436"/>
        <v>-150</v>
      </c>
      <c r="AI88" s="610">
        <f t="shared" si="436"/>
        <v>-96</v>
      </c>
      <c r="AJ88" s="611">
        <f t="shared" si="436"/>
        <v>-84</v>
      </c>
      <c r="AK88" s="611">
        <f>+AK30</f>
        <v>-98</v>
      </c>
      <c r="AL88" s="611">
        <f>+AL30</f>
        <v>-123</v>
      </c>
      <c r="AM88" s="610">
        <f t="shared" si="436"/>
        <v>-107</v>
      </c>
      <c r="AN88" s="611">
        <f t="shared" si="436"/>
        <v>-77</v>
      </c>
      <c r="AO88" s="611">
        <f t="shared" si="436"/>
        <v>-80</v>
      </c>
      <c r="AP88" s="611">
        <f t="shared" si="436"/>
        <v>-103</v>
      </c>
      <c r="AQ88" s="610">
        <f t="shared" si="436"/>
        <v>-125</v>
      </c>
      <c r="AR88" s="611">
        <f t="shared" ref="AR88:AT88" si="437">+AR30</f>
        <v>-123</v>
      </c>
      <c r="AS88" s="611">
        <f t="shared" si="437"/>
        <v>-125</v>
      </c>
      <c r="AT88" s="611">
        <f t="shared" si="437"/>
        <v>-139</v>
      </c>
      <c r="AU88" s="610">
        <f t="shared" ref="AU88:AZ88" si="438">+AU30</f>
        <v>-164</v>
      </c>
      <c r="AV88" s="611">
        <f t="shared" si="438"/>
        <v>-124</v>
      </c>
      <c r="AW88" s="611">
        <f t="shared" si="438"/>
        <v>-158</v>
      </c>
      <c r="AX88" s="611">
        <f t="shared" si="438"/>
        <v>-139</v>
      </c>
      <c r="AY88" s="610">
        <f t="shared" si="438"/>
        <v>-110</v>
      </c>
      <c r="AZ88" s="611">
        <f t="shared" si="438"/>
        <v>-127</v>
      </c>
      <c r="BA88" s="611">
        <f t="shared" ref="BA88:BG88" si="439">+BA30</f>
        <v>-151</v>
      </c>
      <c r="BB88" s="611">
        <f t="shared" si="439"/>
        <v>-186</v>
      </c>
      <c r="BC88" s="610">
        <f t="shared" si="439"/>
        <v>-231</v>
      </c>
      <c r="BD88" s="611">
        <f t="shared" si="439"/>
        <v>-189</v>
      </c>
      <c r="BE88" s="611">
        <f t="shared" si="439"/>
        <v>-196.75037492037757</v>
      </c>
      <c r="BF88" s="611">
        <f t="shared" si="439"/>
        <v>-209.35216233226427</v>
      </c>
      <c r="BG88" s="610">
        <f t="shared" si="439"/>
        <v>-197.26236323651841</v>
      </c>
      <c r="BH88" s="611">
        <f t="shared" ref="BH88:BK88" si="440">+BH30</f>
        <v>-154.02432575675084</v>
      </c>
      <c r="BI88" s="611">
        <f t="shared" si="440"/>
        <v>-163.57548156572383</v>
      </c>
      <c r="BJ88" s="611">
        <f t="shared" si="440"/>
        <v>-173.62935136515625</v>
      </c>
      <c r="BK88" s="610">
        <f t="shared" si="440"/>
        <v>-163.07259415480493</v>
      </c>
      <c r="BL88" s="611">
        <f t="shared" ref="BL88:BO88" si="441">+BL30</f>
        <v>-158.96222707352942</v>
      </c>
      <c r="BM88" s="611">
        <f t="shared" si="441"/>
        <v>-168.76959175725926</v>
      </c>
      <c r="BN88" s="611">
        <f t="shared" si="441"/>
        <v>-179.03977436062695</v>
      </c>
      <c r="BO88" s="610">
        <f t="shared" si="441"/>
        <v>-168.24888751252197</v>
      </c>
      <c r="BP88" s="612"/>
      <c r="BQ88" s="613"/>
      <c r="BR88" s="614"/>
      <c r="BS88" s="614"/>
      <c r="BT88" s="614"/>
      <c r="BU88" s="614"/>
      <c r="BV88" s="614"/>
      <c r="BW88" s="614"/>
      <c r="BX88" s="614">
        <f t="shared" ref="BX88:CA88" si="442">+BX30</f>
        <v>-495</v>
      </c>
      <c r="BY88" s="614">
        <f t="shared" si="442"/>
        <v>-412</v>
      </c>
      <c r="BZ88" s="614">
        <f t="shared" si="442"/>
        <v>-385</v>
      </c>
      <c r="CA88" s="614">
        <f t="shared" si="442"/>
        <v>-551</v>
      </c>
      <c r="CB88" s="614">
        <f>+CB30</f>
        <v>-531</v>
      </c>
      <c r="CC88" s="614">
        <f>+CC30</f>
        <v>-695</v>
      </c>
      <c r="CD88" s="614">
        <f>+CD30</f>
        <v>-792.36490048916016</v>
      </c>
      <c r="CE88" s="614">
        <f>+CE30</f>
        <v>-654.30175284243592</v>
      </c>
      <c r="CF88" s="610">
        <f>+CF30</f>
        <v>-675.02048070393766</v>
      </c>
      <c r="CG88" s="547"/>
    </row>
    <row r="89" spans="1:92" s="85" customFormat="1" ht="14.25" customHeight="1">
      <c r="A89" s="392"/>
      <c r="B89" s="557" t="s">
        <v>259</v>
      </c>
      <c r="C89" s="615"/>
      <c r="D89" s="616"/>
      <c r="E89" s="616"/>
      <c r="F89" s="616"/>
      <c r="G89" s="617"/>
      <c r="H89" s="616"/>
      <c r="I89" s="616"/>
      <c r="J89" s="616"/>
      <c r="K89" s="617"/>
      <c r="L89" s="616"/>
      <c r="M89" s="616"/>
      <c r="N89" s="616"/>
      <c r="O89" s="617"/>
      <c r="P89" s="616"/>
      <c r="Q89" s="616"/>
      <c r="R89" s="616"/>
      <c r="S89" s="617"/>
      <c r="T89" s="616"/>
      <c r="U89" s="616"/>
      <c r="V89" s="616"/>
      <c r="W89" s="618"/>
      <c r="X89" s="619"/>
      <c r="Y89" s="616"/>
      <c r="Z89" s="619"/>
      <c r="AA89" s="618"/>
      <c r="AB89" s="619"/>
      <c r="AC89" s="616"/>
      <c r="AD89" s="619"/>
      <c r="AE89" s="618"/>
      <c r="AF89" s="619">
        <f>+SUM(AF85:AF88)</f>
        <v>491</v>
      </c>
      <c r="AG89" s="619">
        <f t="shared" ref="AG89:AQ89" si="443">+SUM(AG85:AG88)</f>
        <v>626</v>
      </c>
      <c r="AH89" s="619">
        <f t="shared" si="443"/>
        <v>961</v>
      </c>
      <c r="AI89" s="618">
        <f t="shared" si="443"/>
        <v>485</v>
      </c>
      <c r="AJ89" s="619">
        <f t="shared" si="443"/>
        <v>591</v>
      </c>
      <c r="AK89" s="619">
        <f t="shared" si="443"/>
        <v>868</v>
      </c>
      <c r="AL89" s="619">
        <f t="shared" si="443"/>
        <v>806</v>
      </c>
      <c r="AM89" s="618">
        <f t="shared" si="443"/>
        <v>700</v>
      </c>
      <c r="AN89" s="619">
        <f t="shared" si="443"/>
        <v>704</v>
      </c>
      <c r="AO89" s="619">
        <f t="shared" si="443"/>
        <v>926</v>
      </c>
      <c r="AP89" s="619">
        <f t="shared" si="443"/>
        <v>1016</v>
      </c>
      <c r="AQ89" s="618">
        <f t="shared" si="443"/>
        <v>1020</v>
      </c>
      <c r="AR89" s="619">
        <f t="shared" ref="AR89:AT89" si="444">+SUM(AR85:AR88)</f>
        <v>816</v>
      </c>
      <c r="AS89" s="619">
        <f t="shared" si="444"/>
        <v>875</v>
      </c>
      <c r="AT89" s="619">
        <f t="shared" si="444"/>
        <v>906</v>
      </c>
      <c r="AU89" s="618">
        <f t="shared" ref="AU89:AZ89" si="445">+SUM(AU85:AU88)</f>
        <v>971</v>
      </c>
      <c r="AV89" s="619">
        <f t="shared" si="445"/>
        <v>828</v>
      </c>
      <c r="AW89" s="619">
        <f t="shared" si="445"/>
        <v>911</v>
      </c>
      <c r="AX89" s="619">
        <f t="shared" si="445"/>
        <v>1093</v>
      </c>
      <c r="AY89" s="618">
        <f t="shared" si="445"/>
        <v>1187</v>
      </c>
      <c r="AZ89" s="619">
        <f t="shared" si="445"/>
        <v>1089</v>
      </c>
      <c r="BA89" s="619">
        <f t="shared" ref="BA89:BG89" si="446">+SUM(BA85:BA88)</f>
        <v>1130</v>
      </c>
      <c r="BB89" s="619">
        <f t="shared" si="446"/>
        <v>1300</v>
      </c>
      <c r="BC89" s="618">
        <f t="shared" si="446"/>
        <v>372</v>
      </c>
      <c r="BD89" s="619">
        <f t="shared" si="446"/>
        <v>1394</v>
      </c>
      <c r="BE89" s="619">
        <f t="shared" si="446"/>
        <v>1319.734187787617</v>
      </c>
      <c r="BF89" s="619">
        <f t="shared" si="446"/>
        <v>1419.716607237988</v>
      </c>
      <c r="BG89" s="618">
        <f t="shared" si="446"/>
        <v>1342.5664084786038</v>
      </c>
      <c r="BH89" s="619">
        <f t="shared" ref="BH89:BK89" si="447">+SUM(BH85:BH88)</f>
        <v>1362.0306216008785</v>
      </c>
      <c r="BI89" s="619">
        <f t="shared" si="447"/>
        <v>1475.0184541115652</v>
      </c>
      <c r="BJ89" s="619">
        <f t="shared" si="447"/>
        <v>1620.3415162318975</v>
      </c>
      <c r="BK89" s="618">
        <f t="shared" si="447"/>
        <v>1504.2154879189775</v>
      </c>
      <c r="BL89" s="619">
        <f t="shared" ref="BL89:BO89" si="448">+SUM(BL85:BL88)</f>
        <v>1448.1138120676765</v>
      </c>
      <c r="BM89" s="619">
        <f t="shared" si="448"/>
        <v>1592.7343797223916</v>
      </c>
      <c r="BN89" s="619">
        <f t="shared" si="448"/>
        <v>1736.9336164418016</v>
      </c>
      <c r="BO89" s="618">
        <f t="shared" si="448"/>
        <v>1599.9584105864167</v>
      </c>
      <c r="BP89" s="620"/>
      <c r="BQ89" s="621"/>
      <c r="BR89" s="622"/>
      <c r="BS89" s="622"/>
      <c r="BT89" s="622"/>
      <c r="BU89" s="622"/>
      <c r="BV89" s="622"/>
      <c r="BW89" s="622"/>
      <c r="BX89" s="622">
        <f t="shared" ref="BX89:CA89" si="449">+SUM(BX85:BX88)</f>
        <v>2563</v>
      </c>
      <c r="BY89" s="622">
        <f t="shared" si="449"/>
        <v>2965</v>
      </c>
      <c r="BZ89" s="622">
        <f t="shared" si="449"/>
        <v>3666</v>
      </c>
      <c r="CA89" s="622">
        <f t="shared" si="449"/>
        <v>3568</v>
      </c>
      <c r="CB89" s="622">
        <f>+SUM(CB85:CB88)</f>
        <v>4019</v>
      </c>
      <c r="CC89" s="622">
        <f>+SUM(CC85:CC88)</f>
        <v>3891</v>
      </c>
      <c r="CD89" s="622">
        <f>+SUM(CD85:CD88)</f>
        <v>5476.0172035042087</v>
      </c>
      <c r="CE89" s="622">
        <f>+SUM(CE85:CE88)</f>
        <v>5961.606079863318</v>
      </c>
      <c r="CF89" s="618">
        <f>+SUM(CF85:CF88)</f>
        <v>6377.7402188182859</v>
      </c>
      <c r="CG89" s="557"/>
      <c r="CH89" s="86"/>
      <c r="CI89"/>
      <c r="CJ89"/>
      <c r="CK89"/>
      <c r="CL89"/>
      <c r="CM89"/>
      <c r="CN89"/>
    </row>
    <row r="90" spans="1:92" ht="14.25" customHeight="1">
      <c r="A90" s="368"/>
      <c r="B90" s="547" t="s">
        <v>76</v>
      </c>
      <c r="C90" s="607"/>
      <c r="D90" s="608"/>
      <c r="E90" s="608"/>
      <c r="F90" s="608"/>
      <c r="G90" s="609"/>
      <c r="H90" s="608"/>
      <c r="I90" s="608"/>
      <c r="J90" s="608"/>
      <c r="K90" s="609"/>
      <c r="L90" s="608"/>
      <c r="M90" s="608"/>
      <c r="N90" s="608"/>
      <c r="O90" s="609"/>
      <c r="P90" s="608"/>
      <c r="Q90" s="608"/>
      <c r="R90" s="608"/>
      <c r="S90" s="609"/>
      <c r="T90" s="608"/>
      <c r="U90" s="608"/>
      <c r="V90" s="608"/>
      <c r="W90" s="610"/>
      <c r="X90" s="611"/>
      <c r="Y90" s="608"/>
      <c r="Z90" s="611"/>
      <c r="AA90" s="610"/>
      <c r="AB90" s="611"/>
      <c r="AC90" s="608"/>
      <c r="AD90" s="611"/>
      <c r="AE90" s="610"/>
      <c r="AF90" s="611">
        <f>-IS!AF63</f>
        <v>35</v>
      </c>
      <c r="AG90" s="611">
        <f>-IS!AG63</f>
        <v>22</v>
      </c>
      <c r="AH90" s="611">
        <f>-IS!AH63</f>
        <v>-3</v>
      </c>
      <c r="AI90" s="610">
        <f>-IS!AI63</f>
        <v>-16</v>
      </c>
      <c r="AJ90" s="611">
        <f>-IS!AJ63</f>
        <v>21</v>
      </c>
      <c r="AK90" s="611">
        <f>-IS!AK63</f>
        <v>24</v>
      </c>
      <c r="AL90" s="611">
        <f>-IS!AL63</f>
        <v>28</v>
      </c>
      <c r="AM90" s="610">
        <f>-IS!AM63</f>
        <v>5</v>
      </c>
      <c r="AN90" s="611">
        <f>-IS!AN63</f>
        <v>19</v>
      </c>
      <c r="AO90" s="611">
        <f>-IS!AO63</f>
        <v>21</v>
      </c>
      <c r="AP90" s="611">
        <f>-IS!AP63</f>
        <v>20</v>
      </c>
      <c r="AQ90" s="610">
        <f>-IS!AQ63</f>
        <v>13</v>
      </c>
      <c r="AR90" s="611">
        <f>-IS!AR63</f>
        <v>18</v>
      </c>
      <c r="AS90" s="611">
        <f>-IS!AS63</f>
        <v>21</v>
      </c>
      <c r="AT90" s="611">
        <f>-IS!AT63</f>
        <v>16</v>
      </c>
      <c r="AU90" s="610">
        <f>-IS!AU63</f>
        <v>3</v>
      </c>
      <c r="AV90" s="611">
        <f>-IS!AV63</f>
        <v>18</v>
      </c>
      <c r="AW90" s="611">
        <f>-IS!AW63</f>
        <v>15</v>
      </c>
      <c r="AX90" s="611">
        <f>-IS!AX63</f>
        <v>14</v>
      </c>
      <c r="AY90" s="610">
        <f>-IS!AY63</f>
        <v>-178</v>
      </c>
      <c r="AZ90" s="611">
        <f>-IS!AZ63</f>
        <v>-3</v>
      </c>
      <c r="BA90" s="611">
        <f>-IS!BA63</f>
        <v>-6</v>
      </c>
      <c r="BB90" s="611">
        <f>-IS!BB63</f>
        <v>-1</v>
      </c>
      <c r="BC90" s="610">
        <f>-IS!BC63</f>
        <v>13</v>
      </c>
      <c r="BD90" s="611">
        <f>-IS!BD63</f>
        <v>-5</v>
      </c>
      <c r="BE90" s="611">
        <f>-IS!BE63</f>
        <v>0.953125</v>
      </c>
      <c r="BF90" s="611">
        <f>-IS!BF63</f>
        <v>0.953125</v>
      </c>
      <c r="BG90" s="610">
        <f>-IS!BG63</f>
        <v>0.953125</v>
      </c>
      <c r="BH90" s="611">
        <f>-IS!BH63</f>
        <v>1</v>
      </c>
      <c r="BI90" s="611">
        <f>-IS!BI63</f>
        <v>0.953125</v>
      </c>
      <c r="BJ90" s="611">
        <f>-IS!BJ63</f>
        <v>0.953125</v>
      </c>
      <c r="BK90" s="610">
        <f>-IS!BK63</f>
        <v>0.953125</v>
      </c>
      <c r="BL90" s="611">
        <f>-IS!BL63</f>
        <v>1</v>
      </c>
      <c r="BM90" s="611">
        <f>-IS!BM63</f>
        <v>0.953125</v>
      </c>
      <c r="BN90" s="611">
        <f>-IS!BN63</f>
        <v>0.953125</v>
      </c>
      <c r="BO90" s="610">
        <f>-IS!BO63</f>
        <v>0.953125</v>
      </c>
      <c r="BP90" s="612"/>
      <c r="BQ90" s="613"/>
      <c r="BR90" s="614"/>
      <c r="BS90" s="614"/>
      <c r="BT90" s="614"/>
      <c r="BU90" s="614"/>
      <c r="BV90" s="614"/>
      <c r="BW90" s="614"/>
      <c r="BX90" s="614">
        <f>-IS!BX63</f>
        <v>38</v>
      </c>
      <c r="BY90" s="614">
        <f>-IS!BY63</f>
        <v>78</v>
      </c>
      <c r="BZ90" s="614">
        <f>-IS!BZ63</f>
        <v>73</v>
      </c>
      <c r="CA90" s="614">
        <f>-IS!CA63</f>
        <v>58</v>
      </c>
      <c r="CB90" s="614">
        <f>-IS!CB63</f>
        <v>-131</v>
      </c>
      <c r="CC90" s="614">
        <f>-IS!CC63</f>
        <v>3</v>
      </c>
      <c r="CD90" s="614">
        <f>-IS!CD63</f>
        <v>-2.140625</v>
      </c>
      <c r="CE90" s="614">
        <f>-IS!CE63</f>
        <v>3.859375</v>
      </c>
      <c r="CF90" s="610">
        <f>-IS!CF63</f>
        <v>3.859375</v>
      </c>
      <c r="CG90" s="547"/>
    </row>
    <row r="91" spans="1:92" s="85" customFormat="1" ht="14.25" customHeight="1">
      <c r="A91" s="392"/>
      <c r="B91" s="557" t="s">
        <v>77</v>
      </c>
      <c r="C91" s="615"/>
      <c r="D91" s="616"/>
      <c r="E91" s="616"/>
      <c r="F91" s="616"/>
      <c r="G91" s="617"/>
      <c r="H91" s="616"/>
      <c r="I91" s="616"/>
      <c r="J91" s="616"/>
      <c r="K91" s="617"/>
      <c r="L91" s="616"/>
      <c r="M91" s="616"/>
      <c r="N91" s="616"/>
      <c r="O91" s="617"/>
      <c r="P91" s="616"/>
      <c r="Q91" s="616"/>
      <c r="R91" s="616"/>
      <c r="S91" s="617"/>
      <c r="T91" s="616"/>
      <c r="U91" s="616"/>
      <c r="V91" s="616"/>
      <c r="W91" s="618"/>
      <c r="X91" s="619"/>
      <c r="Y91" s="616"/>
      <c r="Z91" s="619"/>
      <c r="AA91" s="618"/>
      <c r="AB91" s="619"/>
      <c r="AC91" s="616"/>
      <c r="AD91" s="619"/>
      <c r="AE91" s="618"/>
      <c r="AF91" s="619">
        <f>+SUM(AF89:AF90)</f>
        <v>526</v>
      </c>
      <c r="AG91" s="619">
        <f t="shared" ref="AG91:AQ91" si="450">+SUM(AG89:AG90)</f>
        <v>648</v>
      </c>
      <c r="AH91" s="619">
        <f t="shared" si="450"/>
        <v>958</v>
      </c>
      <c r="AI91" s="618">
        <f t="shared" si="450"/>
        <v>469</v>
      </c>
      <c r="AJ91" s="619">
        <f t="shared" si="450"/>
        <v>612</v>
      </c>
      <c r="AK91" s="619">
        <f t="shared" si="450"/>
        <v>892</v>
      </c>
      <c r="AL91" s="619">
        <f t="shared" si="450"/>
        <v>834</v>
      </c>
      <c r="AM91" s="618">
        <f t="shared" si="450"/>
        <v>705</v>
      </c>
      <c r="AN91" s="619">
        <f t="shared" si="450"/>
        <v>723</v>
      </c>
      <c r="AO91" s="619">
        <f t="shared" si="450"/>
        <v>947</v>
      </c>
      <c r="AP91" s="619">
        <f t="shared" si="450"/>
        <v>1036</v>
      </c>
      <c r="AQ91" s="618">
        <f t="shared" si="450"/>
        <v>1033</v>
      </c>
      <c r="AR91" s="619">
        <f t="shared" ref="AR91:AT91" si="451">+SUM(AR89:AR90)</f>
        <v>834</v>
      </c>
      <c r="AS91" s="619">
        <f t="shared" si="451"/>
        <v>896</v>
      </c>
      <c r="AT91" s="619">
        <f t="shared" si="451"/>
        <v>922</v>
      </c>
      <c r="AU91" s="618">
        <f t="shared" ref="AU91:AZ91" si="452">+SUM(AU89:AU90)</f>
        <v>974</v>
      </c>
      <c r="AV91" s="619">
        <f t="shared" si="452"/>
        <v>846</v>
      </c>
      <c r="AW91" s="619">
        <f t="shared" si="452"/>
        <v>926</v>
      </c>
      <c r="AX91" s="619">
        <f t="shared" si="452"/>
        <v>1107</v>
      </c>
      <c r="AY91" s="618">
        <f t="shared" si="452"/>
        <v>1009</v>
      </c>
      <c r="AZ91" s="619">
        <f t="shared" si="452"/>
        <v>1086</v>
      </c>
      <c r="BA91" s="619">
        <f t="shared" ref="BA91:BG91" si="453">+SUM(BA89:BA90)</f>
        <v>1124</v>
      </c>
      <c r="BB91" s="619">
        <f t="shared" si="453"/>
        <v>1299</v>
      </c>
      <c r="BC91" s="618">
        <f t="shared" si="453"/>
        <v>385</v>
      </c>
      <c r="BD91" s="619">
        <f t="shared" si="453"/>
        <v>1389</v>
      </c>
      <c r="BE91" s="619">
        <f t="shared" si="453"/>
        <v>1320.687312787617</v>
      </c>
      <c r="BF91" s="619">
        <f t="shared" si="453"/>
        <v>1420.669732237988</v>
      </c>
      <c r="BG91" s="618">
        <f t="shared" si="453"/>
        <v>1343.5195334786038</v>
      </c>
      <c r="BH91" s="619">
        <f t="shared" ref="BH91:BK91" si="454">+SUM(BH89:BH90)</f>
        <v>1363.0306216008785</v>
      </c>
      <c r="BI91" s="619">
        <f t="shared" si="454"/>
        <v>1475.9715791115652</v>
      </c>
      <c r="BJ91" s="619">
        <f t="shared" si="454"/>
        <v>1621.2946412318975</v>
      </c>
      <c r="BK91" s="618">
        <f t="shared" si="454"/>
        <v>1505.1686129189775</v>
      </c>
      <c r="BL91" s="619">
        <f t="shared" ref="BL91:BO91" si="455">+SUM(BL89:BL90)</f>
        <v>1449.1138120676765</v>
      </c>
      <c r="BM91" s="619">
        <f t="shared" si="455"/>
        <v>1593.6875047223916</v>
      </c>
      <c r="BN91" s="619">
        <f t="shared" si="455"/>
        <v>1737.8867414418016</v>
      </c>
      <c r="BO91" s="618">
        <f t="shared" si="455"/>
        <v>1600.9115355864167</v>
      </c>
      <c r="BP91" s="620"/>
      <c r="BQ91" s="621"/>
      <c r="BR91" s="622"/>
      <c r="BS91" s="622"/>
      <c r="BT91" s="622"/>
      <c r="BU91" s="622"/>
      <c r="BV91" s="622"/>
      <c r="BW91" s="622"/>
      <c r="BX91" s="622">
        <f t="shared" ref="BX91:CA91" si="456">+SUM(BX89:BX90)</f>
        <v>2601</v>
      </c>
      <c r="BY91" s="622">
        <f t="shared" si="456"/>
        <v>3043</v>
      </c>
      <c r="BZ91" s="622">
        <f t="shared" si="456"/>
        <v>3739</v>
      </c>
      <c r="CA91" s="622">
        <f t="shared" si="456"/>
        <v>3626</v>
      </c>
      <c r="CB91" s="622">
        <f>+SUM(CB89:CB90)</f>
        <v>3888</v>
      </c>
      <c r="CC91" s="622">
        <f>+SUM(CC89:CC90)</f>
        <v>3894</v>
      </c>
      <c r="CD91" s="622">
        <f>+SUM(CD89:CD90)</f>
        <v>5473.8765785042087</v>
      </c>
      <c r="CE91" s="622">
        <f>+SUM(CE89:CE90)</f>
        <v>5965.465454863318</v>
      </c>
      <c r="CF91" s="618">
        <f>+SUM(CF89:CF90)</f>
        <v>6381.5995938182859</v>
      </c>
      <c r="CG91" s="557"/>
      <c r="CH91" s="86"/>
      <c r="CI91"/>
      <c r="CJ91"/>
      <c r="CK91"/>
      <c r="CL91"/>
      <c r="CM91"/>
      <c r="CN91"/>
    </row>
    <row r="92" spans="1:92" s="85" customFormat="1" ht="14.25" customHeight="1">
      <c r="A92" s="392"/>
      <c r="B92" s="557"/>
      <c r="C92" s="615"/>
      <c r="D92" s="616"/>
      <c r="E92" s="616"/>
      <c r="F92" s="616"/>
      <c r="G92" s="617"/>
      <c r="H92" s="616"/>
      <c r="I92" s="616"/>
      <c r="J92" s="616"/>
      <c r="K92" s="617"/>
      <c r="L92" s="616"/>
      <c r="M92" s="616"/>
      <c r="N92" s="616"/>
      <c r="O92" s="617"/>
      <c r="P92" s="616"/>
      <c r="Q92" s="616"/>
      <c r="R92" s="616"/>
      <c r="S92" s="617"/>
      <c r="T92" s="616"/>
      <c r="U92" s="616"/>
      <c r="V92" s="616"/>
      <c r="W92" s="618"/>
      <c r="X92" s="619"/>
      <c r="Y92" s="616"/>
      <c r="Z92" s="619"/>
      <c r="AA92" s="618"/>
      <c r="AB92" s="619"/>
      <c r="AC92" s="616"/>
      <c r="AD92" s="619"/>
      <c r="AE92" s="618"/>
      <c r="AF92" s="619"/>
      <c r="AG92" s="619"/>
      <c r="AH92" s="619"/>
      <c r="AI92" s="618"/>
      <c r="AJ92" s="619"/>
      <c r="AK92" s="619"/>
      <c r="AL92" s="619"/>
      <c r="AM92" s="618"/>
      <c r="AN92" s="619"/>
      <c r="AO92" s="619"/>
      <c r="AP92" s="619"/>
      <c r="AQ92" s="618"/>
      <c r="AR92" s="619"/>
      <c r="AS92" s="619"/>
      <c r="AT92" s="619"/>
      <c r="AU92" s="618"/>
      <c r="AV92" s="619"/>
      <c r="AW92" s="619"/>
      <c r="AX92" s="619"/>
      <c r="AY92" s="618"/>
      <c r="AZ92" s="619"/>
      <c r="BA92" s="619"/>
      <c r="BB92" s="619"/>
      <c r="BC92" s="618"/>
      <c r="BD92" s="619"/>
      <c r="BE92" s="619"/>
      <c r="BF92" s="619"/>
      <c r="BG92" s="618"/>
      <c r="BH92" s="619"/>
      <c r="BI92" s="619"/>
      <c r="BJ92" s="619"/>
      <c r="BK92" s="618"/>
      <c r="BL92" s="619"/>
      <c r="BM92" s="619"/>
      <c r="BN92" s="619"/>
      <c r="BO92" s="618"/>
      <c r="BP92" s="620"/>
      <c r="BQ92" s="621"/>
      <c r="BR92" s="622"/>
      <c r="BS92" s="622"/>
      <c r="BT92" s="622"/>
      <c r="BU92" s="622"/>
      <c r="BV92" s="622"/>
      <c r="BW92" s="622"/>
      <c r="BX92" s="622"/>
      <c r="BY92" s="622"/>
      <c r="BZ92" s="622"/>
      <c r="CA92" s="622"/>
      <c r="CB92" s="622"/>
      <c r="CC92" s="622"/>
      <c r="CD92" s="622"/>
      <c r="CE92" s="622"/>
      <c r="CF92" s="618"/>
      <c r="CG92" s="557"/>
      <c r="CH92" s="86"/>
      <c r="CI92"/>
      <c r="CJ92"/>
      <c r="CK92"/>
      <c r="CL92"/>
      <c r="CM92"/>
      <c r="CN92"/>
    </row>
    <row r="93" spans="1:92" s="85" customFormat="1" ht="14.25" customHeight="1">
      <c r="A93" s="392"/>
      <c r="B93" s="557" t="s">
        <v>73</v>
      </c>
      <c r="C93" s="615"/>
      <c r="D93" s="616"/>
      <c r="E93" s="616"/>
      <c r="F93" s="616"/>
      <c r="G93" s="617"/>
      <c r="H93" s="616"/>
      <c r="I93" s="616"/>
      <c r="J93" s="616"/>
      <c r="K93" s="617"/>
      <c r="L93" s="616"/>
      <c r="M93" s="616"/>
      <c r="N93" s="616"/>
      <c r="O93" s="617"/>
      <c r="P93" s="616"/>
      <c r="Q93" s="616"/>
      <c r="R93" s="616"/>
      <c r="S93" s="617"/>
      <c r="T93" s="616"/>
      <c r="U93" s="616"/>
      <c r="V93" s="616"/>
      <c r="W93" s="618"/>
      <c r="X93" s="619"/>
      <c r="Y93" s="616"/>
      <c r="Z93" s="619"/>
      <c r="AA93" s="618"/>
      <c r="AB93" s="619"/>
      <c r="AC93" s="616"/>
      <c r="AD93" s="619"/>
      <c r="AE93" s="618"/>
      <c r="AF93" s="619"/>
      <c r="AG93" s="619"/>
      <c r="AH93" s="619"/>
      <c r="AI93" s="618"/>
      <c r="AJ93" s="619"/>
      <c r="AK93" s="619"/>
      <c r="AL93" s="619"/>
      <c r="AM93" s="618"/>
      <c r="AN93" s="619"/>
      <c r="AO93" s="619"/>
      <c r="AP93" s="619"/>
      <c r="AQ93" s="618"/>
      <c r="AR93" s="619"/>
      <c r="AS93" s="619"/>
      <c r="AT93" s="619"/>
      <c r="AU93" s="618"/>
      <c r="AV93" s="619"/>
      <c r="AW93" s="619"/>
      <c r="AX93" s="619"/>
      <c r="AY93" s="618"/>
      <c r="AZ93" s="619"/>
      <c r="BA93" s="619"/>
      <c r="BB93" s="619"/>
      <c r="BC93" s="618"/>
      <c r="BD93" s="619"/>
      <c r="BE93" s="619"/>
      <c r="BF93" s="619"/>
      <c r="BG93" s="618"/>
      <c r="BH93" s="619"/>
      <c r="BI93" s="619"/>
      <c r="BJ93" s="619"/>
      <c r="BK93" s="618"/>
      <c r="BL93" s="619"/>
      <c r="BM93" s="619"/>
      <c r="BN93" s="619"/>
      <c r="BO93" s="618"/>
      <c r="BP93" s="620"/>
      <c r="BQ93" s="621"/>
      <c r="BR93" s="622"/>
      <c r="BS93" s="622"/>
      <c r="BT93" s="622"/>
      <c r="BU93" s="622"/>
      <c r="BV93" s="622"/>
      <c r="BW93" s="622"/>
      <c r="BX93" s="622"/>
      <c r="BY93" s="622"/>
      <c r="BZ93" s="622"/>
      <c r="CA93" s="622"/>
      <c r="CB93" s="622"/>
      <c r="CC93" s="622"/>
      <c r="CD93" s="622"/>
      <c r="CE93" s="622"/>
      <c r="CF93" s="618"/>
      <c r="CG93" s="557"/>
      <c r="CH93" s="86"/>
      <c r="CI93"/>
      <c r="CJ93"/>
      <c r="CK93"/>
      <c r="CL93"/>
      <c r="CM93"/>
      <c r="CN93"/>
    </row>
    <row r="94" spans="1:92" s="261" customFormat="1" ht="14.25" customHeight="1">
      <c r="A94" s="8"/>
      <c r="B94" s="297" t="s">
        <v>72</v>
      </c>
      <c r="C94" s="224"/>
      <c r="D94" s="221"/>
      <c r="E94" s="221"/>
      <c r="F94" s="221"/>
      <c r="G94" s="222"/>
      <c r="H94" s="221"/>
      <c r="I94" s="221"/>
      <c r="J94" s="221"/>
      <c r="K94" s="222"/>
      <c r="L94" s="221"/>
      <c r="M94" s="221"/>
      <c r="N94" s="221"/>
      <c r="O94" s="222"/>
      <c r="P94" s="221"/>
      <c r="Q94" s="221"/>
      <c r="R94" s="221"/>
      <c r="S94" s="222"/>
      <c r="T94" s="221"/>
      <c r="U94" s="221"/>
      <c r="V94" s="221"/>
      <c r="W94" s="605"/>
      <c r="X94" s="253"/>
      <c r="Y94" s="221"/>
      <c r="Z94" s="253"/>
      <c r="AA94" s="605"/>
      <c r="AB94" s="253"/>
      <c r="AC94" s="221"/>
      <c r="AD94" s="253"/>
      <c r="AE94" s="605"/>
      <c r="AF94" s="253">
        <f>+IS!AF125</f>
        <v>8.7480662983425361</v>
      </c>
      <c r="AG94" s="253">
        <f>+IS!AG125</f>
        <v>25.746875000000003</v>
      </c>
      <c r="AH94" s="253">
        <f>+IS!AH125</f>
        <v>96.31</v>
      </c>
      <c r="AI94" s="605">
        <f>+IS!AI125</f>
        <v>-3.6000000000000085</v>
      </c>
      <c r="AJ94" s="253">
        <f>+IS!AJ125</f>
        <v>31.12967914438503</v>
      </c>
      <c r="AK94" s="253">
        <f>+IS!AK125</f>
        <v>16.566666666666663</v>
      </c>
      <c r="AL94" s="253">
        <f>+IS!AL125</f>
        <v>32.512499999999989</v>
      </c>
      <c r="AM94" s="605">
        <f>+IS!AM125</f>
        <v>-110.30000000000001</v>
      </c>
      <c r="AN94" s="253">
        <f>+IS!AN125</f>
        <v>9.5781669150521651</v>
      </c>
      <c r="AO94" s="253">
        <f>+IS!AO125</f>
        <v>5.5680020811654458</v>
      </c>
      <c r="AP94" s="253">
        <f>+IS!AP125</f>
        <v>9.3106060606060623</v>
      </c>
      <c r="AQ94" s="605">
        <f>+IS!AQ125</f>
        <v>33.67166513339464</v>
      </c>
      <c r="AR94" s="253">
        <f>+IS!AR125</f>
        <v>-1.0861702127659498</v>
      </c>
      <c r="AS94" s="253">
        <f>+IS!AS125</f>
        <v>2.0015166835187017</v>
      </c>
      <c r="AT94" s="253">
        <f>+IS!AT125</f>
        <v>-3.0024390243902417</v>
      </c>
      <c r="AU94" s="605">
        <f>+IS!AU125</f>
        <v>19.570851624231778</v>
      </c>
      <c r="AV94" s="253">
        <f>+IS!AV125</f>
        <v>24.985263157894707</v>
      </c>
      <c r="AW94" s="253">
        <f>+IS!AW125</f>
        <v>25.549364791288554</v>
      </c>
      <c r="AX94" s="253">
        <f>+IS!AX125</f>
        <v>27.15445329471396</v>
      </c>
      <c r="AY94" s="605">
        <f>+IS!AY125</f>
        <v>-0.46803607214431509</v>
      </c>
      <c r="AZ94" s="253">
        <f>+IS!AZ125</f>
        <v>63.215737051792814</v>
      </c>
      <c r="BA94" s="253">
        <f>+IS!BA125</f>
        <v>8.3359353970390089</v>
      </c>
      <c r="BB94" s="253">
        <f>+IS!BB125</f>
        <v>17.090273896031306</v>
      </c>
      <c r="BC94" s="605">
        <f>+IS!BC125</f>
        <v>9.8993548387096837</v>
      </c>
      <c r="BD94" s="253">
        <f>+IS!BD125</f>
        <v>146.72330972311653</v>
      </c>
      <c r="BE94" s="253">
        <f>+IS!BE125</f>
        <v>80.717785169249623</v>
      </c>
      <c r="BF94" s="253">
        <f>+IS!BF125</f>
        <v>87.816798098140765</v>
      </c>
      <c r="BG94" s="605">
        <f>+IS!BG125</f>
        <v>84.739298232195097</v>
      </c>
      <c r="BH94" s="253">
        <f>+IS!BH125</f>
        <v>114.27124561313579</v>
      </c>
      <c r="BI94" s="253">
        <f>+IS!BI125</f>
        <v>125.14949463977408</v>
      </c>
      <c r="BJ94" s="253">
        <f>+IS!BJ125</f>
        <v>138.18090563308778</v>
      </c>
      <c r="BK94" s="605">
        <f>+IS!BK125</f>
        <v>125.52400683948184</v>
      </c>
      <c r="BL94" s="253">
        <f>+IS!BL125</f>
        <v>121.00633659510049</v>
      </c>
      <c r="BM94" s="253">
        <f>+IS!BM125</f>
        <v>134.54199762330421</v>
      </c>
      <c r="BN94" s="253">
        <f>+IS!BN125</f>
        <v>147.49778256686903</v>
      </c>
      <c r="BO94" s="605">
        <f>+IS!BO125</f>
        <v>135.18394150824486</v>
      </c>
      <c r="BP94" s="20"/>
      <c r="BQ94" s="606"/>
      <c r="BR94" s="604"/>
      <c r="BS94" s="604"/>
      <c r="BT94" s="604"/>
      <c r="BU94" s="604"/>
      <c r="BV94" s="604"/>
      <c r="BW94" s="604"/>
      <c r="BX94" s="604">
        <f>+IS!BX125</f>
        <v>127.20494129834259</v>
      </c>
      <c r="BY94" s="604">
        <f>+IS!BY125</f>
        <v>-30.091154188948281</v>
      </c>
      <c r="BZ94" s="604">
        <f>+IS!BZ125</f>
        <v>58.128440190218271</v>
      </c>
      <c r="CA94" s="604">
        <f>+IS!CA125</f>
        <v>17.48375907059426</v>
      </c>
      <c r="CB94" s="604">
        <f>+IS!CB125</f>
        <v>77.221045171752962</v>
      </c>
      <c r="CC94" s="604">
        <f>+IS!CC125</f>
        <v>98.541301183572841</v>
      </c>
      <c r="CD94" s="604">
        <f>+IS!CD125</f>
        <v>399.9971912227021</v>
      </c>
      <c r="CE94" s="604">
        <f>+IS!CE125</f>
        <v>503.12565272547897</v>
      </c>
      <c r="CF94" s="605">
        <f>+IS!CF125</f>
        <v>538.23005829351882</v>
      </c>
      <c r="CG94" s="297"/>
      <c r="CH94" s="266"/>
      <c r="CI94"/>
      <c r="CJ94"/>
      <c r="CK94"/>
      <c r="CL94"/>
      <c r="CM94"/>
      <c r="CN94"/>
    </row>
    <row r="95" spans="1:92" s="261" customFormat="1" ht="14.25" customHeight="1">
      <c r="A95" s="8"/>
      <c r="B95" s="297" t="s">
        <v>259</v>
      </c>
      <c r="C95" s="224"/>
      <c r="D95" s="221"/>
      <c r="E95" s="221"/>
      <c r="F95" s="221"/>
      <c r="G95" s="222"/>
      <c r="H95" s="221"/>
      <c r="I95" s="221"/>
      <c r="J95" s="221"/>
      <c r="K95" s="222"/>
      <c r="L95" s="221"/>
      <c r="M95" s="221"/>
      <c r="N95" s="221"/>
      <c r="O95" s="222"/>
      <c r="P95" s="221"/>
      <c r="Q95" s="221"/>
      <c r="R95" s="221"/>
      <c r="S95" s="222"/>
      <c r="T95" s="221"/>
      <c r="U95" s="221"/>
      <c r="V95" s="221"/>
      <c r="W95" s="605"/>
      <c r="X95" s="253"/>
      <c r="Y95" s="221"/>
      <c r="Z95" s="253"/>
      <c r="AA95" s="605"/>
      <c r="AB95" s="253"/>
      <c r="AC95" s="221"/>
      <c r="AD95" s="253"/>
      <c r="AE95" s="605"/>
      <c r="AF95" s="253">
        <f t="shared" ref="AF95:AQ95" si="457">+AF89-AF94</f>
        <v>482.25193370165744</v>
      </c>
      <c r="AG95" s="253">
        <f t="shared" si="457"/>
        <v>600.25312499999995</v>
      </c>
      <c r="AH95" s="253">
        <f t="shared" si="457"/>
        <v>864.69</v>
      </c>
      <c r="AI95" s="605">
        <f t="shared" si="457"/>
        <v>488.6</v>
      </c>
      <c r="AJ95" s="253">
        <f t="shared" si="457"/>
        <v>559.87032085561498</v>
      </c>
      <c r="AK95" s="253">
        <f t="shared" si="457"/>
        <v>851.43333333333339</v>
      </c>
      <c r="AL95" s="253">
        <f t="shared" si="457"/>
        <v>773.48749999999995</v>
      </c>
      <c r="AM95" s="605">
        <f t="shared" si="457"/>
        <v>810.3</v>
      </c>
      <c r="AN95" s="253">
        <f t="shared" si="457"/>
        <v>694.42183308494782</v>
      </c>
      <c r="AO95" s="253">
        <f t="shared" si="457"/>
        <v>920.43199791883455</v>
      </c>
      <c r="AP95" s="253">
        <f t="shared" si="457"/>
        <v>1006.689393939394</v>
      </c>
      <c r="AQ95" s="605">
        <f t="shared" si="457"/>
        <v>986.32833486660536</v>
      </c>
      <c r="AR95" s="253">
        <f t="shared" ref="AR95:AT95" si="458">+AR89-AR94</f>
        <v>817.08617021276598</v>
      </c>
      <c r="AS95" s="253">
        <f t="shared" si="458"/>
        <v>872.99848331648127</v>
      </c>
      <c r="AT95" s="253">
        <f t="shared" si="458"/>
        <v>909.00243902439024</v>
      </c>
      <c r="AU95" s="605">
        <f t="shared" ref="AU95:AZ95" si="459">+AU89-AU94</f>
        <v>951.42914837576825</v>
      </c>
      <c r="AV95" s="253">
        <f t="shared" si="459"/>
        <v>803.01473684210532</v>
      </c>
      <c r="AW95" s="253">
        <f t="shared" si="459"/>
        <v>885.45063520871145</v>
      </c>
      <c r="AX95" s="253">
        <f t="shared" si="459"/>
        <v>1065.8455467052861</v>
      </c>
      <c r="AY95" s="605">
        <f t="shared" si="459"/>
        <v>1187.4680360721443</v>
      </c>
      <c r="AZ95" s="253">
        <f t="shared" si="459"/>
        <v>1025.7842629482072</v>
      </c>
      <c r="BA95" s="253">
        <f t="shared" ref="BA95:BG95" si="460">+BA89-BA94</f>
        <v>1121.6640646029609</v>
      </c>
      <c r="BB95" s="253">
        <f t="shared" si="460"/>
        <v>1282.9097261039688</v>
      </c>
      <c r="BC95" s="605">
        <f t="shared" si="460"/>
        <v>362.10064516129034</v>
      </c>
      <c r="BD95" s="253">
        <f t="shared" si="460"/>
        <v>1247.2766902768835</v>
      </c>
      <c r="BE95" s="253">
        <f t="shared" si="460"/>
        <v>1239.0164026183675</v>
      </c>
      <c r="BF95" s="253">
        <f t="shared" si="460"/>
        <v>1331.8998091398473</v>
      </c>
      <c r="BG95" s="605">
        <f t="shared" si="460"/>
        <v>1257.8271102464087</v>
      </c>
      <c r="BH95" s="253">
        <f t="shared" ref="BH95:BK95" si="461">+BH89-BH94</f>
        <v>1247.7593759877427</v>
      </c>
      <c r="BI95" s="253">
        <f t="shared" si="461"/>
        <v>1349.8689594717912</v>
      </c>
      <c r="BJ95" s="253">
        <f t="shared" si="461"/>
        <v>1482.1606105988096</v>
      </c>
      <c r="BK95" s="605">
        <f t="shared" si="461"/>
        <v>1378.6914810794956</v>
      </c>
      <c r="BL95" s="253">
        <f t="shared" ref="BL95:BO95" si="462">+BL89-BL94</f>
        <v>1327.107475472576</v>
      </c>
      <c r="BM95" s="253">
        <f t="shared" si="462"/>
        <v>1458.1923820990874</v>
      </c>
      <c r="BN95" s="253">
        <f t="shared" si="462"/>
        <v>1589.4358338749325</v>
      </c>
      <c r="BO95" s="605">
        <f t="shared" si="462"/>
        <v>1464.7744690781719</v>
      </c>
      <c r="BP95" s="20"/>
      <c r="BQ95" s="606"/>
      <c r="BR95" s="604"/>
      <c r="BS95" s="604"/>
      <c r="BT95" s="604"/>
      <c r="BU95" s="604"/>
      <c r="BV95" s="604"/>
      <c r="BW95" s="604"/>
      <c r="BX95" s="604">
        <f>+BX89-BX94</f>
        <v>2435.7950587016576</v>
      </c>
      <c r="BY95" s="604">
        <f t="shared" ref="BY95:CA95" si="463">+BY89-BY94</f>
        <v>2995.0911541889482</v>
      </c>
      <c r="BZ95" s="604">
        <f t="shared" si="463"/>
        <v>3607.8715598097815</v>
      </c>
      <c r="CA95" s="604">
        <f t="shared" si="463"/>
        <v>3550.5162409294057</v>
      </c>
      <c r="CB95" s="604">
        <f>+CB89-CB94</f>
        <v>3941.7789548282472</v>
      </c>
      <c r="CC95" s="604">
        <f>+CC89-CC94</f>
        <v>3792.4586988164274</v>
      </c>
      <c r="CD95" s="604">
        <f>+CD89-CD94</f>
        <v>5076.0200122815068</v>
      </c>
      <c r="CE95" s="604">
        <f>+CE89-CE94</f>
        <v>5458.4804271378389</v>
      </c>
      <c r="CF95" s="605">
        <f>+CF89-CF94</f>
        <v>5839.5101605247673</v>
      </c>
      <c r="CG95" s="297"/>
      <c r="CH95" s="266"/>
      <c r="CI95"/>
      <c r="CJ95"/>
      <c r="CK95"/>
      <c r="CL95"/>
      <c r="CM95"/>
      <c r="CN95"/>
    </row>
    <row r="96" spans="1:92" s="261" customFormat="1" ht="14.25" customHeight="1">
      <c r="A96" s="8"/>
      <c r="B96" s="297" t="s">
        <v>77</v>
      </c>
      <c r="C96" s="224"/>
      <c r="D96" s="221"/>
      <c r="E96" s="221"/>
      <c r="F96" s="221"/>
      <c r="G96" s="222"/>
      <c r="H96" s="221"/>
      <c r="I96" s="221"/>
      <c r="J96" s="221"/>
      <c r="K96" s="222"/>
      <c r="L96" s="221"/>
      <c r="M96" s="221"/>
      <c r="N96" s="221"/>
      <c r="O96" s="222"/>
      <c r="P96" s="221"/>
      <c r="Q96" s="221"/>
      <c r="R96" s="221"/>
      <c r="S96" s="222"/>
      <c r="T96" s="221"/>
      <c r="U96" s="221"/>
      <c r="V96" s="221"/>
      <c r="W96" s="605"/>
      <c r="X96" s="253"/>
      <c r="Y96" s="221"/>
      <c r="Z96" s="253"/>
      <c r="AA96" s="605"/>
      <c r="AB96" s="253"/>
      <c r="AC96" s="221"/>
      <c r="AD96" s="253"/>
      <c r="AE96" s="605"/>
      <c r="AF96" s="253">
        <f t="shared" ref="AF96:AQ96" si="464">+AF91-AF94</f>
        <v>517.25193370165744</v>
      </c>
      <c r="AG96" s="253">
        <f t="shared" si="464"/>
        <v>622.25312499999995</v>
      </c>
      <c r="AH96" s="253">
        <f t="shared" si="464"/>
        <v>861.69</v>
      </c>
      <c r="AI96" s="605">
        <f t="shared" si="464"/>
        <v>472.6</v>
      </c>
      <c r="AJ96" s="253">
        <f t="shared" si="464"/>
        <v>580.87032085561498</v>
      </c>
      <c r="AK96" s="253">
        <f>+AK91-AK94</f>
        <v>875.43333333333339</v>
      </c>
      <c r="AL96" s="253">
        <f>+AL91-AL94</f>
        <v>801.48749999999995</v>
      </c>
      <c r="AM96" s="605">
        <f t="shared" si="464"/>
        <v>815.3</v>
      </c>
      <c r="AN96" s="253">
        <f t="shared" si="464"/>
        <v>713.42183308494782</v>
      </c>
      <c r="AO96" s="253">
        <f t="shared" si="464"/>
        <v>941.43199791883455</v>
      </c>
      <c r="AP96" s="253">
        <f t="shared" si="464"/>
        <v>1026.689393939394</v>
      </c>
      <c r="AQ96" s="605">
        <f t="shared" si="464"/>
        <v>999.32833486660536</v>
      </c>
      <c r="AR96" s="253">
        <f t="shared" ref="AR96:AT96" si="465">+AR91-AR94</f>
        <v>835.08617021276598</v>
      </c>
      <c r="AS96" s="253">
        <f t="shared" si="465"/>
        <v>893.99848331648127</v>
      </c>
      <c r="AT96" s="253">
        <f t="shared" si="465"/>
        <v>925.00243902439024</v>
      </c>
      <c r="AU96" s="605">
        <f t="shared" ref="AU96:AZ96" si="466">+AU91-AU94</f>
        <v>954.42914837576825</v>
      </c>
      <c r="AV96" s="253">
        <f t="shared" si="466"/>
        <v>821.01473684210532</v>
      </c>
      <c r="AW96" s="253">
        <f t="shared" si="466"/>
        <v>900.45063520871145</v>
      </c>
      <c r="AX96" s="253">
        <f t="shared" si="466"/>
        <v>1079.8455467052861</v>
      </c>
      <c r="AY96" s="605">
        <f t="shared" si="466"/>
        <v>1009.4680360721443</v>
      </c>
      <c r="AZ96" s="253">
        <f t="shared" si="466"/>
        <v>1022.7842629482072</v>
      </c>
      <c r="BA96" s="253">
        <f t="shared" ref="BA96:BG96" si="467">+BA91-BA94</f>
        <v>1115.6640646029609</v>
      </c>
      <c r="BB96" s="253">
        <f t="shared" si="467"/>
        <v>1281.9097261039688</v>
      </c>
      <c r="BC96" s="605">
        <f t="shared" si="467"/>
        <v>375.10064516129034</v>
      </c>
      <c r="BD96" s="253">
        <f t="shared" si="467"/>
        <v>1242.2766902768835</v>
      </c>
      <c r="BE96" s="253">
        <f t="shared" si="467"/>
        <v>1239.9695276183675</v>
      </c>
      <c r="BF96" s="253">
        <f t="shared" si="467"/>
        <v>1332.8529341398473</v>
      </c>
      <c r="BG96" s="605">
        <f t="shared" si="467"/>
        <v>1258.7802352464087</v>
      </c>
      <c r="BH96" s="253">
        <f t="shared" ref="BH96:BK96" si="468">+BH91-BH94</f>
        <v>1248.7593759877427</v>
      </c>
      <c r="BI96" s="253">
        <f t="shared" si="468"/>
        <v>1350.8220844717912</v>
      </c>
      <c r="BJ96" s="253">
        <f t="shared" si="468"/>
        <v>1483.1137355988096</v>
      </c>
      <c r="BK96" s="605">
        <f t="shared" si="468"/>
        <v>1379.6446060794956</v>
      </c>
      <c r="BL96" s="253">
        <f t="shared" ref="BL96:BO96" si="469">+BL91-BL94</f>
        <v>1328.107475472576</v>
      </c>
      <c r="BM96" s="253">
        <f t="shared" si="469"/>
        <v>1459.1455070990874</v>
      </c>
      <c r="BN96" s="253">
        <f t="shared" si="469"/>
        <v>1590.3889588749325</v>
      </c>
      <c r="BO96" s="605">
        <f t="shared" si="469"/>
        <v>1465.7275940781719</v>
      </c>
      <c r="BP96" s="20"/>
      <c r="BQ96" s="606"/>
      <c r="BR96" s="604"/>
      <c r="BS96" s="604"/>
      <c r="BT96" s="604"/>
      <c r="BU96" s="604"/>
      <c r="BV96" s="604"/>
      <c r="BW96" s="604"/>
      <c r="BX96" s="604">
        <f>+BX91-BX94</f>
        <v>2473.7950587016576</v>
      </c>
      <c r="BY96" s="604">
        <f t="shared" ref="BY96:CA96" si="470">+BY91-BY94</f>
        <v>3073.0911541889482</v>
      </c>
      <c r="BZ96" s="604">
        <f t="shared" si="470"/>
        <v>3680.8715598097815</v>
      </c>
      <c r="CA96" s="604">
        <f t="shared" si="470"/>
        <v>3608.5162409294057</v>
      </c>
      <c r="CB96" s="604">
        <f>+CB91-CB94</f>
        <v>3810.7789548282472</v>
      </c>
      <c r="CC96" s="604">
        <f>+CC91-CC94</f>
        <v>3795.4586988164274</v>
      </c>
      <c r="CD96" s="604">
        <f>+CD91-CD94</f>
        <v>5073.8793872815068</v>
      </c>
      <c r="CE96" s="604">
        <f>+CE91-CE94</f>
        <v>5462.3398021378389</v>
      </c>
      <c r="CF96" s="605">
        <f>+CF91-CF94</f>
        <v>5843.3695355247673</v>
      </c>
      <c r="CG96" s="297"/>
      <c r="CH96" s="266"/>
      <c r="CI96"/>
      <c r="CJ96"/>
      <c r="CK96"/>
      <c r="CL96"/>
      <c r="CM96"/>
      <c r="CN96"/>
    </row>
    <row r="97" spans="1:86" ht="14.25" customHeight="1">
      <c r="A97" s="8"/>
      <c r="B97" s="297"/>
      <c r="C97" s="224"/>
      <c r="D97" s="221"/>
      <c r="E97" s="221"/>
      <c r="F97" s="221"/>
      <c r="G97" s="222"/>
      <c r="H97" s="221"/>
      <c r="I97" s="221"/>
      <c r="J97" s="221"/>
      <c r="K97" s="222"/>
      <c r="L97" s="221"/>
      <c r="M97" s="221"/>
      <c r="N97" s="221"/>
      <c r="O97" s="222"/>
      <c r="P97" s="221"/>
      <c r="Q97" s="221"/>
      <c r="R97" s="221"/>
      <c r="S97" s="222"/>
      <c r="T97" s="221"/>
      <c r="U97" s="221"/>
      <c r="V97" s="221"/>
      <c r="W97" s="605"/>
      <c r="X97" s="253"/>
      <c r="Y97" s="221"/>
      <c r="Z97" s="253"/>
      <c r="AA97" s="605"/>
      <c r="AB97" s="253"/>
      <c r="AC97" s="221"/>
      <c r="AD97" s="253"/>
      <c r="AE97" s="605"/>
      <c r="AF97" s="253"/>
      <c r="AG97" s="253"/>
      <c r="AH97" s="253"/>
      <c r="AI97" s="605"/>
      <c r="AJ97" s="253"/>
      <c r="AK97" s="253"/>
      <c r="AL97" s="253"/>
      <c r="AM97" s="605"/>
      <c r="AN97" s="253"/>
      <c r="AO97" s="253"/>
      <c r="AP97" s="253"/>
      <c r="AQ97" s="605"/>
      <c r="AR97" s="253"/>
      <c r="AS97" s="253"/>
      <c r="AT97" s="253"/>
      <c r="AU97" s="605"/>
      <c r="AV97" s="253"/>
      <c r="AW97" s="253"/>
      <c r="AX97" s="253"/>
      <c r="AY97" s="605"/>
      <c r="AZ97" s="253"/>
      <c r="BA97" s="253"/>
      <c r="BB97" s="253"/>
      <c r="BC97" s="605"/>
      <c r="BD97" s="253"/>
      <c r="BE97" s="253"/>
      <c r="BF97" s="253"/>
      <c r="BG97" s="605"/>
      <c r="BH97" s="253"/>
      <c r="BI97" s="253"/>
      <c r="BJ97" s="253"/>
      <c r="BK97" s="605"/>
      <c r="BL97" s="253"/>
      <c r="BM97" s="253"/>
      <c r="BN97" s="253"/>
      <c r="BO97" s="605"/>
      <c r="BP97" s="20"/>
      <c r="BQ97" s="606"/>
      <c r="BR97" s="604"/>
      <c r="BS97" s="604"/>
      <c r="BT97" s="604"/>
      <c r="BU97" s="604"/>
      <c r="BV97" s="604"/>
      <c r="BW97" s="604"/>
      <c r="BX97" s="604"/>
      <c r="BY97" s="604"/>
      <c r="BZ97" s="604"/>
      <c r="CA97" s="604"/>
      <c r="CB97" s="604"/>
      <c r="CC97" s="604"/>
      <c r="CD97" s="604"/>
      <c r="CE97" s="604"/>
      <c r="CF97" s="605"/>
      <c r="CG97" s="297"/>
      <c r="CH97" s="8"/>
    </row>
    <row r="98" spans="1:86" ht="14.25" customHeight="1">
      <c r="A98" s="8"/>
      <c r="B98" s="15" t="s">
        <v>260</v>
      </c>
      <c r="C98" s="16"/>
      <c r="D98" s="257">
        <f t="shared" ref="D98:AQ98" si="471">D83-D14</f>
        <v>225.75</v>
      </c>
      <c r="E98" s="257">
        <f t="shared" si="471"/>
        <v>512.75</v>
      </c>
      <c r="F98" s="257">
        <f t="shared" si="471"/>
        <v>945.75</v>
      </c>
      <c r="G98" s="258">
        <f t="shared" si="471"/>
        <v>466.75</v>
      </c>
      <c r="H98" s="257">
        <f t="shared" si="471"/>
        <v>22.75</v>
      </c>
      <c r="I98" s="257">
        <f t="shared" si="471"/>
        <v>208.75</v>
      </c>
      <c r="J98" s="257">
        <f t="shared" si="471"/>
        <v>71.75</v>
      </c>
      <c r="K98" s="258">
        <f t="shared" si="471"/>
        <v>548.75</v>
      </c>
      <c r="L98" s="257">
        <f t="shared" si="471"/>
        <v>297</v>
      </c>
      <c r="M98" s="257">
        <f t="shared" si="471"/>
        <v>655.67</v>
      </c>
      <c r="N98" s="257">
        <f t="shared" si="471"/>
        <v>1312.67</v>
      </c>
      <c r="O98" s="258">
        <f t="shared" si="471"/>
        <v>1236.67</v>
      </c>
      <c r="P98" s="257">
        <f t="shared" si="471"/>
        <v>368</v>
      </c>
      <c r="Q98" s="257">
        <f t="shared" si="471"/>
        <v>194</v>
      </c>
      <c r="R98" s="257">
        <f t="shared" si="471"/>
        <v>802</v>
      </c>
      <c r="S98" s="258">
        <f t="shared" si="471"/>
        <v>990</v>
      </c>
      <c r="T98" s="257">
        <f t="shared" si="471"/>
        <v>158</v>
      </c>
      <c r="U98" s="257">
        <f t="shared" si="471"/>
        <v>462</v>
      </c>
      <c r="V98" s="257">
        <f t="shared" si="471"/>
        <v>562</v>
      </c>
      <c r="W98" s="258">
        <f t="shared" si="471"/>
        <v>522</v>
      </c>
      <c r="X98" s="257">
        <f t="shared" si="471"/>
        <v>444</v>
      </c>
      <c r="Y98" s="257">
        <f t="shared" si="471"/>
        <v>230</v>
      </c>
      <c r="Z98" s="257">
        <f t="shared" si="471"/>
        <v>875</v>
      </c>
      <c r="AA98" s="258">
        <f t="shared" si="471"/>
        <v>882</v>
      </c>
      <c r="AB98" s="257">
        <f t="shared" si="471"/>
        <v>265</v>
      </c>
      <c r="AC98" s="257">
        <f t="shared" si="471"/>
        <v>302</v>
      </c>
      <c r="AD98" s="257">
        <f t="shared" si="471"/>
        <v>855</v>
      </c>
      <c r="AE98" s="258">
        <f t="shared" si="471"/>
        <v>750</v>
      </c>
      <c r="AF98" s="257">
        <f t="shared" si="471"/>
        <v>277</v>
      </c>
      <c r="AG98" s="257">
        <f t="shared" si="471"/>
        <v>465</v>
      </c>
      <c r="AH98" s="257">
        <f t="shared" si="471"/>
        <v>986</v>
      </c>
      <c r="AI98" s="258">
        <f t="shared" si="471"/>
        <v>928</v>
      </c>
      <c r="AJ98" s="257">
        <f t="shared" si="471"/>
        <v>201</v>
      </c>
      <c r="AK98" s="257">
        <f>AK83-AK14</f>
        <v>502</v>
      </c>
      <c r="AL98" s="257">
        <f>AL83-AL14</f>
        <v>956</v>
      </c>
      <c r="AM98" s="258">
        <f t="shared" si="471"/>
        <v>1026</v>
      </c>
      <c r="AN98" s="257">
        <f t="shared" si="471"/>
        <v>307</v>
      </c>
      <c r="AO98" s="257">
        <f t="shared" si="471"/>
        <v>618</v>
      </c>
      <c r="AP98" s="257">
        <f t="shared" si="471"/>
        <v>1218</v>
      </c>
      <c r="AQ98" s="258">
        <f t="shared" si="471"/>
        <v>1087</v>
      </c>
      <c r="AR98" s="257">
        <f t="shared" ref="AR98:AT98" si="472">AR83-AR14</f>
        <v>408</v>
      </c>
      <c r="AS98" s="257">
        <f t="shared" si="472"/>
        <v>611</v>
      </c>
      <c r="AT98" s="257">
        <f t="shared" si="472"/>
        <v>1204</v>
      </c>
      <c r="AU98" s="258">
        <f t="shared" ref="AU98:AZ98" si="473">AU83-AU14</f>
        <v>1208</v>
      </c>
      <c r="AV98" s="257">
        <f t="shared" si="473"/>
        <v>457</v>
      </c>
      <c r="AW98" s="257">
        <f t="shared" si="473"/>
        <v>812</v>
      </c>
      <c r="AX98" s="257">
        <f t="shared" si="473"/>
        <v>1268</v>
      </c>
      <c r="AY98" s="258">
        <f t="shared" si="473"/>
        <v>1294</v>
      </c>
      <c r="AZ98" s="257">
        <f t="shared" si="473"/>
        <v>600</v>
      </c>
      <c r="BA98" s="257">
        <f t="shared" ref="BA98:BG98" si="474">BA83-BA14</f>
        <v>691</v>
      </c>
      <c r="BB98" s="257">
        <f t="shared" si="474"/>
        <v>1482</v>
      </c>
      <c r="BC98" s="258">
        <f t="shared" si="474"/>
        <v>1653</v>
      </c>
      <c r="BD98" s="257">
        <f t="shared" si="474"/>
        <v>853</v>
      </c>
      <c r="BE98" s="257">
        <f t="shared" si="474"/>
        <v>1309.4216919910268</v>
      </c>
      <c r="BF98" s="257">
        <f t="shared" si="474"/>
        <v>1346.5323489355233</v>
      </c>
      <c r="BG98" s="258">
        <f t="shared" si="474"/>
        <v>1611.1852724156238</v>
      </c>
      <c r="BH98" s="257">
        <f t="shared" ref="BH98:BK98" si="475">BH83-BH14</f>
        <v>1118.090698145603</v>
      </c>
      <c r="BI98" s="257">
        <f t="shared" si="475"/>
        <v>1462.1976642385184</v>
      </c>
      <c r="BJ98" s="257">
        <f t="shared" si="475"/>
        <v>1550.3758651828384</v>
      </c>
      <c r="BK98" s="258">
        <f t="shared" si="475"/>
        <v>1778.8612116942795</v>
      </c>
      <c r="BL98" s="257">
        <f t="shared" ref="BL98:BO98" si="476">BL83-BL14</f>
        <v>1590.7261012719109</v>
      </c>
      <c r="BM98" s="257">
        <f t="shared" si="476"/>
        <v>1503.5116658465317</v>
      </c>
      <c r="BN98" s="257">
        <f t="shared" si="476"/>
        <v>1643.1013550336631</v>
      </c>
      <c r="BO98" s="258">
        <f t="shared" si="476"/>
        <v>1877.859758066553</v>
      </c>
      <c r="BP98" s="20"/>
      <c r="BQ98" s="259">
        <f t="shared" ref="BQ98:CA98" si="477">BQ83-BQ14</f>
        <v>2151</v>
      </c>
      <c r="BR98" s="257">
        <f t="shared" si="477"/>
        <v>852</v>
      </c>
      <c r="BS98" s="257">
        <f t="shared" si="477"/>
        <v>3502.01</v>
      </c>
      <c r="BT98" s="257">
        <f t="shared" si="477"/>
        <v>2354</v>
      </c>
      <c r="BU98" s="257">
        <f t="shared" si="477"/>
        <v>1704</v>
      </c>
      <c r="BV98" s="260">
        <f t="shared" si="477"/>
        <v>2431</v>
      </c>
      <c r="BW98" s="257">
        <f t="shared" si="477"/>
        <v>2172</v>
      </c>
      <c r="BX98" s="257">
        <f t="shared" si="477"/>
        <v>2656</v>
      </c>
      <c r="BY98" s="257">
        <f t="shared" si="477"/>
        <v>2685</v>
      </c>
      <c r="BZ98" s="257">
        <f>BZ83-BZ14</f>
        <v>3230</v>
      </c>
      <c r="CA98" s="257">
        <f t="shared" si="477"/>
        <v>3431</v>
      </c>
      <c r="CB98" s="257">
        <f>CB83-CB14</f>
        <v>3831</v>
      </c>
      <c r="CC98" s="257">
        <f>CC83-CC14</f>
        <v>4426</v>
      </c>
      <c r="CD98" s="257">
        <f>CD83-CD14</f>
        <v>5120.1393133421734</v>
      </c>
      <c r="CE98" s="257">
        <f>CE83-CE14</f>
        <v>5909.5254392612387</v>
      </c>
      <c r="CF98" s="258">
        <f>CF83-CF14</f>
        <v>6615.1988802186588</v>
      </c>
      <c r="CG98" s="297"/>
      <c r="CH98" s="8"/>
    </row>
    <row r="99" spans="1:86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73"/>
      <c r="BS99" s="1"/>
      <c r="BT99" s="1"/>
      <c r="BU99" s="1"/>
      <c r="BV99" s="173"/>
      <c r="BW99" s="1"/>
      <c r="BX99" s="1"/>
      <c r="BY99" s="1"/>
      <c r="BZ99" s="1"/>
      <c r="CA99" s="1"/>
      <c r="CB99" s="1" t="s">
        <v>494</v>
      </c>
      <c r="CC99" s="1"/>
      <c r="CD99" s="1"/>
      <c r="CE99" s="1"/>
      <c r="CF99" s="1"/>
      <c r="CG99" s="1"/>
      <c r="CH99" s="1"/>
    </row>
    <row r="100" spans="1:86" ht="14.25" customHeight="1" outlineLevel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623"/>
      <c r="BZ100" s="623"/>
      <c r="CA100" s="623"/>
      <c r="CB100" s="623" t="s">
        <v>494</v>
      </c>
      <c r="CC100" s="623"/>
      <c r="CD100" s="623"/>
      <c r="CE100" s="623"/>
      <c r="CF100" s="623"/>
      <c r="CG100" s="1"/>
      <c r="CH100" s="1"/>
    </row>
    <row r="101" spans="1:86" ht="14.25" customHeight="1" outlineLevel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</row>
    <row r="102" spans="1:86" ht="14.25" customHeight="1" outlineLevel="1">
      <c r="A102" s="8"/>
      <c r="B102" s="9" t="s">
        <v>308</v>
      </c>
      <c r="C102" s="10"/>
      <c r="D102" s="214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62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8"/>
      <c r="CH102" s="8"/>
    </row>
    <row r="103" spans="1:86" ht="14.25" customHeight="1" outlineLevel="1">
      <c r="A103" s="14"/>
      <c r="B103" s="284" t="s">
        <v>89</v>
      </c>
      <c r="C103" s="13"/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54"/>
      <c r="BQ103" s="88"/>
      <c r="BR103" s="88"/>
      <c r="BS103" s="88"/>
      <c r="BT103" s="88"/>
      <c r="BU103" s="88"/>
      <c r="BV103" s="88"/>
      <c r="BW103" s="88"/>
      <c r="BX103" s="88"/>
      <c r="BY103" s="88"/>
      <c r="BZ103" s="88"/>
      <c r="CA103" s="88"/>
      <c r="CB103" s="88"/>
      <c r="CC103" s="88"/>
      <c r="CD103" s="88"/>
      <c r="CE103" s="88"/>
      <c r="CF103" s="88"/>
      <c r="CG103" s="8"/>
      <c r="CH103" s="8"/>
    </row>
    <row r="104" spans="1:86" ht="14.25" customHeight="1" outlineLevel="1">
      <c r="A104" s="14"/>
      <c r="B104" s="284"/>
      <c r="C104" s="175"/>
      <c r="D104" s="17" t="str">
        <f t="shared" ref="D104:AQ104" si="478">D9</f>
        <v>F1Q05A</v>
      </c>
      <c r="E104" s="18" t="str">
        <f t="shared" si="478"/>
        <v>F2Q05A</v>
      </c>
      <c r="F104" s="18" t="str">
        <f t="shared" si="478"/>
        <v>F3Q05A</v>
      </c>
      <c r="G104" s="19" t="str">
        <f t="shared" si="478"/>
        <v>F4Q05A</v>
      </c>
      <c r="H104" s="17" t="str">
        <f t="shared" si="478"/>
        <v>F1Q06A</v>
      </c>
      <c r="I104" s="18" t="str">
        <f t="shared" si="478"/>
        <v>F2Q06A</v>
      </c>
      <c r="J104" s="18" t="str">
        <f t="shared" si="478"/>
        <v>F3Q06A</v>
      </c>
      <c r="K104" s="19" t="str">
        <f t="shared" si="478"/>
        <v>F4Q06A</v>
      </c>
      <c r="L104" s="17" t="str">
        <f t="shared" si="478"/>
        <v>F1Q07A</v>
      </c>
      <c r="M104" s="18" t="str">
        <f t="shared" si="478"/>
        <v>F2Q07A</v>
      </c>
      <c r="N104" s="18" t="str">
        <f t="shared" si="478"/>
        <v>F3Q07A</v>
      </c>
      <c r="O104" s="19" t="str">
        <f t="shared" si="478"/>
        <v>F4Q07A</v>
      </c>
      <c r="P104" s="17" t="str">
        <f t="shared" si="478"/>
        <v>F1Q08A</v>
      </c>
      <c r="Q104" s="18" t="str">
        <f t="shared" si="478"/>
        <v>F2Q08A</v>
      </c>
      <c r="R104" s="18" t="str">
        <f t="shared" si="478"/>
        <v>F3Q08A</v>
      </c>
      <c r="S104" s="19" t="str">
        <f t="shared" si="478"/>
        <v>F4Q08A</v>
      </c>
      <c r="T104" s="17" t="str">
        <f t="shared" si="478"/>
        <v>F1Q09A</v>
      </c>
      <c r="U104" s="18" t="str">
        <f t="shared" si="478"/>
        <v>F2Q09A</v>
      </c>
      <c r="V104" s="18" t="str">
        <f t="shared" si="478"/>
        <v>F3Q09A</v>
      </c>
      <c r="W104" s="19" t="str">
        <f t="shared" si="478"/>
        <v>F4Q09A</v>
      </c>
      <c r="X104" s="17" t="str">
        <f t="shared" si="478"/>
        <v>F1Q10A</v>
      </c>
      <c r="Y104" s="18" t="str">
        <f t="shared" si="478"/>
        <v>F2Q10A</v>
      </c>
      <c r="Z104" s="18" t="str">
        <f t="shared" si="478"/>
        <v>F3Q10A</v>
      </c>
      <c r="AA104" s="19" t="str">
        <f t="shared" si="478"/>
        <v>F4Q10A</v>
      </c>
      <c r="AB104" s="17" t="str">
        <f>AB9</f>
        <v>F1Q11A</v>
      </c>
      <c r="AC104" s="18" t="str">
        <f t="shared" si="478"/>
        <v>F2Q11A</v>
      </c>
      <c r="AD104" s="18" t="str">
        <f t="shared" si="478"/>
        <v>F3Q11A</v>
      </c>
      <c r="AE104" s="19" t="str">
        <f>AE9</f>
        <v>F4Q11A</v>
      </c>
      <c r="AF104" s="17" t="str">
        <f>AF9</f>
        <v>F1Q12A</v>
      </c>
      <c r="AG104" s="18" t="str">
        <f t="shared" si="478"/>
        <v>F2Q12A</v>
      </c>
      <c r="AH104" s="18" t="str">
        <f t="shared" si="478"/>
        <v>F3Q12A</v>
      </c>
      <c r="AI104" s="19" t="str">
        <f>AI9</f>
        <v>F4Q12A</v>
      </c>
      <c r="AJ104" s="17" t="str">
        <f t="shared" si="478"/>
        <v>F1Q13A</v>
      </c>
      <c r="AK104" s="18" t="str">
        <f>AK9</f>
        <v>F2Q13A</v>
      </c>
      <c r="AL104" s="18" t="str">
        <f t="shared" si="478"/>
        <v>F3Q13A</v>
      </c>
      <c r="AM104" s="19" t="str">
        <f t="shared" si="478"/>
        <v>F4Q13A</v>
      </c>
      <c r="AN104" s="17" t="str">
        <f t="shared" si="478"/>
        <v>F1Q14A</v>
      </c>
      <c r="AO104" s="18" t="str">
        <f t="shared" si="478"/>
        <v>F2Q14A</v>
      </c>
      <c r="AP104" s="18" t="str">
        <f t="shared" si="478"/>
        <v>F3Q14A</v>
      </c>
      <c r="AQ104" s="19" t="str">
        <f t="shared" si="478"/>
        <v>F4Q14A</v>
      </c>
      <c r="AR104" s="17" t="str">
        <f t="shared" ref="AR104:AV104" si="479">AR9</f>
        <v>F1Q15A</v>
      </c>
      <c r="AS104" s="18" t="str">
        <f t="shared" si="479"/>
        <v>F2Q15A</v>
      </c>
      <c r="AT104" s="18" t="str">
        <f t="shared" si="479"/>
        <v>F3Q15A</v>
      </c>
      <c r="AU104" s="19" t="str">
        <f>AU9</f>
        <v>F4Q15A</v>
      </c>
      <c r="AV104" s="17" t="str">
        <f t="shared" si="479"/>
        <v>F1Q16A</v>
      </c>
      <c r="AW104" s="18" t="str">
        <f>AW9</f>
        <v>F2Q16A</v>
      </c>
      <c r="AX104" s="18" t="str">
        <f>AX9</f>
        <v>F3Q16A</v>
      </c>
      <c r="AY104" s="19" t="str">
        <f>AY9</f>
        <v>F4Q16A</v>
      </c>
      <c r="AZ104" s="17" t="str">
        <f t="shared" ref="AZ104" si="480">AZ9</f>
        <v>F1Q17A</v>
      </c>
      <c r="BA104" s="18" t="str">
        <f t="shared" ref="BA104:BG104" si="481">BA9</f>
        <v>F2Q17A</v>
      </c>
      <c r="BB104" s="18" t="str">
        <f t="shared" si="481"/>
        <v>F3Q17A</v>
      </c>
      <c r="BC104" s="19" t="str">
        <f t="shared" si="481"/>
        <v>F4Q17A</v>
      </c>
      <c r="BD104" s="17" t="str">
        <f t="shared" si="481"/>
        <v>F1Q18A</v>
      </c>
      <c r="BE104" s="18" t="str">
        <f t="shared" si="481"/>
        <v>F2Q18E</v>
      </c>
      <c r="BF104" s="18" t="str">
        <f t="shared" si="481"/>
        <v>F3Q18E</v>
      </c>
      <c r="BG104" s="19" t="str">
        <f t="shared" si="481"/>
        <v>F4Q18E</v>
      </c>
      <c r="BH104" s="17" t="str">
        <f t="shared" ref="BH104:BK104" si="482">BH9</f>
        <v>F1Q19E</v>
      </c>
      <c r="BI104" s="18" t="str">
        <f t="shared" si="482"/>
        <v>F2Q19E</v>
      </c>
      <c r="BJ104" s="18" t="str">
        <f t="shared" si="482"/>
        <v>F3Q19E</v>
      </c>
      <c r="BK104" s="19" t="str">
        <f t="shared" si="482"/>
        <v>F4Q19E</v>
      </c>
      <c r="BL104" s="17" t="str">
        <f t="shared" ref="BL104:BO104" si="483">BL9</f>
        <v>F1Q20E</v>
      </c>
      <c r="BM104" s="18" t="str">
        <f t="shared" si="483"/>
        <v>F2Q20E</v>
      </c>
      <c r="BN104" s="18" t="str">
        <f t="shared" si="483"/>
        <v>F3Q20E</v>
      </c>
      <c r="BO104" s="19" t="str">
        <f t="shared" si="483"/>
        <v>F4Q20E</v>
      </c>
      <c r="BP104" s="152"/>
      <c r="BQ104" s="17" t="str">
        <f t="shared" ref="BQ104:CA104" si="484">BQ9</f>
        <v>FY2005A</v>
      </c>
      <c r="BR104" s="17" t="str">
        <f t="shared" si="484"/>
        <v>FY2006A</v>
      </c>
      <c r="BS104" s="17" t="str">
        <f t="shared" si="484"/>
        <v>FY2007A</v>
      </c>
      <c r="BT104" s="17" t="str">
        <f t="shared" si="484"/>
        <v>FY2008A</v>
      </c>
      <c r="BU104" s="17" t="str">
        <f t="shared" si="484"/>
        <v>FY2009A</v>
      </c>
      <c r="BV104" s="17" t="str">
        <f t="shared" si="484"/>
        <v>FY2010A</v>
      </c>
      <c r="BW104" s="17" t="str">
        <f t="shared" si="484"/>
        <v>FY2011A</v>
      </c>
      <c r="BX104" s="17" t="str">
        <f t="shared" si="484"/>
        <v>FY2012A</v>
      </c>
      <c r="BY104" s="18" t="str">
        <f t="shared" si="484"/>
        <v>FY2013A</v>
      </c>
      <c r="BZ104" s="18" t="str">
        <f t="shared" si="484"/>
        <v>FY2014A</v>
      </c>
      <c r="CA104" s="18" t="str">
        <f t="shared" si="484"/>
        <v>FY2015A</v>
      </c>
      <c r="CB104" s="18" t="str">
        <f>CB9</f>
        <v>FY2016A</v>
      </c>
      <c r="CC104" s="18" t="str">
        <f>CC9</f>
        <v>FY2017E</v>
      </c>
      <c r="CD104" s="18" t="str">
        <f>CD9</f>
        <v>FY2018E</v>
      </c>
      <c r="CE104" s="18" t="str">
        <f>CE9</f>
        <v>FY2019E</v>
      </c>
      <c r="CF104" s="19" t="str">
        <f>CF9</f>
        <v>FY2020E</v>
      </c>
      <c r="CG104" s="297"/>
      <c r="CH104" s="8"/>
    </row>
    <row r="105" spans="1:86" ht="14.25" customHeight="1" outlineLevel="1">
      <c r="A105" s="8"/>
      <c r="B105" s="176" t="s">
        <v>226</v>
      </c>
      <c r="C105" s="39"/>
      <c r="D105" s="565"/>
      <c r="E105" s="177"/>
      <c r="F105" s="177"/>
      <c r="G105" s="178"/>
      <c r="H105" s="565"/>
      <c r="I105" s="177"/>
      <c r="J105" s="177"/>
      <c r="K105" s="178"/>
      <c r="L105" s="565"/>
      <c r="M105" s="177"/>
      <c r="N105" s="177"/>
      <c r="O105" s="178"/>
      <c r="P105" s="565"/>
      <c r="Q105" s="177"/>
      <c r="R105" s="177"/>
      <c r="S105" s="178"/>
      <c r="T105" s="565"/>
      <c r="U105" s="177"/>
      <c r="V105" s="177"/>
      <c r="W105" s="180"/>
      <c r="X105" s="565"/>
      <c r="Y105" s="177"/>
      <c r="Z105" s="177"/>
      <c r="AA105" s="180"/>
      <c r="AB105" s="565"/>
      <c r="AC105" s="177"/>
      <c r="AD105" s="177"/>
      <c r="AE105" s="180"/>
      <c r="AF105" s="565"/>
      <c r="AG105" s="177"/>
      <c r="AH105" s="177"/>
      <c r="AI105" s="180"/>
      <c r="AJ105" s="565"/>
      <c r="AK105" s="177"/>
      <c r="AL105" s="177"/>
      <c r="AM105" s="178"/>
      <c r="AN105" s="565"/>
      <c r="AO105" s="177"/>
      <c r="AP105" s="177"/>
      <c r="AQ105" s="178"/>
      <c r="AR105" s="565"/>
      <c r="AS105" s="177"/>
      <c r="AT105" s="177"/>
      <c r="AU105" s="178"/>
      <c r="AV105" s="565"/>
      <c r="AW105" s="177"/>
      <c r="AX105" s="177"/>
      <c r="AY105" s="178"/>
      <c r="AZ105" s="565"/>
      <c r="BA105" s="177"/>
      <c r="BB105" s="177"/>
      <c r="BC105" s="178"/>
      <c r="BD105" s="565"/>
      <c r="BE105" s="177"/>
      <c r="BF105" s="177"/>
      <c r="BG105" s="178"/>
      <c r="BH105" s="565"/>
      <c r="BI105" s="177"/>
      <c r="BJ105" s="177"/>
      <c r="BK105" s="178"/>
      <c r="BL105" s="565"/>
      <c r="BM105" s="177"/>
      <c r="BN105" s="177"/>
      <c r="BO105" s="178"/>
      <c r="BP105" s="152"/>
      <c r="BQ105" s="177"/>
      <c r="BR105" s="177"/>
      <c r="BS105" s="177"/>
      <c r="BT105" s="177"/>
      <c r="BU105" s="177"/>
      <c r="BV105" s="177"/>
      <c r="BW105" s="177"/>
      <c r="BX105" s="177"/>
      <c r="BY105" s="177"/>
      <c r="BZ105" s="177"/>
      <c r="CA105" s="177"/>
      <c r="CB105" s="177"/>
      <c r="CC105" s="177"/>
      <c r="CD105" s="177"/>
      <c r="CE105" s="177"/>
      <c r="CF105" s="180"/>
      <c r="CG105" s="297"/>
      <c r="CH105" s="8"/>
    </row>
    <row r="106" spans="1:86" ht="14.25" customHeight="1" outlineLevel="1">
      <c r="A106" s="8"/>
      <c r="B106" s="342" t="s">
        <v>227</v>
      </c>
      <c r="C106" s="21"/>
      <c r="D106" s="500">
        <f>D11</f>
        <v>410.75</v>
      </c>
      <c r="E106" s="81">
        <f>D106+E11</f>
        <v>1038.5</v>
      </c>
      <c r="F106" s="81">
        <f>E106+F11</f>
        <v>1669.25</v>
      </c>
      <c r="G106" s="82">
        <f>F106+G11</f>
        <v>2324</v>
      </c>
      <c r="H106" s="500">
        <f>H11</f>
        <v>584.75</v>
      </c>
      <c r="I106" s="81">
        <f>H106+I11</f>
        <v>2971.5</v>
      </c>
      <c r="J106" s="81">
        <f>I106+J11</f>
        <v>3673.25</v>
      </c>
      <c r="K106" s="82">
        <f>J106+K11</f>
        <v>4341</v>
      </c>
      <c r="L106" s="500">
        <f>L11</f>
        <v>516</v>
      </c>
      <c r="M106" s="81">
        <f>L106+M11</f>
        <v>1125.67</v>
      </c>
      <c r="N106" s="81">
        <f>M106+N11</f>
        <v>1901.3400000000001</v>
      </c>
      <c r="O106" s="82">
        <f>N106+O11</f>
        <v>2657.01</v>
      </c>
      <c r="P106" s="500">
        <f>P11</f>
        <v>662</v>
      </c>
      <c r="Q106" s="81">
        <f>P106+Q11</f>
        <v>1250</v>
      </c>
      <c r="R106" s="81">
        <f>Q106+R11</f>
        <v>1813</v>
      </c>
      <c r="S106" s="82">
        <f>R106+S11</f>
        <v>1920</v>
      </c>
      <c r="T106" s="500">
        <f>T11</f>
        <v>17</v>
      </c>
      <c r="U106" s="81">
        <f>T106+U11</f>
        <v>277</v>
      </c>
      <c r="V106" s="81">
        <f>U106+V11</f>
        <v>815</v>
      </c>
      <c r="W106" s="82">
        <f>V106+W11</f>
        <v>1470</v>
      </c>
      <c r="X106" s="500">
        <f>X11</f>
        <v>658</v>
      </c>
      <c r="Y106" s="81">
        <f>X106+Y11</f>
        <v>1427</v>
      </c>
      <c r="Z106" s="81">
        <f>Y106+Z11</f>
        <v>2286</v>
      </c>
      <c r="AA106" s="82">
        <f>Z106+AA11</f>
        <v>3228</v>
      </c>
      <c r="AB106" s="500">
        <f>AB11</f>
        <v>666</v>
      </c>
      <c r="AC106" s="81">
        <f>AB106+AC11</f>
        <v>1338</v>
      </c>
      <c r="AD106" s="81">
        <f>AC106+AD11</f>
        <v>1939</v>
      </c>
      <c r="AE106" s="82">
        <f>AD106+AE11</f>
        <v>2237</v>
      </c>
      <c r="AF106" s="500">
        <f>AF11</f>
        <v>265</v>
      </c>
      <c r="AG106" s="81">
        <f>AF106+AG11</f>
        <v>711</v>
      </c>
      <c r="AH106" s="81">
        <f>AG106+AH11</f>
        <v>1495</v>
      </c>
      <c r="AI106" s="82">
        <f>AH106+AI11</f>
        <v>1759</v>
      </c>
      <c r="AJ106" s="500">
        <f>AJ11</f>
        <v>362</v>
      </c>
      <c r="AK106" s="81">
        <f>AJ106+AK11</f>
        <v>1022</v>
      </c>
      <c r="AL106" s="81">
        <f>AK106+AL11</f>
        <v>1651</v>
      </c>
      <c r="AM106" s="82">
        <f>AL106+AM11</f>
        <v>2162</v>
      </c>
      <c r="AN106" s="500">
        <f>AN11</f>
        <v>487</v>
      </c>
      <c r="AO106" s="81">
        <f>AN106+AO11</f>
        <v>1170</v>
      </c>
      <c r="AP106" s="81">
        <f>AO106+AP11</f>
        <v>1996</v>
      </c>
      <c r="AQ106" s="82">
        <f>AP106+AQ11</f>
        <v>2821</v>
      </c>
      <c r="AR106" s="500">
        <f>AR11</f>
        <v>656</v>
      </c>
      <c r="AS106" s="81">
        <f>AR106+AS11</f>
        <v>1352</v>
      </c>
      <c r="AT106" s="81">
        <f>AS106+AT11</f>
        <v>2150</v>
      </c>
      <c r="AU106" s="82">
        <f>AT106+AU11</f>
        <v>2986</v>
      </c>
      <c r="AV106" s="500">
        <f>AV11</f>
        <v>711</v>
      </c>
      <c r="AW106" s="81">
        <f>AV106+AW11</f>
        <v>1530</v>
      </c>
      <c r="AX106" s="81">
        <f>AW106+AX11</f>
        <v>2548</v>
      </c>
      <c r="AY106" s="82">
        <f>AX106+AY11</f>
        <v>3595</v>
      </c>
      <c r="AZ106" s="500">
        <f>AZ11</f>
        <v>997</v>
      </c>
      <c r="BA106" s="81">
        <f>AZ106+BA11</f>
        <v>2053</v>
      </c>
      <c r="BB106" s="81">
        <f>BA106+BB11</f>
        <v>3338</v>
      </c>
      <c r="BC106" s="82">
        <f>BB106+BC11</f>
        <v>3682</v>
      </c>
      <c r="BD106" s="500">
        <f>BD11</f>
        <v>1366</v>
      </c>
      <c r="BE106" s="81">
        <f>BD106+BE11</f>
        <v>2673.4845627079944</v>
      </c>
      <c r="BF106" s="81">
        <f>BE106+BF11</f>
        <v>4094.5533322782467</v>
      </c>
      <c r="BG106" s="82">
        <f>BF106+BG11</f>
        <v>5426.3821039933691</v>
      </c>
      <c r="BH106" s="500">
        <f>BH11</f>
        <v>1304.0549473576293</v>
      </c>
      <c r="BI106" s="81">
        <f>BH106+BI11</f>
        <v>2738.6488830349181</v>
      </c>
      <c r="BJ106" s="81">
        <f>BI106+BJ11</f>
        <v>4329.6197506319713</v>
      </c>
      <c r="BK106" s="82">
        <f>BJ106+BK11</f>
        <v>5793.9078327057541</v>
      </c>
      <c r="BL106" s="500">
        <f>BL11</f>
        <v>1410.0760391412059</v>
      </c>
      <c r="BM106" s="81">
        <f>BL106+BM11</f>
        <v>2982.5800106208571</v>
      </c>
      <c r="BN106" s="81">
        <f>BM106+BN11</f>
        <v>4710.5534014232853</v>
      </c>
      <c r="BO106" s="82">
        <f>BN106+BO11</f>
        <v>6290.7606995222241</v>
      </c>
      <c r="BP106" s="152"/>
      <c r="BQ106" s="81">
        <f>G106</f>
        <v>2324</v>
      </c>
      <c r="BR106" s="81">
        <f>K106</f>
        <v>4341</v>
      </c>
      <c r="BS106" s="81">
        <f>O106</f>
        <v>2657.01</v>
      </c>
      <c r="BT106" s="81">
        <f>S106</f>
        <v>1920</v>
      </c>
      <c r="BU106" s="81">
        <f>W106</f>
        <v>1470</v>
      </c>
      <c r="BV106" s="81">
        <f>AA106</f>
        <v>3228</v>
      </c>
      <c r="BW106" s="81">
        <f>AE106</f>
        <v>2237</v>
      </c>
      <c r="BX106" s="81">
        <f>AI106</f>
        <v>1759</v>
      </c>
      <c r="BY106" s="81">
        <f>AM106</f>
        <v>2162</v>
      </c>
      <c r="BZ106" s="81">
        <f>AQ106</f>
        <v>2821</v>
      </c>
      <c r="CA106" s="81">
        <f>AU106</f>
        <v>2986</v>
      </c>
      <c r="CB106" s="81">
        <f>AY106</f>
        <v>3595</v>
      </c>
      <c r="CC106" s="81">
        <f>BC106</f>
        <v>3682</v>
      </c>
      <c r="CD106" s="81">
        <f>BG106</f>
        <v>5426.3821039933691</v>
      </c>
      <c r="CE106" s="81">
        <f>BK106</f>
        <v>5793.9078327057541</v>
      </c>
      <c r="CF106" s="82">
        <f>BO106</f>
        <v>6290.7606995222241</v>
      </c>
      <c r="CG106" s="297"/>
      <c r="CH106" s="8"/>
    </row>
    <row r="107" spans="1:86" ht="14.25" customHeight="1" outlineLevel="1">
      <c r="A107" s="8"/>
      <c r="B107" s="568" t="s">
        <v>228</v>
      </c>
      <c r="C107" s="181"/>
      <c r="D107" s="569"/>
      <c r="E107" s="182"/>
      <c r="F107" s="182"/>
      <c r="G107" s="183"/>
      <c r="H107" s="569"/>
      <c r="I107" s="182"/>
      <c r="J107" s="182"/>
      <c r="K107" s="183"/>
      <c r="L107" s="569"/>
      <c r="M107" s="182"/>
      <c r="N107" s="182"/>
      <c r="O107" s="183"/>
      <c r="P107" s="569"/>
      <c r="Q107" s="182"/>
      <c r="R107" s="182"/>
      <c r="S107" s="183"/>
      <c r="T107" s="569"/>
      <c r="U107" s="182"/>
      <c r="V107" s="182"/>
      <c r="W107" s="183"/>
      <c r="X107" s="569"/>
      <c r="Y107" s="182"/>
      <c r="Z107" s="182"/>
      <c r="AA107" s="183"/>
      <c r="AB107" s="569"/>
      <c r="AC107" s="182"/>
      <c r="AD107" s="182"/>
      <c r="AE107" s="183"/>
      <c r="AF107" s="569"/>
      <c r="AG107" s="182"/>
      <c r="AH107" s="182"/>
      <c r="AI107" s="183"/>
      <c r="AJ107" s="569"/>
      <c r="AK107" s="182"/>
      <c r="AL107" s="182"/>
      <c r="AM107" s="183"/>
      <c r="AN107" s="569"/>
      <c r="AO107" s="182"/>
      <c r="AP107" s="182"/>
      <c r="AQ107" s="183"/>
      <c r="AR107" s="569"/>
      <c r="AS107" s="182"/>
      <c r="AT107" s="182"/>
      <c r="AU107" s="183"/>
      <c r="AV107" s="569"/>
      <c r="AW107" s="182"/>
      <c r="AX107" s="182"/>
      <c r="AY107" s="183"/>
      <c r="AZ107" s="569"/>
      <c r="BA107" s="182"/>
      <c r="BB107" s="182"/>
      <c r="BC107" s="183"/>
      <c r="BD107" s="569"/>
      <c r="BE107" s="182"/>
      <c r="BF107" s="182"/>
      <c r="BG107" s="183"/>
      <c r="BH107" s="569"/>
      <c r="BI107" s="182"/>
      <c r="BJ107" s="182"/>
      <c r="BK107" s="183"/>
      <c r="BL107" s="569"/>
      <c r="BM107" s="182"/>
      <c r="BN107" s="182"/>
      <c r="BO107" s="183"/>
      <c r="BP107" s="152"/>
      <c r="BQ107" s="182"/>
      <c r="BR107" s="182"/>
      <c r="BS107" s="182"/>
      <c r="BT107" s="182"/>
      <c r="BU107" s="182"/>
      <c r="BV107" s="182"/>
      <c r="BW107" s="182"/>
      <c r="BX107" s="182"/>
      <c r="BY107" s="182"/>
      <c r="BZ107" s="182"/>
      <c r="CA107" s="182"/>
      <c r="CB107" s="182"/>
      <c r="CC107" s="182"/>
      <c r="CD107" s="182"/>
      <c r="CE107" s="182"/>
      <c r="CF107" s="183"/>
      <c r="CG107" s="297"/>
      <c r="CH107" s="8"/>
    </row>
    <row r="108" spans="1:86" ht="14.25" customHeight="1" outlineLevel="1">
      <c r="A108" s="8"/>
      <c r="B108" s="372" t="s">
        <v>330</v>
      </c>
      <c r="C108" s="42"/>
      <c r="D108" s="574">
        <v>341</v>
      </c>
      <c r="E108" s="186">
        <v>678</v>
      </c>
      <c r="F108" s="186">
        <v>1010</v>
      </c>
      <c r="G108" s="187">
        <v>1346</v>
      </c>
      <c r="H108" s="574">
        <v>270</v>
      </c>
      <c r="I108" s="186">
        <v>537</v>
      </c>
      <c r="J108" s="186">
        <v>803</v>
      </c>
      <c r="K108" s="187">
        <v>1052</v>
      </c>
      <c r="L108" s="574">
        <v>252</v>
      </c>
      <c r="M108" s="186">
        <v>508</v>
      </c>
      <c r="N108" s="186">
        <v>770</v>
      </c>
      <c r="O108" s="187">
        <v>1022</v>
      </c>
      <c r="P108" s="574">
        <v>241</v>
      </c>
      <c r="Q108" s="186">
        <v>487</v>
      </c>
      <c r="R108" s="186">
        <v>738</v>
      </c>
      <c r="S108" s="187">
        <v>1022</v>
      </c>
      <c r="T108" s="574">
        <v>230</v>
      </c>
      <c r="U108" s="186">
        <v>451</v>
      </c>
      <c r="V108" s="186">
        <v>668</v>
      </c>
      <c r="W108" s="187">
        <v>877</v>
      </c>
      <c r="X108" s="574">
        <v>211</v>
      </c>
      <c r="Y108" s="186">
        <v>426</v>
      </c>
      <c r="Z108" s="186">
        <v>639</v>
      </c>
      <c r="AA108" s="187">
        <v>865</v>
      </c>
      <c r="AB108" s="574">
        <v>224</v>
      </c>
      <c r="AC108" s="186">
        <v>444</v>
      </c>
      <c r="AD108" s="186">
        <v>657</v>
      </c>
      <c r="AE108" s="187">
        <v>904</v>
      </c>
      <c r="AF108" s="574">
        <v>243</v>
      </c>
      <c r="AG108" s="186">
        <v>484</v>
      </c>
      <c r="AH108" s="186">
        <v>725</v>
      </c>
      <c r="AI108" s="187">
        <v>957</v>
      </c>
      <c r="AJ108" s="574">
        <v>228</v>
      </c>
      <c r="AK108" s="186">
        <v>449</v>
      </c>
      <c r="AL108" s="186">
        <v>666</v>
      </c>
      <c r="AM108" s="187">
        <v>879</v>
      </c>
      <c r="AN108" s="574">
        <v>213</v>
      </c>
      <c r="AO108" s="186">
        <v>426</v>
      </c>
      <c r="AP108" s="186">
        <v>639</v>
      </c>
      <c r="AQ108" s="187">
        <v>850</v>
      </c>
      <c r="AR108" s="574">
        <v>203</v>
      </c>
      <c r="AS108" s="186">
        <v>401</v>
      </c>
      <c r="AT108" s="186">
        <v>594</v>
      </c>
      <c r="AU108" s="187">
        <v>766</v>
      </c>
      <c r="AV108" s="574">
        <v>161</v>
      </c>
      <c r="AW108" s="186">
        <v>316</v>
      </c>
      <c r="AX108" s="186">
        <v>466</v>
      </c>
      <c r="AY108" s="187">
        <v>605</v>
      </c>
      <c r="AZ108" s="574">
        <v>139</v>
      </c>
      <c r="BA108" s="186">
        <v>273</v>
      </c>
      <c r="BB108" s="186">
        <v>406</v>
      </c>
      <c r="BC108" s="187">
        <v>539</v>
      </c>
      <c r="BD108" s="574">
        <v>137</v>
      </c>
      <c r="BE108" s="184">
        <f t="shared" ref="BE108:BE113" si="485">BD108+BE13</f>
        <v>266</v>
      </c>
      <c r="BF108" s="184">
        <f t="shared" ref="BF108:BF113" si="486">BE108+BF13</f>
        <v>394</v>
      </c>
      <c r="BG108" s="185">
        <f t="shared" ref="BG108:BG113" si="487">BF108+BG13</f>
        <v>522</v>
      </c>
      <c r="BH108" s="572">
        <f t="shared" ref="BH108:BH113" si="488">BH13</f>
        <v>132</v>
      </c>
      <c r="BI108" s="184">
        <f t="shared" ref="BI108:BI113" si="489">BH108+BI13</f>
        <v>256</v>
      </c>
      <c r="BJ108" s="184">
        <f t="shared" ref="BJ108:BJ113" si="490">BI108+BJ13</f>
        <v>379</v>
      </c>
      <c r="BK108" s="185">
        <f t="shared" ref="BK108:BK113" si="491">BJ108+BK13</f>
        <v>502</v>
      </c>
      <c r="BL108" s="572">
        <f t="shared" ref="BL108:BL113" si="492">BL13</f>
        <v>127</v>
      </c>
      <c r="BM108" s="184">
        <f t="shared" ref="BM108:BM113" si="493">BL108+BM13</f>
        <v>246</v>
      </c>
      <c r="BN108" s="184">
        <f t="shared" ref="BN108:BN113" si="494">BM108+BN13</f>
        <v>364</v>
      </c>
      <c r="BO108" s="185">
        <f t="shared" ref="BO108:BO113" si="495">BN108+BO13</f>
        <v>482</v>
      </c>
      <c r="BP108" s="152"/>
      <c r="BQ108" s="184">
        <f t="shared" ref="BQ108:BQ121" si="496">G108</f>
        <v>1346</v>
      </c>
      <c r="BR108" s="184">
        <f t="shared" ref="BR108:BR121" si="497">K108</f>
        <v>1052</v>
      </c>
      <c r="BS108" s="184">
        <f t="shared" ref="BS108:BS121" si="498">O108</f>
        <v>1022</v>
      </c>
      <c r="BT108" s="184">
        <f t="shared" ref="BT108:BT121" si="499">S108</f>
        <v>1022</v>
      </c>
      <c r="BU108" s="184">
        <f t="shared" ref="BU108:BU121" si="500">W108</f>
        <v>877</v>
      </c>
      <c r="BV108" s="184">
        <f t="shared" ref="BV108:BV113" si="501">AA108</f>
        <v>865</v>
      </c>
      <c r="BW108" s="184">
        <f t="shared" ref="BW108:BW113" si="502">AE108</f>
        <v>904</v>
      </c>
      <c r="BX108" s="184">
        <f t="shared" ref="BX108:BX113" si="503">AI108</f>
        <v>957</v>
      </c>
      <c r="BY108" s="184">
        <f t="shared" ref="BY108:BY113" si="504">AM108</f>
        <v>879</v>
      </c>
      <c r="BZ108" s="184">
        <f t="shared" ref="BZ108:BZ113" si="505">AQ108</f>
        <v>850</v>
      </c>
      <c r="CA108" s="184">
        <f t="shared" ref="CA108:CA113" si="506">AU108</f>
        <v>766</v>
      </c>
      <c r="CB108" s="184">
        <f t="shared" ref="CB108:CB113" si="507">AY108</f>
        <v>605</v>
      </c>
      <c r="CC108" s="184">
        <f t="shared" ref="CC108:CC113" si="508">BC108</f>
        <v>539</v>
      </c>
      <c r="CD108" s="184">
        <f t="shared" ref="CD108:CD113" si="509">BG108</f>
        <v>522</v>
      </c>
      <c r="CE108" s="184">
        <f t="shared" ref="CE108:CE121" si="510">BK108</f>
        <v>502</v>
      </c>
      <c r="CF108" s="185">
        <f t="shared" ref="CF108:CF113" si="511">BO108</f>
        <v>482</v>
      </c>
      <c r="CG108" s="297"/>
      <c r="CH108" s="8"/>
    </row>
    <row r="109" spans="1:86" ht="14.25" customHeight="1" outlineLevel="1">
      <c r="A109" s="8"/>
      <c r="B109" s="372" t="s">
        <v>329</v>
      </c>
      <c r="C109" s="42"/>
      <c r="D109" s="574">
        <v>5</v>
      </c>
      <c r="E109" s="186">
        <v>10</v>
      </c>
      <c r="F109" s="186">
        <v>90</v>
      </c>
      <c r="G109" s="187">
        <v>175</v>
      </c>
      <c r="H109" s="574">
        <v>91</v>
      </c>
      <c r="I109" s="186">
        <v>175</v>
      </c>
      <c r="J109" s="186">
        <v>254</v>
      </c>
      <c r="K109" s="187">
        <v>332</v>
      </c>
      <c r="L109" s="574">
        <v>78</v>
      </c>
      <c r="M109" s="186">
        <v>146</v>
      </c>
      <c r="N109" s="186">
        <v>212</v>
      </c>
      <c r="O109" s="187">
        <v>280</v>
      </c>
      <c r="P109" s="574">
        <v>54</v>
      </c>
      <c r="Q109" s="186">
        <v>108</v>
      </c>
      <c r="R109" s="186">
        <v>162</v>
      </c>
      <c r="S109" s="187">
        <v>213</v>
      </c>
      <c r="T109" s="574">
        <v>50</v>
      </c>
      <c r="U109" s="186">
        <v>97</v>
      </c>
      <c r="V109" s="186">
        <v>143</v>
      </c>
      <c r="W109" s="187">
        <v>186</v>
      </c>
      <c r="X109" s="574">
        <v>47</v>
      </c>
      <c r="Y109" s="186">
        <v>96</v>
      </c>
      <c r="Z109" s="186">
        <v>143</v>
      </c>
      <c r="AA109" s="187">
        <v>190</v>
      </c>
      <c r="AB109" s="574">
        <v>57</v>
      </c>
      <c r="AC109" s="186">
        <v>110</v>
      </c>
      <c r="AD109" s="186">
        <v>202</v>
      </c>
      <c r="AE109" s="187">
        <v>269</v>
      </c>
      <c r="AF109" s="574">
        <v>69</v>
      </c>
      <c r="AG109" s="186">
        <v>133</v>
      </c>
      <c r="AH109" s="186">
        <v>199</v>
      </c>
      <c r="AI109" s="187">
        <v>263</v>
      </c>
      <c r="AJ109" s="186">
        <v>75</v>
      </c>
      <c r="AK109" s="186">
        <v>150</v>
      </c>
      <c r="AL109" s="186">
        <v>221</v>
      </c>
      <c r="AM109" s="187">
        <v>287</v>
      </c>
      <c r="AN109" s="186">
        <v>78</v>
      </c>
      <c r="AO109" s="186">
        <v>155</v>
      </c>
      <c r="AP109" s="186">
        <v>217</v>
      </c>
      <c r="AQ109" s="187">
        <v>277</v>
      </c>
      <c r="AR109" s="186">
        <v>78</v>
      </c>
      <c r="AS109" s="186">
        <v>162</v>
      </c>
      <c r="AT109" s="186">
        <v>228</v>
      </c>
      <c r="AU109" s="187">
        <v>286</v>
      </c>
      <c r="AV109" s="186">
        <v>72</v>
      </c>
      <c r="AW109" s="186">
        <v>148</v>
      </c>
      <c r="AX109" s="186">
        <v>204</v>
      </c>
      <c r="AY109" s="187">
        <v>252</v>
      </c>
      <c r="AZ109" s="186">
        <v>68</v>
      </c>
      <c r="BA109" s="186">
        <v>143</v>
      </c>
      <c r="BB109" s="186">
        <v>197</v>
      </c>
      <c r="BC109" s="187">
        <v>242</v>
      </c>
      <c r="BD109" s="186">
        <v>70</v>
      </c>
      <c r="BE109" s="184">
        <f t="shared" si="485"/>
        <v>170</v>
      </c>
      <c r="BF109" s="184">
        <f t="shared" si="486"/>
        <v>270</v>
      </c>
      <c r="BG109" s="185">
        <f t="shared" si="487"/>
        <v>370</v>
      </c>
      <c r="BH109" s="184">
        <f t="shared" si="488"/>
        <v>100</v>
      </c>
      <c r="BI109" s="184">
        <f t="shared" si="489"/>
        <v>200</v>
      </c>
      <c r="BJ109" s="184">
        <f t="shared" si="490"/>
        <v>300</v>
      </c>
      <c r="BK109" s="185">
        <f t="shared" si="491"/>
        <v>400</v>
      </c>
      <c r="BL109" s="184">
        <f t="shared" si="492"/>
        <v>100</v>
      </c>
      <c r="BM109" s="184">
        <f t="shared" si="493"/>
        <v>200</v>
      </c>
      <c r="BN109" s="184">
        <f t="shared" si="494"/>
        <v>300</v>
      </c>
      <c r="BO109" s="185">
        <f t="shared" si="495"/>
        <v>400</v>
      </c>
      <c r="BP109" s="152"/>
      <c r="BQ109" s="184">
        <f t="shared" si="496"/>
        <v>175</v>
      </c>
      <c r="BR109" s="184">
        <f t="shared" si="497"/>
        <v>332</v>
      </c>
      <c r="BS109" s="184">
        <f t="shared" si="498"/>
        <v>280</v>
      </c>
      <c r="BT109" s="184">
        <f t="shared" si="499"/>
        <v>213</v>
      </c>
      <c r="BU109" s="184">
        <f t="shared" si="500"/>
        <v>186</v>
      </c>
      <c r="BV109" s="184">
        <f t="shared" si="501"/>
        <v>190</v>
      </c>
      <c r="BW109" s="184">
        <f t="shared" si="502"/>
        <v>269</v>
      </c>
      <c r="BX109" s="184">
        <f t="shared" si="503"/>
        <v>263</v>
      </c>
      <c r="BY109" s="184">
        <f t="shared" si="504"/>
        <v>287</v>
      </c>
      <c r="BZ109" s="184">
        <f t="shared" si="505"/>
        <v>277</v>
      </c>
      <c r="CA109" s="184">
        <f t="shared" si="506"/>
        <v>286</v>
      </c>
      <c r="CB109" s="184">
        <f t="shared" si="507"/>
        <v>252</v>
      </c>
      <c r="CC109" s="184">
        <f t="shared" si="508"/>
        <v>242</v>
      </c>
      <c r="CD109" s="184">
        <f t="shared" si="509"/>
        <v>370</v>
      </c>
      <c r="CE109" s="184">
        <f t="shared" si="510"/>
        <v>400</v>
      </c>
      <c r="CF109" s="185">
        <f t="shared" si="511"/>
        <v>400</v>
      </c>
      <c r="CG109" s="297"/>
      <c r="CH109" s="8"/>
    </row>
    <row r="110" spans="1:86" ht="14.25" customHeight="1" outlineLevel="1">
      <c r="A110" s="8"/>
      <c r="B110" s="372" t="s">
        <v>328</v>
      </c>
      <c r="C110" s="42"/>
      <c r="D110" s="574">
        <v>29</v>
      </c>
      <c r="E110" s="186">
        <v>60</v>
      </c>
      <c r="F110" s="186">
        <v>93</v>
      </c>
      <c r="G110" s="187">
        <v>55</v>
      </c>
      <c r="H110" s="574">
        <v>30</v>
      </c>
      <c r="I110" s="186">
        <v>59</v>
      </c>
      <c r="J110" s="186">
        <v>85</v>
      </c>
      <c r="K110" s="187">
        <v>59</v>
      </c>
      <c r="L110" s="574">
        <v>14</v>
      </c>
      <c r="M110" s="186">
        <v>28</v>
      </c>
      <c r="N110" s="186">
        <v>38</v>
      </c>
      <c r="O110" s="187">
        <v>48</v>
      </c>
      <c r="P110" s="574">
        <v>10</v>
      </c>
      <c r="Q110" s="186">
        <v>19</v>
      </c>
      <c r="R110" s="186">
        <v>28</v>
      </c>
      <c r="S110" s="187">
        <v>37</v>
      </c>
      <c r="T110" s="574">
        <v>10</v>
      </c>
      <c r="U110" s="186">
        <v>22</v>
      </c>
      <c r="V110" s="186">
        <v>34</v>
      </c>
      <c r="W110" s="187">
        <v>48</v>
      </c>
      <c r="X110" s="574">
        <v>13</v>
      </c>
      <c r="Y110" s="186">
        <v>25</v>
      </c>
      <c r="Z110" s="186">
        <v>36</v>
      </c>
      <c r="AA110" s="187">
        <v>48</v>
      </c>
      <c r="AB110" s="574">
        <v>7</v>
      </c>
      <c r="AC110" s="186">
        <v>13</v>
      </c>
      <c r="AD110" s="186">
        <v>25</v>
      </c>
      <c r="AE110" s="187">
        <v>111</v>
      </c>
      <c r="AF110" s="574">
        <v>86</v>
      </c>
      <c r="AG110" s="186">
        <v>171</v>
      </c>
      <c r="AH110" s="186">
        <v>257</v>
      </c>
      <c r="AI110" s="187">
        <v>342</v>
      </c>
      <c r="AJ110" s="186">
        <v>85</v>
      </c>
      <c r="AK110" s="186">
        <v>170</v>
      </c>
      <c r="AL110" s="186">
        <v>253</v>
      </c>
      <c r="AM110" s="187">
        <v>336</v>
      </c>
      <c r="AN110" s="186">
        <v>81</v>
      </c>
      <c r="AO110" s="186">
        <f>161+30</f>
        <v>191</v>
      </c>
      <c r="AP110" s="186">
        <v>271</v>
      </c>
      <c r="AQ110" s="187">
        <f>321+59</f>
        <v>380</v>
      </c>
      <c r="AR110" s="186">
        <v>80</v>
      </c>
      <c r="AS110" s="186">
        <f>160+26</f>
        <v>186</v>
      </c>
      <c r="AT110" s="186">
        <v>240</v>
      </c>
      <c r="AU110" s="187">
        <f>319+48</f>
        <v>367</v>
      </c>
      <c r="AV110" s="186">
        <v>80</v>
      </c>
      <c r="AW110" s="186">
        <f>16+159</f>
        <v>175</v>
      </c>
      <c r="AX110" s="186">
        <v>239</v>
      </c>
      <c r="AY110" s="187">
        <f>31+319</f>
        <v>350</v>
      </c>
      <c r="AZ110" s="186">
        <v>80</v>
      </c>
      <c r="BA110" s="186">
        <v>171</v>
      </c>
      <c r="BB110" s="186">
        <v>239</v>
      </c>
      <c r="BC110" s="187">
        <f>318+47</f>
        <v>365</v>
      </c>
      <c r="BD110" s="186">
        <v>80</v>
      </c>
      <c r="BE110" s="184">
        <f t="shared" si="485"/>
        <v>160</v>
      </c>
      <c r="BF110" s="184">
        <f t="shared" si="486"/>
        <v>240</v>
      </c>
      <c r="BG110" s="185">
        <f t="shared" si="487"/>
        <v>320</v>
      </c>
      <c r="BH110" s="184">
        <f t="shared" si="488"/>
        <v>80</v>
      </c>
      <c r="BI110" s="184">
        <f t="shared" si="489"/>
        <v>160</v>
      </c>
      <c r="BJ110" s="184">
        <f t="shared" si="490"/>
        <v>240</v>
      </c>
      <c r="BK110" s="185">
        <f t="shared" si="491"/>
        <v>320</v>
      </c>
      <c r="BL110" s="184">
        <f t="shared" si="492"/>
        <v>70</v>
      </c>
      <c r="BM110" s="184">
        <f t="shared" si="493"/>
        <v>140</v>
      </c>
      <c r="BN110" s="184">
        <f t="shared" si="494"/>
        <v>210</v>
      </c>
      <c r="BO110" s="185">
        <f t="shared" si="495"/>
        <v>280</v>
      </c>
      <c r="BP110" s="152"/>
      <c r="BQ110" s="184">
        <f t="shared" si="496"/>
        <v>55</v>
      </c>
      <c r="BR110" s="184">
        <f t="shared" si="497"/>
        <v>59</v>
      </c>
      <c r="BS110" s="184">
        <f t="shared" si="498"/>
        <v>48</v>
      </c>
      <c r="BT110" s="184">
        <f t="shared" si="499"/>
        <v>37</v>
      </c>
      <c r="BU110" s="184">
        <f t="shared" si="500"/>
        <v>48</v>
      </c>
      <c r="BV110" s="184">
        <f t="shared" si="501"/>
        <v>48</v>
      </c>
      <c r="BW110" s="184">
        <f t="shared" si="502"/>
        <v>111</v>
      </c>
      <c r="BX110" s="184">
        <f t="shared" si="503"/>
        <v>342</v>
      </c>
      <c r="BY110" s="184">
        <f t="shared" si="504"/>
        <v>336</v>
      </c>
      <c r="BZ110" s="184">
        <f t="shared" si="505"/>
        <v>380</v>
      </c>
      <c r="CA110" s="184">
        <f t="shared" si="506"/>
        <v>367</v>
      </c>
      <c r="CB110" s="184">
        <f t="shared" si="507"/>
        <v>350</v>
      </c>
      <c r="CC110" s="184">
        <f t="shared" si="508"/>
        <v>365</v>
      </c>
      <c r="CD110" s="184">
        <f t="shared" si="509"/>
        <v>320</v>
      </c>
      <c r="CE110" s="184">
        <f t="shared" si="510"/>
        <v>320</v>
      </c>
      <c r="CF110" s="185">
        <f t="shared" si="511"/>
        <v>280</v>
      </c>
      <c r="CG110" s="297"/>
      <c r="CH110" s="8"/>
    </row>
    <row r="111" spans="1:86" ht="14.25" customHeight="1" outlineLevel="1">
      <c r="A111" s="8"/>
      <c r="B111" s="372" t="s">
        <v>331</v>
      </c>
      <c r="C111" s="42"/>
      <c r="D111" s="574">
        <v>15</v>
      </c>
      <c r="E111" s="186">
        <v>30</v>
      </c>
      <c r="F111" s="186">
        <v>42</v>
      </c>
      <c r="G111" s="187">
        <v>-25</v>
      </c>
      <c r="H111" s="574">
        <v>16</v>
      </c>
      <c r="I111" s="186">
        <v>31</v>
      </c>
      <c r="J111" s="186">
        <v>46</v>
      </c>
      <c r="K111" s="187">
        <v>0</v>
      </c>
      <c r="L111" s="574">
        <v>0</v>
      </c>
      <c r="M111" s="186">
        <v>0</v>
      </c>
      <c r="N111" s="186">
        <v>-39</v>
      </c>
      <c r="O111" s="187">
        <v>-39</v>
      </c>
      <c r="P111" s="574">
        <v>6</v>
      </c>
      <c r="Q111" s="186">
        <v>6</v>
      </c>
      <c r="R111" s="186">
        <v>6</v>
      </c>
      <c r="S111" s="187">
        <v>0</v>
      </c>
      <c r="T111" s="574">
        <v>0</v>
      </c>
      <c r="U111" s="186">
        <v>0</v>
      </c>
      <c r="V111" s="186">
        <v>0</v>
      </c>
      <c r="W111" s="187">
        <v>0</v>
      </c>
      <c r="X111" s="574">
        <v>0</v>
      </c>
      <c r="Y111" s="186">
        <v>0</v>
      </c>
      <c r="Z111" s="186">
        <v>0</v>
      </c>
      <c r="AA111" s="187">
        <v>0</v>
      </c>
      <c r="AB111" s="574">
        <v>0</v>
      </c>
      <c r="AC111" s="186">
        <v>0</v>
      </c>
      <c r="AD111" s="186">
        <v>-5</v>
      </c>
      <c r="AE111" s="187">
        <v>-5</v>
      </c>
      <c r="AF111" s="574">
        <v>0</v>
      </c>
      <c r="AG111" s="186">
        <v>0</v>
      </c>
      <c r="AH111" s="186">
        <v>0</v>
      </c>
      <c r="AI111" s="187">
        <v>0</v>
      </c>
      <c r="AJ111" s="186">
        <v>-3</v>
      </c>
      <c r="AK111" s="186">
        <v>-3</v>
      </c>
      <c r="AL111" s="186">
        <v>-6</v>
      </c>
      <c r="AM111" s="187">
        <v>-6</v>
      </c>
      <c r="AN111" s="186">
        <v>-37</v>
      </c>
      <c r="AO111" s="186">
        <v>-39</v>
      </c>
      <c r="AP111" s="186">
        <v>-44</v>
      </c>
      <c r="AQ111" s="187">
        <v>-73</v>
      </c>
      <c r="AR111" s="186">
        <v>-1</v>
      </c>
      <c r="AS111" s="186">
        <v>-3</v>
      </c>
      <c r="AT111" s="186">
        <v>-3</v>
      </c>
      <c r="AU111" s="187">
        <v>-85</v>
      </c>
      <c r="AV111" s="186">
        <v>0</v>
      </c>
      <c r="AW111" s="186">
        <v>0</v>
      </c>
      <c r="AX111" s="186">
        <v>0</v>
      </c>
      <c r="AY111" s="187">
        <v>-40</v>
      </c>
      <c r="AZ111" s="186">
        <v>0</v>
      </c>
      <c r="BA111" s="186">
        <v>0</v>
      </c>
      <c r="BB111" s="186">
        <v>0</v>
      </c>
      <c r="BC111" s="187">
        <v>0</v>
      </c>
      <c r="BD111" s="186">
        <v>0</v>
      </c>
      <c r="BE111" s="184">
        <f t="shared" si="485"/>
        <v>0</v>
      </c>
      <c r="BF111" s="184">
        <f t="shared" si="486"/>
        <v>0</v>
      </c>
      <c r="BG111" s="185">
        <f t="shared" si="487"/>
        <v>0</v>
      </c>
      <c r="BH111" s="184">
        <f t="shared" si="488"/>
        <v>0</v>
      </c>
      <c r="BI111" s="184">
        <f t="shared" si="489"/>
        <v>0</v>
      </c>
      <c r="BJ111" s="184">
        <f t="shared" si="490"/>
        <v>0</v>
      </c>
      <c r="BK111" s="185">
        <f t="shared" si="491"/>
        <v>0</v>
      </c>
      <c r="BL111" s="184">
        <f t="shared" si="492"/>
        <v>0</v>
      </c>
      <c r="BM111" s="184">
        <f t="shared" si="493"/>
        <v>0</v>
      </c>
      <c r="BN111" s="184">
        <f t="shared" si="494"/>
        <v>0</v>
      </c>
      <c r="BO111" s="185">
        <f t="shared" si="495"/>
        <v>0</v>
      </c>
      <c r="BP111" s="152"/>
      <c r="BQ111" s="184">
        <f t="shared" si="496"/>
        <v>-25</v>
      </c>
      <c r="BR111" s="184">
        <f t="shared" si="497"/>
        <v>0</v>
      </c>
      <c r="BS111" s="184">
        <f t="shared" si="498"/>
        <v>-39</v>
      </c>
      <c r="BT111" s="184">
        <f t="shared" si="499"/>
        <v>0</v>
      </c>
      <c r="BU111" s="184">
        <f t="shared" si="500"/>
        <v>0</v>
      </c>
      <c r="BV111" s="184">
        <f t="shared" si="501"/>
        <v>0</v>
      </c>
      <c r="BW111" s="184">
        <f t="shared" si="502"/>
        <v>-5</v>
      </c>
      <c r="BX111" s="184">
        <f t="shared" si="503"/>
        <v>0</v>
      </c>
      <c r="BY111" s="184">
        <f t="shared" si="504"/>
        <v>-6</v>
      </c>
      <c r="BZ111" s="184">
        <f t="shared" si="505"/>
        <v>-73</v>
      </c>
      <c r="CA111" s="184">
        <f t="shared" si="506"/>
        <v>-85</v>
      </c>
      <c r="CB111" s="184">
        <f t="shared" si="507"/>
        <v>-40</v>
      </c>
      <c r="CC111" s="184">
        <f t="shared" si="508"/>
        <v>0</v>
      </c>
      <c r="CD111" s="184">
        <f t="shared" si="509"/>
        <v>0</v>
      </c>
      <c r="CE111" s="184">
        <f t="shared" si="510"/>
        <v>0</v>
      </c>
      <c r="CF111" s="185">
        <f t="shared" si="511"/>
        <v>0</v>
      </c>
      <c r="CG111" s="297"/>
      <c r="CH111" s="8"/>
    </row>
    <row r="112" spans="1:86" ht="14.25" customHeight="1" outlineLevel="1">
      <c r="A112" s="8"/>
      <c r="B112" s="372" t="s">
        <v>315</v>
      </c>
      <c r="C112" s="42"/>
      <c r="D112" s="574">
        <v>-37</v>
      </c>
      <c r="E112" s="186">
        <v>-211</v>
      </c>
      <c r="F112" s="186">
        <v>-101</v>
      </c>
      <c r="G112" s="187">
        <v>-194</v>
      </c>
      <c r="H112" s="574">
        <v>-36</v>
      </c>
      <c r="I112" s="186">
        <v>-77</v>
      </c>
      <c r="J112" s="186">
        <v>-123</v>
      </c>
      <c r="K112" s="187">
        <v>-200</v>
      </c>
      <c r="L112" s="574">
        <v>-3</v>
      </c>
      <c r="M112" s="186">
        <v>-6</v>
      </c>
      <c r="N112" s="186">
        <v>30</v>
      </c>
      <c r="O112" s="187">
        <v>34</v>
      </c>
      <c r="P112" s="574">
        <v>-74</v>
      </c>
      <c r="Q112" s="186">
        <v>-81</v>
      </c>
      <c r="R112" s="186">
        <v>-159</v>
      </c>
      <c r="S112" s="187">
        <v>-182</v>
      </c>
      <c r="T112" s="574">
        <v>3</v>
      </c>
      <c r="U112" s="186">
        <v>9</v>
      </c>
      <c r="V112" s="186">
        <v>80</v>
      </c>
      <c r="W112" s="187">
        <v>146</v>
      </c>
      <c r="X112" s="574">
        <v>-11</v>
      </c>
      <c r="Y112" s="186">
        <v>-18</v>
      </c>
      <c r="Z112" s="186">
        <v>-45</v>
      </c>
      <c r="AA112" s="187">
        <v>-188</v>
      </c>
      <c r="AB112" s="574">
        <v>31</v>
      </c>
      <c r="AC112" s="186">
        <v>-15</v>
      </c>
      <c r="AD112" s="186">
        <v>-9</v>
      </c>
      <c r="AE112" s="187">
        <v>-119</v>
      </c>
      <c r="AF112" s="574">
        <v>-4</v>
      </c>
      <c r="AG112" s="186">
        <v>17</v>
      </c>
      <c r="AH112" s="186">
        <v>136</v>
      </c>
      <c r="AI112" s="187">
        <v>65</v>
      </c>
      <c r="AJ112" s="186">
        <v>15</v>
      </c>
      <c r="AK112" s="186">
        <v>-39</v>
      </c>
      <c r="AL112" s="186">
        <v>-9</v>
      </c>
      <c r="AM112" s="187">
        <v>50</v>
      </c>
      <c r="AN112" s="186">
        <v>0</v>
      </c>
      <c r="AO112" s="186">
        <v>-57</v>
      </c>
      <c r="AP112" s="186">
        <v>-84</v>
      </c>
      <c r="AQ112" s="187">
        <v>-61</v>
      </c>
      <c r="AR112" s="186">
        <v>1</v>
      </c>
      <c r="AS112" s="186">
        <v>-56</v>
      </c>
      <c r="AT112" s="186">
        <v>-106</v>
      </c>
      <c r="AU112" s="187">
        <v>-55</v>
      </c>
      <c r="AV112" s="186">
        <v>24</v>
      </c>
      <c r="AW112" s="186">
        <v>-35</v>
      </c>
      <c r="AX112" s="186">
        <v>-160</v>
      </c>
      <c r="AY112" s="187">
        <v>-202</v>
      </c>
      <c r="AZ112" s="186">
        <v>9</v>
      </c>
      <c r="BA112" s="186">
        <v>-45</v>
      </c>
      <c r="BB112" s="186">
        <v>-47</v>
      </c>
      <c r="BC112" s="187">
        <v>112</v>
      </c>
      <c r="BD112" s="186">
        <v>-31</v>
      </c>
      <c r="BE112" s="184">
        <f t="shared" si="485"/>
        <v>-31</v>
      </c>
      <c r="BF112" s="184">
        <f t="shared" si="486"/>
        <v>-31</v>
      </c>
      <c r="BG112" s="185">
        <f t="shared" si="487"/>
        <v>-31</v>
      </c>
      <c r="BH112" s="184">
        <f t="shared" si="488"/>
        <v>0</v>
      </c>
      <c r="BI112" s="184">
        <f t="shared" si="489"/>
        <v>0</v>
      </c>
      <c r="BJ112" s="184">
        <f t="shared" si="490"/>
        <v>0</v>
      </c>
      <c r="BK112" s="185">
        <f t="shared" si="491"/>
        <v>0</v>
      </c>
      <c r="BL112" s="184">
        <f t="shared" si="492"/>
        <v>0</v>
      </c>
      <c r="BM112" s="184">
        <f t="shared" si="493"/>
        <v>0</v>
      </c>
      <c r="BN112" s="184">
        <f t="shared" si="494"/>
        <v>0</v>
      </c>
      <c r="BO112" s="185">
        <f t="shared" si="495"/>
        <v>0</v>
      </c>
      <c r="BP112" s="152"/>
      <c r="BQ112" s="184">
        <f t="shared" si="496"/>
        <v>-194</v>
      </c>
      <c r="BR112" s="184">
        <f t="shared" si="497"/>
        <v>-200</v>
      </c>
      <c r="BS112" s="184">
        <f t="shared" si="498"/>
        <v>34</v>
      </c>
      <c r="BT112" s="184">
        <f t="shared" si="499"/>
        <v>-182</v>
      </c>
      <c r="BU112" s="184">
        <f t="shared" si="500"/>
        <v>146</v>
      </c>
      <c r="BV112" s="184">
        <f t="shared" si="501"/>
        <v>-188</v>
      </c>
      <c r="BW112" s="184">
        <f t="shared" si="502"/>
        <v>-119</v>
      </c>
      <c r="BX112" s="184">
        <f t="shared" si="503"/>
        <v>65</v>
      </c>
      <c r="BY112" s="184">
        <f t="shared" si="504"/>
        <v>50</v>
      </c>
      <c r="BZ112" s="184">
        <f t="shared" si="505"/>
        <v>-61</v>
      </c>
      <c r="CA112" s="184">
        <f t="shared" si="506"/>
        <v>-55</v>
      </c>
      <c r="CB112" s="184">
        <f t="shared" si="507"/>
        <v>-202</v>
      </c>
      <c r="CC112" s="184">
        <f t="shared" si="508"/>
        <v>112</v>
      </c>
      <c r="CD112" s="184">
        <f t="shared" si="509"/>
        <v>-31</v>
      </c>
      <c r="CE112" s="184">
        <f t="shared" si="510"/>
        <v>0</v>
      </c>
      <c r="CF112" s="185">
        <f t="shared" si="511"/>
        <v>0</v>
      </c>
      <c r="CG112" s="297"/>
      <c r="CH112" s="8"/>
    </row>
    <row r="113" spans="1:86" ht="14.25" customHeight="1" outlineLevel="1">
      <c r="A113" s="12"/>
      <c r="B113" s="372" t="s">
        <v>229</v>
      </c>
      <c r="C113" s="42"/>
      <c r="D113" s="574">
        <f>-22-40</f>
        <v>-62</v>
      </c>
      <c r="E113" s="186">
        <v>-83</v>
      </c>
      <c r="F113" s="186">
        <v>-118</v>
      </c>
      <c r="G113" s="187">
        <v>-151</v>
      </c>
      <c r="H113" s="574">
        <f>5-5-43</f>
        <v>-43</v>
      </c>
      <c r="I113" s="186">
        <v>-1690</v>
      </c>
      <c r="J113" s="186">
        <v>-1705</v>
      </c>
      <c r="K113" s="187">
        <v>-1703</v>
      </c>
      <c r="L113" s="574">
        <v>0</v>
      </c>
      <c r="M113" s="186">
        <v>4</v>
      </c>
      <c r="N113" s="186">
        <v>-14</v>
      </c>
      <c r="O113" s="187">
        <v>-16</v>
      </c>
      <c r="P113" s="574">
        <v>0</v>
      </c>
      <c r="Q113" s="186">
        <v>0</v>
      </c>
      <c r="R113" s="186">
        <v>0</v>
      </c>
      <c r="S113" s="187">
        <v>0</v>
      </c>
      <c r="T113" s="574">
        <v>0</v>
      </c>
      <c r="U113" s="186">
        <v>0</v>
      </c>
      <c r="V113" s="186">
        <v>0</v>
      </c>
      <c r="W113" s="187">
        <v>0</v>
      </c>
      <c r="X113" s="574">
        <v>0</v>
      </c>
      <c r="Y113" s="186">
        <v>0</v>
      </c>
      <c r="Z113" s="186">
        <v>0</v>
      </c>
      <c r="AA113" s="187">
        <v>-144</v>
      </c>
      <c r="AB113" s="574">
        <v>0</v>
      </c>
      <c r="AC113" s="186">
        <v>0</v>
      </c>
      <c r="AD113" s="186">
        <v>0</v>
      </c>
      <c r="AE113" s="187">
        <v>0</v>
      </c>
      <c r="AF113" s="574">
        <v>0</v>
      </c>
      <c r="AG113" s="186">
        <v>0</v>
      </c>
      <c r="AH113" s="186">
        <v>-144</v>
      </c>
      <c r="AI113" s="187">
        <v>-144</v>
      </c>
      <c r="AJ113" s="186">
        <v>0</v>
      </c>
      <c r="AK113" s="186">
        <v>0</v>
      </c>
      <c r="AL113" s="186">
        <v>0</v>
      </c>
      <c r="AM113" s="187">
        <v>0</v>
      </c>
      <c r="AN113" s="186"/>
      <c r="AO113" s="186">
        <v>0</v>
      </c>
      <c r="AP113" s="186">
        <v>0</v>
      </c>
      <c r="AQ113" s="187">
        <v>0</v>
      </c>
      <c r="AR113" s="186">
        <v>13</v>
      </c>
      <c r="AS113" s="186">
        <v>0</v>
      </c>
      <c r="AT113" s="186">
        <v>38</v>
      </c>
      <c r="AU113" s="187">
        <v>0</v>
      </c>
      <c r="AV113" s="186">
        <v>8</v>
      </c>
      <c r="AW113" s="186">
        <v>0</v>
      </c>
      <c r="AX113" s="186">
        <v>23</v>
      </c>
      <c r="AY113" s="187">
        <v>0</v>
      </c>
      <c r="AZ113" s="186">
        <v>11</v>
      </c>
      <c r="BA113" s="186">
        <v>11</v>
      </c>
      <c r="BB113" s="186">
        <v>35</v>
      </c>
      <c r="BC113" s="187">
        <v>0</v>
      </c>
      <c r="BD113" s="186">
        <v>12</v>
      </c>
      <c r="BE113" s="184">
        <f t="shared" si="485"/>
        <v>12</v>
      </c>
      <c r="BF113" s="184">
        <f t="shared" si="486"/>
        <v>12</v>
      </c>
      <c r="BG113" s="185">
        <f t="shared" si="487"/>
        <v>12</v>
      </c>
      <c r="BH113" s="184">
        <f t="shared" si="488"/>
        <v>0</v>
      </c>
      <c r="BI113" s="184">
        <f t="shared" si="489"/>
        <v>0</v>
      </c>
      <c r="BJ113" s="184">
        <f t="shared" si="490"/>
        <v>0</v>
      </c>
      <c r="BK113" s="185">
        <f t="shared" si="491"/>
        <v>0</v>
      </c>
      <c r="BL113" s="184">
        <f t="shared" si="492"/>
        <v>0</v>
      </c>
      <c r="BM113" s="184">
        <f t="shared" si="493"/>
        <v>0</v>
      </c>
      <c r="BN113" s="184">
        <f t="shared" si="494"/>
        <v>0</v>
      </c>
      <c r="BO113" s="185">
        <f t="shared" si="495"/>
        <v>0</v>
      </c>
      <c r="BP113" s="152"/>
      <c r="BQ113" s="184">
        <f t="shared" si="496"/>
        <v>-151</v>
      </c>
      <c r="BR113" s="184">
        <f t="shared" si="497"/>
        <v>-1703</v>
      </c>
      <c r="BS113" s="184">
        <f t="shared" si="498"/>
        <v>-16</v>
      </c>
      <c r="BT113" s="184">
        <f t="shared" si="499"/>
        <v>0</v>
      </c>
      <c r="BU113" s="184">
        <f t="shared" si="500"/>
        <v>0</v>
      </c>
      <c r="BV113" s="184">
        <f t="shared" si="501"/>
        <v>-144</v>
      </c>
      <c r="BW113" s="184">
        <f t="shared" si="502"/>
        <v>0</v>
      </c>
      <c r="BX113" s="184">
        <f t="shared" si="503"/>
        <v>-144</v>
      </c>
      <c r="BY113" s="184">
        <f t="shared" si="504"/>
        <v>0</v>
      </c>
      <c r="BZ113" s="184">
        <f t="shared" si="505"/>
        <v>0</v>
      </c>
      <c r="CA113" s="184">
        <f t="shared" si="506"/>
        <v>0</v>
      </c>
      <c r="CB113" s="184">
        <f t="shared" si="507"/>
        <v>0</v>
      </c>
      <c r="CC113" s="184">
        <f t="shared" si="508"/>
        <v>0</v>
      </c>
      <c r="CD113" s="184">
        <f t="shared" si="509"/>
        <v>12</v>
      </c>
      <c r="CE113" s="184">
        <f t="shared" si="510"/>
        <v>0</v>
      </c>
      <c r="CF113" s="185">
        <f t="shared" si="511"/>
        <v>0</v>
      </c>
      <c r="CG113" s="342"/>
      <c r="CH113" s="12"/>
    </row>
    <row r="114" spans="1:86" ht="14.25" customHeight="1" outlineLevel="1">
      <c r="A114" s="8"/>
      <c r="B114" s="336" t="s">
        <v>230</v>
      </c>
      <c r="C114" s="24"/>
      <c r="D114" s="574"/>
      <c r="E114" s="186"/>
      <c r="F114" s="186"/>
      <c r="G114" s="187"/>
      <c r="H114" s="574"/>
      <c r="I114" s="186"/>
      <c r="J114" s="186"/>
      <c r="K114" s="187"/>
      <c r="L114" s="574"/>
      <c r="M114" s="186"/>
      <c r="N114" s="186"/>
      <c r="O114" s="187"/>
      <c r="P114" s="574"/>
      <c r="Q114" s="186"/>
      <c r="R114" s="186"/>
      <c r="S114" s="187"/>
      <c r="T114" s="574"/>
      <c r="U114" s="186"/>
      <c r="V114" s="186"/>
      <c r="W114" s="187"/>
      <c r="X114" s="574"/>
      <c r="Y114" s="186"/>
      <c r="Z114" s="186"/>
      <c r="AA114" s="187"/>
      <c r="AB114" s="574"/>
      <c r="AC114" s="186"/>
      <c r="AD114" s="186"/>
      <c r="AE114" s="187"/>
      <c r="AF114" s="574"/>
      <c r="AG114" s="186"/>
      <c r="AH114" s="186"/>
      <c r="AI114" s="187"/>
      <c r="AJ114" s="186"/>
      <c r="AK114" s="186"/>
      <c r="AL114" s="186"/>
      <c r="AM114" s="187"/>
      <c r="AN114" s="186"/>
      <c r="AO114" s="186"/>
      <c r="AP114" s="186"/>
      <c r="AQ114" s="187"/>
      <c r="AR114" s="186"/>
      <c r="AS114" s="186"/>
      <c r="AT114" s="186"/>
      <c r="AU114" s="187"/>
      <c r="AV114" s="186"/>
      <c r="AW114" s="186"/>
      <c r="AX114" s="186"/>
      <c r="AY114" s="187"/>
      <c r="AZ114" s="186"/>
      <c r="BA114" s="186"/>
      <c r="BB114" s="186"/>
      <c r="BC114" s="187"/>
      <c r="BD114" s="186"/>
      <c r="BE114" s="186"/>
      <c r="BF114" s="186"/>
      <c r="BG114" s="187"/>
      <c r="BH114" s="186"/>
      <c r="BI114" s="186"/>
      <c r="BJ114" s="186"/>
      <c r="BK114" s="187"/>
      <c r="BL114" s="186"/>
      <c r="BM114" s="186"/>
      <c r="BN114" s="186"/>
      <c r="BO114" s="187"/>
      <c r="BP114" s="152"/>
      <c r="BQ114" s="184">
        <f t="shared" si="496"/>
        <v>0</v>
      </c>
      <c r="BR114" s="184">
        <f t="shared" si="497"/>
        <v>0</v>
      </c>
      <c r="BS114" s="184">
        <f t="shared" si="498"/>
        <v>0</v>
      </c>
      <c r="BT114" s="184">
        <f t="shared" si="499"/>
        <v>0</v>
      </c>
      <c r="BU114" s="184">
        <f t="shared" si="500"/>
        <v>0</v>
      </c>
      <c r="BV114" s="184"/>
      <c r="BW114" s="184"/>
      <c r="BX114" s="184"/>
      <c r="BY114" s="184"/>
      <c r="BZ114" s="184"/>
      <c r="CA114" s="184"/>
      <c r="CB114" s="184"/>
      <c r="CC114" s="184"/>
      <c r="CD114" s="184"/>
      <c r="CE114" s="184"/>
      <c r="CF114" s="185"/>
      <c r="CG114" s="297"/>
      <c r="CH114" s="8"/>
    </row>
    <row r="115" spans="1:86" ht="14.25" customHeight="1" outlineLevel="1">
      <c r="A115" s="8"/>
      <c r="B115" s="372" t="s">
        <v>231</v>
      </c>
      <c r="C115" s="42"/>
      <c r="D115" s="574">
        <v>7</v>
      </c>
      <c r="E115" s="186">
        <v>-213</v>
      </c>
      <c r="F115" s="186">
        <v>-232</v>
      </c>
      <c r="G115" s="187">
        <v>-127</v>
      </c>
      <c r="H115" s="574">
        <v>-144</v>
      </c>
      <c r="I115" s="186">
        <v>-282</v>
      </c>
      <c r="J115" s="186">
        <v>-431</v>
      </c>
      <c r="K115" s="187">
        <v>-116</v>
      </c>
      <c r="L115" s="574">
        <v>17</v>
      </c>
      <c r="M115" s="186">
        <v>-127</v>
      </c>
      <c r="N115" s="186">
        <v>-244</v>
      </c>
      <c r="O115" s="187">
        <v>40</v>
      </c>
      <c r="P115" s="574">
        <v>89</v>
      </c>
      <c r="Q115" s="186">
        <v>-60</v>
      </c>
      <c r="R115" s="186">
        <v>-24</v>
      </c>
      <c r="S115" s="187">
        <v>865</v>
      </c>
      <c r="T115" s="574">
        <v>-218</v>
      </c>
      <c r="U115" s="186">
        <v>-334</v>
      </c>
      <c r="V115" s="186">
        <v>-520</v>
      </c>
      <c r="W115" s="187">
        <v>-364</v>
      </c>
      <c r="X115" s="574">
        <v>-251</v>
      </c>
      <c r="Y115" s="186">
        <v>-439</v>
      </c>
      <c r="Z115" s="186">
        <v>-468</v>
      </c>
      <c r="AA115" s="187">
        <v>-231</v>
      </c>
      <c r="AB115" s="574">
        <v>-44</v>
      </c>
      <c r="AC115" s="186">
        <v>-146</v>
      </c>
      <c r="AD115" s="186">
        <v>-124</v>
      </c>
      <c r="AE115" s="187">
        <v>112</v>
      </c>
      <c r="AF115" s="574">
        <v>63</v>
      </c>
      <c r="AG115" s="186">
        <v>-88</v>
      </c>
      <c r="AH115" s="186">
        <v>-70</v>
      </c>
      <c r="AI115" s="187">
        <v>311</v>
      </c>
      <c r="AJ115" s="186">
        <v>-112</v>
      </c>
      <c r="AK115" s="186">
        <v>-272</v>
      </c>
      <c r="AL115" s="186">
        <v>-302</v>
      </c>
      <c r="AM115" s="187">
        <v>16</v>
      </c>
      <c r="AN115" s="186">
        <v>-149</v>
      </c>
      <c r="AO115" s="186">
        <v>-314</v>
      </c>
      <c r="AP115" s="186">
        <v>-272</v>
      </c>
      <c r="AQ115" s="187">
        <v>-49</v>
      </c>
      <c r="AR115" s="186">
        <v>-154</v>
      </c>
      <c r="AS115" s="186">
        <v>-194</v>
      </c>
      <c r="AT115" s="186">
        <v>-241</v>
      </c>
      <c r="AU115" s="187">
        <v>77</v>
      </c>
      <c r="AV115" s="186">
        <v>-100</v>
      </c>
      <c r="AW115" s="186">
        <v>-176</v>
      </c>
      <c r="AX115" s="186">
        <v>-274</v>
      </c>
      <c r="AY115" s="187">
        <v>-108</v>
      </c>
      <c r="AZ115" s="186">
        <v>-68</v>
      </c>
      <c r="BA115" s="186">
        <v>-200</v>
      </c>
      <c r="BB115" s="186">
        <v>-306</v>
      </c>
      <c r="BC115" s="187">
        <v>-7</v>
      </c>
      <c r="BD115" s="186">
        <v>-176</v>
      </c>
      <c r="BE115" s="184">
        <f t="shared" ref="BE115:BE121" si="512">BD115+BE20</f>
        <v>-364.58969235548602</v>
      </c>
      <c r="BF115" s="184">
        <f t="shared" ref="BF115:BF121" si="513">BE115+BF20</f>
        <v>-469.79694350505633</v>
      </c>
      <c r="BG115" s="185">
        <f t="shared" ref="BG115:BG121" si="514">BF115+BG20</f>
        <v>-368.86407674250336</v>
      </c>
      <c r="BH115" s="184">
        <f t="shared" ref="BH115:BH121" si="515">BH20</f>
        <v>43.323151055782319</v>
      </c>
      <c r="BI115" s="184">
        <f t="shared" ref="BI115:BI121" si="516">BH115+BI20</f>
        <v>-56.11353955818322</v>
      </c>
      <c r="BJ115" s="184">
        <f t="shared" ref="BJ115:BJ121" si="517">BI115+BJ20</f>
        <v>-160.78396486734255</v>
      </c>
      <c r="BK115" s="185">
        <f t="shared" ref="BK115:BK121" si="518">BJ115+BK20</f>
        <v>-50.877999389712386</v>
      </c>
      <c r="BL115" s="184">
        <f t="shared" ref="BL115:BL121" si="519">BL20</f>
        <v>42.792862763964195</v>
      </c>
      <c r="BM115" s="184">
        <f t="shared" ref="BM115:BM121" si="520">BL115+BM20</f>
        <v>-59.311207915962996</v>
      </c>
      <c r="BN115" s="184">
        <f t="shared" ref="BN115:BN121" si="521">BM115+BN20</f>
        <v>-166.23365693732512</v>
      </c>
      <c r="BO115" s="185">
        <f t="shared" ref="BO115:BO121" si="522">BN115+BO20</f>
        <v>-53.89017742280771</v>
      </c>
      <c r="BP115" s="152"/>
      <c r="BQ115" s="184">
        <f t="shared" si="496"/>
        <v>-127</v>
      </c>
      <c r="BR115" s="184">
        <f t="shared" si="497"/>
        <v>-116</v>
      </c>
      <c r="BS115" s="184">
        <f t="shared" si="498"/>
        <v>40</v>
      </c>
      <c r="BT115" s="184">
        <f t="shared" si="499"/>
        <v>865</v>
      </c>
      <c r="BU115" s="184">
        <f t="shared" si="500"/>
        <v>-364</v>
      </c>
      <c r="BV115" s="184">
        <f t="shared" ref="BV115:BV121" si="523">AA115</f>
        <v>-231</v>
      </c>
      <c r="BW115" s="184">
        <f t="shared" ref="BW115:BW121" si="524">AE115</f>
        <v>112</v>
      </c>
      <c r="BX115" s="184">
        <f t="shared" ref="BX115:BX121" si="525">AI115</f>
        <v>311</v>
      </c>
      <c r="BY115" s="184">
        <f t="shared" ref="BY115:BY121" si="526">AM115</f>
        <v>16</v>
      </c>
      <c r="BZ115" s="184">
        <f t="shared" ref="BZ115:BZ121" si="527">AQ115</f>
        <v>-49</v>
      </c>
      <c r="CA115" s="184">
        <f t="shared" ref="CA115:CA121" si="528">AU115</f>
        <v>77</v>
      </c>
      <c r="CB115" s="184">
        <f t="shared" ref="CB115:CB121" si="529">AY115</f>
        <v>-108</v>
      </c>
      <c r="CC115" s="184">
        <f t="shared" ref="CC115:CC121" si="530">BC115</f>
        <v>-7</v>
      </c>
      <c r="CD115" s="184">
        <f t="shared" ref="CD115:CD121" si="531">BG115</f>
        <v>-368.86407674250336</v>
      </c>
      <c r="CE115" s="184">
        <f t="shared" si="510"/>
        <v>-50.877999389712386</v>
      </c>
      <c r="CF115" s="185">
        <f t="shared" ref="CF115:CF121" si="532">BO115</f>
        <v>-53.89017742280771</v>
      </c>
      <c r="CG115" s="297"/>
      <c r="CH115" s="8"/>
    </row>
    <row r="116" spans="1:86" ht="14.25" customHeight="1" outlineLevel="1">
      <c r="A116" s="8"/>
      <c r="B116" s="372" t="s">
        <v>187</v>
      </c>
      <c r="C116" s="42"/>
      <c r="D116" s="574">
        <v>6</v>
      </c>
      <c r="E116" s="186">
        <v>46</v>
      </c>
      <c r="F116" s="186">
        <v>88</v>
      </c>
      <c r="G116" s="187">
        <v>-23</v>
      </c>
      <c r="H116" s="574">
        <v>-57</v>
      </c>
      <c r="I116" s="186">
        <v>-146</v>
      </c>
      <c r="J116" s="186">
        <v>-302</v>
      </c>
      <c r="K116" s="187">
        <v>-248</v>
      </c>
      <c r="L116" s="574">
        <v>28</v>
      </c>
      <c r="M116" s="186">
        <v>13</v>
      </c>
      <c r="N116" s="186">
        <v>-21</v>
      </c>
      <c r="O116" s="187">
        <v>11</v>
      </c>
      <c r="P116" s="574">
        <v>-160</v>
      </c>
      <c r="Q116" s="186">
        <v>-233</v>
      </c>
      <c r="R116" s="186">
        <v>-157</v>
      </c>
      <c r="S116" s="187">
        <v>43</v>
      </c>
      <c r="T116" s="574">
        <v>279</v>
      </c>
      <c r="U116" s="186">
        <v>316</v>
      </c>
      <c r="V116" s="186">
        <v>263</v>
      </c>
      <c r="W116" s="187">
        <v>177</v>
      </c>
      <c r="X116" s="574">
        <v>-74</v>
      </c>
      <c r="Y116" s="186">
        <v>-147</v>
      </c>
      <c r="Z116" s="186">
        <v>-213</v>
      </c>
      <c r="AA116" s="187">
        <v>-304</v>
      </c>
      <c r="AB116" s="574">
        <v>-158</v>
      </c>
      <c r="AC116" s="186">
        <v>-242</v>
      </c>
      <c r="AD116" s="186">
        <v>-220</v>
      </c>
      <c r="AE116" s="187">
        <v>-17</v>
      </c>
      <c r="AF116" s="574">
        <v>-91</v>
      </c>
      <c r="AG116" s="186">
        <v>-123</v>
      </c>
      <c r="AH116" s="186">
        <v>-86</v>
      </c>
      <c r="AI116" s="187">
        <v>5</v>
      </c>
      <c r="AJ116" s="186">
        <v>57</v>
      </c>
      <c r="AK116" s="186">
        <v>37</v>
      </c>
      <c r="AL116" s="186">
        <v>31</v>
      </c>
      <c r="AM116" s="187">
        <v>26</v>
      </c>
      <c r="AN116" s="186">
        <v>17</v>
      </c>
      <c r="AO116" s="186">
        <v>-13</v>
      </c>
      <c r="AP116" s="186">
        <v>-20</v>
      </c>
      <c r="AQ116" s="187">
        <v>-53</v>
      </c>
      <c r="AR116" s="186">
        <v>-60</v>
      </c>
      <c r="AS116" s="186">
        <v>-101</v>
      </c>
      <c r="AT116" s="186">
        <v>13</v>
      </c>
      <c r="AU116" s="187">
        <v>93</v>
      </c>
      <c r="AV116" s="186">
        <v>-114</v>
      </c>
      <c r="AW116" s="186">
        <v>-185</v>
      </c>
      <c r="AX116" s="186">
        <v>-117</v>
      </c>
      <c r="AY116" s="187">
        <v>-99</v>
      </c>
      <c r="AZ116" s="186">
        <v>-53</v>
      </c>
      <c r="BA116" s="186">
        <v>-157</v>
      </c>
      <c r="BB116" s="186">
        <v>-118</v>
      </c>
      <c r="BC116" s="187">
        <v>-167</v>
      </c>
      <c r="BD116" s="186">
        <v>-97</v>
      </c>
      <c r="BE116" s="184">
        <f t="shared" si="512"/>
        <v>-40.032743877802432</v>
      </c>
      <c r="BF116" s="184">
        <f t="shared" si="513"/>
        <v>-128.60884410733161</v>
      </c>
      <c r="BG116" s="185">
        <f t="shared" si="514"/>
        <v>-14.351332637571431</v>
      </c>
      <c r="BH116" s="184">
        <f t="shared" si="515"/>
        <v>16.596599879530686</v>
      </c>
      <c r="BI116" s="184">
        <f t="shared" si="516"/>
        <v>-65.994802185332674</v>
      </c>
      <c r="BJ116" s="184">
        <f t="shared" si="517"/>
        <v>-151.07645996762631</v>
      </c>
      <c r="BK116" s="185">
        <f t="shared" si="518"/>
        <v>-40.657987034296184</v>
      </c>
      <c r="BL116" s="184">
        <f t="shared" si="519"/>
        <v>25.825313240351988</v>
      </c>
      <c r="BM116" s="184">
        <f t="shared" si="520"/>
        <v>-61.632312742226986</v>
      </c>
      <c r="BN116" s="184">
        <f t="shared" si="521"/>
        <v>-148.81782585226892</v>
      </c>
      <c r="BO116" s="185">
        <f t="shared" si="522"/>
        <v>-37.333331230401882</v>
      </c>
      <c r="BP116" s="152"/>
      <c r="BQ116" s="184">
        <f t="shared" si="496"/>
        <v>-23</v>
      </c>
      <c r="BR116" s="184">
        <f t="shared" si="497"/>
        <v>-248</v>
      </c>
      <c r="BS116" s="184">
        <f t="shared" si="498"/>
        <v>11</v>
      </c>
      <c r="BT116" s="184">
        <f t="shared" si="499"/>
        <v>43</v>
      </c>
      <c r="BU116" s="184">
        <f t="shared" si="500"/>
        <v>177</v>
      </c>
      <c r="BV116" s="184">
        <f t="shared" si="523"/>
        <v>-304</v>
      </c>
      <c r="BW116" s="184">
        <f t="shared" si="524"/>
        <v>-17</v>
      </c>
      <c r="BX116" s="184">
        <f t="shared" si="525"/>
        <v>5</v>
      </c>
      <c r="BY116" s="184">
        <f t="shared" si="526"/>
        <v>26</v>
      </c>
      <c r="BZ116" s="184">
        <f t="shared" si="527"/>
        <v>-53</v>
      </c>
      <c r="CA116" s="184">
        <f t="shared" si="528"/>
        <v>93</v>
      </c>
      <c r="CB116" s="184">
        <f t="shared" si="529"/>
        <v>-99</v>
      </c>
      <c r="CC116" s="184">
        <f t="shared" si="530"/>
        <v>-167</v>
      </c>
      <c r="CD116" s="184">
        <f t="shared" si="531"/>
        <v>-14.351332637571431</v>
      </c>
      <c r="CE116" s="184">
        <f t="shared" si="510"/>
        <v>-40.657987034296184</v>
      </c>
      <c r="CF116" s="185">
        <f t="shared" si="532"/>
        <v>-37.333331230401882</v>
      </c>
      <c r="CG116" s="297"/>
      <c r="CH116" s="8"/>
    </row>
    <row r="117" spans="1:86" ht="14.25" customHeight="1" outlineLevel="1">
      <c r="A117" s="8"/>
      <c r="B117" s="372" t="s">
        <v>188</v>
      </c>
      <c r="C117" s="42"/>
      <c r="D117" s="574">
        <v>-88</v>
      </c>
      <c r="E117" s="186">
        <v>24</v>
      </c>
      <c r="F117" s="186">
        <v>81</v>
      </c>
      <c r="G117" s="187">
        <v>111</v>
      </c>
      <c r="H117" s="574">
        <v>-111</v>
      </c>
      <c r="I117" s="186">
        <v>-85</v>
      </c>
      <c r="J117" s="186">
        <v>-81</v>
      </c>
      <c r="K117" s="187">
        <v>-95</v>
      </c>
      <c r="L117" s="574">
        <v>-79</v>
      </c>
      <c r="M117" s="186">
        <v>-37</v>
      </c>
      <c r="N117" s="186">
        <v>-13</v>
      </c>
      <c r="O117" s="187">
        <v>13</v>
      </c>
      <c r="P117" s="574">
        <v>-46</v>
      </c>
      <c r="Q117" s="186">
        <v>-75</v>
      </c>
      <c r="R117" s="186">
        <v>-25</v>
      </c>
      <c r="S117" s="187">
        <v>-125</v>
      </c>
      <c r="T117" s="574">
        <v>8</v>
      </c>
      <c r="U117" s="186">
        <v>-7</v>
      </c>
      <c r="V117" s="186">
        <v>24</v>
      </c>
      <c r="W117" s="187">
        <v>35</v>
      </c>
      <c r="X117" s="574">
        <v>-11</v>
      </c>
      <c r="Y117" s="186">
        <v>-34</v>
      </c>
      <c r="Z117" s="186">
        <v>-11</v>
      </c>
      <c r="AA117" s="187">
        <v>-8</v>
      </c>
      <c r="AB117" s="574">
        <v>-9</v>
      </c>
      <c r="AC117" s="186">
        <v>-12</v>
      </c>
      <c r="AD117" s="186">
        <v>-11</v>
      </c>
      <c r="AE117" s="187">
        <v>-29</v>
      </c>
      <c r="AF117" s="574">
        <v>5</v>
      </c>
      <c r="AG117" s="186">
        <v>55</v>
      </c>
      <c r="AH117" s="186">
        <v>80</v>
      </c>
      <c r="AI117" s="187">
        <v>227</v>
      </c>
      <c r="AJ117" s="186">
        <v>21</v>
      </c>
      <c r="AK117" s="186">
        <v>-283</v>
      </c>
      <c r="AL117" s="186">
        <v>-54</v>
      </c>
      <c r="AM117" s="187">
        <v>-136</v>
      </c>
      <c r="AN117" s="186">
        <v>-29</v>
      </c>
      <c r="AO117" s="186">
        <v>-15</v>
      </c>
      <c r="AP117" s="186">
        <v>81</v>
      </c>
      <c r="AQ117" s="187">
        <v>65</v>
      </c>
      <c r="AR117" s="186">
        <v>54</v>
      </c>
      <c r="AS117" s="186">
        <v>49</v>
      </c>
      <c r="AT117" s="186">
        <v>89</v>
      </c>
      <c r="AU117" s="187">
        <v>94</v>
      </c>
      <c r="AV117" s="186">
        <v>43</v>
      </c>
      <c r="AW117" s="186">
        <v>35</v>
      </c>
      <c r="AX117" s="186">
        <v>130</v>
      </c>
      <c r="AY117" s="187">
        <v>-81</v>
      </c>
      <c r="AZ117" s="186">
        <v>-71</v>
      </c>
      <c r="BA117" s="186">
        <v>12</v>
      </c>
      <c r="BB117" s="186">
        <v>43</v>
      </c>
      <c r="BC117" s="187">
        <v>76</v>
      </c>
      <c r="BD117" s="186">
        <v>356</v>
      </c>
      <c r="BE117" s="184">
        <f t="shared" si="512"/>
        <v>356</v>
      </c>
      <c r="BF117" s="184">
        <f t="shared" si="513"/>
        <v>356</v>
      </c>
      <c r="BG117" s="185">
        <f t="shared" si="514"/>
        <v>356</v>
      </c>
      <c r="BH117" s="184">
        <f t="shared" si="515"/>
        <v>0</v>
      </c>
      <c r="BI117" s="184">
        <f t="shared" si="516"/>
        <v>0</v>
      </c>
      <c r="BJ117" s="184">
        <f t="shared" si="517"/>
        <v>0</v>
      </c>
      <c r="BK117" s="185">
        <f t="shared" si="518"/>
        <v>0</v>
      </c>
      <c r="BL117" s="184">
        <f t="shared" si="519"/>
        <v>0</v>
      </c>
      <c r="BM117" s="184">
        <f t="shared" si="520"/>
        <v>0</v>
      </c>
      <c r="BN117" s="184">
        <f t="shared" si="521"/>
        <v>0</v>
      </c>
      <c r="BO117" s="185">
        <f t="shared" si="522"/>
        <v>0</v>
      </c>
      <c r="BP117" s="152"/>
      <c r="BQ117" s="184">
        <f t="shared" si="496"/>
        <v>111</v>
      </c>
      <c r="BR117" s="184">
        <f t="shared" si="497"/>
        <v>-95</v>
      </c>
      <c r="BS117" s="184">
        <f t="shared" si="498"/>
        <v>13</v>
      </c>
      <c r="BT117" s="184">
        <f t="shared" si="499"/>
        <v>-125</v>
      </c>
      <c r="BU117" s="184">
        <f t="shared" si="500"/>
        <v>35</v>
      </c>
      <c r="BV117" s="184">
        <f t="shared" si="523"/>
        <v>-8</v>
      </c>
      <c r="BW117" s="184">
        <f t="shared" si="524"/>
        <v>-29</v>
      </c>
      <c r="BX117" s="184">
        <f t="shared" si="525"/>
        <v>227</v>
      </c>
      <c r="BY117" s="184">
        <f t="shared" si="526"/>
        <v>-136</v>
      </c>
      <c r="BZ117" s="184">
        <f t="shared" si="527"/>
        <v>65</v>
      </c>
      <c r="CA117" s="184">
        <f t="shared" si="528"/>
        <v>94</v>
      </c>
      <c r="CB117" s="184">
        <f t="shared" si="529"/>
        <v>-81</v>
      </c>
      <c r="CC117" s="184">
        <f t="shared" si="530"/>
        <v>76</v>
      </c>
      <c r="CD117" s="184">
        <f t="shared" si="531"/>
        <v>356</v>
      </c>
      <c r="CE117" s="184">
        <f t="shared" si="510"/>
        <v>0</v>
      </c>
      <c r="CF117" s="185">
        <f t="shared" si="532"/>
        <v>0</v>
      </c>
      <c r="CG117" s="297"/>
      <c r="CH117" s="8"/>
    </row>
    <row r="118" spans="1:86" ht="14.25" customHeight="1" outlineLevel="1">
      <c r="A118" s="8"/>
      <c r="B118" s="372" t="s">
        <v>290</v>
      </c>
      <c r="C118" s="42"/>
      <c r="D118" s="574">
        <v>20</v>
      </c>
      <c r="E118" s="186">
        <v>31</v>
      </c>
      <c r="F118" s="186">
        <v>278</v>
      </c>
      <c r="G118" s="187">
        <v>254</v>
      </c>
      <c r="H118" s="574">
        <v>-106</v>
      </c>
      <c r="I118" s="186">
        <v>23</v>
      </c>
      <c r="J118" s="186">
        <v>104</v>
      </c>
      <c r="K118" s="187">
        <v>-104</v>
      </c>
      <c r="L118" s="574">
        <v>-167</v>
      </c>
      <c r="M118" s="186">
        <v>-57</v>
      </c>
      <c r="N118" s="186">
        <v>97</v>
      </c>
      <c r="O118" s="187">
        <v>77</v>
      </c>
      <c r="P118" s="574">
        <v>-179</v>
      </c>
      <c r="Q118" s="186">
        <v>-147</v>
      </c>
      <c r="R118" s="186">
        <v>-171</v>
      </c>
      <c r="S118" s="187">
        <v>-325</v>
      </c>
      <c r="T118" s="574">
        <v>-119</v>
      </c>
      <c r="U118" s="186">
        <v>-18</v>
      </c>
      <c r="V118" s="186">
        <v>36</v>
      </c>
      <c r="W118" s="187">
        <v>5</v>
      </c>
      <c r="X118" s="574">
        <v>-26</v>
      </c>
      <c r="Y118" s="186">
        <v>-18</v>
      </c>
      <c r="Z118" s="186">
        <v>173</v>
      </c>
      <c r="AA118" s="187">
        <v>57</v>
      </c>
      <c r="AB118" s="574">
        <v>-83</v>
      </c>
      <c r="AC118" s="186">
        <v>-25</v>
      </c>
      <c r="AD118" s="186">
        <v>70</v>
      </c>
      <c r="AE118" s="187">
        <v>2</v>
      </c>
      <c r="AF118" s="574">
        <v>-37</v>
      </c>
      <c r="AG118" s="186">
        <v>-114</v>
      </c>
      <c r="AH118" s="186">
        <v>-123</v>
      </c>
      <c r="AI118" s="187">
        <v>99</v>
      </c>
      <c r="AJ118" s="186">
        <v>-244</v>
      </c>
      <c r="AK118" s="186">
        <v>-280</v>
      </c>
      <c r="AL118" s="186">
        <v>-297</v>
      </c>
      <c r="AM118" s="187">
        <v>-284</v>
      </c>
      <c r="AN118" s="186">
        <v>-117</v>
      </c>
      <c r="AO118" s="186">
        <v>-176</v>
      </c>
      <c r="AP118" s="186">
        <v>-224</v>
      </c>
      <c r="AQ118" s="187">
        <v>-194</v>
      </c>
      <c r="AR118" s="186">
        <v>-108</v>
      </c>
      <c r="AS118" s="186">
        <v>-142</v>
      </c>
      <c r="AT118" s="186">
        <v>-190</v>
      </c>
      <c r="AU118" s="187">
        <v>-188</v>
      </c>
      <c r="AV118" s="186">
        <v>-41</v>
      </c>
      <c r="AW118" s="186">
        <v>-65</v>
      </c>
      <c r="AX118" s="186">
        <v>-56</v>
      </c>
      <c r="AY118" s="187">
        <v>72</v>
      </c>
      <c r="AZ118" s="186">
        <v>-78</v>
      </c>
      <c r="BA118" s="186">
        <v>-66</v>
      </c>
      <c r="BB118" s="186">
        <v>-19</v>
      </c>
      <c r="BC118" s="187">
        <v>51</v>
      </c>
      <c r="BD118" s="186">
        <v>-51</v>
      </c>
      <c r="BE118" s="184">
        <f t="shared" si="512"/>
        <v>-79.690059563301816</v>
      </c>
      <c r="BF118" s="184">
        <f t="shared" si="513"/>
        <v>-59.090966486667014</v>
      </c>
      <c r="BG118" s="185">
        <f t="shared" si="514"/>
        <v>-85.662480781960141</v>
      </c>
      <c r="BH118" s="184">
        <f t="shared" si="515"/>
        <v>-3.8596743905885091</v>
      </c>
      <c r="BI118" s="184">
        <f t="shared" si="516"/>
        <v>15.34762841519364</v>
      </c>
      <c r="BJ118" s="184">
        <f t="shared" si="517"/>
        <v>35.134060457587452</v>
      </c>
      <c r="BK118" s="185">
        <f t="shared" si="518"/>
        <v>9.4553458219293134</v>
      </c>
      <c r="BL118" s="184">
        <f t="shared" si="519"/>
        <v>-6.0058868000818393</v>
      </c>
      <c r="BM118" s="184">
        <f t="shared" si="520"/>
        <v>14.333095986564445</v>
      </c>
      <c r="BN118" s="184">
        <f t="shared" si="521"/>
        <v>34.608796709830017</v>
      </c>
      <c r="BO118" s="185">
        <f t="shared" si="522"/>
        <v>8.6821700535818422</v>
      </c>
      <c r="BP118" s="152"/>
      <c r="BQ118" s="184">
        <f t="shared" si="496"/>
        <v>254</v>
      </c>
      <c r="BR118" s="184">
        <f t="shared" si="497"/>
        <v>-104</v>
      </c>
      <c r="BS118" s="184">
        <f t="shared" si="498"/>
        <v>77</v>
      </c>
      <c r="BT118" s="184">
        <f t="shared" si="499"/>
        <v>-325</v>
      </c>
      <c r="BU118" s="184">
        <f t="shared" si="500"/>
        <v>5</v>
      </c>
      <c r="BV118" s="184">
        <f t="shared" si="523"/>
        <v>57</v>
      </c>
      <c r="BW118" s="184">
        <f t="shared" si="524"/>
        <v>2</v>
      </c>
      <c r="BX118" s="184">
        <f t="shared" si="525"/>
        <v>99</v>
      </c>
      <c r="BY118" s="184">
        <f t="shared" si="526"/>
        <v>-284</v>
      </c>
      <c r="BZ118" s="184">
        <f t="shared" si="527"/>
        <v>-194</v>
      </c>
      <c r="CA118" s="184">
        <f t="shared" si="528"/>
        <v>-188</v>
      </c>
      <c r="CB118" s="184">
        <f t="shared" si="529"/>
        <v>72</v>
      </c>
      <c r="CC118" s="184">
        <f t="shared" si="530"/>
        <v>51</v>
      </c>
      <c r="CD118" s="184">
        <f t="shared" si="531"/>
        <v>-85.662480781960141</v>
      </c>
      <c r="CE118" s="184">
        <f t="shared" si="510"/>
        <v>9.4553458219293134</v>
      </c>
      <c r="CF118" s="185">
        <f t="shared" si="532"/>
        <v>8.6821700535818422</v>
      </c>
      <c r="CG118" s="297"/>
      <c r="CH118" s="8"/>
    </row>
    <row r="119" spans="1:86" ht="14.25" customHeight="1" outlineLevel="1">
      <c r="A119" s="8"/>
      <c r="B119" s="372" t="s">
        <v>323</v>
      </c>
      <c r="C119" s="42"/>
      <c r="D119" s="574">
        <v>-213</v>
      </c>
      <c r="E119" s="186">
        <v>-184</v>
      </c>
      <c r="F119" s="186">
        <v>-155</v>
      </c>
      <c r="G119" s="187">
        <v>-140</v>
      </c>
      <c r="H119" s="574">
        <v>-99</v>
      </c>
      <c r="I119" s="186">
        <v>-43</v>
      </c>
      <c r="J119" s="186">
        <v>-2</v>
      </c>
      <c r="K119" s="187">
        <v>28</v>
      </c>
      <c r="L119" s="574">
        <v>-111</v>
      </c>
      <c r="M119" s="186">
        <v>-43</v>
      </c>
      <c r="N119" s="186">
        <v>-19</v>
      </c>
      <c r="O119" s="187">
        <v>33</v>
      </c>
      <c r="P119" s="574">
        <v>-122</v>
      </c>
      <c r="Q119" s="186">
        <v>-16</v>
      </c>
      <c r="R119" s="186">
        <v>25</v>
      </c>
      <c r="S119" s="187">
        <v>-141</v>
      </c>
      <c r="T119" s="574">
        <v>49</v>
      </c>
      <c r="U119" s="186">
        <v>-3</v>
      </c>
      <c r="V119" s="186">
        <v>91</v>
      </c>
      <c r="W119" s="187">
        <v>-38</v>
      </c>
      <c r="X119" s="574">
        <v>-63</v>
      </c>
      <c r="Y119" s="186">
        <v>33</v>
      </c>
      <c r="Z119" s="186">
        <v>-112</v>
      </c>
      <c r="AA119" s="187">
        <v>246</v>
      </c>
      <c r="AB119" s="574">
        <v>-281</v>
      </c>
      <c r="AC119" s="186">
        <v>-201</v>
      </c>
      <c r="AD119" s="186">
        <v>-142</v>
      </c>
      <c r="AE119" s="187">
        <v>-77</v>
      </c>
      <c r="AF119" s="574">
        <v>-211</v>
      </c>
      <c r="AG119" s="186">
        <v>-136</v>
      </c>
      <c r="AH119" s="186">
        <v>-41</v>
      </c>
      <c r="AI119" s="187">
        <v>-82</v>
      </c>
      <c r="AJ119" s="186">
        <v>-154</v>
      </c>
      <c r="AK119" s="186">
        <v>-59</v>
      </c>
      <c r="AL119" s="186">
        <v>37</v>
      </c>
      <c r="AM119" s="187">
        <v>18</v>
      </c>
      <c r="AN119" s="186">
        <v>-189</v>
      </c>
      <c r="AO119" s="186">
        <v>-76</v>
      </c>
      <c r="AP119" s="186">
        <v>51</v>
      </c>
      <c r="AQ119" s="187">
        <v>89</v>
      </c>
      <c r="AR119" s="186">
        <v>-294</v>
      </c>
      <c r="AS119" s="186">
        <v>-169</v>
      </c>
      <c r="AT119" s="186">
        <v>-37</v>
      </c>
      <c r="AU119" s="187">
        <v>7</v>
      </c>
      <c r="AV119" s="186">
        <v>-322</v>
      </c>
      <c r="AW119" s="186">
        <v>-175</v>
      </c>
      <c r="AX119" s="186">
        <v>-26</v>
      </c>
      <c r="AY119" s="187">
        <v>36</v>
      </c>
      <c r="AZ119" s="186">
        <v>-356</v>
      </c>
      <c r="BA119" s="186">
        <v>-225</v>
      </c>
      <c r="BB119" s="186">
        <v>-85</v>
      </c>
      <c r="BC119" s="187">
        <v>-3</v>
      </c>
      <c r="BD119" s="186">
        <v>-372</v>
      </c>
      <c r="BE119" s="184">
        <f t="shared" si="512"/>
        <v>-222</v>
      </c>
      <c r="BF119" s="184">
        <f t="shared" si="513"/>
        <v>-122</v>
      </c>
      <c r="BG119" s="185">
        <f t="shared" si="514"/>
        <v>-42</v>
      </c>
      <c r="BH119" s="184">
        <f t="shared" si="515"/>
        <v>-300</v>
      </c>
      <c r="BI119" s="184">
        <f t="shared" si="516"/>
        <v>-150</v>
      </c>
      <c r="BJ119" s="184">
        <f t="shared" si="517"/>
        <v>-50</v>
      </c>
      <c r="BK119" s="185">
        <f t="shared" si="518"/>
        <v>30</v>
      </c>
      <c r="BL119" s="184">
        <f t="shared" si="519"/>
        <v>80</v>
      </c>
      <c r="BM119" s="184">
        <f t="shared" si="520"/>
        <v>160</v>
      </c>
      <c r="BN119" s="184">
        <f t="shared" si="521"/>
        <v>240</v>
      </c>
      <c r="BO119" s="185">
        <f t="shared" si="522"/>
        <v>320</v>
      </c>
      <c r="BP119" s="152"/>
      <c r="BQ119" s="184">
        <f t="shared" si="496"/>
        <v>-140</v>
      </c>
      <c r="BR119" s="184">
        <f t="shared" si="497"/>
        <v>28</v>
      </c>
      <c r="BS119" s="184">
        <f t="shared" si="498"/>
        <v>33</v>
      </c>
      <c r="BT119" s="184">
        <f t="shared" si="499"/>
        <v>-141</v>
      </c>
      <c r="BU119" s="184">
        <f t="shared" si="500"/>
        <v>-38</v>
      </c>
      <c r="BV119" s="184">
        <f t="shared" si="523"/>
        <v>246</v>
      </c>
      <c r="BW119" s="184">
        <f t="shared" si="524"/>
        <v>-77</v>
      </c>
      <c r="BX119" s="184">
        <f t="shared" si="525"/>
        <v>-82</v>
      </c>
      <c r="BY119" s="184">
        <f t="shared" si="526"/>
        <v>18</v>
      </c>
      <c r="BZ119" s="184">
        <f t="shared" si="527"/>
        <v>89</v>
      </c>
      <c r="CA119" s="184">
        <f t="shared" si="528"/>
        <v>7</v>
      </c>
      <c r="CB119" s="184">
        <f t="shared" si="529"/>
        <v>36</v>
      </c>
      <c r="CC119" s="184">
        <f t="shared" si="530"/>
        <v>-3</v>
      </c>
      <c r="CD119" s="184">
        <f t="shared" si="531"/>
        <v>-42</v>
      </c>
      <c r="CE119" s="184">
        <f t="shared" si="510"/>
        <v>30</v>
      </c>
      <c r="CF119" s="185">
        <f t="shared" si="532"/>
        <v>320</v>
      </c>
      <c r="CG119" s="297"/>
      <c r="CH119" s="8"/>
    </row>
    <row r="120" spans="1:86" ht="14.25" customHeight="1" outlineLevel="1">
      <c r="A120" s="8"/>
      <c r="B120" s="372" t="s">
        <v>322</v>
      </c>
      <c r="C120" s="42"/>
      <c r="D120" s="574">
        <v>72</v>
      </c>
      <c r="E120" s="186">
        <v>84</v>
      </c>
      <c r="F120" s="186">
        <v>-64</v>
      </c>
      <c r="G120" s="187">
        <v>35</v>
      </c>
      <c r="H120" s="574">
        <v>151</v>
      </c>
      <c r="I120" s="186">
        <v>-183</v>
      </c>
      <c r="J120" s="186">
        <v>-560</v>
      </c>
      <c r="K120" s="187">
        <v>-616</v>
      </c>
      <c r="L120" s="574">
        <v>33</v>
      </c>
      <c r="M120" s="186">
        <v>-64</v>
      </c>
      <c r="N120" s="186">
        <v>351</v>
      </c>
      <c r="O120" s="187">
        <v>304</v>
      </c>
      <c r="P120" s="574">
        <v>165</v>
      </c>
      <c r="Q120" s="186">
        <v>-99</v>
      </c>
      <c r="R120" s="186">
        <v>-74</v>
      </c>
      <c r="S120" s="187">
        <v>38</v>
      </c>
      <c r="T120" s="574">
        <v>-97</v>
      </c>
      <c r="U120" s="186">
        <v>-71</v>
      </c>
      <c r="V120" s="186">
        <v>-43</v>
      </c>
      <c r="W120" s="187">
        <v>73</v>
      </c>
      <c r="X120" s="574">
        <v>191</v>
      </c>
      <c r="Y120" s="186">
        <v>-120</v>
      </c>
      <c r="Z120" s="186">
        <v>106</v>
      </c>
      <c r="AA120" s="187">
        <v>49</v>
      </c>
      <c r="AB120" s="574">
        <v>137</v>
      </c>
      <c r="AC120" s="186">
        <v>-103</v>
      </c>
      <c r="AD120" s="186">
        <v>-89</v>
      </c>
      <c r="AE120" s="187">
        <v>-85</v>
      </c>
      <c r="AF120" s="574">
        <v>67</v>
      </c>
      <c r="AG120" s="186">
        <v>-36</v>
      </c>
      <c r="AH120" s="186">
        <v>-177</v>
      </c>
      <c r="AI120" s="187">
        <v>-229</v>
      </c>
      <c r="AJ120" s="186">
        <v>29</v>
      </c>
      <c r="AK120" s="186">
        <v>144</v>
      </c>
      <c r="AL120" s="186">
        <v>-29</v>
      </c>
      <c r="AM120" s="187">
        <v>78</v>
      </c>
      <c r="AN120" s="186">
        <v>80</v>
      </c>
      <c r="AO120" s="186">
        <v>-48</v>
      </c>
      <c r="AP120" s="186">
        <v>-90</v>
      </c>
      <c r="AQ120" s="187">
        <v>-81</v>
      </c>
      <c r="AR120" s="186">
        <v>147</v>
      </c>
      <c r="AS120" s="186">
        <v>-78</v>
      </c>
      <c r="AT120" s="186">
        <v>21</v>
      </c>
      <c r="AU120" s="187">
        <v>11</v>
      </c>
      <c r="AV120" s="186">
        <v>131</v>
      </c>
      <c r="AW120" s="186">
        <v>106</v>
      </c>
      <c r="AX120" s="186">
        <v>153</v>
      </c>
      <c r="AY120" s="187">
        <v>333</v>
      </c>
      <c r="AZ120" s="186">
        <v>149</v>
      </c>
      <c r="BA120" s="186">
        <v>-236</v>
      </c>
      <c r="BB120" s="186">
        <v>-226</v>
      </c>
      <c r="BC120" s="187">
        <v>468</v>
      </c>
      <c r="BD120" s="186">
        <v>-131</v>
      </c>
      <c r="BE120" s="184">
        <f t="shared" si="512"/>
        <v>-131</v>
      </c>
      <c r="BF120" s="184">
        <f t="shared" si="513"/>
        <v>-131</v>
      </c>
      <c r="BG120" s="185">
        <f t="shared" si="514"/>
        <v>-131</v>
      </c>
      <c r="BH120" s="184">
        <f t="shared" si="515"/>
        <v>0</v>
      </c>
      <c r="BI120" s="184">
        <f t="shared" si="516"/>
        <v>0</v>
      </c>
      <c r="BJ120" s="184">
        <f t="shared" si="517"/>
        <v>0</v>
      </c>
      <c r="BK120" s="185">
        <f t="shared" si="518"/>
        <v>0</v>
      </c>
      <c r="BL120" s="184">
        <f t="shared" si="519"/>
        <v>0</v>
      </c>
      <c r="BM120" s="184">
        <f t="shared" si="520"/>
        <v>0</v>
      </c>
      <c r="BN120" s="184">
        <f t="shared" si="521"/>
        <v>0</v>
      </c>
      <c r="BO120" s="185">
        <f t="shared" si="522"/>
        <v>0</v>
      </c>
      <c r="BP120" s="152"/>
      <c r="BQ120" s="184">
        <f t="shared" si="496"/>
        <v>35</v>
      </c>
      <c r="BR120" s="184">
        <f t="shared" si="497"/>
        <v>-616</v>
      </c>
      <c r="BS120" s="184">
        <f t="shared" si="498"/>
        <v>304</v>
      </c>
      <c r="BT120" s="184">
        <f t="shared" si="499"/>
        <v>38</v>
      </c>
      <c r="BU120" s="184">
        <f t="shared" si="500"/>
        <v>73</v>
      </c>
      <c r="BV120" s="184">
        <f t="shared" si="523"/>
        <v>49</v>
      </c>
      <c r="BW120" s="184">
        <f t="shared" si="524"/>
        <v>-85</v>
      </c>
      <c r="BX120" s="184">
        <f t="shared" si="525"/>
        <v>-229</v>
      </c>
      <c r="BY120" s="184">
        <f t="shared" si="526"/>
        <v>78</v>
      </c>
      <c r="BZ120" s="184">
        <f t="shared" si="527"/>
        <v>-81</v>
      </c>
      <c r="CA120" s="184">
        <f t="shared" si="528"/>
        <v>11</v>
      </c>
      <c r="CB120" s="184">
        <f t="shared" si="529"/>
        <v>333</v>
      </c>
      <c r="CC120" s="184">
        <f t="shared" si="530"/>
        <v>468</v>
      </c>
      <c r="CD120" s="184">
        <f t="shared" si="531"/>
        <v>-131</v>
      </c>
      <c r="CE120" s="184">
        <f t="shared" si="510"/>
        <v>0</v>
      </c>
      <c r="CF120" s="185">
        <f t="shared" si="532"/>
        <v>0</v>
      </c>
      <c r="CG120" s="342"/>
      <c r="CH120" s="8"/>
    </row>
    <row r="121" spans="1:86" ht="14.25" customHeight="1" outlineLevel="1">
      <c r="A121" s="8"/>
      <c r="B121" s="372" t="s">
        <v>291</v>
      </c>
      <c r="C121" s="42"/>
      <c r="D121" s="574">
        <f>7-15</f>
        <v>-8</v>
      </c>
      <c r="E121" s="186">
        <f>12-60</f>
        <v>-48</v>
      </c>
      <c r="F121" s="186">
        <f>23+24</f>
        <v>47</v>
      </c>
      <c r="G121" s="187">
        <f>-154+122+6</f>
        <v>-26</v>
      </c>
      <c r="H121" s="574">
        <f>17-42</f>
        <v>-25</v>
      </c>
      <c r="I121" s="186">
        <f>-51-51</f>
        <v>-102</v>
      </c>
      <c r="J121" s="186">
        <f>-116-30</f>
        <v>-146</v>
      </c>
      <c r="K121" s="187">
        <v>-274</v>
      </c>
      <c r="L121" s="574">
        <f>-34+1+9</f>
        <v>-24</v>
      </c>
      <c r="M121" s="186">
        <v>-39</v>
      </c>
      <c r="N121" s="186">
        <v>-67</v>
      </c>
      <c r="O121" s="187">
        <v>-57</v>
      </c>
      <c r="P121" s="574">
        <f>-13-4+12</f>
        <v>-5</v>
      </c>
      <c r="Q121" s="186">
        <v>0</v>
      </c>
      <c r="R121" s="186">
        <v>50</v>
      </c>
      <c r="S121" s="187">
        <v>-35</v>
      </c>
      <c r="T121" s="574">
        <v>39</v>
      </c>
      <c r="U121" s="186">
        <v>69</v>
      </c>
      <c r="V121" s="186">
        <v>51</v>
      </c>
      <c r="W121" s="187">
        <v>28</v>
      </c>
      <c r="X121" s="574">
        <v>26</v>
      </c>
      <c r="Y121" s="186">
        <v>41</v>
      </c>
      <c r="Z121" s="186">
        <v>56</v>
      </c>
      <c r="AA121" s="187">
        <v>12</v>
      </c>
      <c r="AB121" s="574">
        <v>-31</v>
      </c>
      <c r="AC121" s="186">
        <v>-14</v>
      </c>
      <c r="AD121" s="186">
        <v>-6</v>
      </c>
      <c r="AE121" s="187">
        <v>-46</v>
      </c>
      <c r="AF121" s="574">
        <v>-6</v>
      </c>
      <c r="AG121" s="186">
        <v>50</v>
      </c>
      <c r="AH121" s="186">
        <v>75</v>
      </c>
      <c r="AI121" s="187">
        <f>-198+39</f>
        <v>-159</v>
      </c>
      <c r="AJ121" s="186">
        <f>29-28</f>
        <v>1</v>
      </c>
      <c r="AK121" s="186">
        <f>52-53</f>
        <v>-1</v>
      </c>
      <c r="AL121" s="186">
        <f>82-59</f>
        <v>23</v>
      </c>
      <c r="AM121" s="187">
        <f>28-70</f>
        <v>-42</v>
      </c>
      <c r="AN121" s="186">
        <f>22-11+16</f>
        <v>27</v>
      </c>
      <c r="AO121" s="186">
        <f>41-8</f>
        <v>33</v>
      </c>
      <c r="AP121" s="186">
        <v>99</v>
      </c>
      <c r="AQ121" s="187">
        <f>-58-21</f>
        <v>-79</v>
      </c>
      <c r="AR121" s="186">
        <f>19-25</f>
        <v>-6</v>
      </c>
      <c r="AS121" s="186">
        <f>41-19</f>
        <v>22</v>
      </c>
      <c r="AT121" s="186">
        <f>65-23</f>
        <v>42</v>
      </c>
      <c r="AU121" s="187">
        <f>-23-68</f>
        <v>-91</v>
      </c>
      <c r="AV121" s="186">
        <f>18-18</f>
        <v>0</v>
      </c>
      <c r="AW121" s="186">
        <f>32-7</f>
        <v>25</v>
      </c>
      <c r="AX121" s="186">
        <f>56-24</f>
        <v>32</v>
      </c>
      <c r="AY121" s="187">
        <f>4614-SUM(AY106:AY120)</f>
        <v>-99</v>
      </c>
      <c r="AZ121" s="186">
        <f>-14-18</f>
        <v>-32</v>
      </c>
      <c r="BA121" s="186">
        <v>-22</v>
      </c>
      <c r="BB121" s="186">
        <f>36-59</f>
        <v>-23</v>
      </c>
      <c r="BC121" s="187">
        <f>21-16</f>
        <v>5</v>
      </c>
      <c r="BD121" s="186">
        <f>-15-36</f>
        <v>-51</v>
      </c>
      <c r="BE121" s="184">
        <f t="shared" si="512"/>
        <v>-51</v>
      </c>
      <c r="BF121" s="184">
        <f t="shared" si="513"/>
        <v>-51</v>
      </c>
      <c r="BG121" s="185">
        <f t="shared" si="514"/>
        <v>-51</v>
      </c>
      <c r="BH121" s="184">
        <f t="shared" si="515"/>
        <v>0</v>
      </c>
      <c r="BI121" s="184">
        <f t="shared" si="516"/>
        <v>0</v>
      </c>
      <c r="BJ121" s="184">
        <f t="shared" si="517"/>
        <v>0</v>
      </c>
      <c r="BK121" s="185">
        <f t="shared" si="518"/>
        <v>0</v>
      </c>
      <c r="BL121" s="184">
        <f t="shared" si="519"/>
        <v>0</v>
      </c>
      <c r="BM121" s="184">
        <f t="shared" si="520"/>
        <v>0</v>
      </c>
      <c r="BN121" s="184">
        <f t="shared" si="521"/>
        <v>0</v>
      </c>
      <c r="BO121" s="185">
        <f t="shared" si="522"/>
        <v>0</v>
      </c>
      <c r="BP121" s="152"/>
      <c r="BQ121" s="184">
        <f t="shared" si="496"/>
        <v>-26</v>
      </c>
      <c r="BR121" s="184">
        <f t="shared" si="497"/>
        <v>-274</v>
      </c>
      <c r="BS121" s="184">
        <f t="shared" si="498"/>
        <v>-57</v>
      </c>
      <c r="BT121" s="184">
        <f t="shared" si="499"/>
        <v>-35</v>
      </c>
      <c r="BU121" s="184">
        <f t="shared" si="500"/>
        <v>28</v>
      </c>
      <c r="BV121" s="184">
        <f t="shared" si="523"/>
        <v>12</v>
      </c>
      <c r="BW121" s="184">
        <f t="shared" si="524"/>
        <v>-46</v>
      </c>
      <c r="BX121" s="184">
        <f t="shared" si="525"/>
        <v>-159</v>
      </c>
      <c r="BY121" s="184">
        <f t="shared" si="526"/>
        <v>-42</v>
      </c>
      <c r="BZ121" s="184">
        <f t="shared" si="527"/>
        <v>-79</v>
      </c>
      <c r="CA121" s="184">
        <f t="shared" si="528"/>
        <v>-91</v>
      </c>
      <c r="CB121" s="184">
        <f t="shared" si="529"/>
        <v>-99</v>
      </c>
      <c r="CC121" s="184">
        <f t="shared" si="530"/>
        <v>5</v>
      </c>
      <c r="CD121" s="184">
        <f t="shared" si="531"/>
        <v>-51</v>
      </c>
      <c r="CE121" s="184">
        <f t="shared" si="510"/>
        <v>0</v>
      </c>
      <c r="CF121" s="185">
        <f t="shared" si="532"/>
        <v>0</v>
      </c>
      <c r="CG121" s="342"/>
      <c r="CH121" s="8"/>
    </row>
    <row r="122" spans="1:86" ht="14.25" customHeight="1" outlineLevel="1" thickBot="1">
      <c r="A122" s="8"/>
      <c r="B122" s="188" t="s">
        <v>232</v>
      </c>
      <c r="C122" s="189"/>
      <c r="D122" s="191">
        <f t="shared" ref="D122:AQ122" si="533">D106+SUM(D108:D113)+SUM(D115:D121)</f>
        <v>497.75</v>
      </c>
      <c r="E122" s="190">
        <f t="shared" si="533"/>
        <v>1262.5</v>
      </c>
      <c r="F122" s="190">
        <f t="shared" si="533"/>
        <v>2728.25</v>
      </c>
      <c r="G122" s="190">
        <f t="shared" si="533"/>
        <v>3614</v>
      </c>
      <c r="H122" s="191">
        <f t="shared" si="533"/>
        <v>521.75</v>
      </c>
      <c r="I122" s="190">
        <f t="shared" si="533"/>
        <v>1188.5</v>
      </c>
      <c r="J122" s="190">
        <f t="shared" si="533"/>
        <v>1615.25</v>
      </c>
      <c r="K122" s="190">
        <f t="shared" si="533"/>
        <v>2456</v>
      </c>
      <c r="L122" s="191">
        <f t="shared" si="533"/>
        <v>554</v>
      </c>
      <c r="M122" s="190">
        <f t="shared" si="533"/>
        <v>1451.67</v>
      </c>
      <c r="N122" s="190">
        <f t="shared" si="533"/>
        <v>2982.34</v>
      </c>
      <c r="O122" s="190">
        <f t="shared" si="533"/>
        <v>4407.01</v>
      </c>
      <c r="P122" s="191">
        <f t="shared" si="533"/>
        <v>641</v>
      </c>
      <c r="Q122" s="190">
        <f t="shared" si="533"/>
        <v>1159</v>
      </c>
      <c r="R122" s="190">
        <f t="shared" si="533"/>
        <v>2212</v>
      </c>
      <c r="S122" s="190">
        <f t="shared" si="533"/>
        <v>3330</v>
      </c>
      <c r="T122" s="191">
        <f t="shared" si="533"/>
        <v>251</v>
      </c>
      <c r="U122" s="190">
        <f t="shared" si="533"/>
        <v>808</v>
      </c>
      <c r="V122" s="190">
        <f t="shared" si="533"/>
        <v>1642</v>
      </c>
      <c r="W122" s="192">
        <f t="shared" si="533"/>
        <v>2643</v>
      </c>
      <c r="X122" s="191">
        <f t="shared" si="533"/>
        <v>710</v>
      </c>
      <c r="Y122" s="190">
        <f t="shared" si="533"/>
        <v>1272</v>
      </c>
      <c r="Z122" s="190">
        <f t="shared" si="533"/>
        <v>2590</v>
      </c>
      <c r="AA122" s="192">
        <f t="shared" si="533"/>
        <v>3820</v>
      </c>
      <c r="AB122" s="191">
        <f t="shared" si="533"/>
        <v>516</v>
      </c>
      <c r="AC122" s="190">
        <f t="shared" si="533"/>
        <v>1147</v>
      </c>
      <c r="AD122" s="190">
        <f t="shared" si="533"/>
        <v>2287</v>
      </c>
      <c r="AE122" s="192">
        <f t="shared" si="533"/>
        <v>3257</v>
      </c>
      <c r="AF122" s="191">
        <f t="shared" si="533"/>
        <v>449</v>
      </c>
      <c r="AG122" s="190">
        <f t="shared" si="533"/>
        <v>1124</v>
      </c>
      <c r="AH122" s="190">
        <f t="shared" si="533"/>
        <v>2326</v>
      </c>
      <c r="AI122" s="192">
        <f t="shared" si="533"/>
        <v>3414</v>
      </c>
      <c r="AJ122" s="190">
        <f t="shared" si="533"/>
        <v>360</v>
      </c>
      <c r="AK122" s="190">
        <f t="shared" si="533"/>
        <v>1035</v>
      </c>
      <c r="AL122" s="190">
        <f t="shared" si="533"/>
        <v>2185</v>
      </c>
      <c r="AM122" s="192">
        <f t="shared" si="533"/>
        <v>3384</v>
      </c>
      <c r="AN122" s="190">
        <f>AN106+SUM(AN108:AN113)+SUM(AN115:AN121)</f>
        <v>462</v>
      </c>
      <c r="AO122" s="190">
        <f>AO106+SUM(AO108:AO113)+SUM(AO115:AO121)</f>
        <v>1237</v>
      </c>
      <c r="AP122" s="190">
        <f t="shared" si="533"/>
        <v>2620</v>
      </c>
      <c r="AQ122" s="192">
        <f t="shared" si="533"/>
        <v>3892</v>
      </c>
      <c r="AR122" s="190">
        <f t="shared" ref="AR122:BD122" si="534">AR106+SUM(AR108:AR113)+SUM(AR115:AR121)</f>
        <v>609</v>
      </c>
      <c r="AS122" s="190">
        <f t="shared" si="534"/>
        <v>1429</v>
      </c>
      <c r="AT122" s="190">
        <f t="shared" si="534"/>
        <v>2838</v>
      </c>
      <c r="AU122" s="192">
        <f t="shared" si="534"/>
        <v>4268</v>
      </c>
      <c r="AV122" s="190">
        <f t="shared" si="534"/>
        <v>653</v>
      </c>
      <c r="AW122" s="190">
        <f t="shared" si="534"/>
        <v>1699</v>
      </c>
      <c r="AX122" s="190">
        <f>AX106+SUM(AX108:AX113)+SUM(AX115:AX121)</f>
        <v>3162</v>
      </c>
      <c r="AY122" s="192">
        <f t="shared" ref="AY122:BA122" si="535">AY106+SUM(AY108:AY113)+SUM(AY115:AY121)</f>
        <v>4614</v>
      </c>
      <c r="AZ122" s="190">
        <f t="shared" si="535"/>
        <v>795</v>
      </c>
      <c r="BA122" s="190">
        <f t="shared" si="535"/>
        <v>1712</v>
      </c>
      <c r="BB122" s="190">
        <f>BB106+SUM(BB108:BB113)+SUM(BB115:BB121)</f>
        <v>3434</v>
      </c>
      <c r="BC122" s="192">
        <f t="shared" si="534"/>
        <v>5363</v>
      </c>
      <c r="BD122" s="190">
        <f t="shared" si="534"/>
        <v>1112</v>
      </c>
      <c r="BE122" s="190">
        <f t="shared" ref="BE122:BG122" si="536">BE106+SUM(BE108:BE113)+SUM(BE115:BE121)</f>
        <v>2718.1720669114043</v>
      </c>
      <c r="BF122" s="190">
        <f t="shared" si="536"/>
        <v>4374.056578179192</v>
      </c>
      <c r="BG122" s="192">
        <f t="shared" si="536"/>
        <v>6282.5042138313338</v>
      </c>
      <c r="BH122" s="190">
        <f t="shared" ref="BH122:BK122" si="537">BH106+SUM(BH108:BH113)+SUM(BH115:BH121)</f>
        <v>1372.1150239023539</v>
      </c>
      <c r="BI122" s="190">
        <f t="shared" si="537"/>
        <v>3097.8881697065958</v>
      </c>
      <c r="BJ122" s="190">
        <f t="shared" si="537"/>
        <v>4921.89338625459</v>
      </c>
      <c r="BK122" s="192">
        <f t="shared" si="537"/>
        <v>6963.8271921036749</v>
      </c>
      <c r="BL122" s="190">
        <f t="shared" ref="BL122:BO122" si="538">BL106+SUM(BL108:BL113)+SUM(BL115:BL121)</f>
        <v>1849.6883283454404</v>
      </c>
      <c r="BM122" s="190">
        <f t="shared" si="538"/>
        <v>3621.9695859492317</v>
      </c>
      <c r="BN122" s="190">
        <f t="shared" si="538"/>
        <v>5544.1107153435214</v>
      </c>
      <c r="BO122" s="192">
        <f t="shared" si="538"/>
        <v>7690.219360922596</v>
      </c>
      <c r="BP122" s="152"/>
      <c r="BQ122" s="190">
        <f t="shared" ref="BQ122:BZ122" si="539">BQ106+SUM(BQ108:BQ113)+SUM(BQ115:BQ121)</f>
        <v>3614</v>
      </c>
      <c r="BR122" s="190">
        <f t="shared" si="539"/>
        <v>2456</v>
      </c>
      <c r="BS122" s="190">
        <f t="shared" si="539"/>
        <v>4407.01</v>
      </c>
      <c r="BT122" s="190">
        <f t="shared" si="539"/>
        <v>3330</v>
      </c>
      <c r="BU122" s="190">
        <f t="shared" si="539"/>
        <v>2643</v>
      </c>
      <c r="BV122" s="190">
        <f t="shared" si="539"/>
        <v>3820</v>
      </c>
      <c r="BW122" s="190">
        <f t="shared" si="539"/>
        <v>3257</v>
      </c>
      <c r="BX122" s="190">
        <f t="shared" si="539"/>
        <v>3414</v>
      </c>
      <c r="BY122" s="190">
        <f t="shared" si="539"/>
        <v>3384</v>
      </c>
      <c r="BZ122" s="190">
        <f t="shared" si="539"/>
        <v>3892</v>
      </c>
      <c r="CA122" s="190">
        <f t="shared" ref="CA122:CF122" si="540">CA106+SUM(CA108:CA113)+SUM(CA115:CA121)</f>
        <v>4268</v>
      </c>
      <c r="CB122" s="190">
        <f t="shared" si="540"/>
        <v>4614</v>
      </c>
      <c r="CC122" s="190">
        <f t="shared" si="540"/>
        <v>5363</v>
      </c>
      <c r="CD122" s="190">
        <f t="shared" si="540"/>
        <v>6282.5042138313338</v>
      </c>
      <c r="CE122" s="190">
        <f t="shared" si="540"/>
        <v>6963.8271921036749</v>
      </c>
      <c r="CF122" s="192">
        <f t="shared" si="540"/>
        <v>7690.219360922596</v>
      </c>
      <c r="CG122" s="342"/>
      <c r="CH122" s="8"/>
    </row>
    <row r="123" spans="1:86" ht="14.25" customHeight="1" outlineLevel="1" thickTop="1">
      <c r="A123" s="8"/>
      <c r="B123" s="342"/>
      <c r="C123" s="21"/>
      <c r="D123" s="574"/>
      <c r="E123" s="186"/>
      <c r="F123" s="186"/>
      <c r="G123" s="187"/>
      <c r="H123" s="574"/>
      <c r="I123" s="186"/>
      <c r="J123" s="186"/>
      <c r="K123" s="187"/>
      <c r="L123" s="574"/>
      <c r="M123" s="186"/>
      <c r="N123" s="186"/>
      <c r="O123" s="187"/>
      <c r="P123" s="574"/>
      <c r="Q123" s="186"/>
      <c r="R123" s="186"/>
      <c r="S123" s="187"/>
      <c r="T123" s="574"/>
      <c r="U123" s="186"/>
      <c r="V123" s="186"/>
      <c r="W123" s="187"/>
      <c r="X123" s="574"/>
      <c r="Y123" s="186"/>
      <c r="Z123" s="186"/>
      <c r="AA123" s="187"/>
      <c r="AB123" s="574"/>
      <c r="AC123" s="186"/>
      <c r="AD123" s="186"/>
      <c r="AE123" s="187"/>
      <c r="AF123" s="574"/>
      <c r="AG123" s="186"/>
      <c r="AH123" s="186"/>
      <c r="AI123" s="187"/>
      <c r="AJ123" s="186"/>
      <c r="AK123" s="186"/>
      <c r="AL123" s="186"/>
      <c r="AM123" s="187"/>
      <c r="AN123" s="186"/>
      <c r="AO123" s="186"/>
      <c r="AP123" s="186"/>
      <c r="AQ123" s="187"/>
      <c r="AR123" s="186"/>
      <c r="AS123" s="186"/>
      <c r="AT123" s="186"/>
      <c r="AU123" s="187"/>
      <c r="AV123" s="186"/>
      <c r="AW123" s="186"/>
      <c r="AX123" s="186"/>
      <c r="AY123" s="187"/>
      <c r="AZ123" s="186"/>
      <c r="BA123" s="186"/>
      <c r="BB123" s="186"/>
      <c r="BC123" s="187"/>
      <c r="BD123" s="186"/>
      <c r="BE123" s="186"/>
      <c r="BF123" s="186"/>
      <c r="BG123" s="187"/>
      <c r="BH123" s="186"/>
      <c r="BI123" s="186"/>
      <c r="BJ123" s="186"/>
      <c r="BK123" s="187"/>
      <c r="BL123" s="186"/>
      <c r="BM123" s="186"/>
      <c r="BN123" s="186"/>
      <c r="BO123" s="187"/>
      <c r="BP123" s="152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7"/>
      <c r="CG123" s="342"/>
      <c r="CH123" s="8"/>
    </row>
    <row r="124" spans="1:86" ht="14.25" customHeight="1" outlineLevel="1">
      <c r="A124" s="8"/>
      <c r="B124" s="320" t="s">
        <v>233</v>
      </c>
      <c r="C124" s="39"/>
      <c r="D124" s="574"/>
      <c r="E124" s="186"/>
      <c r="F124" s="186"/>
      <c r="G124" s="187"/>
      <c r="H124" s="574"/>
      <c r="I124" s="186"/>
      <c r="J124" s="186"/>
      <c r="K124" s="187"/>
      <c r="L124" s="574"/>
      <c r="M124" s="186"/>
      <c r="N124" s="186"/>
      <c r="O124" s="187"/>
      <c r="P124" s="574"/>
      <c r="Q124" s="186"/>
      <c r="R124" s="186"/>
      <c r="S124" s="187"/>
      <c r="T124" s="574"/>
      <c r="U124" s="186"/>
      <c r="V124" s="186"/>
      <c r="W124" s="187"/>
      <c r="X124" s="574"/>
      <c r="Y124" s="186"/>
      <c r="Z124" s="186"/>
      <c r="AA124" s="187"/>
      <c r="AB124" s="574"/>
      <c r="AC124" s="186"/>
      <c r="AD124" s="186"/>
      <c r="AE124" s="187"/>
      <c r="AF124" s="574"/>
      <c r="AG124" s="186"/>
      <c r="AH124" s="186"/>
      <c r="AI124" s="187"/>
      <c r="AJ124" s="186"/>
      <c r="AK124" s="186"/>
      <c r="AL124" s="186"/>
      <c r="AM124" s="187"/>
      <c r="AN124" s="186"/>
      <c r="AO124" s="186"/>
      <c r="AP124" s="186"/>
      <c r="AQ124" s="187"/>
      <c r="AR124" s="186"/>
      <c r="AS124" s="186"/>
      <c r="AT124" s="186"/>
      <c r="AU124" s="187"/>
      <c r="AV124" s="186"/>
      <c r="AW124" s="186"/>
      <c r="AX124" s="186"/>
      <c r="AY124" s="187"/>
      <c r="AZ124" s="186"/>
      <c r="BA124" s="186"/>
      <c r="BB124" s="186"/>
      <c r="BC124" s="187"/>
      <c r="BD124" s="186"/>
      <c r="BE124" s="186"/>
      <c r="BF124" s="186"/>
      <c r="BG124" s="187"/>
      <c r="BH124" s="186"/>
      <c r="BI124" s="186"/>
      <c r="BJ124" s="186"/>
      <c r="BK124" s="187"/>
      <c r="BL124" s="186"/>
      <c r="BM124" s="186"/>
      <c r="BN124" s="186"/>
      <c r="BO124" s="187"/>
      <c r="BP124" s="152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7"/>
      <c r="CG124" s="342"/>
      <c r="CH124" s="8"/>
    </row>
    <row r="125" spans="1:86" ht="14.25" customHeight="1" outlineLevel="1">
      <c r="A125" s="8"/>
      <c r="B125" s="336" t="s">
        <v>234</v>
      </c>
      <c r="C125" s="24"/>
      <c r="D125" s="574">
        <v>-267</v>
      </c>
      <c r="E125" s="186">
        <v>-514</v>
      </c>
      <c r="F125" s="186">
        <v>-954</v>
      </c>
      <c r="G125" s="187">
        <f>-1288</f>
        <v>-1288</v>
      </c>
      <c r="H125" s="574">
        <v>-408</v>
      </c>
      <c r="I125" s="186">
        <v>-782</v>
      </c>
      <c r="J125" s="186">
        <v>-1058</v>
      </c>
      <c r="K125" s="187">
        <v>-1272</v>
      </c>
      <c r="L125" s="574">
        <v>-179</v>
      </c>
      <c r="M125" s="186">
        <v>-353</v>
      </c>
      <c r="N125" s="186">
        <v>-505</v>
      </c>
      <c r="O125" s="187">
        <f>-686+61</f>
        <v>-625</v>
      </c>
      <c r="P125" s="574">
        <v>-219</v>
      </c>
      <c r="Q125" s="186">
        <v>-489</v>
      </c>
      <c r="R125" s="186">
        <v>-686</v>
      </c>
      <c r="S125" s="187">
        <v>-763</v>
      </c>
      <c r="T125" s="574">
        <v>-43</v>
      </c>
      <c r="U125" s="186">
        <v>-91</v>
      </c>
      <c r="V125" s="186">
        <v>-317</v>
      </c>
      <c r="W125" s="187">
        <v>-753</v>
      </c>
      <c r="X125" s="574">
        <v>-219</v>
      </c>
      <c r="Y125" s="186">
        <v>-502</v>
      </c>
      <c r="Z125" s="186">
        <v>-898</v>
      </c>
      <c r="AA125" s="187">
        <v>-1199</v>
      </c>
      <c r="AB125" s="574">
        <v>-194</v>
      </c>
      <c r="AC125" s="186">
        <v>-470</v>
      </c>
      <c r="AD125" s="186">
        <v>-663</v>
      </c>
      <c r="AE125" s="187">
        <v>-816</v>
      </c>
      <c r="AF125" s="574">
        <v>-103</v>
      </c>
      <c r="AG125" s="186">
        <v>-249</v>
      </c>
      <c r="AH125" s="186">
        <v>-399</v>
      </c>
      <c r="AI125" s="187">
        <v>-495</v>
      </c>
      <c r="AJ125" s="186">
        <v>-84</v>
      </c>
      <c r="AK125" s="186">
        <v>-182</v>
      </c>
      <c r="AL125" s="186">
        <v>-305</v>
      </c>
      <c r="AM125" s="187">
        <v>-412</v>
      </c>
      <c r="AN125" s="186">
        <v>-77</v>
      </c>
      <c r="AO125" s="186">
        <v>-157</v>
      </c>
      <c r="AP125" s="186">
        <v>-260</v>
      </c>
      <c r="AQ125" s="187">
        <v>-385</v>
      </c>
      <c r="AR125" s="186">
        <v>-123</v>
      </c>
      <c r="AS125" s="186">
        <v>-248</v>
      </c>
      <c r="AT125" s="186">
        <v>-387</v>
      </c>
      <c r="AU125" s="187">
        <v>-551</v>
      </c>
      <c r="AV125" s="186">
        <v>-124</v>
      </c>
      <c r="AW125" s="186">
        <v>-282</v>
      </c>
      <c r="AX125" s="186">
        <v>-421</v>
      </c>
      <c r="AY125" s="187">
        <v>-531</v>
      </c>
      <c r="AZ125" s="186">
        <v>-127</v>
      </c>
      <c r="BA125" s="186">
        <v>-278</v>
      </c>
      <c r="BB125" s="186">
        <v>-464</v>
      </c>
      <c r="BC125" s="187">
        <v>-695</v>
      </c>
      <c r="BD125" s="186">
        <v>-189</v>
      </c>
      <c r="BE125" s="184">
        <f t="shared" ref="BE125:BE130" si="541">BD125+BE30</f>
        <v>-385.75037492037757</v>
      </c>
      <c r="BF125" s="184">
        <f t="shared" ref="BF125:BF130" si="542">BE125+BF30</f>
        <v>-595.10253725264181</v>
      </c>
      <c r="BG125" s="185">
        <f t="shared" ref="BG125:BG130" si="543">BF125+BG30</f>
        <v>-792.36490048916016</v>
      </c>
      <c r="BH125" s="184">
        <f t="shared" ref="BH125:BH130" si="544">BH30</f>
        <v>-154.02432575675084</v>
      </c>
      <c r="BI125" s="184">
        <f t="shared" ref="BI125:BI130" si="545">BH125+BI30</f>
        <v>-317.5998073224747</v>
      </c>
      <c r="BJ125" s="184">
        <f t="shared" ref="BJ125:BJ130" si="546">BI125+BJ30</f>
        <v>-491.22915868763096</v>
      </c>
      <c r="BK125" s="185">
        <f t="shared" ref="BK125:BK130" si="547">BJ125+BK30</f>
        <v>-654.30175284243592</v>
      </c>
      <c r="BL125" s="184">
        <f t="shared" ref="BL125:BL130" si="548">BL30</f>
        <v>-158.96222707352942</v>
      </c>
      <c r="BM125" s="184">
        <f t="shared" ref="BM125:BM130" si="549">BL125+BM30</f>
        <v>-327.73181883078871</v>
      </c>
      <c r="BN125" s="184">
        <f t="shared" ref="BN125:BN130" si="550">BM125+BN30</f>
        <v>-506.77159319141566</v>
      </c>
      <c r="BO125" s="185">
        <f t="shared" ref="BO125:BO130" si="551">BN125+BO30</f>
        <v>-675.02048070393766</v>
      </c>
      <c r="BP125" s="152"/>
      <c r="BQ125" s="184">
        <f t="shared" ref="BQ125:BQ130" si="552">G125</f>
        <v>-1288</v>
      </c>
      <c r="BR125" s="184">
        <f t="shared" ref="BR125:BR130" si="553">K125</f>
        <v>-1272</v>
      </c>
      <c r="BS125" s="184">
        <f t="shared" ref="BS125:BS130" si="554">O125</f>
        <v>-625</v>
      </c>
      <c r="BT125" s="184">
        <f t="shared" ref="BT125:BT130" si="555">S125</f>
        <v>-763</v>
      </c>
      <c r="BU125" s="184">
        <f t="shared" ref="BU125:BU130" si="556">W125</f>
        <v>-753</v>
      </c>
      <c r="BV125" s="184">
        <f t="shared" ref="BV125:BV130" si="557">AA125</f>
        <v>-1199</v>
      </c>
      <c r="BW125" s="184">
        <f t="shared" ref="BW125:BW130" si="558">AE125</f>
        <v>-816</v>
      </c>
      <c r="BX125" s="184">
        <f t="shared" ref="BX125:BX130" si="559">AI125</f>
        <v>-495</v>
      </c>
      <c r="BY125" s="184">
        <f t="shared" ref="BY125:BY130" si="560">AM125</f>
        <v>-412</v>
      </c>
      <c r="BZ125" s="184">
        <f t="shared" ref="BZ125:BZ130" si="561">AQ125</f>
        <v>-385</v>
      </c>
      <c r="CA125" s="184">
        <f t="shared" ref="CA125:CA130" si="562">AU125</f>
        <v>-551</v>
      </c>
      <c r="CB125" s="184">
        <f t="shared" ref="CB125:CB130" si="563">AY125</f>
        <v>-531</v>
      </c>
      <c r="CC125" s="184">
        <f t="shared" ref="CC125:CC130" si="564">BC125</f>
        <v>-695</v>
      </c>
      <c r="CD125" s="184">
        <f t="shared" ref="CD125:CD130" si="565">BG125</f>
        <v>-792.36490048916016</v>
      </c>
      <c r="CE125" s="184">
        <f t="shared" ref="CE125:CE130" si="566">BK125</f>
        <v>-654.30175284243592</v>
      </c>
      <c r="CF125" s="185">
        <f t="shared" ref="CF125:CF130" si="567">BO125</f>
        <v>-675.02048070393766</v>
      </c>
      <c r="CG125" s="342"/>
      <c r="CH125" s="8"/>
    </row>
    <row r="126" spans="1:86" ht="14.25" customHeight="1" outlineLevel="1">
      <c r="A126" s="12"/>
      <c r="B126" s="336" t="s">
        <v>235</v>
      </c>
      <c r="C126" s="24"/>
      <c r="D126" s="574">
        <v>-818</v>
      </c>
      <c r="E126" s="186">
        <v>-1066</v>
      </c>
      <c r="F126" s="186">
        <v>-3161</v>
      </c>
      <c r="G126" s="187">
        <v>-5851</v>
      </c>
      <c r="H126" s="574">
        <v>-1153</v>
      </c>
      <c r="I126" s="186">
        <v>-4216</v>
      </c>
      <c r="J126" s="186">
        <v>-5546</v>
      </c>
      <c r="K126" s="187">
        <v>-6821</v>
      </c>
      <c r="L126" s="574">
        <v>-846</v>
      </c>
      <c r="M126" s="186">
        <v>-2325</v>
      </c>
      <c r="N126" s="186">
        <v>-4241</v>
      </c>
      <c r="O126" s="187">
        <v>-5035</v>
      </c>
      <c r="P126" s="574">
        <v>-362</v>
      </c>
      <c r="Q126" s="186">
        <v>-362</v>
      </c>
      <c r="R126" s="186">
        <v>-362</v>
      </c>
      <c r="S126" s="187">
        <v>-1746</v>
      </c>
      <c r="T126" s="574">
        <v>-220</v>
      </c>
      <c r="U126" s="186">
        <v>-563</v>
      </c>
      <c r="V126" s="186">
        <v>-1442</v>
      </c>
      <c r="W126" s="187">
        <v>-2273</v>
      </c>
      <c r="X126" s="574">
        <v>-599</v>
      </c>
      <c r="Y126" s="186">
        <v>-1212</v>
      </c>
      <c r="Z126" s="186">
        <v>-1811</v>
      </c>
      <c r="AA126" s="187">
        <v>-2510</v>
      </c>
      <c r="AB126" s="574">
        <v>-872</v>
      </c>
      <c r="AC126" s="186">
        <v>-1688</v>
      </c>
      <c r="AD126" s="186">
        <v>-2449</v>
      </c>
      <c r="AE126" s="187">
        <v>-3653</v>
      </c>
      <c r="AF126" s="574">
        <v>-242</v>
      </c>
      <c r="AG126" s="186">
        <v>-657</v>
      </c>
      <c r="AH126" s="186">
        <v>-2141</v>
      </c>
      <c r="AI126" s="187">
        <v>-2802</v>
      </c>
      <c r="AJ126" s="186">
        <v>-536</v>
      </c>
      <c r="AK126" s="186">
        <f>-2402+18</f>
        <v>-2384</v>
      </c>
      <c r="AL126" s="186">
        <v>-3177</v>
      </c>
      <c r="AM126" s="187">
        <v>-3907</v>
      </c>
      <c r="AN126" s="186">
        <v>-1051</v>
      </c>
      <c r="AO126" s="186">
        <v>-1466</v>
      </c>
      <c r="AP126" s="186">
        <v>-2170</v>
      </c>
      <c r="AQ126" s="187">
        <v>-3107</v>
      </c>
      <c r="AR126" s="186">
        <v>-335</v>
      </c>
      <c r="AS126" s="186">
        <v>-1254</v>
      </c>
      <c r="AT126" s="186">
        <v>-1713</v>
      </c>
      <c r="AU126" s="187">
        <v>-2767</v>
      </c>
      <c r="AV126" s="186">
        <v>-200</v>
      </c>
      <c r="AW126" s="186">
        <v>-1193</v>
      </c>
      <c r="AX126" s="186">
        <v>-2171</v>
      </c>
      <c r="AY126" s="187">
        <v>-3503</v>
      </c>
      <c r="AZ126" s="186">
        <v>-757</v>
      </c>
      <c r="BA126" s="186">
        <v>-1887</v>
      </c>
      <c r="BB126" s="186">
        <v>-3105</v>
      </c>
      <c r="BC126" s="187">
        <v>-4555</v>
      </c>
      <c r="BD126" s="186">
        <v>-996</v>
      </c>
      <c r="BE126" s="184">
        <f t="shared" si="541"/>
        <v>-996</v>
      </c>
      <c r="BF126" s="184">
        <f t="shared" si="542"/>
        <v>-996</v>
      </c>
      <c r="BG126" s="185">
        <f t="shared" si="543"/>
        <v>-996</v>
      </c>
      <c r="BH126" s="184">
        <f t="shared" si="544"/>
        <v>0</v>
      </c>
      <c r="BI126" s="184">
        <f t="shared" si="545"/>
        <v>0</v>
      </c>
      <c r="BJ126" s="184">
        <f t="shared" si="546"/>
        <v>0</v>
      </c>
      <c r="BK126" s="185">
        <f t="shared" si="547"/>
        <v>0</v>
      </c>
      <c r="BL126" s="184">
        <f t="shared" si="548"/>
        <v>0</v>
      </c>
      <c r="BM126" s="184">
        <f t="shared" si="549"/>
        <v>0</v>
      </c>
      <c r="BN126" s="184">
        <f t="shared" si="550"/>
        <v>0</v>
      </c>
      <c r="BO126" s="185">
        <f t="shared" si="551"/>
        <v>0</v>
      </c>
      <c r="BP126" s="152"/>
      <c r="BQ126" s="184">
        <f t="shared" si="552"/>
        <v>-5851</v>
      </c>
      <c r="BR126" s="184">
        <f t="shared" si="553"/>
        <v>-6821</v>
      </c>
      <c r="BS126" s="184">
        <f t="shared" si="554"/>
        <v>-5035</v>
      </c>
      <c r="BT126" s="184">
        <f t="shared" si="555"/>
        <v>-1746</v>
      </c>
      <c r="BU126" s="184">
        <f t="shared" si="556"/>
        <v>-2273</v>
      </c>
      <c r="BV126" s="184">
        <f t="shared" si="557"/>
        <v>-2510</v>
      </c>
      <c r="BW126" s="184">
        <f t="shared" si="558"/>
        <v>-3653</v>
      </c>
      <c r="BX126" s="184">
        <f t="shared" si="559"/>
        <v>-2802</v>
      </c>
      <c r="BY126" s="184">
        <f t="shared" si="560"/>
        <v>-3907</v>
      </c>
      <c r="BZ126" s="184">
        <f t="shared" si="561"/>
        <v>-3107</v>
      </c>
      <c r="CA126" s="184">
        <f t="shared" si="562"/>
        <v>-2767</v>
      </c>
      <c r="CB126" s="184">
        <f t="shared" si="563"/>
        <v>-3503</v>
      </c>
      <c r="CC126" s="184">
        <f t="shared" si="564"/>
        <v>-4555</v>
      </c>
      <c r="CD126" s="184">
        <f t="shared" si="565"/>
        <v>-996</v>
      </c>
      <c r="CE126" s="184">
        <f t="shared" si="566"/>
        <v>0</v>
      </c>
      <c r="CF126" s="185">
        <f t="shared" si="567"/>
        <v>0</v>
      </c>
      <c r="CG126" s="342"/>
      <c r="CH126" s="12"/>
    </row>
    <row r="127" spans="1:86" ht="14.25" customHeight="1" outlineLevel="1">
      <c r="A127" s="12"/>
      <c r="B127" s="336" t="s">
        <v>326</v>
      </c>
      <c r="C127" s="24"/>
      <c r="D127" s="574">
        <v>1204</v>
      </c>
      <c r="E127" s="186">
        <v>2396</v>
      </c>
      <c r="F127" s="186">
        <v>3543</v>
      </c>
      <c r="G127" s="187">
        <v>5430</v>
      </c>
      <c r="H127" s="574">
        <v>2341</v>
      </c>
      <c r="I127" s="186">
        <v>4324</v>
      </c>
      <c r="J127" s="186">
        <v>6909</v>
      </c>
      <c r="K127" s="187">
        <v>8418</v>
      </c>
      <c r="L127" s="574">
        <v>1011</v>
      </c>
      <c r="M127" s="186">
        <v>2540</v>
      </c>
      <c r="N127" s="186">
        <v>3914</v>
      </c>
      <c r="O127" s="187">
        <v>5981</v>
      </c>
      <c r="P127" s="574">
        <v>958</v>
      </c>
      <c r="Q127" s="186">
        <v>1069</v>
      </c>
      <c r="R127" s="186">
        <v>1118</v>
      </c>
      <c r="S127" s="187">
        <v>1300</v>
      </c>
      <c r="T127" s="574">
        <v>729</v>
      </c>
      <c r="U127" s="186">
        <v>1273</v>
      </c>
      <c r="V127" s="186">
        <v>1412</v>
      </c>
      <c r="W127" s="187">
        <v>2030</v>
      </c>
      <c r="X127" s="574">
        <v>768</v>
      </c>
      <c r="Y127" s="186">
        <v>1801</v>
      </c>
      <c r="Z127" s="186">
        <v>2175</v>
      </c>
      <c r="AA127" s="187">
        <v>2564</v>
      </c>
      <c r="AB127" s="574">
        <v>1111</v>
      </c>
      <c r="AC127" s="186">
        <v>1616</v>
      </c>
      <c r="AD127" s="186">
        <v>3254</v>
      </c>
      <c r="AE127" s="187">
        <v>3555</v>
      </c>
      <c r="AF127" s="574">
        <v>613</v>
      </c>
      <c r="AG127" s="186">
        <v>1466</v>
      </c>
      <c r="AH127" s="186">
        <v>1639</v>
      </c>
      <c r="AI127" s="187">
        <v>2198</v>
      </c>
      <c r="AJ127" s="186">
        <v>615</v>
      </c>
      <c r="AK127" s="186">
        <v>2883</v>
      </c>
      <c r="AL127" s="186">
        <v>3564</v>
      </c>
      <c r="AM127" s="187">
        <v>4249</v>
      </c>
      <c r="AN127" s="186">
        <v>785</v>
      </c>
      <c r="AO127" s="186">
        <v>2079</v>
      </c>
      <c r="AP127" s="186">
        <v>2491</v>
      </c>
      <c r="AQ127" s="187">
        <v>2966</v>
      </c>
      <c r="AR127" s="186">
        <v>615</v>
      </c>
      <c r="AS127" s="186">
        <v>1475</v>
      </c>
      <c r="AT127" s="186">
        <v>2455</v>
      </c>
      <c r="AU127" s="187">
        <v>2892</v>
      </c>
      <c r="AV127" s="186">
        <v>900</v>
      </c>
      <c r="AW127" s="186">
        <v>2110</v>
      </c>
      <c r="AX127" s="186">
        <v>2625</v>
      </c>
      <c r="AY127" s="187">
        <v>3390</v>
      </c>
      <c r="AZ127" s="186">
        <v>1120</v>
      </c>
      <c r="BA127" s="186">
        <v>2385</v>
      </c>
      <c r="BB127" s="186">
        <v>3305</v>
      </c>
      <c r="BC127" s="187">
        <v>4095</v>
      </c>
      <c r="BD127" s="186">
        <v>1455</v>
      </c>
      <c r="BE127" s="184">
        <f t="shared" si="541"/>
        <v>1455</v>
      </c>
      <c r="BF127" s="184">
        <f t="shared" si="542"/>
        <v>1455</v>
      </c>
      <c r="BG127" s="185">
        <f t="shared" si="543"/>
        <v>1455</v>
      </c>
      <c r="BH127" s="184">
        <f t="shared" si="544"/>
        <v>0</v>
      </c>
      <c r="BI127" s="184">
        <f t="shared" si="545"/>
        <v>0</v>
      </c>
      <c r="BJ127" s="184">
        <f t="shared" si="546"/>
        <v>0</v>
      </c>
      <c r="BK127" s="185">
        <f t="shared" si="547"/>
        <v>0</v>
      </c>
      <c r="BL127" s="184">
        <f t="shared" si="548"/>
        <v>0</v>
      </c>
      <c r="BM127" s="184">
        <f t="shared" si="549"/>
        <v>0</v>
      </c>
      <c r="BN127" s="184">
        <f t="shared" si="550"/>
        <v>0</v>
      </c>
      <c r="BO127" s="185">
        <f t="shared" si="551"/>
        <v>0</v>
      </c>
      <c r="BP127" s="152"/>
      <c r="BQ127" s="184">
        <f t="shared" si="552"/>
        <v>5430</v>
      </c>
      <c r="BR127" s="184">
        <f t="shared" si="553"/>
        <v>8418</v>
      </c>
      <c r="BS127" s="184">
        <f t="shared" si="554"/>
        <v>5981</v>
      </c>
      <c r="BT127" s="184">
        <f t="shared" si="555"/>
        <v>1300</v>
      </c>
      <c r="BU127" s="184">
        <f t="shared" si="556"/>
        <v>2030</v>
      </c>
      <c r="BV127" s="184">
        <f t="shared" si="557"/>
        <v>2564</v>
      </c>
      <c r="BW127" s="184">
        <f t="shared" si="558"/>
        <v>3555</v>
      </c>
      <c r="BX127" s="184">
        <f t="shared" si="559"/>
        <v>2198</v>
      </c>
      <c r="BY127" s="184">
        <f t="shared" si="560"/>
        <v>4249</v>
      </c>
      <c r="BZ127" s="184">
        <f t="shared" si="561"/>
        <v>2966</v>
      </c>
      <c r="CA127" s="184">
        <f t="shared" si="562"/>
        <v>2892</v>
      </c>
      <c r="CB127" s="184">
        <f t="shared" si="563"/>
        <v>3390</v>
      </c>
      <c r="CC127" s="184">
        <f t="shared" si="564"/>
        <v>4095</v>
      </c>
      <c r="CD127" s="184">
        <f t="shared" si="565"/>
        <v>1455</v>
      </c>
      <c r="CE127" s="184">
        <f t="shared" si="566"/>
        <v>0</v>
      </c>
      <c r="CF127" s="185">
        <f t="shared" si="567"/>
        <v>0</v>
      </c>
      <c r="CG127" s="342"/>
      <c r="CH127" s="12"/>
    </row>
    <row r="128" spans="1:86" ht="14.25" customHeight="1" outlineLevel="1">
      <c r="A128" s="12"/>
      <c r="B128" s="336" t="s">
        <v>324</v>
      </c>
      <c r="C128" s="24"/>
      <c r="D128" s="574">
        <v>-2</v>
      </c>
      <c r="E128" s="186">
        <v>-8</v>
      </c>
      <c r="F128" s="186">
        <v>-13</v>
      </c>
      <c r="G128" s="187">
        <v>-17</v>
      </c>
      <c r="H128" s="574">
        <v>-5</v>
      </c>
      <c r="I128" s="186">
        <v>-22</v>
      </c>
      <c r="J128" s="186">
        <v>-33</v>
      </c>
      <c r="K128" s="187">
        <v>-40</v>
      </c>
      <c r="L128" s="574">
        <v>-5</v>
      </c>
      <c r="M128" s="186">
        <v>-11</v>
      </c>
      <c r="N128" s="186">
        <v>-26</v>
      </c>
      <c r="O128" s="187">
        <v>-30</v>
      </c>
      <c r="P128" s="574">
        <v>-2</v>
      </c>
      <c r="Q128" s="186">
        <v>-5</v>
      </c>
      <c r="R128" s="186">
        <v>-8</v>
      </c>
      <c r="S128" s="187">
        <v>-9</v>
      </c>
      <c r="T128" s="574">
        <v>-2</v>
      </c>
      <c r="U128" s="186">
        <v>-5</v>
      </c>
      <c r="V128" s="186">
        <v>-5</v>
      </c>
      <c r="W128" s="187">
        <v>-9</v>
      </c>
      <c r="X128" s="574">
        <v>-2</v>
      </c>
      <c r="Y128" s="186">
        <v>-2</v>
      </c>
      <c r="Z128" s="186">
        <v>-6</v>
      </c>
      <c r="AA128" s="187">
        <v>-8</v>
      </c>
      <c r="AB128" s="574">
        <v>-1</v>
      </c>
      <c r="AC128" s="186">
        <v>-3</v>
      </c>
      <c r="AD128" s="186">
        <v>-4</v>
      </c>
      <c r="AE128" s="187">
        <v>-6</v>
      </c>
      <c r="AF128" s="574">
        <v>-1</v>
      </c>
      <c r="AG128" s="186">
        <v>-1</v>
      </c>
      <c r="AH128" s="186">
        <v>-1</v>
      </c>
      <c r="AI128" s="187">
        <v>-1</v>
      </c>
      <c r="AJ128" s="186">
        <v>0</v>
      </c>
      <c r="AK128" s="186">
        <v>-1</v>
      </c>
      <c r="AL128" s="186">
        <v>-1</v>
      </c>
      <c r="AM128" s="187">
        <v>0</v>
      </c>
      <c r="AN128" s="186">
        <v>0</v>
      </c>
      <c r="AO128" s="186">
        <v>0</v>
      </c>
      <c r="AP128" s="186">
        <v>0</v>
      </c>
      <c r="AQ128" s="187">
        <v>0</v>
      </c>
      <c r="AR128" s="186">
        <v>0</v>
      </c>
      <c r="AS128" s="186">
        <v>0</v>
      </c>
      <c r="AT128" s="186">
        <v>0</v>
      </c>
      <c r="AU128" s="187">
        <v>0</v>
      </c>
      <c r="AV128" s="186">
        <v>0</v>
      </c>
      <c r="AW128" s="186">
        <v>0</v>
      </c>
      <c r="AX128" s="186">
        <v>0</v>
      </c>
      <c r="AY128" s="187">
        <v>0</v>
      </c>
      <c r="AZ128" s="186">
        <v>0</v>
      </c>
      <c r="BA128" s="186">
        <v>0</v>
      </c>
      <c r="BB128" s="186">
        <v>0</v>
      </c>
      <c r="BC128" s="187">
        <v>0</v>
      </c>
      <c r="BD128" s="186">
        <v>0</v>
      </c>
      <c r="BE128" s="184">
        <f t="shared" si="541"/>
        <v>0</v>
      </c>
      <c r="BF128" s="184">
        <f t="shared" si="542"/>
        <v>0</v>
      </c>
      <c r="BG128" s="185">
        <f t="shared" si="543"/>
        <v>0</v>
      </c>
      <c r="BH128" s="184">
        <f t="shared" si="544"/>
        <v>0</v>
      </c>
      <c r="BI128" s="184">
        <f t="shared" si="545"/>
        <v>0</v>
      </c>
      <c r="BJ128" s="184">
        <f t="shared" si="546"/>
        <v>0</v>
      </c>
      <c r="BK128" s="185">
        <f t="shared" si="547"/>
        <v>0</v>
      </c>
      <c r="BL128" s="184">
        <f t="shared" si="548"/>
        <v>0</v>
      </c>
      <c r="BM128" s="184">
        <f t="shared" si="549"/>
        <v>0</v>
      </c>
      <c r="BN128" s="184">
        <f t="shared" si="550"/>
        <v>0</v>
      </c>
      <c r="BO128" s="185">
        <f t="shared" si="551"/>
        <v>0</v>
      </c>
      <c r="BP128" s="152"/>
      <c r="BQ128" s="184">
        <f t="shared" si="552"/>
        <v>-17</v>
      </c>
      <c r="BR128" s="184">
        <f t="shared" si="553"/>
        <v>-40</v>
      </c>
      <c r="BS128" s="184">
        <f t="shared" si="554"/>
        <v>-30</v>
      </c>
      <c r="BT128" s="184">
        <f t="shared" si="555"/>
        <v>-9</v>
      </c>
      <c r="BU128" s="184">
        <f t="shared" si="556"/>
        <v>-9</v>
      </c>
      <c r="BV128" s="184">
        <f t="shared" si="557"/>
        <v>-8</v>
      </c>
      <c r="BW128" s="184">
        <f t="shared" si="558"/>
        <v>-6</v>
      </c>
      <c r="BX128" s="184">
        <f t="shared" si="559"/>
        <v>-1</v>
      </c>
      <c r="BY128" s="184">
        <f t="shared" si="560"/>
        <v>0</v>
      </c>
      <c r="BZ128" s="184">
        <f t="shared" si="561"/>
        <v>0</v>
      </c>
      <c r="CA128" s="184">
        <f t="shared" si="562"/>
        <v>0</v>
      </c>
      <c r="CB128" s="184">
        <f t="shared" si="563"/>
        <v>0</v>
      </c>
      <c r="CC128" s="184">
        <f t="shared" si="564"/>
        <v>0</v>
      </c>
      <c r="CD128" s="184">
        <f t="shared" si="565"/>
        <v>0</v>
      </c>
      <c r="CE128" s="184">
        <f t="shared" si="566"/>
        <v>0</v>
      </c>
      <c r="CF128" s="185">
        <f t="shared" si="567"/>
        <v>0</v>
      </c>
      <c r="CG128" s="342"/>
      <c r="CH128" s="12"/>
    </row>
    <row r="129" spans="1:86" ht="14.25" customHeight="1" outlineLevel="1">
      <c r="A129" s="12"/>
      <c r="B129" s="336" t="s">
        <v>325</v>
      </c>
      <c r="C129" s="24"/>
      <c r="D129" s="574">
        <v>0</v>
      </c>
      <c r="E129" s="186">
        <v>0</v>
      </c>
      <c r="F129" s="186">
        <v>39</v>
      </c>
      <c r="G129" s="187">
        <v>53</v>
      </c>
      <c r="H129" s="574">
        <v>7</v>
      </c>
      <c r="I129" s="186">
        <v>9</v>
      </c>
      <c r="J129" s="186">
        <v>9</v>
      </c>
      <c r="K129" s="187">
        <v>11</v>
      </c>
      <c r="L129" s="574">
        <v>2</v>
      </c>
      <c r="M129" s="186">
        <v>5</v>
      </c>
      <c r="N129" s="186">
        <v>9</v>
      </c>
      <c r="O129" s="187">
        <v>11</v>
      </c>
      <c r="P129" s="574">
        <v>16</v>
      </c>
      <c r="Q129" s="186">
        <v>16</v>
      </c>
      <c r="R129" s="186">
        <v>48</v>
      </c>
      <c r="S129" s="187">
        <v>55</v>
      </c>
      <c r="T129" s="574">
        <v>3</v>
      </c>
      <c r="U129" s="186">
        <v>46</v>
      </c>
      <c r="V129" s="186">
        <v>62</v>
      </c>
      <c r="W129" s="187">
        <v>64</v>
      </c>
      <c r="X129" s="574">
        <v>1</v>
      </c>
      <c r="Y129" s="186">
        <v>68</v>
      </c>
      <c r="Z129" s="186">
        <v>90</v>
      </c>
      <c r="AA129" s="187">
        <v>147</v>
      </c>
      <c r="AB129" s="574">
        <v>19</v>
      </c>
      <c r="AC129" s="186">
        <v>64</v>
      </c>
      <c r="AD129" s="186">
        <v>75</v>
      </c>
      <c r="AE129" s="187">
        <v>157</v>
      </c>
      <c r="AF129" s="574">
        <v>3</v>
      </c>
      <c r="AG129" s="186">
        <v>32</v>
      </c>
      <c r="AH129" s="186">
        <v>52</v>
      </c>
      <c r="AI129" s="187">
        <v>61</v>
      </c>
      <c r="AJ129" s="186">
        <v>9</v>
      </c>
      <c r="AK129" s="186">
        <v>15</v>
      </c>
      <c r="AL129" s="186">
        <v>18</v>
      </c>
      <c r="AM129" s="187">
        <v>46</v>
      </c>
      <c r="AN129" s="186">
        <v>1</v>
      </c>
      <c r="AO129" s="186">
        <v>0</v>
      </c>
      <c r="AP129" s="186">
        <v>0</v>
      </c>
      <c r="AQ129" s="187">
        <v>0</v>
      </c>
      <c r="AR129" s="186">
        <v>1</v>
      </c>
      <c r="AS129" s="186">
        <v>0</v>
      </c>
      <c r="AT129" s="186">
        <v>10</v>
      </c>
      <c r="AU129" s="187">
        <v>0</v>
      </c>
      <c r="AV129" s="186">
        <v>0</v>
      </c>
      <c r="AW129" s="186">
        <v>0</v>
      </c>
      <c r="AX129" s="186">
        <v>0</v>
      </c>
      <c r="AY129" s="187">
        <v>0</v>
      </c>
      <c r="AZ129" s="186">
        <v>0</v>
      </c>
      <c r="BA129" s="186">
        <v>0</v>
      </c>
      <c r="BB129" s="186">
        <v>0</v>
      </c>
      <c r="BC129" s="187">
        <v>0</v>
      </c>
      <c r="BD129" s="186">
        <v>0</v>
      </c>
      <c r="BE129" s="184">
        <f t="shared" si="541"/>
        <v>0</v>
      </c>
      <c r="BF129" s="184">
        <f t="shared" si="542"/>
        <v>0</v>
      </c>
      <c r="BG129" s="185">
        <f t="shared" si="543"/>
        <v>0</v>
      </c>
      <c r="BH129" s="184">
        <f t="shared" si="544"/>
        <v>0</v>
      </c>
      <c r="BI129" s="184">
        <f t="shared" si="545"/>
        <v>0</v>
      </c>
      <c r="BJ129" s="184">
        <f t="shared" si="546"/>
        <v>0</v>
      </c>
      <c r="BK129" s="185">
        <f t="shared" si="547"/>
        <v>0</v>
      </c>
      <c r="BL129" s="184">
        <f t="shared" si="548"/>
        <v>0</v>
      </c>
      <c r="BM129" s="184">
        <f t="shared" si="549"/>
        <v>0</v>
      </c>
      <c r="BN129" s="184">
        <f t="shared" si="550"/>
        <v>0</v>
      </c>
      <c r="BO129" s="185">
        <f t="shared" si="551"/>
        <v>0</v>
      </c>
      <c r="BP129" s="152"/>
      <c r="BQ129" s="184">
        <f t="shared" si="552"/>
        <v>53</v>
      </c>
      <c r="BR129" s="184">
        <f t="shared" si="553"/>
        <v>11</v>
      </c>
      <c r="BS129" s="184">
        <f t="shared" si="554"/>
        <v>11</v>
      </c>
      <c r="BT129" s="184">
        <f t="shared" si="555"/>
        <v>55</v>
      </c>
      <c r="BU129" s="184">
        <f t="shared" si="556"/>
        <v>64</v>
      </c>
      <c r="BV129" s="184">
        <f t="shared" si="557"/>
        <v>147</v>
      </c>
      <c r="BW129" s="184">
        <f t="shared" si="558"/>
        <v>157</v>
      </c>
      <c r="BX129" s="184">
        <f t="shared" si="559"/>
        <v>61</v>
      </c>
      <c r="BY129" s="184">
        <f t="shared" si="560"/>
        <v>46</v>
      </c>
      <c r="BZ129" s="184">
        <f t="shared" si="561"/>
        <v>0</v>
      </c>
      <c r="CA129" s="184">
        <f t="shared" si="562"/>
        <v>0</v>
      </c>
      <c r="CB129" s="184">
        <f t="shared" si="563"/>
        <v>0</v>
      </c>
      <c r="CC129" s="184">
        <f t="shared" si="564"/>
        <v>0</v>
      </c>
      <c r="CD129" s="184">
        <f t="shared" si="565"/>
        <v>0</v>
      </c>
      <c r="CE129" s="184">
        <f t="shared" si="566"/>
        <v>0</v>
      </c>
      <c r="CF129" s="185">
        <f t="shared" si="567"/>
        <v>0</v>
      </c>
      <c r="CG129" s="342"/>
      <c r="CH129" s="12"/>
    </row>
    <row r="130" spans="1:86" ht="14.25" customHeight="1" outlineLevel="1">
      <c r="A130" s="12"/>
      <c r="B130" s="336" t="s">
        <v>236</v>
      </c>
      <c r="C130" s="24"/>
      <c r="D130" s="574">
        <v>42</v>
      </c>
      <c r="E130" s="186">
        <v>42</v>
      </c>
      <c r="F130" s="186">
        <v>42</v>
      </c>
      <c r="G130" s="187">
        <v>42</v>
      </c>
      <c r="H130" s="574">
        <f>-177+4</f>
        <v>-173</v>
      </c>
      <c r="I130" s="186">
        <f>-205+2986</f>
        <v>2781</v>
      </c>
      <c r="J130" s="186">
        <f>-205+2986</f>
        <v>2781</v>
      </c>
      <c r="K130" s="187">
        <f>3000</f>
        <v>3000</v>
      </c>
      <c r="L130" s="574">
        <v>-27</v>
      </c>
      <c r="M130" s="186">
        <v>-27</v>
      </c>
      <c r="N130" s="186">
        <f>-31+61</f>
        <v>30</v>
      </c>
      <c r="O130" s="187">
        <v>0</v>
      </c>
      <c r="P130" s="574">
        <v>0</v>
      </c>
      <c r="Q130" s="186">
        <v>-19</v>
      </c>
      <c r="R130" s="186">
        <v>-19</v>
      </c>
      <c r="S130" s="187">
        <v>-19</v>
      </c>
      <c r="T130" s="574">
        <v>-104</v>
      </c>
      <c r="U130" s="186">
        <v>-155</v>
      </c>
      <c r="V130" s="186">
        <v>-155</v>
      </c>
      <c r="W130" s="187">
        <v>-155</v>
      </c>
      <c r="X130" s="574">
        <v>0</v>
      </c>
      <c r="Y130" s="186">
        <v>0</v>
      </c>
      <c r="Z130" s="186">
        <v>-59</v>
      </c>
      <c r="AA130" s="187">
        <f>148-199</f>
        <v>-51</v>
      </c>
      <c r="AB130" s="574">
        <v>0</v>
      </c>
      <c r="AC130" s="186">
        <v>0</v>
      </c>
      <c r="AD130" s="186">
        <v>-5390</v>
      </c>
      <c r="AE130" s="187">
        <f>-5425+16</f>
        <v>-5409</v>
      </c>
      <c r="AF130" s="574">
        <v>0</v>
      </c>
      <c r="AG130" s="186">
        <v>0</v>
      </c>
      <c r="AH130" s="186">
        <v>0</v>
      </c>
      <c r="AI130" s="187">
        <v>0</v>
      </c>
      <c r="AJ130" s="186">
        <v>18</v>
      </c>
      <c r="AK130" s="186">
        <v>0</v>
      </c>
      <c r="AL130" s="186">
        <v>21</v>
      </c>
      <c r="AM130" s="187">
        <v>21</v>
      </c>
      <c r="AN130" s="186">
        <v>37</v>
      </c>
      <c r="AO130" s="186">
        <f>40+1</f>
        <v>41</v>
      </c>
      <c r="AP130" s="186">
        <v>53</v>
      </c>
      <c r="AQ130" s="187">
        <f>142+7</f>
        <v>149</v>
      </c>
      <c r="AR130" s="186">
        <v>0</v>
      </c>
      <c r="AS130" s="186">
        <f>10+1</f>
        <v>11</v>
      </c>
      <c r="AT130" s="186">
        <v>8</v>
      </c>
      <c r="AU130" s="187">
        <f>110+14</f>
        <v>124</v>
      </c>
      <c r="AV130" s="186">
        <v>-3</v>
      </c>
      <c r="AW130" s="186">
        <v>3</v>
      </c>
      <c r="AX130" s="186">
        <v>2</v>
      </c>
      <c r="AY130" s="187">
        <v>-6</v>
      </c>
      <c r="AZ130" s="186">
        <f>-9+40</f>
        <v>31</v>
      </c>
      <c r="BA130" s="186">
        <v>39</v>
      </c>
      <c r="BB130" s="186">
        <f>-5+40</f>
        <v>35</v>
      </c>
      <c r="BC130" s="187">
        <f>-12+40</f>
        <v>28</v>
      </c>
      <c r="BD130" s="186">
        <v>-4</v>
      </c>
      <c r="BE130" s="184">
        <f t="shared" si="541"/>
        <v>-4</v>
      </c>
      <c r="BF130" s="184">
        <f t="shared" si="542"/>
        <v>-4</v>
      </c>
      <c r="BG130" s="185">
        <f t="shared" si="543"/>
        <v>-4</v>
      </c>
      <c r="BH130" s="184">
        <f t="shared" si="544"/>
        <v>0</v>
      </c>
      <c r="BI130" s="184">
        <f t="shared" si="545"/>
        <v>0</v>
      </c>
      <c r="BJ130" s="184">
        <f t="shared" si="546"/>
        <v>0</v>
      </c>
      <c r="BK130" s="185">
        <f t="shared" si="547"/>
        <v>0</v>
      </c>
      <c r="BL130" s="184">
        <f t="shared" si="548"/>
        <v>0</v>
      </c>
      <c r="BM130" s="184">
        <f t="shared" si="549"/>
        <v>0</v>
      </c>
      <c r="BN130" s="184">
        <f t="shared" si="550"/>
        <v>0</v>
      </c>
      <c r="BO130" s="185">
        <f t="shared" si="551"/>
        <v>0</v>
      </c>
      <c r="BP130" s="152"/>
      <c r="BQ130" s="184">
        <f t="shared" si="552"/>
        <v>42</v>
      </c>
      <c r="BR130" s="184">
        <f t="shared" si="553"/>
        <v>3000</v>
      </c>
      <c r="BS130" s="184">
        <f t="shared" si="554"/>
        <v>0</v>
      </c>
      <c r="BT130" s="184">
        <f t="shared" si="555"/>
        <v>-19</v>
      </c>
      <c r="BU130" s="184">
        <f t="shared" si="556"/>
        <v>-155</v>
      </c>
      <c r="BV130" s="184">
        <f t="shared" si="557"/>
        <v>-51</v>
      </c>
      <c r="BW130" s="184">
        <f t="shared" si="558"/>
        <v>-5409</v>
      </c>
      <c r="BX130" s="184">
        <f t="shared" si="559"/>
        <v>0</v>
      </c>
      <c r="BY130" s="184">
        <f t="shared" si="560"/>
        <v>21</v>
      </c>
      <c r="BZ130" s="184">
        <f t="shared" si="561"/>
        <v>149</v>
      </c>
      <c r="CA130" s="184">
        <f t="shared" si="562"/>
        <v>124</v>
      </c>
      <c r="CB130" s="184">
        <f t="shared" si="563"/>
        <v>-6</v>
      </c>
      <c r="CC130" s="184">
        <f t="shared" si="564"/>
        <v>28</v>
      </c>
      <c r="CD130" s="184">
        <f t="shared" si="565"/>
        <v>-4</v>
      </c>
      <c r="CE130" s="184">
        <f t="shared" si="566"/>
        <v>0</v>
      </c>
      <c r="CF130" s="185">
        <f t="shared" si="567"/>
        <v>0</v>
      </c>
      <c r="CG130" s="342"/>
      <c r="CH130" s="12"/>
    </row>
    <row r="131" spans="1:86" ht="14.25" customHeight="1" outlineLevel="1" thickBot="1">
      <c r="A131" s="8"/>
      <c r="B131" s="188" t="s">
        <v>237</v>
      </c>
      <c r="C131" s="189"/>
      <c r="D131" s="191">
        <f t="shared" ref="D131:AQ131" si="568">SUM(D125:D130)</f>
        <v>159</v>
      </c>
      <c r="E131" s="190">
        <f t="shared" si="568"/>
        <v>850</v>
      </c>
      <c r="F131" s="190">
        <f t="shared" si="568"/>
        <v>-504</v>
      </c>
      <c r="G131" s="190">
        <f t="shared" si="568"/>
        <v>-1631</v>
      </c>
      <c r="H131" s="191">
        <f t="shared" si="568"/>
        <v>609</v>
      </c>
      <c r="I131" s="190">
        <f t="shared" si="568"/>
        <v>2094</v>
      </c>
      <c r="J131" s="190">
        <f t="shared" si="568"/>
        <v>3062</v>
      </c>
      <c r="K131" s="190">
        <f t="shared" si="568"/>
        <v>3296</v>
      </c>
      <c r="L131" s="191">
        <f t="shared" si="568"/>
        <v>-44</v>
      </c>
      <c r="M131" s="190">
        <f t="shared" si="568"/>
        <v>-171</v>
      </c>
      <c r="N131" s="190">
        <f t="shared" si="568"/>
        <v>-819</v>
      </c>
      <c r="O131" s="190">
        <f t="shared" si="568"/>
        <v>302</v>
      </c>
      <c r="P131" s="191">
        <f t="shared" si="568"/>
        <v>391</v>
      </c>
      <c r="Q131" s="190">
        <f t="shared" si="568"/>
        <v>210</v>
      </c>
      <c r="R131" s="190">
        <f t="shared" si="568"/>
        <v>91</v>
      </c>
      <c r="S131" s="190">
        <f t="shared" si="568"/>
        <v>-1182</v>
      </c>
      <c r="T131" s="191">
        <f t="shared" si="568"/>
        <v>363</v>
      </c>
      <c r="U131" s="190">
        <f t="shared" si="568"/>
        <v>505</v>
      </c>
      <c r="V131" s="190">
        <f t="shared" si="568"/>
        <v>-445</v>
      </c>
      <c r="W131" s="192">
        <f t="shared" si="568"/>
        <v>-1096</v>
      </c>
      <c r="X131" s="191">
        <f t="shared" si="568"/>
        <v>-51</v>
      </c>
      <c r="Y131" s="190">
        <f t="shared" si="568"/>
        <v>153</v>
      </c>
      <c r="Z131" s="190">
        <f t="shared" si="568"/>
        <v>-509</v>
      </c>
      <c r="AA131" s="192">
        <f t="shared" si="568"/>
        <v>-1057</v>
      </c>
      <c r="AB131" s="191">
        <f t="shared" si="568"/>
        <v>63</v>
      </c>
      <c r="AC131" s="190">
        <f t="shared" si="568"/>
        <v>-481</v>
      </c>
      <c r="AD131" s="190">
        <f t="shared" si="568"/>
        <v>-5177</v>
      </c>
      <c r="AE131" s="192">
        <f t="shared" si="568"/>
        <v>-6172</v>
      </c>
      <c r="AF131" s="191">
        <f t="shared" si="568"/>
        <v>270</v>
      </c>
      <c r="AG131" s="190">
        <f t="shared" si="568"/>
        <v>591</v>
      </c>
      <c r="AH131" s="190">
        <f t="shared" si="568"/>
        <v>-850</v>
      </c>
      <c r="AI131" s="192">
        <f t="shared" si="568"/>
        <v>-1039</v>
      </c>
      <c r="AJ131" s="190">
        <f t="shared" si="568"/>
        <v>22</v>
      </c>
      <c r="AK131" s="190">
        <f t="shared" si="568"/>
        <v>331</v>
      </c>
      <c r="AL131" s="190">
        <f t="shared" si="568"/>
        <v>120</v>
      </c>
      <c r="AM131" s="192">
        <f t="shared" si="568"/>
        <v>-3</v>
      </c>
      <c r="AN131" s="190">
        <f>SUM(AN125:AN130)</f>
        <v>-305</v>
      </c>
      <c r="AO131" s="190">
        <f>SUM(AO125:AO130)</f>
        <v>497</v>
      </c>
      <c r="AP131" s="190">
        <f t="shared" si="568"/>
        <v>114</v>
      </c>
      <c r="AQ131" s="192">
        <f t="shared" si="568"/>
        <v>-377</v>
      </c>
      <c r="AR131" s="190">
        <f t="shared" ref="AR131:BD131" si="569">SUM(AR125:AR130)</f>
        <v>158</v>
      </c>
      <c r="AS131" s="190">
        <f t="shared" si="569"/>
        <v>-16</v>
      </c>
      <c r="AT131" s="190">
        <f t="shared" si="569"/>
        <v>373</v>
      </c>
      <c r="AU131" s="192">
        <f t="shared" si="569"/>
        <v>-302</v>
      </c>
      <c r="AV131" s="190">
        <f t="shared" si="569"/>
        <v>573</v>
      </c>
      <c r="AW131" s="190">
        <f t="shared" si="569"/>
        <v>638</v>
      </c>
      <c r="AX131" s="190">
        <f>SUM(AX125:AX130)</f>
        <v>35</v>
      </c>
      <c r="AY131" s="192">
        <f t="shared" ref="AY131:BA131" si="570">SUM(AY125:AY130)</f>
        <v>-650</v>
      </c>
      <c r="AZ131" s="190">
        <f t="shared" si="570"/>
        <v>267</v>
      </c>
      <c r="BA131" s="190">
        <f t="shared" si="570"/>
        <v>259</v>
      </c>
      <c r="BB131" s="190">
        <f>SUM(BB125:BB130)</f>
        <v>-229</v>
      </c>
      <c r="BC131" s="192">
        <f t="shared" si="569"/>
        <v>-1127</v>
      </c>
      <c r="BD131" s="190">
        <f t="shared" si="569"/>
        <v>266</v>
      </c>
      <c r="BE131" s="190">
        <f t="shared" ref="BE131:BG131" si="571">SUM(BE125:BE130)</f>
        <v>69.249625079622547</v>
      </c>
      <c r="BF131" s="190">
        <f t="shared" si="571"/>
        <v>-140.10253725264192</v>
      </c>
      <c r="BG131" s="192">
        <f t="shared" si="571"/>
        <v>-337.36490048916016</v>
      </c>
      <c r="BH131" s="190">
        <f t="shared" ref="BH131:BK131" si="572">SUM(BH125:BH130)</f>
        <v>-154.02432575675084</v>
      </c>
      <c r="BI131" s="190">
        <f t="shared" si="572"/>
        <v>-317.5998073224747</v>
      </c>
      <c r="BJ131" s="190">
        <f t="shared" si="572"/>
        <v>-491.22915868763096</v>
      </c>
      <c r="BK131" s="192">
        <f t="shared" si="572"/>
        <v>-654.30175284243592</v>
      </c>
      <c r="BL131" s="190">
        <f t="shared" ref="BL131:BO131" si="573">SUM(BL125:BL130)</f>
        <v>-158.96222707352942</v>
      </c>
      <c r="BM131" s="190">
        <f t="shared" si="573"/>
        <v>-327.73181883078871</v>
      </c>
      <c r="BN131" s="190">
        <f t="shared" si="573"/>
        <v>-506.77159319141566</v>
      </c>
      <c r="BO131" s="192">
        <f t="shared" si="573"/>
        <v>-675.02048070393766</v>
      </c>
      <c r="BP131" s="152"/>
      <c r="BQ131" s="190">
        <f t="shared" ref="BQ131:BZ131" si="574">SUM(BQ125:BQ130)</f>
        <v>-1631</v>
      </c>
      <c r="BR131" s="190">
        <f t="shared" si="574"/>
        <v>3296</v>
      </c>
      <c r="BS131" s="190">
        <f t="shared" si="574"/>
        <v>302</v>
      </c>
      <c r="BT131" s="190">
        <f t="shared" si="574"/>
        <v>-1182</v>
      </c>
      <c r="BU131" s="190">
        <f t="shared" si="574"/>
        <v>-1096</v>
      </c>
      <c r="BV131" s="190">
        <f t="shared" si="574"/>
        <v>-1057</v>
      </c>
      <c r="BW131" s="190">
        <f t="shared" si="574"/>
        <v>-6172</v>
      </c>
      <c r="BX131" s="190">
        <f t="shared" si="574"/>
        <v>-1039</v>
      </c>
      <c r="BY131" s="190">
        <f t="shared" si="574"/>
        <v>-3</v>
      </c>
      <c r="BZ131" s="190">
        <f t="shared" si="574"/>
        <v>-377</v>
      </c>
      <c r="CA131" s="190">
        <f t="shared" ref="CA131:CF131" si="575">SUM(CA125:CA130)</f>
        <v>-302</v>
      </c>
      <c r="CB131" s="190">
        <f t="shared" si="575"/>
        <v>-650</v>
      </c>
      <c r="CC131" s="190">
        <f t="shared" si="575"/>
        <v>-1127</v>
      </c>
      <c r="CD131" s="190">
        <f t="shared" si="575"/>
        <v>-337.36490048916016</v>
      </c>
      <c r="CE131" s="190">
        <f t="shared" si="575"/>
        <v>-654.30175284243592</v>
      </c>
      <c r="CF131" s="192">
        <f t="shared" si="575"/>
        <v>-675.02048070393766</v>
      </c>
      <c r="CG131" s="342"/>
      <c r="CH131" s="8"/>
    </row>
    <row r="132" spans="1:86" ht="14.25" customHeight="1" outlineLevel="1" thickTop="1">
      <c r="A132" s="8"/>
      <c r="B132" s="342"/>
      <c r="C132" s="21"/>
      <c r="D132" s="574"/>
      <c r="E132" s="186"/>
      <c r="F132" s="193"/>
      <c r="G132" s="187"/>
      <c r="H132" s="574"/>
      <c r="I132" s="186"/>
      <c r="J132" s="193"/>
      <c r="K132" s="187"/>
      <c r="L132" s="574"/>
      <c r="M132" s="186"/>
      <c r="N132" s="193"/>
      <c r="O132" s="187"/>
      <c r="P132" s="574"/>
      <c r="Q132" s="186"/>
      <c r="R132" s="193"/>
      <c r="S132" s="187"/>
      <c r="T132" s="574"/>
      <c r="U132" s="186"/>
      <c r="V132" s="193"/>
      <c r="W132" s="187"/>
      <c r="X132" s="574"/>
      <c r="Y132" s="186"/>
      <c r="Z132" s="186"/>
      <c r="AA132" s="187"/>
      <c r="AB132" s="574"/>
      <c r="AC132" s="186"/>
      <c r="AD132" s="186"/>
      <c r="AE132" s="187"/>
      <c r="AF132" s="574"/>
      <c r="AG132" s="186"/>
      <c r="AH132" s="186"/>
      <c r="AI132" s="187"/>
      <c r="AJ132" s="186"/>
      <c r="AK132" s="186"/>
      <c r="AL132" s="186"/>
      <c r="AM132" s="187"/>
      <c r="AN132" s="186"/>
      <c r="AO132" s="186"/>
      <c r="AP132" s="186"/>
      <c r="AQ132" s="187"/>
      <c r="AR132" s="186"/>
      <c r="AS132" s="186"/>
      <c r="AT132" s="186"/>
      <c r="AU132" s="187"/>
      <c r="AV132" s="186"/>
      <c r="AW132" s="186"/>
      <c r="AX132" s="186"/>
      <c r="AY132" s="187"/>
      <c r="AZ132" s="186"/>
      <c r="BA132" s="186"/>
      <c r="BB132" s="186"/>
      <c r="BC132" s="187"/>
      <c r="BD132" s="186"/>
      <c r="BE132" s="186"/>
      <c r="BF132" s="186"/>
      <c r="BG132" s="187"/>
      <c r="BH132" s="186"/>
      <c r="BI132" s="186"/>
      <c r="BJ132" s="186"/>
      <c r="BK132" s="187"/>
      <c r="BL132" s="186"/>
      <c r="BM132" s="186"/>
      <c r="BN132" s="186"/>
      <c r="BO132" s="187"/>
      <c r="BP132" s="152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7"/>
      <c r="CG132" s="342"/>
      <c r="CH132" s="8"/>
    </row>
    <row r="133" spans="1:86" ht="14.25" customHeight="1" outlineLevel="1">
      <c r="A133" s="8"/>
      <c r="B133" s="578" t="s">
        <v>238</v>
      </c>
      <c r="C133" s="194"/>
      <c r="D133" s="574"/>
      <c r="E133" s="186"/>
      <c r="F133" s="186"/>
      <c r="G133" s="187"/>
      <c r="H133" s="574"/>
      <c r="I133" s="186"/>
      <c r="J133" s="186"/>
      <c r="K133" s="187"/>
      <c r="L133" s="574"/>
      <c r="M133" s="186"/>
      <c r="N133" s="186"/>
      <c r="O133" s="187"/>
      <c r="P133" s="574"/>
      <c r="Q133" s="186"/>
      <c r="R133" s="186"/>
      <c r="S133" s="187"/>
      <c r="T133" s="574"/>
      <c r="U133" s="186"/>
      <c r="V133" s="186"/>
      <c r="W133" s="187"/>
      <c r="X133" s="574"/>
      <c r="Y133" s="186"/>
      <c r="Z133" s="195"/>
      <c r="AA133" s="187"/>
      <c r="AB133" s="574"/>
      <c r="AC133" s="186"/>
      <c r="AD133" s="186"/>
      <c r="AE133" s="187"/>
      <c r="AF133" s="574"/>
      <c r="AG133" s="186"/>
      <c r="AH133" s="186"/>
      <c r="AI133" s="187"/>
      <c r="AJ133" s="186"/>
      <c r="AK133" s="186"/>
      <c r="AL133" s="186"/>
      <c r="AM133" s="187"/>
      <c r="AN133" s="186"/>
      <c r="AO133" s="186"/>
      <c r="AP133" s="186"/>
      <c r="AQ133" s="187"/>
      <c r="AR133" s="186"/>
      <c r="AS133" s="186"/>
      <c r="AT133" s="186"/>
      <c r="AU133" s="187"/>
      <c r="AV133" s="186"/>
      <c r="AW133" s="186"/>
      <c r="AX133" s="186"/>
      <c r="AY133" s="187"/>
      <c r="AZ133" s="186"/>
      <c r="BA133" s="186"/>
      <c r="BB133" s="186"/>
      <c r="BC133" s="187"/>
      <c r="BD133" s="186"/>
      <c r="BE133" s="186"/>
      <c r="BF133" s="186"/>
      <c r="BG133" s="187"/>
      <c r="BH133" s="186"/>
      <c r="BI133" s="186"/>
      <c r="BJ133" s="186"/>
      <c r="BK133" s="187"/>
      <c r="BL133" s="186"/>
      <c r="BM133" s="186"/>
      <c r="BN133" s="186"/>
      <c r="BO133" s="187"/>
      <c r="BP133" s="152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7"/>
      <c r="CG133" s="342"/>
      <c r="CH133" s="8"/>
    </row>
    <row r="134" spans="1:86" ht="14.25" customHeight="1" outlineLevel="1">
      <c r="A134" s="12"/>
      <c r="B134" s="336" t="s">
        <v>42</v>
      </c>
      <c r="C134" s="194"/>
      <c r="D134" s="574">
        <v>0</v>
      </c>
      <c r="E134" s="186">
        <v>-10</v>
      </c>
      <c r="F134" s="186">
        <v>-10</v>
      </c>
      <c r="G134" s="187">
        <v>264</v>
      </c>
      <c r="H134" s="574">
        <v>-311</v>
      </c>
      <c r="I134" s="186">
        <v>-586</v>
      </c>
      <c r="J134" s="186">
        <v>-586</v>
      </c>
      <c r="K134" s="187">
        <v>-586</v>
      </c>
      <c r="L134" s="574">
        <v>0</v>
      </c>
      <c r="M134" s="186">
        <v>-43</v>
      </c>
      <c r="N134" s="186">
        <v>-43</v>
      </c>
      <c r="O134" s="187">
        <v>-43</v>
      </c>
      <c r="P134" s="574">
        <v>0</v>
      </c>
      <c r="Q134" s="186">
        <v>0</v>
      </c>
      <c r="R134" s="186">
        <v>0</v>
      </c>
      <c r="S134" s="187">
        <v>0</v>
      </c>
      <c r="T134" s="574">
        <v>0</v>
      </c>
      <c r="U134" s="186">
        <v>0</v>
      </c>
      <c r="V134" s="186">
        <v>0</v>
      </c>
      <c r="W134" s="187">
        <v>0</v>
      </c>
      <c r="X134" s="574">
        <v>0</v>
      </c>
      <c r="Y134" s="186">
        <v>0</v>
      </c>
      <c r="Z134" s="186">
        <v>0</v>
      </c>
      <c r="AA134" s="187">
        <v>0</v>
      </c>
      <c r="AB134" s="574">
        <v>0</v>
      </c>
      <c r="AC134" s="186">
        <v>3497</v>
      </c>
      <c r="AD134" s="186">
        <v>4697</v>
      </c>
      <c r="AE134" s="187">
        <v>4485</v>
      </c>
      <c r="AF134" s="574">
        <v>-300</v>
      </c>
      <c r="AG134" s="186">
        <v>-875</v>
      </c>
      <c r="AH134" s="186">
        <v>110</v>
      </c>
      <c r="AI134" s="187">
        <v>107</v>
      </c>
      <c r="AJ134" s="186">
        <v>0</v>
      </c>
      <c r="AK134" s="186">
        <v>-1500</v>
      </c>
      <c r="AL134" s="186">
        <v>-1500</v>
      </c>
      <c r="AM134" s="187">
        <f>986-1500</f>
        <v>-514</v>
      </c>
      <c r="AN134" s="186">
        <v>498</v>
      </c>
      <c r="AO134" s="186">
        <v>-1000</v>
      </c>
      <c r="AP134" s="186">
        <v>-1000</v>
      </c>
      <c r="AQ134" s="187">
        <f>498-1000</f>
        <v>-502</v>
      </c>
      <c r="AR134" s="186">
        <v>0</v>
      </c>
      <c r="AS134" s="186">
        <v>-250</v>
      </c>
      <c r="AT134" s="186">
        <v>-1000</v>
      </c>
      <c r="AU134" s="187">
        <v>-1000</v>
      </c>
      <c r="AV134" s="186">
        <v>0</v>
      </c>
      <c r="AW134" s="186">
        <f>-1000+499</f>
        <v>-501</v>
      </c>
      <c r="AX134" s="186">
        <v>-1000</v>
      </c>
      <c r="AY134" s="187">
        <f>-1000+499</f>
        <v>-501</v>
      </c>
      <c r="AZ134" s="186">
        <v>-250</v>
      </c>
      <c r="BA134" s="186">
        <f>-625+605</f>
        <v>-20</v>
      </c>
      <c r="BB134" s="186">
        <v>-625</v>
      </c>
      <c r="BC134" s="187">
        <f>1099-625</f>
        <v>474</v>
      </c>
      <c r="BD134" s="186">
        <v>0</v>
      </c>
      <c r="BE134" s="184">
        <f t="shared" ref="BE134:BE138" si="576">BD134+BE39</f>
        <v>0</v>
      </c>
      <c r="BF134" s="184">
        <f t="shared" ref="BF134:BF138" si="577">BE134+BF39</f>
        <v>0</v>
      </c>
      <c r="BG134" s="185">
        <f t="shared" ref="BG134:BG138" si="578">BF134+BG39</f>
        <v>0</v>
      </c>
      <c r="BH134" s="184">
        <f>BH39</f>
        <v>0</v>
      </c>
      <c r="BI134" s="184">
        <f t="shared" ref="BI134:BI138" si="579">BH134+BI39</f>
        <v>0</v>
      </c>
      <c r="BJ134" s="184">
        <f t="shared" ref="BJ134:BJ138" si="580">BI134+BJ39</f>
        <v>0</v>
      </c>
      <c r="BK134" s="185">
        <f t="shared" ref="BK134:BK138" si="581">BJ134+BK39</f>
        <v>0</v>
      </c>
      <c r="BL134" s="184">
        <f>BL39</f>
        <v>0</v>
      </c>
      <c r="BM134" s="184">
        <f t="shared" ref="BM134:BM138" si="582">BL134+BM39</f>
        <v>0</v>
      </c>
      <c r="BN134" s="184">
        <f t="shared" ref="BN134:BN138" si="583">BM134+BN39</f>
        <v>0</v>
      </c>
      <c r="BO134" s="185">
        <f t="shared" ref="BO134:BO138" si="584">BN134+BO39</f>
        <v>0</v>
      </c>
      <c r="BP134" s="152"/>
      <c r="BQ134" s="184">
        <f>G134</f>
        <v>264</v>
      </c>
      <c r="BR134" s="184">
        <f>K134</f>
        <v>-586</v>
      </c>
      <c r="BS134" s="184">
        <f>O134</f>
        <v>-43</v>
      </c>
      <c r="BT134" s="184">
        <f>S134</f>
        <v>0</v>
      </c>
      <c r="BU134" s="184">
        <f>W134</f>
        <v>0</v>
      </c>
      <c r="BV134" s="184">
        <f>AA134</f>
        <v>0</v>
      </c>
      <c r="BW134" s="184">
        <f>AE134</f>
        <v>4485</v>
      </c>
      <c r="BX134" s="184">
        <f>AI134</f>
        <v>107</v>
      </c>
      <c r="BY134" s="184">
        <f>AM134</f>
        <v>-514</v>
      </c>
      <c r="BZ134" s="184">
        <f>AQ134</f>
        <v>-502</v>
      </c>
      <c r="CA134" s="184">
        <f>AU134</f>
        <v>-1000</v>
      </c>
      <c r="CB134" s="184">
        <f>AY134</f>
        <v>-501</v>
      </c>
      <c r="CC134" s="184">
        <f>BC134</f>
        <v>474</v>
      </c>
      <c r="CD134" s="184">
        <f>BG134</f>
        <v>0</v>
      </c>
      <c r="CE134" s="184">
        <f t="shared" ref="CE134:CE138" si="585">BK134</f>
        <v>0</v>
      </c>
      <c r="CF134" s="185">
        <f t="shared" ref="CF134:CF138" si="586">BO134</f>
        <v>0</v>
      </c>
      <c r="CG134" s="342"/>
      <c r="CH134" s="12"/>
    </row>
    <row r="135" spans="1:86" ht="14.25" customHeight="1" outlineLevel="1">
      <c r="A135" s="12"/>
      <c r="B135" s="336" t="s">
        <v>327</v>
      </c>
      <c r="C135" s="24"/>
      <c r="D135" s="574">
        <v>-43</v>
      </c>
      <c r="E135" s="186">
        <v>-84</v>
      </c>
      <c r="F135" s="186">
        <v>-125</v>
      </c>
      <c r="G135" s="187">
        <v>-173</v>
      </c>
      <c r="H135" s="574">
        <v>-48</v>
      </c>
      <c r="I135" s="186">
        <v>-95</v>
      </c>
      <c r="J135" s="186">
        <v>-141</v>
      </c>
      <c r="K135" s="187">
        <v>-199</v>
      </c>
      <c r="L135" s="574">
        <v>-58</v>
      </c>
      <c r="M135" s="186">
        <v>-173</v>
      </c>
      <c r="N135" s="186">
        <v>-287</v>
      </c>
      <c r="O135" s="187">
        <v>-425</v>
      </c>
      <c r="P135" s="574">
        <v>-133</v>
      </c>
      <c r="Q135" s="186">
        <v>-265</v>
      </c>
      <c r="R135" s="186">
        <v>-396</v>
      </c>
      <c r="S135" s="187">
        <v>-537</v>
      </c>
      <c r="T135" s="574">
        <v>-141</v>
      </c>
      <c r="U135" s="186">
        <v>-280</v>
      </c>
      <c r="V135" s="186">
        <v>-418</v>
      </c>
      <c r="W135" s="187">
        <v>-567</v>
      </c>
      <c r="X135" s="574">
        <v>-149</v>
      </c>
      <c r="Y135" s="186">
        <v>-296</v>
      </c>
      <c r="Z135" s="186">
        <v>-439</v>
      </c>
      <c r="AA135" s="187">
        <v>-592</v>
      </c>
      <c r="AB135" s="574">
        <v>-153</v>
      </c>
      <c r="AC135" s="186">
        <v>-303</v>
      </c>
      <c r="AD135" s="186">
        <v>-451</v>
      </c>
      <c r="AE135" s="187">
        <v>-644</v>
      </c>
      <c r="AF135" s="574">
        <v>-195</v>
      </c>
      <c r="AG135" s="186">
        <v>-390</v>
      </c>
      <c r="AH135" s="186">
        <v>-584</v>
      </c>
      <c r="AI135" s="187">
        <v>-819</v>
      </c>
      <c r="AJ135" s="186">
        <v>-232</v>
      </c>
      <c r="AK135" s="186">
        <v>-541</v>
      </c>
      <c r="AL135" s="186">
        <v>-849</v>
      </c>
      <c r="AM135" s="187">
        <v>-1175</v>
      </c>
      <c r="AN135" s="186">
        <v>-325</v>
      </c>
      <c r="AO135" s="186">
        <v>-648</v>
      </c>
      <c r="AP135" s="186">
        <v>-967</v>
      </c>
      <c r="AQ135" s="187">
        <v>-1323</v>
      </c>
      <c r="AR135" s="186">
        <v>-356</v>
      </c>
      <c r="AS135" s="186">
        <v>-710</v>
      </c>
      <c r="AT135" s="186">
        <v>-1058</v>
      </c>
      <c r="AU135" s="187">
        <v>-1444</v>
      </c>
      <c r="AV135" s="186">
        <v>-383</v>
      </c>
      <c r="AW135" s="186">
        <v>-765</v>
      </c>
      <c r="AX135" s="186">
        <v>-1147</v>
      </c>
      <c r="AY135" s="187">
        <v>-1646</v>
      </c>
      <c r="AZ135" s="186">
        <v>-500</v>
      </c>
      <c r="BA135" s="186">
        <v>-998</v>
      </c>
      <c r="BB135" s="186">
        <v>-1493</v>
      </c>
      <c r="BC135" s="187">
        <v>-2104</v>
      </c>
      <c r="BD135" s="186">
        <v>-611</v>
      </c>
      <c r="BE135" s="184">
        <f t="shared" si="576"/>
        <v>-1231.6199999999999</v>
      </c>
      <c r="BF135" s="184">
        <f t="shared" si="577"/>
        <v>-1849.7599999999998</v>
      </c>
      <c r="BG135" s="185">
        <f t="shared" si="578"/>
        <v>-2465.4199999999996</v>
      </c>
      <c r="BH135" s="184">
        <f>BH40</f>
        <v>-494.5</v>
      </c>
      <c r="BI135" s="184">
        <f t="shared" si="579"/>
        <v>-987</v>
      </c>
      <c r="BJ135" s="184">
        <f t="shared" si="580"/>
        <v>-1477.5</v>
      </c>
      <c r="BK135" s="185">
        <f t="shared" si="581"/>
        <v>-1966</v>
      </c>
      <c r="BL135" s="184">
        <f>BL40</f>
        <v>-486.5</v>
      </c>
      <c r="BM135" s="184">
        <f t="shared" si="582"/>
        <v>-971</v>
      </c>
      <c r="BN135" s="184">
        <f t="shared" si="583"/>
        <v>-1453.5</v>
      </c>
      <c r="BO135" s="185">
        <f t="shared" si="584"/>
        <v>-1934</v>
      </c>
      <c r="BP135" s="152"/>
      <c r="BQ135" s="184">
        <f>G135</f>
        <v>-173</v>
      </c>
      <c r="BR135" s="184">
        <f>K135</f>
        <v>-199</v>
      </c>
      <c r="BS135" s="184">
        <f>O135</f>
        <v>-425</v>
      </c>
      <c r="BT135" s="184">
        <f>S135</f>
        <v>-537</v>
      </c>
      <c r="BU135" s="184">
        <f>W135</f>
        <v>-567</v>
      </c>
      <c r="BV135" s="184">
        <f>AA135</f>
        <v>-592</v>
      </c>
      <c r="BW135" s="184">
        <f>AE135</f>
        <v>-644</v>
      </c>
      <c r="BX135" s="184">
        <f>AI135</f>
        <v>-819</v>
      </c>
      <c r="BY135" s="184">
        <f>AM135</f>
        <v>-1175</v>
      </c>
      <c r="BZ135" s="184">
        <f>AQ135</f>
        <v>-1323</v>
      </c>
      <c r="CA135" s="184">
        <f>AU135</f>
        <v>-1444</v>
      </c>
      <c r="CB135" s="184">
        <f>AY135</f>
        <v>-1646</v>
      </c>
      <c r="CC135" s="184">
        <f>BC135</f>
        <v>-2104</v>
      </c>
      <c r="CD135" s="184">
        <f>BG135</f>
        <v>-2465.4199999999996</v>
      </c>
      <c r="CE135" s="184">
        <f t="shared" si="585"/>
        <v>-1966</v>
      </c>
      <c r="CF135" s="185">
        <f t="shared" si="586"/>
        <v>-1934</v>
      </c>
      <c r="CG135" s="342"/>
      <c r="CH135" s="12"/>
    </row>
    <row r="136" spans="1:86" ht="14.25" customHeight="1" outlineLevel="1">
      <c r="A136" s="12"/>
      <c r="B136" s="336" t="s">
        <v>292</v>
      </c>
      <c r="C136" s="24"/>
      <c r="D136" s="574">
        <v>57</v>
      </c>
      <c r="E136" s="186">
        <v>173</v>
      </c>
      <c r="F136" s="186">
        <v>333</v>
      </c>
      <c r="G136" s="187">
        <v>461</v>
      </c>
      <c r="H136" s="574">
        <v>142</v>
      </c>
      <c r="I136" s="186">
        <v>279</v>
      </c>
      <c r="J136" s="186">
        <v>361</v>
      </c>
      <c r="K136" s="187">
        <v>418</v>
      </c>
      <c r="L136" s="574">
        <v>154</v>
      </c>
      <c r="M136" s="186">
        <v>528</v>
      </c>
      <c r="N136" s="186">
        <v>694</v>
      </c>
      <c r="O136" s="187">
        <v>761</v>
      </c>
      <c r="P136" s="574">
        <v>76</v>
      </c>
      <c r="Q136" s="186">
        <v>165</v>
      </c>
      <c r="R136" s="186">
        <v>195</v>
      </c>
      <c r="S136" s="187">
        <v>210</v>
      </c>
      <c r="T136" s="574">
        <v>18</v>
      </c>
      <c r="U136" s="186">
        <v>37</v>
      </c>
      <c r="V136" s="186">
        <v>71</v>
      </c>
      <c r="W136" s="187">
        <v>109</v>
      </c>
      <c r="X136" s="574">
        <v>29</v>
      </c>
      <c r="Y136" s="186">
        <v>79</v>
      </c>
      <c r="Z136" s="186">
        <v>120</v>
      </c>
      <c r="AA136" s="187">
        <v>407</v>
      </c>
      <c r="AB136" s="574">
        <v>350</v>
      </c>
      <c r="AC136" s="186">
        <v>530</v>
      </c>
      <c r="AD136" s="186">
        <v>564</v>
      </c>
      <c r="AE136" s="187">
        <f>690+31</f>
        <v>721</v>
      </c>
      <c r="AF136" s="574">
        <f>259+18</f>
        <v>277</v>
      </c>
      <c r="AG136" s="186">
        <f>327+23</f>
        <v>350</v>
      </c>
      <c r="AH136" s="186">
        <f>390+26</f>
        <v>416</v>
      </c>
      <c r="AI136" s="187">
        <f>523+38</f>
        <v>561</v>
      </c>
      <c r="AJ136" s="186">
        <f>454+52</f>
        <v>506</v>
      </c>
      <c r="AK136" s="186">
        <f>797+63</f>
        <v>860</v>
      </c>
      <c r="AL136" s="186">
        <f>1146+72</f>
        <v>1218</v>
      </c>
      <c r="AM136" s="187">
        <f>1314+80</f>
        <v>1394</v>
      </c>
      <c r="AN136" s="186">
        <f>283+49</f>
        <v>332</v>
      </c>
      <c r="AO136" s="186">
        <f>408+64</f>
        <v>472</v>
      </c>
      <c r="AP136" s="186">
        <v>540</v>
      </c>
      <c r="AQ136" s="187">
        <v>616</v>
      </c>
      <c r="AR136" s="186">
        <v>246</v>
      </c>
      <c r="AS136" s="186">
        <f>297+64</f>
        <v>361</v>
      </c>
      <c r="AT136" s="186">
        <v>332</v>
      </c>
      <c r="AU136" s="187">
        <v>442</v>
      </c>
      <c r="AV136" s="186">
        <v>0</v>
      </c>
      <c r="AW136" s="186">
        <v>325</v>
      </c>
      <c r="AX136" s="186">
        <v>484</v>
      </c>
      <c r="AY136" s="187">
        <v>472</v>
      </c>
      <c r="AZ136" s="186">
        <v>161</v>
      </c>
      <c r="BA136" s="186">
        <v>245</v>
      </c>
      <c r="BB136" s="186">
        <v>321</v>
      </c>
      <c r="BC136" s="187">
        <v>483</v>
      </c>
      <c r="BD136" s="186">
        <v>178</v>
      </c>
      <c r="BE136" s="184">
        <f t="shared" si="576"/>
        <v>178</v>
      </c>
      <c r="BF136" s="184">
        <f t="shared" si="577"/>
        <v>178</v>
      </c>
      <c r="BG136" s="185">
        <f t="shared" si="578"/>
        <v>178</v>
      </c>
      <c r="BH136" s="184">
        <f>BH41</f>
        <v>0</v>
      </c>
      <c r="BI136" s="184">
        <f t="shared" si="579"/>
        <v>0</v>
      </c>
      <c r="BJ136" s="184">
        <f t="shared" si="580"/>
        <v>0</v>
      </c>
      <c r="BK136" s="185">
        <f t="shared" si="581"/>
        <v>0</v>
      </c>
      <c r="BL136" s="184">
        <f>BL41</f>
        <v>0</v>
      </c>
      <c r="BM136" s="184">
        <f t="shared" si="582"/>
        <v>0</v>
      </c>
      <c r="BN136" s="184">
        <f t="shared" si="583"/>
        <v>0</v>
      </c>
      <c r="BO136" s="185">
        <f t="shared" si="584"/>
        <v>0</v>
      </c>
      <c r="BP136" s="152"/>
      <c r="BQ136" s="184">
        <f>G136</f>
        <v>461</v>
      </c>
      <c r="BR136" s="184">
        <f>K136</f>
        <v>418</v>
      </c>
      <c r="BS136" s="184">
        <f>O136</f>
        <v>761</v>
      </c>
      <c r="BT136" s="184">
        <f>S136</f>
        <v>210</v>
      </c>
      <c r="BU136" s="184">
        <f>W136</f>
        <v>109</v>
      </c>
      <c r="BV136" s="184">
        <f>AA136</f>
        <v>407</v>
      </c>
      <c r="BW136" s="184">
        <f>AE136</f>
        <v>721</v>
      </c>
      <c r="BX136" s="184">
        <f>AI136</f>
        <v>561</v>
      </c>
      <c r="BY136" s="184">
        <f>AM136</f>
        <v>1394</v>
      </c>
      <c r="BZ136" s="184">
        <f>AQ136</f>
        <v>616</v>
      </c>
      <c r="CA136" s="184">
        <f>AU136</f>
        <v>442</v>
      </c>
      <c r="CB136" s="184">
        <f>AY136</f>
        <v>472</v>
      </c>
      <c r="CC136" s="184">
        <f>BC136</f>
        <v>483</v>
      </c>
      <c r="CD136" s="184">
        <f>BG136</f>
        <v>178</v>
      </c>
      <c r="CE136" s="184">
        <f t="shared" si="585"/>
        <v>0</v>
      </c>
      <c r="CF136" s="185">
        <f t="shared" si="586"/>
        <v>0</v>
      </c>
      <c r="CG136" s="342"/>
      <c r="CH136" s="12"/>
    </row>
    <row r="137" spans="1:86" ht="14.25" customHeight="1" outlineLevel="1">
      <c r="A137" s="12"/>
      <c r="B137" s="336" t="s">
        <v>289</v>
      </c>
      <c r="C137" s="24"/>
      <c r="D137" s="574">
        <v>-1493</v>
      </c>
      <c r="E137" s="186">
        <v>-2785</v>
      </c>
      <c r="F137" s="186">
        <v>-3281</v>
      </c>
      <c r="G137" s="187">
        <v>-4151</v>
      </c>
      <c r="H137" s="574">
        <v>-1440</v>
      </c>
      <c r="I137" s="186">
        <v>-2477</v>
      </c>
      <c r="J137" s="186">
        <v>-4172</v>
      </c>
      <c r="K137" s="187">
        <v>-5302</v>
      </c>
      <c r="L137" s="574">
        <v>-857</v>
      </c>
      <c r="M137" s="186">
        <v>-1599</v>
      </c>
      <c r="N137" s="186">
        <v>-3008</v>
      </c>
      <c r="O137" s="187">
        <v>-4886</v>
      </c>
      <c r="P137" s="574">
        <v>-874</v>
      </c>
      <c r="Q137" s="186">
        <v>16</v>
      </c>
      <c r="R137" s="186">
        <v>-1736</v>
      </c>
      <c r="S137" s="187">
        <v>-2122</v>
      </c>
      <c r="T137" s="574">
        <v>-101</v>
      </c>
      <c r="U137" s="186">
        <v>-351</v>
      </c>
      <c r="V137" s="186">
        <v>-602</v>
      </c>
      <c r="W137" s="187">
        <v>-954</v>
      </c>
      <c r="X137" s="574">
        <v>-504</v>
      </c>
      <c r="Y137" s="186">
        <v>-1254</v>
      </c>
      <c r="Z137" s="186">
        <v>-1854</v>
      </c>
      <c r="AA137" s="187">
        <v>-2454</v>
      </c>
      <c r="AB137" s="574">
        <v>-771</v>
      </c>
      <c r="AC137" s="186">
        <v>-1223</v>
      </c>
      <c r="AD137" s="186">
        <v>-1673</v>
      </c>
      <c r="AE137" s="187">
        <v>-1973</v>
      </c>
      <c r="AF137" s="574">
        <v>-300</v>
      </c>
      <c r="AG137" s="186">
        <v>-600</v>
      </c>
      <c r="AH137" s="186">
        <v>-1200</v>
      </c>
      <c r="AI137" s="187">
        <v>-1800</v>
      </c>
      <c r="AJ137" s="186">
        <v>-679</v>
      </c>
      <c r="AK137" s="186">
        <v>-1400</v>
      </c>
      <c r="AL137" s="186">
        <v>-2134</v>
      </c>
      <c r="AM137" s="187">
        <v>-2868</v>
      </c>
      <c r="AN137" s="186">
        <v>-720</v>
      </c>
      <c r="AO137" s="186">
        <v>-1463</v>
      </c>
      <c r="AP137" s="186">
        <v>-2133</v>
      </c>
      <c r="AQ137" s="187">
        <v>-2831</v>
      </c>
      <c r="AR137" s="186">
        <v>-670</v>
      </c>
      <c r="AS137" s="186">
        <v>-1324</v>
      </c>
      <c r="AT137" s="186">
        <v>-2114</v>
      </c>
      <c r="AU137" s="187">
        <v>-2741</v>
      </c>
      <c r="AV137" s="186">
        <v>-630</v>
      </c>
      <c r="AW137" s="186">
        <v>-1157</v>
      </c>
      <c r="AX137" s="186">
        <v>-1657</v>
      </c>
      <c r="AY137" s="187">
        <v>-2132</v>
      </c>
      <c r="AZ137" s="186">
        <v>-550</v>
      </c>
      <c r="BA137" s="186">
        <v>-1200</v>
      </c>
      <c r="BB137" s="186">
        <v>-1850</v>
      </c>
      <c r="BC137" s="187">
        <v>-2556</v>
      </c>
      <c r="BD137" s="186">
        <v>-873</v>
      </c>
      <c r="BE137" s="184">
        <f t="shared" si="576"/>
        <v>-1746</v>
      </c>
      <c r="BF137" s="184">
        <f t="shared" si="577"/>
        <v>-2619</v>
      </c>
      <c r="BG137" s="185">
        <f t="shared" si="578"/>
        <v>-3492</v>
      </c>
      <c r="BH137" s="184">
        <f>BH42</f>
        <v>-873</v>
      </c>
      <c r="BI137" s="184">
        <f t="shared" si="579"/>
        <v>-1746</v>
      </c>
      <c r="BJ137" s="184">
        <f t="shared" si="580"/>
        <v>-2619</v>
      </c>
      <c r="BK137" s="185">
        <f t="shared" si="581"/>
        <v>-3492</v>
      </c>
      <c r="BL137" s="184">
        <f>BL42</f>
        <v>-873</v>
      </c>
      <c r="BM137" s="184">
        <f t="shared" si="582"/>
        <v>-1746</v>
      </c>
      <c r="BN137" s="184">
        <f t="shared" si="583"/>
        <v>-2619</v>
      </c>
      <c r="BO137" s="185">
        <f t="shared" si="584"/>
        <v>-3492</v>
      </c>
      <c r="BP137" s="152"/>
      <c r="BQ137" s="184">
        <f>G137</f>
        <v>-4151</v>
      </c>
      <c r="BR137" s="184">
        <f>K137</f>
        <v>-5302</v>
      </c>
      <c r="BS137" s="184">
        <f>O137</f>
        <v>-4886</v>
      </c>
      <c r="BT137" s="184">
        <f>S137</f>
        <v>-2122</v>
      </c>
      <c r="BU137" s="184">
        <f>W137</f>
        <v>-954</v>
      </c>
      <c r="BV137" s="184">
        <f>AA137</f>
        <v>-2454</v>
      </c>
      <c r="BW137" s="184">
        <f>AE137</f>
        <v>-1973</v>
      </c>
      <c r="BX137" s="184">
        <f>AI137</f>
        <v>-1800</v>
      </c>
      <c r="BY137" s="184">
        <f>AM137</f>
        <v>-2868</v>
      </c>
      <c r="BZ137" s="184">
        <f>AQ137</f>
        <v>-2831</v>
      </c>
      <c r="CA137" s="184">
        <f>AU137</f>
        <v>-2741</v>
      </c>
      <c r="CB137" s="184">
        <f>AY137</f>
        <v>-2132</v>
      </c>
      <c r="CC137" s="184">
        <f>BC137</f>
        <v>-2556</v>
      </c>
      <c r="CD137" s="184">
        <f>BG137</f>
        <v>-3492</v>
      </c>
      <c r="CE137" s="184">
        <f t="shared" si="585"/>
        <v>-3492</v>
      </c>
      <c r="CF137" s="185">
        <f t="shared" si="586"/>
        <v>-3492</v>
      </c>
      <c r="CG137" s="342"/>
      <c r="CH137" s="12"/>
    </row>
    <row r="138" spans="1:86" ht="14.25" customHeight="1" outlineLevel="1">
      <c r="A138" s="12"/>
      <c r="B138" s="336" t="s">
        <v>293</v>
      </c>
      <c r="C138" s="24"/>
      <c r="D138" s="574">
        <v>0</v>
      </c>
      <c r="E138" s="186">
        <v>0</v>
      </c>
      <c r="F138" s="186">
        <v>42</v>
      </c>
      <c r="G138" s="186">
        <v>59</v>
      </c>
      <c r="H138" s="574">
        <v>7</v>
      </c>
      <c r="I138" s="186">
        <v>64</v>
      </c>
      <c r="J138" s="186">
        <v>85</v>
      </c>
      <c r="K138" s="186">
        <f>100-205</f>
        <v>-105</v>
      </c>
      <c r="L138" s="574">
        <v>34</v>
      </c>
      <c r="M138" s="186">
        <v>90</v>
      </c>
      <c r="N138" s="186">
        <v>106</v>
      </c>
      <c r="O138" s="187">
        <f>116-87</f>
        <v>29</v>
      </c>
      <c r="P138" s="574">
        <v>13</v>
      </c>
      <c r="Q138" s="186">
        <v>-1307</v>
      </c>
      <c r="R138" s="186">
        <v>17</v>
      </c>
      <c r="S138" s="186">
        <v>19</v>
      </c>
      <c r="T138" s="574">
        <v>0</v>
      </c>
      <c r="U138" s="186">
        <v>0</v>
      </c>
      <c r="V138" s="186">
        <v>0</v>
      </c>
      <c r="W138" s="187">
        <v>1</v>
      </c>
      <c r="X138" s="574">
        <v>0</v>
      </c>
      <c r="Y138" s="186">
        <v>2</v>
      </c>
      <c r="Z138" s="186">
        <v>3</v>
      </c>
      <c r="AA138" s="187">
        <v>13</v>
      </c>
      <c r="AB138" s="574">
        <v>19</v>
      </c>
      <c r="AC138" s="186">
        <f>-12+27</f>
        <v>15</v>
      </c>
      <c r="AD138" s="186">
        <v>15</v>
      </c>
      <c r="AE138" s="187">
        <v>0</v>
      </c>
      <c r="AF138" s="574">
        <v>0</v>
      </c>
      <c r="AG138" s="186">
        <v>0</v>
      </c>
      <c r="AH138" s="186">
        <v>0</v>
      </c>
      <c r="AI138" s="187">
        <v>0</v>
      </c>
      <c r="AJ138" s="186">
        <v>0</v>
      </c>
      <c r="AK138" s="186">
        <f>986-7</f>
        <v>979</v>
      </c>
      <c r="AL138" s="186">
        <f>986-7</f>
        <v>979</v>
      </c>
      <c r="AM138" s="187">
        <v>-7</v>
      </c>
      <c r="AN138" s="186">
        <v>-4</v>
      </c>
      <c r="AO138" s="186">
        <f>498-4</f>
        <v>494</v>
      </c>
      <c r="AP138" s="186">
        <v>505</v>
      </c>
      <c r="AQ138" s="187">
        <f>100-3</f>
        <v>97</v>
      </c>
      <c r="AR138" s="186">
        <v>56</v>
      </c>
      <c r="AS138" s="186">
        <f>498-3</f>
        <v>495</v>
      </c>
      <c r="AT138" s="186">
        <f>498+68-3</f>
        <v>563</v>
      </c>
      <c r="AU138" s="187">
        <f>83-3+498</f>
        <v>578</v>
      </c>
      <c r="AV138" s="186">
        <v>68</v>
      </c>
      <c r="AW138" s="186">
        <f>82-3</f>
        <v>79</v>
      </c>
      <c r="AX138" s="186">
        <f>499+129-3</f>
        <v>625</v>
      </c>
      <c r="AY138" s="187">
        <v>-3</v>
      </c>
      <c r="AZ138" s="186">
        <v>-4</v>
      </c>
      <c r="BA138" s="186">
        <v>-12</v>
      </c>
      <c r="BB138" s="186">
        <f>605-21</f>
        <v>584</v>
      </c>
      <c r="BC138" s="187">
        <v>-31</v>
      </c>
      <c r="BD138" s="186">
        <v>-11</v>
      </c>
      <c r="BE138" s="184">
        <f t="shared" si="576"/>
        <v>-11</v>
      </c>
      <c r="BF138" s="184">
        <f t="shared" si="577"/>
        <v>-11</v>
      </c>
      <c r="BG138" s="185">
        <f t="shared" si="578"/>
        <v>-11</v>
      </c>
      <c r="BH138" s="184">
        <f>BH43</f>
        <v>0</v>
      </c>
      <c r="BI138" s="184">
        <f t="shared" si="579"/>
        <v>0</v>
      </c>
      <c r="BJ138" s="184">
        <f t="shared" si="580"/>
        <v>0</v>
      </c>
      <c r="BK138" s="185">
        <f t="shared" si="581"/>
        <v>0</v>
      </c>
      <c r="BL138" s="184">
        <f>BL43</f>
        <v>0</v>
      </c>
      <c r="BM138" s="184">
        <f t="shared" si="582"/>
        <v>0</v>
      </c>
      <c r="BN138" s="184">
        <f t="shared" si="583"/>
        <v>0</v>
      </c>
      <c r="BO138" s="185">
        <f t="shared" si="584"/>
        <v>0</v>
      </c>
      <c r="BP138" s="152"/>
      <c r="BQ138" s="184">
        <f>G138</f>
        <v>59</v>
      </c>
      <c r="BR138" s="184">
        <f>K138</f>
        <v>-105</v>
      </c>
      <c r="BS138" s="184">
        <f>O138</f>
        <v>29</v>
      </c>
      <c r="BT138" s="184">
        <f>S138</f>
        <v>19</v>
      </c>
      <c r="BU138" s="184">
        <f>W138</f>
        <v>1</v>
      </c>
      <c r="BV138" s="184">
        <f>AA138</f>
        <v>13</v>
      </c>
      <c r="BW138" s="184">
        <f>AE138</f>
        <v>0</v>
      </c>
      <c r="BX138" s="184">
        <f>AI138</f>
        <v>0</v>
      </c>
      <c r="BY138" s="625">
        <f>AM138</f>
        <v>-7</v>
      </c>
      <c r="BZ138" s="625">
        <f>AQ138</f>
        <v>97</v>
      </c>
      <c r="CA138" s="625">
        <f>AU138</f>
        <v>578</v>
      </c>
      <c r="CB138" s="625">
        <f>AY138</f>
        <v>-3</v>
      </c>
      <c r="CC138" s="625">
        <f>BC138</f>
        <v>-31</v>
      </c>
      <c r="CD138" s="625">
        <f>BG138</f>
        <v>-11</v>
      </c>
      <c r="CE138" s="625">
        <f t="shared" si="585"/>
        <v>0</v>
      </c>
      <c r="CF138" s="1092">
        <f t="shared" si="586"/>
        <v>0</v>
      </c>
      <c r="CG138" s="342"/>
      <c r="CH138" s="12"/>
    </row>
    <row r="139" spans="1:86" ht="14.25" customHeight="1" outlineLevel="1" thickBot="1">
      <c r="A139" s="8"/>
      <c r="B139" s="188" t="s">
        <v>239</v>
      </c>
      <c r="C139" s="189"/>
      <c r="D139" s="191">
        <f t="shared" ref="D139:AF139" si="587">SUM(D134:D138)</f>
        <v>-1479</v>
      </c>
      <c r="E139" s="190">
        <f t="shared" si="587"/>
        <v>-2706</v>
      </c>
      <c r="F139" s="190">
        <f t="shared" si="587"/>
        <v>-3041</v>
      </c>
      <c r="G139" s="190">
        <f t="shared" si="587"/>
        <v>-3540</v>
      </c>
      <c r="H139" s="191">
        <f t="shared" si="587"/>
        <v>-1650</v>
      </c>
      <c r="I139" s="190">
        <f t="shared" si="587"/>
        <v>-2815</v>
      </c>
      <c r="J139" s="190">
        <f t="shared" si="587"/>
        <v>-4453</v>
      </c>
      <c r="K139" s="190">
        <f t="shared" si="587"/>
        <v>-5774</v>
      </c>
      <c r="L139" s="191">
        <f t="shared" si="587"/>
        <v>-727</v>
      </c>
      <c r="M139" s="190">
        <f t="shared" si="587"/>
        <v>-1197</v>
      </c>
      <c r="N139" s="190">
        <f t="shared" si="587"/>
        <v>-2538</v>
      </c>
      <c r="O139" s="190">
        <f t="shared" si="587"/>
        <v>-4564</v>
      </c>
      <c r="P139" s="191">
        <f t="shared" si="587"/>
        <v>-918</v>
      </c>
      <c r="Q139" s="190">
        <f t="shared" si="587"/>
        <v>-1391</v>
      </c>
      <c r="R139" s="190">
        <f t="shared" si="587"/>
        <v>-1920</v>
      </c>
      <c r="S139" s="190">
        <f t="shared" si="587"/>
        <v>-2430</v>
      </c>
      <c r="T139" s="191">
        <f t="shared" si="587"/>
        <v>-224</v>
      </c>
      <c r="U139" s="190">
        <f t="shared" si="587"/>
        <v>-594</v>
      </c>
      <c r="V139" s="190">
        <f t="shared" si="587"/>
        <v>-949</v>
      </c>
      <c r="W139" s="192">
        <f t="shared" si="587"/>
        <v>-1411</v>
      </c>
      <c r="X139" s="191">
        <f t="shared" si="587"/>
        <v>-624</v>
      </c>
      <c r="Y139" s="190">
        <f t="shared" si="587"/>
        <v>-1469</v>
      </c>
      <c r="Z139" s="190">
        <f t="shared" si="587"/>
        <v>-2170</v>
      </c>
      <c r="AA139" s="192">
        <f t="shared" si="587"/>
        <v>-2626</v>
      </c>
      <c r="AB139" s="191">
        <f t="shared" si="587"/>
        <v>-555</v>
      </c>
      <c r="AC139" s="190">
        <f t="shared" si="587"/>
        <v>2516</v>
      </c>
      <c r="AD139" s="190">
        <f t="shared" si="587"/>
        <v>3152</v>
      </c>
      <c r="AE139" s="192">
        <f t="shared" si="587"/>
        <v>2589</v>
      </c>
      <c r="AF139" s="191">
        <f t="shared" si="587"/>
        <v>-518</v>
      </c>
      <c r="AG139" s="190">
        <f t="shared" ref="AG139:AL139" si="588">SUM(AG134:AG138)</f>
        <v>-1515</v>
      </c>
      <c r="AH139" s="190">
        <f t="shared" si="588"/>
        <v>-1258</v>
      </c>
      <c r="AI139" s="192">
        <f>SUM(AI134:AI138)</f>
        <v>-1951</v>
      </c>
      <c r="AJ139" s="190">
        <f t="shared" si="588"/>
        <v>-405</v>
      </c>
      <c r="AK139" s="190">
        <f t="shared" si="588"/>
        <v>-1602</v>
      </c>
      <c r="AL139" s="190">
        <f t="shared" si="588"/>
        <v>-2286</v>
      </c>
      <c r="AM139" s="192">
        <f t="shared" ref="AM139:AR139" si="589">SUM(AM134:AM138)</f>
        <v>-3170</v>
      </c>
      <c r="AN139" s="190">
        <f>SUM(AN134:AN138)</f>
        <v>-219</v>
      </c>
      <c r="AO139" s="190">
        <f>SUM(AO134:AO138)</f>
        <v>-2145</v>
      </c>
      <c r="AP139" s="190">
        <f t="shared" si="589"/>
        <v>-3055</v>
      </c>
      <c r="AQ139" s="192">
        <f t="shared" si="589"/>
        <v>-3943</v>
      </c>
      <c r="AR139" s="190">
        <f t="shared" si="589"/>
        <v>-724</v>
      </c>
      <c r="AS139" s="190">
        <f>SUM(AS134:AS138)</f>
        <v>-1428</v>
      </c>
      <c r="AT139" s="190">
        <f>SUM(AT134:AT138)</f>
        <v>-3277</v>
      </c>
      <c r="AU139" s="192">
        <f>SUM(AU134:AU138)</f>
        <v>-4165</v>
      </c>
      <c r="AV139" s="190">
        <f t="shared" ref="AV139" si="590">SUM(AV134:AV138)</f>
        <v>-945</v>
      </c>
      <c r="AW139" s="190">
        <f>SUM(AW134:AW138)</f>
        <v>-2019</v>
      </c>
      <c r="AX139" s="190">
        <f>SUM(AX134:AX138)</f>
        <v>-2695</v>
      </c>
      <c r="AY139" s="192">
        <f>SUM(AY134:AY138)</f>
        <v>-3810</v>
      </c>
      <c r="AZ139" s="190">
        <f t="shared" ref="AZ139:BA139" si="591">SUM(AZ134:AZ138)</f>
        <v>-1143</v>
      </c>
      <c r="BA139" s="190">
        <f t="shared" si="591"/>
        <v>-1985</v>
      </c>
      <c r="BB139" s="190">
        <f>SUM(BB134:BB138)</f>
        <v>-3063</v>
      </c>
      <c r="BC139" s="192">
        <f>SUM(BC134:BC138)</f>
        <v>-3734</v>
      </c>
      <c r="BD139" s="190">
        <f t="shared" ref="BD139" si="592">SUM(BD134:BD138)</f>
        <v>-1317</v>
      </c>
      <c r="BE139" s="190">
        <f t="shared" ref="BE139:BG139" si="593">SUM(BE134:BE138)</f>
        <v>-2810.62</v>
      </c>
      <c r="BF139" s="190">
        <f t="shared" si="593"/>
        <v>-4301.76</v>
      </c>
      <c r="BG139" s="192">
        <f t="shared" si="593"/>
        <v>-5790.42</v>
      </c>
      <c r="BH139" s="190">
        <f t="shared" ref="BH139:BK139" si="594">SUM(BH134:BH138)</f>
        <v>-1367.5</v>
      </c>
      <c r="BI139" s="190">
        <f t="shared" si="594"/>
        <v>-2733</v>
      </c>
      <c r="BJ139" s="190">
        <f t="shared" si="594"/>
        <v>-4096.5</v>
      </c>
      <c r="BK139" s="192">
        <f t="shared" si="594"/>
        <v>-5458</v>
      </c>
      <c r="BL139" s="190">
        <f t="shared" ref="BL139:BO139" si="595">SUM(BL134:BL138)</f>
        <v>-1359.5</v>
      </c>
      <c r="BM139" s="190">
        <f t="shared" si="595"/>
        <v>-2717</v>
      </c>
      <c r="BN139" s="190">
        <f t="shared" si="595"/>
        <v>-4072.5</v>
      </c>
      <c r="BO139" s="192">
        <f t="shared" si="595"/>
        <v>-5426</v>
      </c>
      <c r="BP139" s="152"/>
      <c r="BQ139" s="190">
        <f t="shared" ref="BQ139:BX139" si="596">SUM(BQ134:BQ138)</f>
        <v>-3540</v>
      </c>
      <c r="BR139" s="190">
        <f t="shared" si="596"/>
        <v>-5774</v>
      </c>
      <c r="BS139" s="190">
        <f t="shared" si="596"/>
        <v>-4564</v>
      </c>
      <c r="BT139" s="190">
        <f t="shared" si="596"/>
        <v>-2430</v>
      </c>
      <c r="BU139" s="190">
        <f t="shared" si="596"/>
        <v>-1411</v>
      </c>
      <c r="BV139" s="190">
        <f t="shared" si="596"/>
        <v>-2626</v>
      </c>
      <c r="BW139" s="190">
        <f t="shared" si="596"/>
        <v>2589</v>
      </c>
      <c r="BX139" s="190">
        <f t="shared" si="596"/>
        <v>-1951</v>
      </c>
      <c r="BY139" s="190">
        <f t="shared" ref="BY139:BZ139" si="597">SUM(BY134:BY138)</f>
        <v>-3170</v>
      </c>
      <c r="BZ139" s="190">
        <f t="shared" si="597"/>
        <v>-3943</v>
      </c>
      <c r="CA139" s="190">
        <f t="shared" ref="CA139:CF139" si="598">SUM(CA134:CA138)</f>
        <v>-4165</v>
      </c>
      <c r="CB139" s="190">
        <f t="shared" si="598"/>
        <v>-3810</v>
      </c>
      <c r="CC139" s="190">
        <f t="shared" si="598"/>
        <v>-3734</v>
      </c>
      <c r="CD139" s="190">
        <f t="shared" si="598"/>
        <v>-5790.42</v>
      </c>
      <c r="CE139" s="190">
        <f t="shared" si="598"/>
        <v>-5458</v>
      </c>
      <c r="CF139" s="192">
        <f t="shared" si="598"/>
        <v>-5426</v>
      </c>
      <c r="CG139" s="342"/>
      <c r="CH139" s="8"/>
    </row>
    <row r="140" spans="1:86" ht="14.25" customHeight="1" outlineLevel="1" thickTop="1">
      <c r="A140" s="8"/>
      <c r="B140" s="320"/>
      <c r="C140" s="39"/>
      <c r="D140" s="579"/>
      <c r="E140" s="196"/>
      <c r="F140" s="196"/>
      <c r="G140" s="196"/>
      <c r="H140" s="579"/>
      <c r="I140" s="196"/>
      <c r="J140" s="196"/>
      <c r="K140" s="196"/>
      <c r="L140" s="579"/>
      <c r="M140" s="196"/>
      <c r="N140" s="196"/>
      <c r="O140" s="196"/>
      <c r="P140" s="579"/>
      <c r="Q140" s="196"/>
      <c r="R140" s="196"/>
      <c r="S140" s="196"/>
      <c r="T140" s="579"/>
      <c r="U140" s="196"/>
      <c r="V140" s="196"/>
      <c r="W140" s="197"/>
      <c r="X140" s="579"/>
      <c r="Y140" s="196"/>
      <c r="Z140" s="196"/>
      <c r="AA140" s="197"/>
      <c r="AB140" s="579"/>
      <c r="AC140" s="196"/>
      <c r="AD140" s="196"/>
      <c r="AE140" s="197"/>
      <c r="AF140" s="579"/>
      <c r="AG140" s="196"/>
      <c r="AH140" s="196"/>
      <c r="AI140" s="197"/>
      <c r="AJ140" s="196"/>
      <c r="AK140" s="196"/>
      <c r="AL140" s="196"/>
      <c r="AM140" s="197"/>
      <c r="AN140" s="196"/>
      <c r="AO140" s="196"/>
      <c r="AP140" s="196"/>
      <c r="AQ140" s="197"/>
      <c r="AR140" s="196"/>
      <c r="AS140" s="196"/>
      <c r="AT140" s="196"/>
      <c r="AU140" s="197"/>
      <c r="AV140" s="196"/>
      <c r="AW140" s="196"/>
      <c r="AX140" s="196"/>
      <c r="AY140" s="197"/>
      <c r="AZ140" s="196"/>
      <c r="BA140" s="196"/>
      <c r="BB140" s="196"/>
      <c r="BC140" s="197"/>
      <c r="BD140" s="196"/>
      <c r="BE140" s="196"/>
      <c r="BF140" s="196"/>
      <c r="BG140" s="197"/>
      <c r="BH140" s="196"/>
      <c r="BI140" s="196"/>
      <c r="BJ140" s="196"/>
      <c r="BK140" s="197"/>
      <c r="BL140" s="196"/>
      <c r="BM140" s="196"/>
      <c r="BN140" s="196"/>
      <c r="BO140" s="197"/>
      <c r="BP140" s="152"/>
      <c r="BQ140" s="196"/>
      <c r="BR140" s="196"/>
      <c r="BS140" s="196"/>
      <c r="BT140" s="196"/>
      <c r="BU140" s="196"/>
      <c r="BV140" s="196"/>
      <c r="BW140" s="196"/>
      <c r="BX140" s="196"/>
      <c r="BY140" s="196"/>
      <c r="BZ140" s="196"/>
      <c r="CA140" s="196"/>
      <c r="CB140" s="196"/>
      <c r="CC140" s="196"/>
      <c r="CD140" s="196"/>
      <c r="CE140" s="196"/>
      <c r="CF140" s="197"/>
      <c r="CG140" s="342"/>
      <c r="CH140" s="8"/>
    </row>
    <row r="141" spans="1:86" ht="14.25" customHeight="1" outlineLevel="1">
      <c r="A141" s="8"/>
      <c r="B141" s="320" t="s">
        <v>240</v>
      </c>
      <c r="C141" s="39"/>
      <c r="D141" s="574">
        <v>0</v>
      </c>
      <c r="E141" s="186">
        <v>8</v>
      </c>
      <c r="F141" s="186">
        <v>6</v>
      </c>
      <c r="G141" s="186">
        <v>0</v>
      </c>
      <c r="H141" s="574">
        <v>2</v>
      </c>
      <c r="I141" s="186">
        <v>5</v>
      </c>
      <c r="J141" s="186">
        <v>0</v>
      </c>
      <c r="K141" s="186">
        <v>0</v>
      </c>
      <c r="L141" s="574">
        <v>-1</v>
      </c>
      <c r="M141" s="186">
        <v>-1</v>
      </c>
      <c r="N141" s="186">
        <v>-2</v>
      </c>
      <c r="O141" s="186">
        <v>-0.01</v>
      </c>
      <c r="P141" s="574">
        <v>8</v>
      </c>
      <c r="Q141" s="186">
        <v>11</v>
      </c>
      <c r="R141" s="186">
        <v>4</v>
      </c>
      <c r="S141" s="186">
        <v>0</v>
      </c>
      <c r="T141" s="574">
        <v>0</v>
      </c>
      <c r="U141" s="186">
        <v>0</v>
      </c>
      <c r="V141" s="186">
        <v>0</v>
      </c>
      <c r="W141" s="187">
        <v>0</v>
      </c>
      <c r="X141" s="574">
        <v>0</v>
      </c>
      <c r="Y141" s="186">
        <v>0</v>
      </c>
      <c r="Z141" s="186">
        <v>0</v>
      </c>
      <c r="AA141" s="187">
        <v>0</v>
      </c>
      <c r="AB141" s="574">
        <v>0</v>
      </c>
      <c r="AC141" s="186">
        <v>0</v>
      </c>
      <c r="AD141" s="186">
        <v>0</v>
      </c>
      <c r="AE141" s="187">
        <v>0</v>
      </c>
      <c r="AF141" s="574">
        <v>0</v>
      </c>
      <c r="AG141" s="186">
        <v>0</v>
      </c>
      <c r="AH141" s="186">
        <v>0</v>
      </c>
      <c r="AI141" s="187">
        <v>0</v>
      </c>
      <c r="AJ141" s="186">
        <v>0</v>
      </c>
      <c r="AK141" s="186">
        <v>0</v>
      </c>
      <c r="AL141" s="186">
        <v>0</v>
      </c>
      <c r="AM141" s="187">
        <v>0</v>
      </c>
      <c r="AN141" s="186">
        <v>0</v>
      </c>
      <c r="AO141" s="186">
        <v>0</v>
      </c>
      <c r="AP141" s="184">
        <v>0</v>
      </c>
      <c r="AQ141" s="187">
        <v>0</v>
      </c>
      <c r="AR141" s="186">
        <v>0</v>
      </c>
      <c r="AS141" s="186">
        <v>0</v>
      </c>
      <c r="AT141" s="186">
        <v>0</v>
      </c>
      <c r="AU141" s="187">
        <v>0</v>
      </c>
      <c r="AV141" s="186">
        <v>0</v>
      </c>
      <c r="AW141" s="186">
        <v>0</v>
      </c>
      <c r="AX141" s="186">
        <v>0</v>
      </c>
      <c r="AY141" s="187">
        <v>0</v>
      </c>
      <c r="AZ141" s="186">
        <v>0</v>
      </c>
      <c r="BA141" s="186">
        <v>0</v>
      </c>
      <c r="BB141" s="186">
        <v>0</v>
      </c>
      <c r="BC141" s="187">
        <v>0</v>
      </c>
      <c r="BD141" s="186">
        <v>0</v>
      </c>
      <c r="BE141" s="184">
        <f t="shared" ref="BE141:BE142" si="599">BD141+BE46</f>
        <v>0</v>
      </c>
      <c r="BF141" s="184">
        <f t="shared" ref="BF141:BF142" si="600">BE141+BF46</f>
        <v>0</v>
      </c>
      <c r="BG141" s="185">
        <f t="shared" ref="BG141:BG142" si="601">BF141+BG46</f>
        <v>0</v>
      </c>
      <c r="BH141" s="184">
        <f>BH46</f>
        <v>0</v>
      </c>
      <c r="BI141" s="184">
        <f t="shared" ref="BI141:BI142" si="602">BH141+BI46</f>
        <v>0</v>
      </c>
      <c r="BJ141" s="184">
        <f t="shared" ref="BJ141:BJ142" si="603">BI141+BJ46</f>
        <v>0</v>
      </c>
      <c r="BK141" s="185">
        <f t="shared" ref="BK141:BK142" si="604">BJ141+BK46</f>
        <v>0</v>
      </c>
      <c r="BL141" s="184">
        <f>BL46</f>
        <v>0</v>
      </c>
      <c r="BM141" s="184">
        <f t="shared" ref="BM141:BM142" si="605">BL141+BM46</f>
        <v>0</v>
      </c>
      <c r="BN141" s="184">
        <f t="shared" ref="BN141:BN142" si="606">BM141+BN46</f>
        <v>0</v>
      </c>
      <c r="BO141" s="185">
        <f t="shared" ref="BO141:BO142" si="607">BN141+BO46</f>
        <v>0</v>
      </c>
      <c r="BP141" s="152"/>
      <c r="BQ141" s="184">
        <f>G141</f>
        <v>0</v>
      </c>
      <c r="BR141" s="184">
        <f>K141</f>
        <v>0</v>
      </c>
      <c r="BS141" s="184">
        <f>O141</f>
        <v>-0.01</v>
      </c>
      <c r="BT141" s="184">
        <f>S141</f>
        <v>0</v>
      </c>
      <c r="BU141" s="184">
        <f>W141</f>
        <v>0</v>
      </c>
      <c r="BV141" s="184">
        <f>AA141</f>
        <v>0</v>
      </c>
      <c r="BW141" s="184">
        <f>AE141</f>
        <v>0</v>
      </c>
      <c r="BX141" s="184">
        <f>AI141</f>
        <v>0</v>
      </c>
      <c r="BY141" s="184">
        <f>AM141</f>
        <v>0</v>
      </c>
      <c r="BZ141" s="184">
        <f>AQ141</f>
        <v>0</v>
      </c>
      <c r="CA141" s="184">
        <f>AU141</f>
        <v>0</v>
      </c>
      <c r="CB141" s="184">
        <f>AY141</f>
        <v>0</v>
      </c>
      <c r="CC141" s="184">
        <f>BC141</f>
        <v>0</v>
      </c>
      <c r="CD141" s="184">
        <f>BG141</f>
        <v>0</v>
      </c>
      <c r="CE141" s="184">
        <f>BK141</f>
        <v>0</v>
      </c>
      <c r="CF141" s="185">
        <f>BO141</f>
        <v>0</v>
      </c>
      <c r="CG141" s="342"/>
      <c r="CH141" s="8"/>
    </row>
    <row r="142" spans="1:86" ht="14.25" customHeight="1" outlineLevel="1">
      <c r="A142" s="8"/>
      <c r="B142" s="320" t="s">
        <v>332</v>
      </c>
      <c r="C142" s="39"/>
      <c r="D142" s="574">
        <v>15.25</v>
      </c>
      <c r="E142" s="186">
        <v>55.5</v>
      </c>
      <c r="F142" s="186">
        <v>93.75</v>
      </c>
      <c r="G142" s="187">
        <v>108</v>
      </c>
      <c r="H142" s="626">
        <v>25.25</v>
      </c>
      <c r="I142" s="626">
        <v>-8.5</v>
      </c>
      <c r="J142" s="626">
        <v>-8.25</v>
      </c>
      <c r="K142" s="186">
        <v>-9</v>
      </c>
      <c r="L142" s="574">
        <v>0</v>
      </c>
      <c r="M142" s="626">
        <v>0.33</v>
      </c>
      <c r="N142" s="626">
        <v>0.66</v>
      </c>
      <c r="O142" s="186">
        <v>0</v>
      </c>
      <c r="P142" s="574">
        <v>0</v>
      </c>
      <c r="Q142" s="186">
        <v>0</v>
      </c>
      <c r="R142" s="186">
        <v>0</v>
      </c>
      <c r="S142" s="186">
        <v>0</v>
      </c>
      <c r="T142" s="574">
        <v>0</v>
      </c>
      <c r="U142" s="186">
        <v>0</v>
      </c>
      <c r="V142" s="186">
        <v>0</v>
      </c>
      <c r="W142" s="187">
        <v>0</v>
      </c>
      <c r="X142" s="574">
        <v>0</v>
      </c>
      <c r="Y142" s="186">
        <v>0</v>
      </c>
      <c r="Z142" s="186">
        <v>0</v>
      </c>
      <c r="AA142" s="187">
        <v>0</v>
      </c>
      <c r="AB142" s="574">
        <v>0</v>
      </c>
      <c r="AC142" s="186">
        <v>0</v>
      </c>
      <c r="AD142" s="186">
        <v>0</v>
      </c>
      <c r="AE142" s="187">
        <v>-1</v>
      </c>
      <c r="AF142" s="574">
        <v>0</v>
      </c>
      <c r="AG142" s="186">
        <v>0</v>
      </c>
      <c r="AH142" s="186">
        <v>0</v>
      </c>
      <c r="AI142" s="187">
        <v>0</v>
      </c>
      <c r="AJ142" s="186">
        <v>0</v>
      </c>
      <c r="AK142" s="186">
        <v>0</v>
      </c>
      <c r="AL142" s="186">
        <v>0</v>
      </c>
      <c r="AM142" s="187">
        <v>0</v>
      </c>
      <c r="AN142" s="186">
        <v>0</v>
      </c>
      <c r="AO142" s="186">
        <v>0</v>
      </c>
      <c r="AP142" s="184">
        <v>0</v>
      </c>
      <c r="AQ142" s="187">
        <v>0</v>
      </c>
      <c r="AR142" s="186">
        <v>0</v>
      </c>
      <c r="AS142" s="186">
        <v>0</v>
      </c>
      <c r="AT142" s="186">
        <v>0</v>
      </c>
      <c r="AU142" s="187">
        <v>0</v>
      </c>
      <c r="AV142" s="186">
        <v>0</v>
      </c>
      <c r="AW142" s="186">
        <v>0</v>
      </c>
      <c r="AX142" s="186">
        <v>0</v>
      </c>
      <c r="AY142" s="187">
        <v>0</v>
      </c>
      <c r="AZ142" s="186">
        <v>0</v>
      </c>
      <c r="BA142" s="186">
        <v>0</v>
      </c>
      <c r="BB142" s="186">
        <v>0</v>
      </c>
      <c r="BC142" s="187">
        <v>0</v>
      </c>
      <c r="BD142" s="186">
        <v>0</v>
      </c>
      <c r="BE142" s="184">
        <f t="shared" si="599"/>
        <v>0</v>
      </c>
      <c r="BF142" s="184">
        <f t="shared" si="600"/>
        <v>0</v>
      </c>
      <c r="BG142" s="185">
        <f t="shared" si="601"/>
        <v>0</v>
      </c>
      <c r="BH142" s="184">
        <f>BH47</f>
        <v>0</v>
      </c>
      <c r="BI142" s="184">
        <f t="shared" si="602"/>
        <v>0</v>
      </c>
      <c r="BJ142" s="184">
        <f t="shared" si="603"/>
        <v>0</v>
      </c>
      <c r="BK142" s="185">
        <f t="shared" si="604"/>
        <v>0</v>
      </c>
      <c r="BL142" s="184">
        <f>BL47</f>
        <v>0</v>
      </c>
      <c r="BM142" s="184">
        <f t="shared" si="605"/>
        <v>0</v>
      </c>
      <c r="BN142" s="184">
        <f t="shared" si="606"/>
        <v>0</v>
      </c>
      <c r="BO142" s="185">
        <f t="shared" si="607"/>
        <v>0</v>
      </c>
      <c r="BP142" s="152"/>
      <c r="BQ142" s="184">
        <f>G142</f>
        <v>108</v>
      </c>
      <c r="BR142" s="184">
        <f>K142</f>
        <v>-9</v>
      </c>
      <c r="BS142" s="184">
        <f>O142</f>
        <v>0</v>
      </c>
      <c r="BT142" s="184">
        <f>S142</f>
        <v>0</v>
      </c>
      <c r="BU142" s="184">
        <f>W142</f>
        <v>0</v>
      </c>
      <c r="BV142" s="184">
        <f>AA142</f>
        <v>0</v>
      </c>
      <c r="BW142" s="184">
        <f>AE142</f>
        <v>-1</v>
      </c>
      <c r="BX142" s="184">
        <f>AI142</f>
        <v>0</v>
      </c>
      <c r="BY142" s="184">
        <f>AM142</f>
        <v>0</v>
      </c>
      <c r="BZ142" s="184">
        <f>AQ142</f>
        <v>0</v>
      </c>
      <c r="CA142" s="184">
        <f>AU142</f>
        <v>0</v>
      </c>
      <c r="CB142" s="184">
        <f>AY142</f>
        <v>0</v>
      </c>
      <c r="CC142" s="184">
        <f>BC142</f>
        <v>0</v>
      </c>
      <c r="CD142" s="184">
        <f>BG142</f>
        <v>0</v>
      </c>
      <c r="CE142" s="184">
        <f>BK142</f>
        <v>0</v>
      </c>
      <c r="CF142" s="185">
        <f>BO142</f>
        <v>0</v>
      </c>
      <c r="CG142" s="342"/>
      <c r="CH142" s="8"/>
    </row>
    <row r="143" spans="1:86" ht="14.25" customHeight="1" outlineLevel="1">
      <c r="A143" s="8"/>
      <c r="B143" s="320"/>
      <c r="C143" s="39"/>
      <c r="D143" s="581"/>
      <c r="E143" s="198"/>
      <c r="F143" s="198"/>
      <c r="G143" s="199"/>
      <c r="H143" s="581"/>
      <c r="I143" s="198"/>
      <c r="J143" s="198"/>
      <c r="K143" s="199"/>
      <c r="L143" s="581"/>
      <c r="M143" s="198"/>
      <c r="N143" s="198"/>
      <c r="O143" s="199"/>
      <c r="P143" s="581"/>
      <c r="Q143" s="198"/>
      <c r="R143" s="198"/>
      <c r="S143" s="199"/>
      <c r="T143" s="581"/>
      <c r="U143" s="198"/>
      <c r="V143" s="198"/>
      <c r="W143" s="199"/>
      <c r="X143" s="581"/>
      <c r="Y143" s="198"/>
      <c r="Z143" s="198"/>
      <c r="AA143" s="199"/>
      <c r="AB143" s="581"/>
      <c r="AC143" s="198"/>
      <c r="AD143" s="198"/>
      <c r="AE143" s="199"/>
      <c r="AF143" s="581"/>
      <c r="AG143" s="198"/>
      <c r="AH143" s="198"/>
      <c r="AI143" s="199"/>
      <c r="AJ143" s="581"/>
      <c r="AK143" s="198"/>
      <c r="AL143" s="198"/>
      <c r="AM143" s="199"/>
      <c r="AN143" s="581"/>
      <c r="AO143" s="198"/>
      <c r="AP143" s="198"/>
      <c r="AQ143" s="199"/>
      <c r="AR143" s="581"/>
      <c r="AS143" s="198"/>
      <c r="AT143" s="198"/>
      <c r="AU143" s="199"/>
      <c r="AV143" s="581"/>
      <c r="AW143" s="198"/>
      <c r="AX143" s="198"/>
      <c r="AY143" s="199"/>
      <c r="AZ143" s="581"/>
      <c r="BA143" s="198"/>
      <c r="BB143" s="198"/>
      <c r="BC143" s="199"/>
      <c r="BD143" s="581"/>
      <c r="BE143" s="198"/>
      <c r="BF143" s="198"/>
      <c r="BG143" s="199"/>
      <c r="BH143" s="581"/>
      <c r="BI143" s="198"/>
      <c r="BJ143" s="198"/>
      <c r="BK143" s="199"/>
      <c r="BL143" s="581"/>
      <c r="BM143" s="198"/>
      <c r="BN143" s="198"/>
      <c r="BO143" s="199"/>
      <c r="BP143" s="152"/>
      <c r="BQ143" s="198"/>
      <c r="BR143" s="198"/>
      <c r="BS143" s="198"/>
      <c r="BT143" s="198"/>
      <c r="BU143" s="198"/>
      <c r="BV143" s="198"/>
      <c r="BW143" s="198"/>
      <c r="BX143" s="198"/>
      <c r="BY143" s="198"/>
      <c r="BZ143" s="198"/>
      <c r="CA143" s="198"/>
      <c r="CB143" s="198"/>
      <c r="CC143" s="198"/>
      <c r="CD143" s="198"/>
      <c r="CE143" s="198"/>
      <c r="CF143" s="199"/>
      <c r="CG143" s="342"/>
      <c r="CH143" s="8"/>
    </row>
    <row r="144" spans="1:86" ht="14.25" customHeight="1" outlineLevel="1">
      <c r="A144" s="8"/>
      <c r="B144" s="320" t="s">
        <v>241</v>
      </c>
      <c r="C144" s="39"/>
      <c r="D144" s="579">
        <f>D49</f>
        <v>2663</v>
      </c>
      <c r="E144" s="196">
        <f>D144</f>
        <v>2663</v>
      </c>
      <c r="F144" s="196">
        <f>D144</f>
        <v>2663</v>
      </c>
      <c r="G144" s="197">
        <f>D144</f>
        <v>2663</v>
      </c>
      <c r="H144" s="579">
        <f>G147</f>
        <v>1214</v>
      </c>
      <c r="I144" s="196">
        <f>H144</f>
        <v>1214</v>
      </c>
      <c r="J144" s="196">
        <f>H144</f>
        <v>1214</v>
      </c>
      <c r="K144" s="197">
        <f>H144</f>
        <v>1214</v>
      </c>
      <c r="L144" s="579">
        <f>K147</f>
        <v>1183</v>
      </c>
      <c r="M144" s="196">
        <f>L144</f>
        <v>1183</v>
      </c>
      <c r="N144" s="196">
        <f>L144</f>
        <v>1183</v>
      </c>
      <c r="O144" s="197">
        <f>L144</f>
        <v>1183</v>
      </c>
      <c r="P144" s="579">
        <f>O147</f>
        <v>1328.0000000000002</v>
      </c>
      <c r="Q144" s="196">
        <f>P144</f>
        <v>1328.0000000000002</v>
      </c>
      <c r="R144" s="196">
        <f>P144</f>
        <v>1328.0000000000002</v>
      </c>
      <c r="S144" s="197">
        <f>P144</f>
        <v>1328.0000000000002</v>
      </c>
      <c r="T144" s="579">
        <f>S147</f>
        <v>1046.0000000000002</v>
      </c>
      <c r="U144" s="196">
        <f>T144</f>
        <v>1046.0000000000002</v>
      </c>
      <c r="V144" s="196">
        <f>T144</f>
        <v>1046.0000000000002</v>
      </c>
      <c r="W144" s="197">
        <f>T144</f>
        <v>1046.0000000000002</v>
      </c>
      <c r="X144" s="579">
        <f>W147</f>
        <v>1182.0000000000002</v>
      </c>
      <c r="Y144" s="196">
        <f>X144</f>
        <v>1182.0000000000002</v>
      </c>
      <c r="Z144" s="196">
        <f>Y144</f>
        <v>1182.0000000000002</v>
      </c>
      <c r="AA144" s="197">
        <f>Z144</f>
        <v>1182.0000000000002</v>
      </c>
      <c r="AB144" s="579">
        <f>AA147</f>
        <v>1319.0000000000002</v>
      </c>
      <c r="AC144" s="196">
        <f>AB144</f>
        <v>1319.0000000000002</v>
      </c>
      <c r="AD144" s="196">
        <f>AB144</f>
        <v>1319.0000000000002</v>
      </c>
      <c r="AE144" s="197">
        <f>AD144</f>
        <v>1319.0000000000002</v>
      </c>
      <c r="AF144" s="579">
        <f>AE147</f>
        <v>992.00000000000023</v>
      </c>
      <c r="AG144" s="196">
        <f>AF144</f>
        <v>992.00000000000023</v>
      </c>
      <c r="AH144" s="196">
        <f>AF144</f>
        <v>992.00000000000023</v>
      </c>
      <c r="AI144" s="197">
        <f>AF144</f>
        <v>992.00000000000023</v>
      </c>
      <c r="AJ144" s="579">
        <f>AI147</f>
        <v>1416.0000000000002</v>
      </c>
      <c r="AK144" s="196">
        <f>AJ144</f>
        <v>1416.0000000000002</v>
      </c>
      <c r="AL144" s="196">
        <f>AJ144</f>
        <v>1416.0000000000002</v>
      </c>
      <c r="AM144" s="197">
        <f>AJ144</f>
        <v>1416.0000000000002</v>
      </c>
      <c r="AN144" s="579">
        <f>AM147</f>
        <v>1627.0000000000002</v>
      </c>
      <c r="AO144" s="196">
        <f>AN144</f>
        <v>1627.0000000000002</v>
      </c>
      <c r="AP144" s="196">
        <f>AN144</f>
        <v>1627.0000000000002</v>
      </c>
      <c r="AQ144" s="197">
        <f>AN144</f>
        <v>1627.0000000000002</v>
      </c>
      <c r="AR144" s="579">
        <f>AQ147</f>
        <v>1199.0000000000002</v>
      </c>
      <c r="AS144" s="196">
        <f>AR144</f>
        <v>1199.0000000000002</v>
      </c>
      <c r="AT144" s="196">
        <f>AS144</f>
        <v>1199.0000000000002</v>
      </c>
      <c r="AU144" s="197">
        <f>AR144</f>
        <v>1199.0000000000002</v>
      </c>
      <c r="AV144" s="579">
        <f>AU147</f>
        <v>1000.0000000000002</v>
      </c>
      <c r="AW144" s="196">
        <f>AV144</f>
        <v>1000.0000000000002</v>
      </c>
      <c r="AX144" s="196">
        <f>AW144</f>
        <v>1000.0000000000002</v>
      </c>
      <c r="AY144" s="197">
        <f>AV144</f>
        <v>1000.0000000000002</v>
      </c>
      <c r="AZ144" s="579">
        <f>AY147</f>
        <v>1154.0000000000002</v>
      </c>
      <c r="BA144" s="196">
        <f>AZ144</f>
        <v>1154.0000000000002</v>
      </c>
      <c r="BB144" s="196">
        <f>BA144</f>
        <v>1154.0000000000002</v>
      </c>
      <c r="BC144" s="197">
        <f>AZ144</f>
        <v>1154.0000000000002</v>
      </c>
      <c r="BD144" s="579">
        <f>BC147</f>
        <v>1656.0000000000002</v>
      </c>
      <c r="BE144" s="196">
        <f>BD144</f>
        <v>1656.0000000000002</v>
      </c>
      <c r="BF144" s="196">
        <f>BD144</f>
        <v>1656.0000000000002</v>
      </c>
      <c r="BG144" s="197">
        <f>BD144</f>
        <v>1656.0000000000002</v>
      </c>
      <c r="BH144" s="579">
        <f>BG147</f>
        <v>1810.7193133421736</v>
      </c>
      <c r="BI144" s="196">
        <f>BH144</f>
        <v>1810.7193133421736</v>
      </c>
      <c r="BJ144" s="196">
        <f>BH144</f>
        <v>1810.7193133421736</v>
      </c>
      <c r="BK144" s="197">
        <f>BH144</f>
        <v>1810.7193133421736</v>
      </c>
      <c r="BL144" s="579">
        <f>BK147</f>
        <v>2662.2447526034121</v>
      </c>
      <c r="BM144" s="196">
        <f>BL144</f>
        <v>2662.2447526034121</v>
      </c>
      <c r="BN144" s="196">
        <f>BL144</f>
        <v>2662.2447526034121</v>
      </c>
      <c r="BO144" s="197">
        <f>BL144</f>
        <v>2662.2447526034121</v>
      </c>
      <c r="BP144" s="152"/>
      <c r="BQ144" s="196">
        <f>D144</f>
        <v>2663</v>
      </c>
      <c r="BR144" s="196">
        <f>BQ147</f>
        <v>1214</v>
      </c>
      <c r="BS144" s="196">
        <f t="shared" ref="BS144:CA144" si="608">BR147</f>
        <v>1183</v>
      </c>
      <c r="BT144" s="196">
        <f t="shared" si="608"/>
        <v>1328.0000000000002</v>
      </c>
      <c r="BU144" s="196">
        <f t="shared" si="608"/>
        <v>1046.0000000000002</v>
      </c>
      <c r="BV144" s="196">
        <f t="shared" si="608"/>
        <v>1182.0000000000002</v>
      </c>
      <c r="BW144" s="196">
        <f t="shared" si="608"/>
        <v>1319.0000000000002</v>
      </c>
      <c r="BX144" s="196">
        <f t="shared" si="608"/>
        <v>992.00000000000023</v>
      </c>
      <c r="BY144" s="196">
        <f t="shared" si="608"/>
        <v>1416.0000000000002</v>
      </c>
      <c r="BZ144" s="196">
        <f t="shared" si="608"/>
        <v>1627.0000000000002</v>
      </c>
      <c r="CA144" s="196">
        <f t="shared" si="608"/>
        <v>1199.0000000000002</v>
      </c>
      <c r="CB144" s="196">
        <f>CA147</f>
        <v>1000.0000000000002</v>
      </c>
      <c r="CC144" s="196">
        <f>CB147</f>
        <v>1154.0000000000002</v>
      </c>
      <c r="CD144" s="196">
        <f>CC147</f>
        <v>1656.0000000000002</v>
      </c>
      <c r="CE144" s="196">
        <f>CD147</f>
        <v>1810.7193133421736</v>
      </c>
      <c r="CF144" s="197">
        <f>CE147</f>
        <v>2662.2447526034121</v>
      </c>
      <c r="CG144" s="342"/>
      <c r="CH144" s="8"/>
    </row>
    <row r="145" spans="1:86" ht="14.25" customHeight="1" outlineLevel="1">
      <c r="A145" s="8"/>
      <c r="B145" s="320" t="s">
        <v>242</v>
      </c>
      <c r="C145" s="39"/>
      <c r="D145" s="581"/>
      <c r="E145" s="198"/>
      <c r="F145" s="198"/>
      <c r="G145" s="198"/>
      <c r="H145" s="581"/>
      <c r="I145" s="198"/>
      <c r="J145" s="198"/>
      <c r="K145" s="198"/>
      <c r="L145" s="581"/>
      <c r="M145" s="198"/>
      <c r="N145" s="198"/>
      <c r="O145" s="198"/>
      <c r="P145" s="581"/>
      <c r="Q145" s="198"/>
      <c r="R145" s="198"/>
      <c r="S145" s="198"/>
      <c r="T145" s="581"/>
      <c r="U145" s="198"/>
      <c r="V145" s="198"/>
      <c r="W145" s="199"/>
      <c r="X145" s="581"/>
      <c r="Y145" s="198"/>
      <c r="Z145" s="198"/>
      <c r="AA145" s="199"/>
      <c r="AB145" s="581"/>
      <c r="AC145" s="198"/>
      <c r="AD145" s="198"/>
      <c r="AE145" s="199"/>
      <c r="AF145" s="581"/>
      <c r="AG145" s="198"/>
      <c r="AH145" s="198"/>
      <c r="AI145" s="199"/>
      <c r="AJ145" s="198"/>
      <c r="AK145" s="198"/>
      <c r="AL145" s="198"/>
      <c r="AM145" s="199"/>
      <c r="AN145" s="198"/>
      <c r="AO145" s="198"/>
      <c r="AP145" s="184"/>
      <c r="AQ145" s="199"/>
      <c r="AR145" s="198">
        <v>0</v>
      </c>
      <c r="AS145" s="198">
        <f>AS50-AR145</f>
        <v>0</v>
      </c>
      <c r="AT145" s="198">
        <v>0</v>
      </c>
      <c r="AU145" s="199"/>
      <c r="AV145" s="198"/>
      <c r="AW145" s="198">
        <v>-83.000000000000227</v>
      </c>
      <c r="AX145" s="198">
        <v>-133.00000000000023</v>
      </c>
      <c r="AY145" s="199">
        <v>0</v>
      </c>
      <c r="AZ145" s="198"/>
      <c r="BA145" s="198"/>
      <c r="BB145" s="198">
        <v>0</v>
      </c>
      <c r="BC145" s="199">
        <v>0</v>
      </c>
      <c r="BD145" s="198"/>
      <c r="BE145" s="198"/>
      <c r="BF145" s="198"/>
      <c r="BG145" s="199"/>
      <c r="BH145" s="198"/>
      <c r="BI145" s="198"/>
      <c r="BJ145" s="198"/>
      <c r="BK145" s="199"/>
      <c r="BL145" s="198"/>
      <c r="BM145" s="198"/>
      <c r="BN145" s="198"/>
      <c r="BO145" s="199"/>
      <c r="BP145" s="152"/>
      <c r="BQ145" s="198"/>
      <c r="BR145" s="198"/>
      <c r="BS145" s="198"/>
      <c r="BT145" s="198"/>
      <c r="BU145" s="198"/>
      <c r="BV145" s="198"/>
      <c r="BW145" s="198"/>
      <c r="BX145" s="198"/>
      <c r="BY145" s="198"/>
      <c r="BZ145" s="198"/>
      <c r="CA145" s="198">
        <f>AU145</f>
        <v>0</v>
      </c>
      <c r="CB145" s="198"/>
      <c r="CC145" s="198"/>
      <c r="CD145" s="198"/>
      <c r="CE145" s="198"/>
      <c r="CF145" s="199"/>
      <c r="CG145" s="342"/>
      <c r="CH145" s="8"/>
    </row>
    <row r="146" spans="1:86" ht="14.25" customHeight="1" outlineLevel="1">
      <c r="A146" s="8"/>
      <c r="B146" s="578" t="s">
        <v>243</v>
      </c>
      <c r="C146" s="194"/>
      <c r="D146" s="579">
        <f t="shared" ref="D146:AQ146" si="609">D139+D131+D122+D141+D142</f>
        <v>-807</v>
      </c>
      <c r="E146" s="196">
        <f t="shared" si="609"/>
        <v>-530</v>
      </c>
      <c r="F146" s="196">
        <f t="shared" si="609"/>
        <v>-717</v>
      </c>
      <c r="G146" s="196">
        <f t="shared" si="609"/>
        <v>-1449</v>
      </c>
      <c r="H146" s="579">
        <f t="shared" si="609"/>
        <v>-492</v>
      </c>
      <c r="I146" s="196">
        <f t="shared" si="609"/>
        <v>464</v>
      </c>
      <c r="J146" s="196">
        <f t="shared" si="609"/>
        <v>216</v>
      </c>
      <c r="K146" s="196">
        <f t="shared" si="609"/>
        <v>-31</v>
      </c>
      <c r="L146" s="579">
        <f t="shared" si="609"/>
        <v>-218</v>
      </c>
      <c r="M146" s="196">
        <f t="shared" si="609"/>
        <v>83.000000000000071</v>
      </c>
      <c r="N146" s="196">
        <f t="shared" si="609"/>
        <v>-375.99999999999983</v>
      </c>
      <c r="O146" s="196">
        <f t="shared" si="609"/>
        <v>145.00000000000023</v>
      </c>
      <c r="P146" s="579">
        <f t="shared" si="609"/>
        <v>122</v>
      </c>
      <c r="Q146" s="196">
        <f t="shared" si="609"/>
        <v>-11</v>
      </c>
      <c r="R146" s="196">
        <f t="shared" si="609"/>
        <v>387</v>
      </c>
      <c r="S146" s="196">
        <f t="shared" si="609"/>
        <v>-282</v>
      </c>
      <c r="T146" s="579">
        <f t="shared" si="609"/>
        <v>390</v>
      </c>
      <c r="U146" s="196">
        <f t="shared" si="609"/>
        <v>719</v>
      </c>
      <c r="V146" s="196">
        <f t="shared" si="609"/>
        <v>248</v>
      </c>
      <c r="W146" s="197">
        <f t="shared" si="609"/>
        <v>136</v>
      </c>
      <c r="X146" s="579">
        <f t="shared" si="609"/>
        <v>35</v>
      </c>
      <c r="Y146" s="196">
        <f t="shared" si="609"/>
        <v>-44</v>
      </c>
      <c r="Z146" s="196">
        <f t="shared" si="609"/>
        <v>-89</v>
      </c>
      <c r="AA146" s="197">
        <f t="shared" si="609"/>
        <v>137</v>
      </c>
      <c r="AB146" s="579">
        <f t="shared" si="609"/>
        <v>24</v>
      </c>
      <c r="AC146" s="196">
        <f t="shared" si="609"/>
        <v>3182</v>
      </c>
      <c r="AD146" s="196">
        <f t="shared" si="609"/>
        <v>262</v>
      </c>
      <c r="AE146" s="197">
        <f t="shared" si="609"/>
        <v>-327</v>
      </c>
      <c r="AF146" s="579">
        <f t="shared" si="609"/>
        <v>201</v>
      </c>
      <c r="AG146" s="196">
        <f t="shared" si="609"/>
        <v>200</v>
      </c>
      <c r="AH146" s="196">
        <f t="shared" si="609"/>
        <v>218</v>
      </c>
      <c r="AI146" s="197">
        <f t="shared" si="609"/>
        <v>424</v>
      </c>
      <c r="AJ146" s="196">
        <f t="shared" si="609"/>
        <v>-23</v>
      </c>
      <c r="AK146" s="196">
        <f>AK139+AK131+AK122+AK141+AK142</f>
        <v>-236</v>
      </c>
      <c r="AL146" s="196">
        <f t="shared" si="609"/>
        <v>19</v>
      </c>
      <c r="AM146" s="197">
        <f>AM139+AM131+AM122+AM141+AM142</f>
        <v>211</v>
      </c>
      <c r="AN146" s="196">
        <f>AN139+AN131+AN122+AN141+AN142</f>
        <v>-62</v>
      </c>
      <c r="AO146" s="196">
        <f>AO139+AO131+AO122+AO141+AO142</f>
        <v>-411</v>
      </c>
      <c r="AP146" s="196">
        <f t="shared" si="609"/>
        <v>-321</v>
      </c>
      <c r="AQ146" s="197">
        <f t="shared" si="609"/>
        <v>-428</v>
      </c>
      <c r="AR146" s="196">
        <f t="shared" ref="AR146:BD146" si="610">AR139+AR131+AR122+AR141+AR142</f>
        <v>43</v>
      </c>
      <c r="AS146" s="196">
        <f t="shared" si="610"/>
        <v>-15</v>
      </c>
      <c r="AT146" s="196">
        <f t="shared" si="610"/>
        <v>-66</v>
      </c>
      <c r="AU146" s="197">
        <f t="shared" si="610"/>
        <v>-199</v>
      </c>
      <c r="AV146" s="196">
        <f t="shared" si="610"/>
        <v>281</v>
      </c>
      <c r="AW146" s="196">
        <f t="shared" si="610"/>
        <v>318</v>
      </c>
      <c r="AX146" s="196">
        <f>AX139+AX131+AX122+AX141+AX142</f>
        <v>502</v>
      </c>
      <c r="AY146" s="197">
        <f t="shared" ref="AY146:BA146" si="611">AY139+AY131+AY122+AY141+AY142</f>
        <v>154</v>
      </c>
      <c r="AZ146" s="196">
        <f t="shared" si="611"/>
        <v>-81</v>
      </c>
      <c r="BA146" s="196">
        <f t="shared" si="611"/>
        <v>-14</v>
      </c>
      <c r="BB146" s="196">
        <f>BB139+BB131+BB122+BB141+BB142</f>
        <v>142</v>
      </c>
      <c r="BC146" s="197">
        <f t="shared" si="610"/>
        <v>502</v>
      </c>
      <c r="BD146" s="196">
        <f t="shared" si="610"/>
        <v>61</v>
      </c>
      <c r="BE146" s="196">
        <f t="shared" ref="BE146:BG146" si="612">BE139+BE131+BE122+BE141+BE142</f>
        <v>-23.198308008973072</v>
      </c>
      <c r="BF146" s="196">
        <f t="shared" si="612"/>
        <v>-67.80595907345014</v>
      </c>
      <c r="BG146" s="197">
        <f t="shared" si="612"/>
        <v>154.71931334217334</v>
      </c>
      <c r="BH146" s="196">
        <f t="shared" ref="BH146:BK146" si="613">BH139+BH131+BH122+BH141+BH142</f>
        <v>-149.40930185439697</v>
      </c>
      <c r="BI146" s="196">
        <f t="shared" si="613"/>
        <v>47.288362384121228</v>
      </c>
      <c r="BJ146" s="196">
        <f t="shared" si="613"/>
        <v>334.1642275669592</v>
      </c>
      <c r="BK146" s="197">
        <f t="shared" si="613"/>
        <v>851.52543926123872</v>
      </c>
      <c r="BL146" s="196">
        <f t="shared" ref="BL146:BO146" si="614">BL139+BL131+BL122+BL141+BL142</f>
        <v>331.22610127191092</v>
      </c>
      <c r="BM146" s="196">
        <f t="shared" si="614"/>
        <v>577.23776711844312</v>
      </c>
      <c r="BN146" s="196">
        <f t="shared" si="614"/>
        <v>964.83912215210603</v>
      </c>
      <c r="BO146" s="197">
        <f t="shared" si="614"/>
        <v>1589.1988802186588</v>
      </c>
      <c r="BP146" s="152"/>
      <c r="BQ146" s="196">
        <f t="shared" ref="BQ146:BZ146" si="615">BQ139+BQ131+BQ122+BQ141+BQ142</f>
        <v>-1449</v>
      </c>
      <c r="BR146" s="196">
        <f t="shared" si="615"/>
        <v>-31</v>
      </c>
      <c r="BS146" s="196">
        <f t="shared" si="615"/>
        <v>145.00000000000023</v>
      </c>
      <c r="BT146" s="196">
        <f t="shared" si="615"/>
        <v>-282</v>
      </c>
      <c r="BU146" s="196">
        <f t="shared" si="615"/>
        <v>136</v>
      </c>
      <c r="BV146" s="196">
        <f t="shared" si="615"/>
        <v>137</v>
      </c>
      <c r="BW146" s="196">
        <f t="shared" si="615"/>
        <v>-327</v>
      </c>
      <c r="BX146" s="196">
        <f t="shared" si="615"/>
        <v>424</v>
      </c>
      <c r="BY146" s="196">
        <f t="shared" si="615"/>
        <v>211</v>
      </c>
      <c r="BZ146" s="196">
        <f t="shared" si="615"/>
        <v>-428</v>
      </c>
      <c r="CA146" s="196">
        <f t="shared" ref="CA146:CF146" si="616">CA139+CA131+CA122+CA141+CA142</f>
        <v>-199</v>
      </c>
      <c r="CB146" s="196">
        <f t="shared" si="616"/>
        <v>154</v>
      </c>
      <c r="CC146" s="196">
        <f t="shared" si="616"/>
        <v>502</v>
      </c>
      <c r="CD146" s="196">
        <f t="shared" si="616"/>
        <v>154.71931334217334</v>
      </c>
      <c r="CE146" s="196">
        <f t="shared" si="616"/>
        <v>851.52543926123872</v>
      </c>
      <c r="CF146" s="197">
        <f t="shared" si="616"/>
        <v>1589.1988802186588</v>
      </c>
      <c r="CG146" s="342"/>
      <c r="CH146" s="8"/>
    </row>
    <row r="147" spans="1:86" ht="14.25" customHeight="1" outlineLevel="1">
      <c r="A147" s="8"/>
      <c r="B147" s="201" t="s">
        <v>244</v>
      </c>
      <c r="C147" s="202"/>
      <c r="D147" s="204">
        <f t="shared" ref="D147:AQ147" si="617">D146+D144+D145</f>
        <v>1856</v>
      </c>
      <c r="E147" s="203">
        <f t="shared" si="617"/>
        <v>2133</v>
      </c>
      <c r="F147" s="203">
        <f t="shared" si="617"/>
        <v>1946</v>
      </c>
      <c r="G147" s="203">
        <f t="shared" si="617"/>
        <v>1214</v>
      </c>
      <c r="H147" s="204">
        <f t="shared" si="617"/>
        <v>722</v>
      </c>
      <c r="I147" s="203">
        <f t="shared" si="617"/>
        <v>1678</v>
      </c>
      <c r="J147" s="203">
        <f t="shared" si="617"/>
        <v>1430</v>
      </c>
      <c r="K147" s="203">
        <f t="shared" si="617"/>
        <v>1183</v>
      </c>
      <c r="L147" s="204">
        <f t="shared" si="617"/>
        <v>965</v>
      </c>
      <c r="M147" s="203">
        <f t="shared" si="617"/>
        <v>1266</v>
      </c>
      <c r="N147" s="203">
        <f t="shared" si="617"/>
        <v>807.00000000000023</v>
      </c>
      <c r="O147" s="203">
        <f t="shared" si="617"/>
        <v>1328.0000000000002</v>
      </c>
      <c r="P147" s="204">
        <f t="shared" si="617"/>
        <v>1450.0000000000002</v>
      </c>
      <c r="Q147" s="203">
        <f t="shared" si="617"/>
        <v>1317.0000000000002</v>
      </c>
      <c r="R147" s="203">
        <f t="shared" si="617"/>
        <v>1715.0000000000002</v>
      </c>
      <c r="S147" s="203">
        <f t="shared" si="617"/>
        <v>1046.0000000000002</v>
      </c>
      <c r="T147" s="204">
        <f t="shared" si="617"/>
        <v>1436.0000000000002</v>
      </c>
      <c r="U147" s="203">
        <f t="shared" si="617"/>
        <v>1765.0000000000002</v>
      </c>
      <c r="V147" s="203">
        <f t="shared" si="617"/>
        <v>1294.0000000000002</v>
      </c>
      <c r="W147" s="205">
        <f t="shared" si="617"/>
        <v>1182.0000000000002</v>
      </c>
      <c r="X147" s="204">
        <f t="shared" si="617"/>
        <v>1217.0000000000002</v>
      </c>
      <c r="Y147" s="203">
        <f t="shared" si="617"/>
        <v>1138.0000000000002</v>
      </c>
      <c r="Z147" s="203">
        <f t="shared" si="617"/>
        <v>1093.0000000000002</v>
      </c>
      <c r="AA147" s="205">
        <f t="shared" si="617"/>
        <v>1319.0000000000002</v>
      </c>
      <c r="AB147" s="204">
        <f t="shared" si="617"/>
        <v>1343.0000000000002</v>
      </c>
      <c r="AC147" s="203">
        <f t="shared" si="617"/>
        <v>4501</v>
      </c>
      <c r="AD147" s="203">
        <f t="shared" si="617"/>
        <v>1581.0000000000002</v>
      </c>
      <c r="AE147" s="205">
        <f t="shared" si="617"/>
        <v>992.00000000000023</v>
      </c>
      <c r="AF147" s="204">
        <f t="shared" si="617"/>
        <v>1193.0000000000002</v>
      </c>
      <c r="AG147" s="203">
        <f t="shared" si="617"/>
        <v>1192.0000000000002</v>
      </c>
      <c r="AH147" s="203">
        <f t="shared" si="617"/>
        <v>1210.0000000000002</v>
      </c>
      <c r="AI147" s="205">
        <f t="shared" si="617"/>
        <v>1416.0000000000002</v>
      </c>
      <c r="AJ147" s="203">
        <f t="shared" si="617"/>
        <v>1393.0000000000002</v>
      </c>
      <c r="AK147" s="203">
        <f t="shared" si="617"/>
        <v>1180.0000000000002</v>
      </c>
      <c r="AL147" s="203">
        <f t="shared" si="617"/>
        <v>1435.0000000000002</v>
      </c>
      <c r="AM147" s="205">
        <f t="shared" si="617"/>
        <v>1627.0000000000002</v>
      </c>
      <c r="AN147" s="203">
        <f>AN146+AN144+AN145</f>
        <v>1565.0000000000002</v>
      </c>
      <c r="AO147" s="203">
        <f>AO146+AO144+AO145</f>
        <v>1216.0000000000002</v>
      </c>
      <c r="AP147" s="203">
        <f t="shared" si="617"/>
        <v>1306.0000000000002</v>
      </c>
      <c r="AQ147" s="205">
        <f t="shared" si="617"/>
        <v>1199.0000000000002</v>
      </c>
      <c r="AR147" s="203">
        <f t="shared" ref="AR147:BD147" si="618">AR146+AR144+AR145</f>
        <v>1242.0000000000002</v>
      </c>
      <c r="AS147" s="203">
        <f t="shared" si="618"/>
        <v>1184.0000000000002</v>
      </c>
      <c r="AT147" s="203">
        <f t="shared" si="618"/>
        <v>1133.0000000000002</v>
      </c>
      <c r="AU147" s="205">
        <f t="shared" si="618"/>
        <v>1000.0000000000002</v>
      </c>
      <c r="AV147" s="203">
        <f t="shared" si="618"/>
        <v>1281.0000000000002</v>
      </c>
      <c r="AW147" s="203">
        <f t="shared" si="618"/>
        <v>1235</v>
      </c>
      <c r="AX147" s="203">
        <f>AX146+AX144+AX145</f>
        <v>1369</v>
      </c>
      <c r="AY147" s="205">
        <f t="shared" ref="AY147:BA147" si="619">AY146+AY144+AY145</f>
        <v>1154.0000000000002</v>
      </c>
      <c r="AZ147" s="203">
        <f t="shared" si="619"/>
        <v>1073.0000000000002</v>
      </c>
      <c r="BA147" s="203">
        <f t="shared" si="619"/>
        <v>1140.0000000000002</v>
      </c>
      <c r="BB147" s="203">
        <f>BB146+BB144+BB145</f>
        <v>1296.0000000000002</v>
      </c>
      <c r="BC147" s="205">
        <f t="shared" si="618"/>
        <v>1656.0000000000002</v>
      </c>
      <c r="BD147" s="203">
        <f t="shared" si="618"/>
        <v>1717.0000000000002</v>
      </c>
      <c r="BE147" s="203">
        <f t="shared" ref="BE147:BG147" si="620">BE146+BE144+BE145</f>
        <v>1632.8016919910272</v>
      </c>
      <c r="BF147" s="203">
        <f t="shared" si="620"/>
        <v>1588.1940409265501</v>
      </c>
      <c r="BG147" s="205">
        <f t="shared" si="620"/>
        <v>1810.7193133421736</v>
      </c>
      <c r="BH147" s="203">
        <f t="shared" ref="BH147:BK147" si="621">BH146+BH144+BH145</f>
        <v>1661.3100114877766</v>
      </c>
      <c r="BI147" s="203">
        <f t="shared" si="621"/>
        <v>1858.0076757262948</v>
      </c>
      <c r="BJ147" s="203">
        <f t="shared" si="621"/>
        <v>2144.8835409091325</v>
      </c>
      <c r="BK147" s="205">
        <f t="shared" si="621"/>
        <v>2662.2447526034121</v>
      </c>
      <c r="BL147" s="203">
        <f t="shared" ref="BL147:BO147" si="622">BL146+BL144+BL145</f>
        <v>2993.470853875323</v>
      </c>
      <c r="BM147" s="203">
        <f t="shared" si="622"/>
        <v>3239.4825197218552</v>
      </c>
      <c r="BN147" s="203">
        <f t="shared" si="622"/>
        <v>3627.0838747555181</v>
      </c>
      <c r="BO147" s="205">
        <f t="shared" si="622"/>
        <v>4251.4436328220709</v>
      </c>
      <c r="BP147" s="152"/>
      <c r="BQ147" s="203">
        <f t="shared" ref="BQ147:BZ147" si="623">BQ146+BQ144+BQ145</f>
        <v>1214</v>
      </c>
      <c r="BR147" s="203">
        <f t="shared" si="623"/>
        <v>1183</v>
      </c>
      <c r="BS147" s="203">
        <f t="shared" si="623"/>
        <v>1328.0000000000002</v>
      </c>
      <c r="BT147" s="203">
        <f t="shared" si="623"/>
        <v>1046.0000000000002</v>
      </c>
      <c r="BU147" s="203">
        <f t="shared" si="623"/>
        <v>1182.0000000000002</v>
      </c>
      <c r="BV147" s="203">
        <f t="shared" si="623"/>
        <v>1319.0000000000002</v>
      </c>
      <c r="BW147" s="203">
        <f t="shared" si="623"/>
        <v>992.00000000000023</v>
      </c>
      <c r="BX147" s="203">
        <f t="shared" si="623"/>
        <v>1416.0000000000002</v>
      </c>
      <c r="BY147" s="203">
        <f t="shared" si="623"/>
        <v>1627.0000000000002</v>
      </c>
      <c r="BZ147" s="203">
        <f t="shared" si="623"/>
        <v>1199.0000000000002</v>
      </c>
      <c r="CA147" s="203">
        <f t="shared" ref="CA147:CF147" si="624">CA146+CA144+CA145</f>
        <v>1000.0000000000002</v>
      </c>
      <c r="CB147" s="203">
        <f t="shared" si="624"/>
        <v>1154.0000000000002</v>
      </c>
      <c r="CC147" s="203">
        <f t="shared" si="624"/>
        <v>1656.0000000000002</v>
      </c>
      <c r="CD147" s="203">
        <f t="shared" si="624"/>
        <v>1810.7193133421736</v>
      </c>
      <c r="CE147" s="203">
        <f t="shared" si="624"/>
        <v>2662.2447526034121</v>
      </c>
      <c r="CF147" s="205">
        <f t="shared" si="624"/>
        <v>4251.4436328220709</v>
      </c>
      <c r="CG147" s="342"/>
      <c r="CH147" s="8"/>
    </row>
    <row r="148" spans="1:86" ht="14.25" customHeight="1" outlineLevel="1">
      <c r="A148" s="8"/>
      <c r="B148" s="262"/>
      <c r="C148" s="263"/>
      <c r="D148" s="207"/>
      <c r="E148" s="196"/>
      <c r="F148" s="196"/>
      <c r="G148" s="196"/>
      <c r="H148" s="207"/>
      <c r="I148" s="196"/>
      <c r="J148" s="196"/>
      <c r="K148" s="196"/>
      <c r="L148" s="207"/>
      <c r="M148" s="196"/>
      <c r="N148" s="196"/>
      <c r="O148" s="196"/>
      <c r="P148" s="207"/>
      <c r="Q148" s="196"/>
      <c r="R148" s="196"/>
      <c r="S148" s="196"/>
      <c r="T148" s="207"/>
      <c r="U148" s="196"/>
      <c r="V148" s="196"/>
      <c r="W148" s="196"/>
      <c r="X148" s="196"/>
      <c r="Y148" s="196"/>
      <c r="Z148" s="196"/>
      <c r="AA148" s="196"/>
      <c r="AB148" s="196"/>
      <c r="AC148" s="196"/>
      <c r="AD148" s="196"/>
      <c r="AE148" s="196"/>
      <c r="AF148" s="196"/>
      <c r="AG148" s="196"/>
      <c r="AH148" s="196"/>
      <c r="AI148" s="196"/>
      <c r="AJ148" s="196"/>
      <c r="AK148" s="196"/>
      <c r="AL148" s="196"/>
      <c r="AM148" s="196"/>
      <c r="AN148" s="196"/>
      <c r="AO148" s="196"/>
      <c r="AP148" s="196"/>
      <c r="AQ148" s="196"/>
      <c r="AR148" s="196"/>
      <c r="AS148" s="196"/>
      <c r="AT148" s="196"/>
      <c r="AU148" s="196"/>
      <c r="AV148" s="196"/>
      <c r="AW148" s="196"/>
      <c r="AX148" s="196"/>
      <c r="AY148" s="196"/>
      <c r="AZ148" s="196"/>
      <c r="BA148" s="196"/>
      <c r="BB148" s="196"/>
      <c r="BC148" s="196"/>
      <c r="BD148" s="196"/>
      <c r="BE148" s="196"/>
      <c r="BF148" s="196"/>
      <c r="BG148" s="196"/>
      <c r="BH148" s="196"/>
      <c r="BI148" s="196"/>
      <c r="BJ148" s="196"/>
      <c r="BK148" s="196"/>
      <c r="BL148" s="196"/>
      <c r="BM148" s="196"/>
      <c r="BN148" s="196"/>
      <c r="BO148" s="196"/>
      <c r="BP148" s="54"/>
      <c r="BQ148" s="196"/>
      <c r="BR148" s="196"/>
      <c r="BS148" s="196"/>
      <c r="BT148" s="196"/>
      <c r="BU148" s="196"/>
      <c r="BV148" s="196"/>
      <c r="BW148" s="196"/>
      <c r="BX148" s="196"/>
      <c r="BY148" s="196"/>
      <c r="BZ148" s="196"/>
      <c r="CA148" s="196"/>
      <c r="CB148" s="196"/>
      <c r="CC148" s="196"/>
      <c r="CD148" s="196"/>
      <c r="CE148" s="196"/>
      <c r="CF148" s="196"/>
      <c r="CG148" s="12"/>
      <c r="CH148" s="8"/>
    </row>
    <row r="149" spans="1:86" ht="14.25" customHeight="1" outlineLevel="1">
      <c r="A149" s="8"/>
      <c r="B149" s="58" t="s">
        <v>218</v>
      </c>
      <c r="C149" s="59"/>
      <c r="D149" s="148">
        <f>BS!D11</f>
        <v>1856</v>
      </c>
      <c r="E149" s="148">
        <f>BS!E11</f>
        <v>2133</v>
      </c>
      <c r="F149" s="148">
        <f>BS!F11</f>
        <v>1946</v>
      </c>
      <c r="G149" s="149">
        <f>BS!G11</f>
        <v>1214</v>
      </c>
      <c r="H149" s="148">
        <f>BS!H11</f>
        <v>722</v>
      </c>
      <c r="I149" s="148">
        <f>BS!I11</f>
        <v>1678</v>
      </c>
      <c r="J149" s="148">
        <f>BS!J11</f>
        <v>1430</v>
      </c>
      <c r="K149" s="149">
        <f>BS!K11</f>
        <v>1183</v>
      </c>
      <c r="L149" s="148">
        <f>BS!L11</f>
        <v>965</v>
      </c>
      <c r="M149" s="148">
        <f>BS!M11</f>
        <v>1266</v>
      </c>
      <c r="N149" s="148">
        <f>BS!N11</f>
        <v>807</v>
      </c>
      <c r="O149" s="149">
        <f>BS!O11</f>
        <v>1328</v>
      </c>
      <c r="P149" s="148">
        <f>BS!P11</f>
        <v>1450</v>
      </c>
      <c r="Q149" s="148">
        <f>BS!Q11</f>
        <v>1317</v>
      </c>
      <c r="R149" s="148">
        <f>BS!R11</f>
        <v>1715</v>
      </c>
      <c r="S149" s="149">
        <f>BS!S11</f>
        <v>1046</v>
      </c>
      <c r="T149" s="148">
        <f>BS!T11</f>
        <v>1436</v>
      </c>
      <c r="U149" s="148">
        <f>BS!U11</f>
        <v>1765</v>
      </c>
      <c r="V149" s="148">
        <f>BS!V11</f>
        <v>1294</v>
      </c>
      <c r="W149" s="151">
        <f>BS!W11</f>
        <v>1182</v>
      </c>
      <c r="X149" s="150">
        <f>BS!X11</f>
        <v>1217</v>
      </c>
      <c r="Y149" s="148">
        <f>BS!Y11</f>
        <v>1138</v>
      </c>
      <c r="Z149" s="148">
        <f>BS!Z11</f>
        <v>1093</v>
      </c>
      <c r="AA149" s="151">
        <f>BS!AA11</f>
        <v>1319</v>
      </c>
      <c r="AB149" s="150">
        <f>BS!AB11</f>
        <v>1343</v>
      </c>
      <c r="AC149" s="148">
        <f>BS!AC11</f>
        <v>4501</v>
      </c>
      <c r="AD149" s="148">
        <f>BS!AD11</f>
        <v>1581</v>
      </c>
      <c r="AE149" s="151">
        <f>BS!AE11</f>
        <v>992</v>
      </c>
      <c r="AF149" s="150">
        <f>BS!AF11</f>
        <v>1193</v>
      </c>
      <c r="AG149" s="148">
        <f>BS!AG11</f>
        <v>1192</v>
      </c>
      <c r="AH149" s="148">
        <f>BS!AH11</f>
        <v>1210</v>
      </c>
      <c r="AI149" s="151">
        <f>BS!AI11</f>
        <v>1416</v>
      </c>
      <c r="AJ149" s="148">
        <f>BS!AJ11</f>
        <v>1393</v>
      </c>
      <c r="AK149" s="148">
        <f>BS!AK11</f>
        <v>1180</v>
      </c>
      <c r="AL149" s="148">
        <f>BS!AL11</f>
        <v>1435</v>
      </c>
      <c r="AM149" s="151">
        <f>BS!AM11</f>
        <v>1627</v>
      </c>
      <c r="AN149" s="148">
        <f>BS!AN11</f>
        <v>1565</v>
      </c>
      <c r="AO149" s="148">
        <f>BS!AO11</f>
        <v>1216</v>
      </c>
      <c r="AP149" s="148">
        <f>BS!AP11</f>
        <v>1306</v>
      </c>
      <c r="AQ149" s="151">
        <f>BS!AQ11</f>
        <v>1199</v>
      </c>
      <c r="AR149" s="148">
        <f>BS!AR11</f>
        <v>1242</v>
      </c>
      <c r="AS149" s="148">
        <f>BS!AS11</f>
        <v>1184</v>
      </c>
      <c r="AT149" s="148">
        <f>BS!AT11</f>
        <v>1133</v>
      </c>
      <c r="AU149" s="151">
        <f>BS!AU11</f>
        <v>1000</v>
      </c>
      <c r="AV149" s="148">
        <f>BS!AV11</f>
        <v>1281</v>
      </c>
      <c r="AW149" s="148">
        <f>BS!AW11</f>
        <v>1235</v>
      </c>
      <c r="AX149" s="148">
        <f>BS!AX11</f>
        <v>1369</v>
      </c>
      <c r="AY149" s="151">
        <f>BS!AY11</f>
        <v>1154</v>
      </c>
      <c r="AZ149" s="148">
        <f>BS!AZ11</f>
        <v>1073</v>
      </c>
      <c r="BA149" s="148">
        <f>BS!BA11</f>
        <v>1140</v>
      </c>
      <c r="BB149" s="148">
        <f>BS!BB11</f>
        <v>1296</v>
      </c>
      <c r="BC149" s="149">
        <f>BS!BC11</f>
        <v>1656</v>
      </c>
      <c r="BD149" s="148">
        <f>BS!BD11</f>
        <v>1717</v>
      </c>
      <c r="BE149" s="148">
        <f>BS!BE11</f>
        <v>1632.8016919910269</v>
      </c>
      <c r="BF149" s="148">
        <f>BS!BF11</f>
        <v>1588.1940409265503</v>
      </c>
      <c r="BG149" s="149">
        <f>BS!BG11</f>
        <v>1810.7193133421742</v>
      </c>
      <c r="BH149" s="148">
        <f>BS!BH11</f>
        <v>1661.3100114877773</v>
      </c>
      <c r="BI149" s="148">
        <f>BS!BI11</f>
        <v>1858.0076757262957</v>
      </c>
      <c r="BJ149" s="148">
        <f>BS!BJ11</f>
        <v>2144.8835409091344</v>
      </c>
      <c r="BK149" s="149">
        <f>BS!BK11</f>
        <v>2662.2447526034139</v>
      </c>
      <c r="BL149" s="148">
        <f>BS!BL11</f>
        <v>2993.4708538753248</v>
      </c>
      <c r="BM149" s="148">
        <f>BS!BM11</f>
        <v>3239.482519721857</v>
      </c>
      <c r="BN149" s="148">
        <f>BS!BN11</f>
        <v>3627.0838747555199</v>
      </c>
      <c r="BO149" s="149">
        <f>BS!BO11</f>
        <v>4251.4436328220727</v>
      </c>
      <c r="BP149" s="152"/>
      <c r="BQ149" s="148">
        <f>BS!BQ11</f>
        <v>1214</v>
      </c>
      <c r="BR149" s="148">
        <f>BS!BR11</f>
        <v>1183</v>
      </c>
      <c r="BS149" s="148">
        <f>BS!BS11</f>
        <v>1328</v>
      </c>
      <c r="BT149" s="148">
        <f>BS!BT11</f>
        <v>1046</v>
      </c>
      <c r="BU149" s="148">
        <f>BS!BU11</f>
        <v>1182</v>
      </c>
      <c r="BV149" s="148">
        <f>BS!BV11</f>
        <v>1319</v>
      </c>
      <c r="BW149" s="148">
        <f>BS!BW11</f>
        <v>992</v>
      </c>
      <c r="BX149" s="148">
        <f>BS!BX11</f>
        <v>1416</v>
      </c>
      <c r="BY149" s="210">
        <f>BS!BY11</f>
        <v>1627</v>
      </c>
      <c r="BZ149" s="210">
        <f>BS!BZ11</f>
        <v>1199</v>
      </c>
      <c r="CA149" s="210">
        <f>BS!CA11</f>
        <v>1000</v>
      </c>
      <c r="CB149" s="210">
        <f>BS!CB11</f>
        <v>1154</v>
      </c>
      <c r="CC149" s="210">
        <f>BS!CC11</f>
        <v>1656</v>
      </c>
      <c r="CD149" s="210">
        <f>BS!CD11</f>
        <v>1810.7193133421742</v>
      </c>
      <c r="CE149" s="210">
        <f>BS!CE11</f>
        <v>2662.2447526034139</v>
      </c>
      <c r="CF149" s="149">
        <f>BS!CF11</f>
        <v>4251.4436328220727</v>
      </c>
      <c r="CG149" s="342"/>
      <c r="CH149" s="8"/>
    </row>
    <row r="150" spans="1:86" ht="14.25" customHeight="1" outlineLevel="1">
      <c r="A150" s="8"/>
      <c r="B150" s="117" t="s">
        <v>196</v>
      </c>
      <c r="C150" s="118"/>
      <c r="D150" s="119">
        <f t="shared" ref="D150:BZ150" si="625">IF(ROUND(D149,4)=ROUND(D147,4),0,(D149-D147))</f>
        <v>0</v>
      </c>
      <c r="E150" s="119">
        <f t="shared" si="625"/>
        <v>0</v>
      </c>
      <c r="F150" s="119">
        <f t="shared" si="625"/>
        <v>0</v>
      </c>
      <c r="G150" s="120">
        <f t="shared" si="625"/>
        <v>0</v>
      </c>
      <c r="H150" s="119">
        <f t="shared" si="625"/>
        <v>0</v>
      </c>
      <c r="I150" s="119">
        <f t="shared" si="625"/>
        <v>0</v>
      </c>
      <c r="J150" s="119">
        <f t="shared" si="625"/>
        <v>0</v>
      </c>
      <c r="K150" s="120">
        <f t="shared" si="625"/>
        <v>0</v>
      </c>
      <c r="L150" s="119">
        <f t="shared" si="625"/>
        <v>0</v>
      </c>
      <c r="M150" s="119">
        <f t="shared" si="625"/>
        <v>0</v>
      </c>
      <c r="N150" s="119">
        <f t="shared" si="625"/>
        <v>0</v>
      </c>
      <c r="O150" s="120">
        <f t="shared" si="625"/>
        <v>0</v>
      </c>
      <c r="P150" s="119">
        <f t="shared" si="625"/>
        <v>0</v>
      </c>
      <c r="Q150" s="119">
        <f t="shared" si="625"/>
        <v>0</v>
      </c>
      <c r="R150" s="119">
        <f t="shared" si="625"/>
        <v>0</v>
      </c>
      <c r="S150" s="120">
        <f t="shared" si="625"/>
        <v>0</v>
      </c>
      <c r="T150" s="119">
        <f t="shared" si="625"/>
        <v>0</v>
      </c>
      <c r="U150" s="119">
        <f t="shared" si="625"/>
        <v>0</v>
      </c>
      <c r="V150" s="119">
        <f t="shared" si="625"/>
        <v>0</v>
      </c>
      <c r="W150" s="120">
        <f t="shared" si="625"/>
        <v>0</v>
      </c>
      <c r="X150" s="119">
        <f t="shared" si="625"/>
        <v>0</v>
      </c>
      <c r="Y150" s="119">
        <f t="shared" si="625"/>
        <v>0</v>
      </c>
      <c r="Z150" s="153">
        <f t="shared" si="625"/>
        <v>0</v>
      </c>
      <c r="AA150" s="120">
        <f t="shared" si="625"/>
        <v>0</v>
      </c>
      <c r="AB150" s="119">
        <f t="shared" si="625"/>
        <v>0</v>
      </c>
      <c r="AC150" s="119">
        <f t="shared" si="625"/>
        <v>0</v>
      </c>
      <c r="AD150" s="119">
        <f t="shared" si="625"/>
        <v>0</v>
      </c>
      <c r="AE150" s="120">
        <f t="shared" si="625"/>
        <v>0</v>
      </c>
      <c r="AF150" s="119">
        <f t="shared" si="625"/>
        <v>0</v>
      </c>
      <c r="AG150" s="119">
        <f t="shared" si="625"/>
        <v>0</v>
      </c>
      <c r="AH150" s="119">
        <f t="shared" si="625"/>
        <v>0</v>
      </c>
      <c r="AI150" s="120">
        <f t="shared" si="625"/>
        <v>0</v>
      </c>
      <c r="AJ150" s="121">
        <f t="shared" si="625"/>
        <v>0</v>
      </c>
      <c r="AK150" s="119">
        <f t="shared" si="625"/>
        <v>0</v>
      </c>
      <c r="AL150" s="119">
        <f t="shared" si="625"/>
        <v>0</v>
      </c>
      <c r="AM150" s="120">
        <f t="shared" si="625"/>
        <v>0</v>
      </c>
      <c r="AN150" s="121">
        <f>IF(ROUND(AN149,4)=ROUND(AN147,4),0,(AN149-AN147))</f>
        <v>0</v>
      </c>
      <c r="AO150" s="119">
        <f>IF(ROUND(AO149,4)=ROUND(AO147,4),0,(AO149-AO147))</f>
        <v>0</v>
      </c>
      <c r="AP150" s="119">
        <f t="shared" si="625"/>
        <v>0</v>
      </c>
      <c r="AQ150" s="120">
        <f t="shared" si="625"/>
        <v>0</v>
      </c>
      <c r="AR150" s="121">
        <f t="shared" ref="AR150:BD150" si="626">IF(ROUND(AR149,4)=ROUND(AR147,4),0,(AR149-AR147))</f>
        <v>0</v>
      </c>
      <c r="AS150" s="119">
        <f t="shared" si="626"/>
        <v>0</v>
      </c>
      <c r="AT150" s="119">
        <f t="shared" si="626"/>
        <v>0</v>
      </c>
      <c r="AU150" s="120">
        <f t="shared" si="626"/>
        <v>0</v>
      </c>
      <c r="AV150" s="121">
        <f t="shared" si="626"/>
        <v>0</v>
      </c>
      <c r="AW150" s="119">
        <f t="shared" si="626"/>
        <v>0</v>
      </c>
      <c r="AX150" s="119">
        <f>IF(ROUND(AX149,4)=ROUND(AX147,4),0,(AX149-AX147))</f>
        <v>0</v>
      </c>
      <c r="AY150" s="120">
        <f t="shared" ref="AY150:BA150" si="627">IF(ROUND(AY149,4)=ROUND(AY147,4),0,(AY149-AY147))</f>
        <v>0</v>
      </c>
      <c r="AZ150" s="121">
        <f t="shared" si="627"/>
        <v>0</v>
      </c>
      <c r="BA150" s="119">
        <f t="shared" si="627"/>
        <v>0</v>
      </c>
      <c r="BB150" s="119">
        <f>IF(ROUND(BB149,4)=ROUND(BB147,4),0,(BB149-BB147))</f>
        <v>0</v>
      </c>
      <c r="BC150" s="120">
        <f t="shared" si="626"/>
        <v>0</v>
      </c>
      <c r="BD150" s="121">
        <f t="shared" si="626"/>
        <v>0</v>
      </c>
      <c r="BE150" s="119">
        <f t="shared" ref="BE150:BG150" si="628">IF(ROUND(BE149,4)=ROUND(BE147,4),0,(BE149-BE147))</f>
        <v>0</v>
      </c>
      <c r="BF150" s="119">
        <f t="shared" si="628"/>
        <v>0</v>
      </c>
      <c r="BG150" s="120">
        <f t="shared" si="628"/>
        <v>0</v>
      </c>
      <c r="BH150" s="121">
        <f t="shared" ref="BH150:BK150" si="629">IF(ROUND(BH149,4)=ROUND(BH147,4),0,(BH149-BH147))</f>
        <v>0</v>
      </c>
      <c r="BI150" s="119">
        <f t="shared" si="629"/>
        <v>0</v>
      </c>
      <c r="BJ150" s="119">
        <f t="shared" si="629"/>
        <v>0</v>
      </c>
      <c r="BK150" s="120">
        <f t="shared" si="629"/>
        <v>0</v>
      </c>
      <c r="BL150" s="121">
        <f t="shared" ref="BL150:BO150" si="630">IF(ROUND(BL149,4)=ROUND(BL147,4),0,(BL149-BL147))</f>
        <v>0</v>
      </c>
      <c r="BM150" s="119">
        <f t="shared" si="630"/>
        <v>0</v>
      </c>
      <c r="BN150" s="119">
        <f t="shared" si="630"/>
        <v>0</v>
      </c>
      <c r="BO150" s="120">
        <f t="shared" si="630"/>
        <v>0</v>
      </c>
      <c r="BP150" s="152"/>
      <c r="BQ150" s="119">
        <f t="shared" si="625"/>
        <v>0</v>
      </c>
      <c r="BR150" s="119">
        <f t="shared" si="625"/>
        <v>0</v>
      </c>
      <c r="BS150" s="119">
        <f t="shared" si="625"/>
        <v>0</v>
      </c>
      <c r="BT150" s="119">
        <f t="shared" si="625"/>
        <v>0</v>
      </c>
      <c r="BU150" s="119">
        <f t="shared" si="625"/>
        <v>0</v>
      </c>
      <c r="BV150" s="119">
        <f t="shared" si="625"/>
        <v>0</v>
      </c>
      <c r="BW150" s="119">
        <f t="shared" si="625"/>
        <v>0</v>
      </c>
      <c r="BX150" s="119">
        <f t="shared" si="625"/>
        <v>0</v>
      </c>
      <c r="BY150" s="119">
        <f t="shared" si="625"/>
        <v>0</v>
      </c>
      <c r="BZ150" s="119">
        <f t="shared" si="625"/>
        <v>0</v>
      </c>
      <c r="CA150" s="119">
        <f t="shared" ref="CA150:CF150" si="631">IF(ROUND(CA149,4)=ROUND(CA147,4),0,(CA149-CA147))</f>
        <v>0</v>
      </c>
      <c r="CB150" s="119">
        <f t="shared" si="631"/>
        <v>0</v>
      </c>
      <c r="CC150" s="119">
        <f t="shared" si="631"/>
        <v>0</v>
      </c>
      <c r="CD150" s="119">
        <f t="shared" si="631"/>
        <v>0</v>
      </c>
      <c r="CE150" s="119">
        <f t="shared" si="631"/>
        <v>0</v>
      </c>
      <c r="CF150" s="120">
        <f t="shared" si="631"/>
        <v>0</v>
      </c>
      <c r="CG150" s="342"/>
      <c r="CH150" s="8"/>
    </row>
    <row r="151" spans="1:86" ht="14.25" customHeight="1" outlineLevel="1">
      <c r="A151" s="8"/>
      <c r="B151" s="212"/>
      <c r="C151" s="212"/>
      <c r="D151" s="213"/>
      <c r="E151" s="213"/>
      <c r="F151" s="213"/>
      <c r="G151" s="213"/>
      <c r="H151" s="213"/>
      <c r="I151" s="213"/>
      <c r="J151" s="213"/>
      <c r="K151" s="213"/>
      <c r="L151" s="213"/>
      <c r="M151" s="213"/>
      <c r="N151" s="213"/>
      <c r="O151" s="213"/>
      <c r="P151" s="213"/>
      <c r="Q151" s="213"/>
      <c r="R151" s="213"/>
      <c r="S151" s="213"/>
      <c r="T151" s="213"/>
      <c r="U151" s="21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3"/>
      <c r="AL151" s="213"/>
      <c r="AM151" s="213"/>
      <c r="AN151" s="213"/>
      <c r="AO151" s="213"/>
      <c r="AP151" s="213"/>
      <c r="AQ151" s="213"/>
      <c r="AR151" s="213"/>
      <c r="AS151" s="213"/>
      <c r="AT151" s="213"/>
      <c r="AU151" s="213"/>
      <c r="AV151" s="213"/>
      <c r="AW151" s="213"/>
      <c r="AX151" s="213"/>
      <c r="AY151" s="213"/>
      <c r="AZ151" s="213"/>
      <c r="BA151" s="213"/>
      <c r="BB151" s="213"/>
      <c r="BC151" s="213"/>
      <c r="BD151" s="213"/>
      <c r="BE151" s="213"/>
      <c r="BF151" s="213"/>
      <c r="BG151" s="213"/>
      <c r="BH151" s="213"/>
      <c r="BI151" s="213"/>
      <c r="BJ151" s="213"/>
      <c r="BK151" s="213"/>
      <c r="BL151" s="213"/>
      <c r="BM151" s="213"/>
      <c r="BN151" s="213"/>
      <c r="BO151" s="213"/>
      <c r="BP151" s="54"/>
      <c r="BQ151" s="213"/>
      <c r="BR151" s="213"/>
      <c r="BS151" s="213"/>
      <c r="BT151" s="213"/>
      <c r="BU151" s="213"/>
      <c r="BV151" s="213"/>
      <c r="BW151" s="213"/>
      <c r="BX151" s="213"/>
      <c r="BY151" s="213"/>
      <c r="BZ151" s="213"/>
      <c r="CA151" s="213"/>
      <c r="CB151" s="213"/>
      <c r="CC151" s="213"/>
      <c r="CD151" s="213"/>
      <c r="CE151" s="213"/>
      <c r="CF151" s="213"/>
      <c r="CG151" s="8"/>
      <c r="CH151" s="8"/>
    </row>
    <row r="152" spans="1:86" ht="14.25" customHeight="1" outlineLevel="1">
      <c r="A152" s="8"/>
      <c r="B152" s="14"/>
      <c r="C152" s="14"/>
      <c r="D152" s="626"/>
      <c r="E152" s="626"/>
      <c r="F152" s="626"/>
      <c r="G152" s="626"/>
      <c r="H152" s="626"/>
      <c r="I152" s="626"/>
      <c r="J152" s="626"/>
      <c r="K152" s="626"/>
      <c r="L152" s="626"/>
      <c r="M152" s="626"/>
      <c r="N152" s="626"/>
      <c r="O152" s="626"/>
      <c r="P152" s="626"/>
      <c r="Q152" s="626"/>
      <c r="R152" s="626"/>
      <c r="S152" s="626"/>
      <c r="T152" s="626"/>
      <c r="U152" s="626"/>
      <c r="V152" s="626"/>
      <c r="W152" s="626"/>
      <c r="X152" s="626"/>
      <c r="Y152" s="626"/>
      <c r="Z152" s="626"/>
      <c r="AA152" s="626"/>
      <c r="AB152" s="626"/>
      <c r="AC152" s="626"/>
      <c r="AD152" s="626"/>
      <c r="AE152" s="626"/>
      <c r="AF152" s="626"/>
      <c r="AG152" s="626"/>
      <c r="AH152" s="626"/>
      <c r="AI152" s="626"/>
      <c r="AJ152" s="626"/>
      <c r="AK152" s="626"/>
      <c r="AL152" s="626"/>
      <c r="AM152" s="626"/>
      <c r="AN152" s="626"/>
      <c r="AO152" s="626"/>
      <c r="AP152" s="626"/>
      <c r="AQ152" s="626"/>
      <c r="AR152" s="626"/>
      <c r="AS152" s="626"/>
      <c r="AT152" s="626"/>
      <c r="AU152" s="626"/>
      <c r="AV152" s="626"/>
      <c r="AW152" s="626"/>
      <c r="AX152" s="626"/>
      <c r="AY152" s="626"/>
      <c r="AZ152" s="626"/>
      <c r="BA152" s="626"/>
      <c r="BB152" s="626"/>
      <c r="BC152" s="626"/>
      <c r="BD152" s="626"/>
      <c r="BE152" s="626"/>
      <c r="BF152" s="626"/>
      <c r="BG152" s="626"/>
      <c r="BH152" s="626"/>
      <c r="BI152" s="626"/>
      <c r="BJ152" s="626"/>
      <c r="BK152" s="626"/>
      <c r="BL152" s="626"/>
      <c r="BM152" s="626"/>
      <c r="BN152" s="626"/>
      <c r="BO152" s="626"/>
      <c r="BP152" s="8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  <c r="CG152" s="8"/>
      <c r="CH152" s="8"/>
    </row>
    <row r="153" spans="1:86" ht="14.25" customHeight="1" outlineLevel="1">
      <c r="A153" s="8"/>
      <c r="B153" s="14"/>
      <c r="C153" s="14"/>
      <c r="D153" s="627"/>
      <c r="E153" s="627"/>
      <c r="F153" s="627"/>
      <c r="G153" s="628"/>
      <c r="H153" s="626"/>
      <c r="I153" s="626"/>
      <c r="J153" s="626"/>
      <c r="K153" s="214"/>
      <c r="L153" s="626"/>
      <c r="M153" s="626"/>
      <c r="N153" s="626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8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8"/>
      <c r="CH153" s="8"/>
    </row>
    <row r="154" spans="1:86" ht="14.25" customHeight="1" outlineLevel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5"/>
      <c r="CH154" s="5"/>
    </row>
    <row r="155" spans="1:86" ht="14.25" customHeight="1" outlineLevel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</row>
    <row r="156" spans="1:86" ht="14.25" customHeight="1" outlineLevel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</row>
    <row r="157" spans="1:86" ht="14.25" customHeight="1" outlineLevel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</row>
    <row r="158" spans="1:86" ht="14.25" customHeight="1" outlineLevel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</row>
    <row r="159" spans="1:86" ht="14.25" customHeight="1" outlineLevel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</row>
    <row r="160" spans="1:86" ht="14.25" customHeight="1" outlineLevel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</row>
    <row r="161" spans="1:86" ht="14.25" customHeight="1" outlineLevel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</row>
    <row r="162" spans="1:86" ht="14.25" customHeight="1" outlineLevel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</row>
    <row r="163" spans="1:86" ht="14.25" customHeight="1" outlineLevel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</row>
    <row r="164" spans="1:86" ht="14.25" customHeight="1" outlineLevel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</row>
    <row r="165" spans="1:86" ht="14.25" customHeight="1" outlineLevel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</row>
    <row r="166" spans="1:86" ht="14.25" customHeight="1" outlineLevel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</row>
    <row r="167" spans="1:86" ht="14.25" customHeight="1" outlineLevel="1">
      <c r="A167" s="1"/>
      <c r="B167" s="172" t="s">
        <v>178</v>
      </c>
      <c r="C167" s="172"/>
      <c r="D167" s="265" t="e">
        <f>IS!D132</f>
        <v>#NAME?</v>
      </c>
      <c r="E167" s="265" t="e">
        <f>IS!E132</f>
        <v>#NAME?</v>
      </c>
      <c r="F167" s="265" t="e">
        <f>IS!F132</f>
        <v>#NAME?</v>
      </c>
      <c r="G167" s="265" t="e">
        <f>IS!G132</f>
        <v>#NAME?</v>
      </c>
      <c r="H167" s="265" t="e">
        <f>IS!H132</f>
        <v>#NAME?</v>
      </c>
      <c r="I167" s="265" t="e">
        <f>IS!I132</f>
        <v>#NAME?</v>
      </c>
      <c r="J167" s="265" t="e">
        <f>IS!J132</f>
        <v>#NAME?</v>
      </c>
      <c r="K167" s="265" t="e">
        <f>IS!K132</f>
        <v>#NAME?</v>
      </c>
      <c r="L167" s="265" t="e">
        <f>IS!L132</f>
        <v>#NAME?</v>
      </c>
      <c r="M167" s="265" t="e">
        <f>IS!M132</f>
        <v>#NAME?</v>
      </c>
      <c r="N167" s="265" t="e">
        <f>IS!N132</f>
        <v>#NAME?</v>
      </c>
      <c r="O167" s="265" t="e">
        <f>IS!O132</f>
        <v>#NAME?</v>
      </c>
      <c r="P167" s="265" t="e">
        <f>IS!P132</f>
        <v>#NAME?</v>
      </c>
      <c r="Q167" s="265" t="e">
        <f>IS!Q132</f>
        <v>#NAME?</v>
      </c>
      <c r="R167" s="265" t="e">
        <f>IS!R132</f>
        <v>#NAME?</v>
      </c>
      <c r="S167" s="265" t="e">
        <f>IS!S132</f>
        <v>#NAME?</v>
      </c>
      <c r="T167" s="265" t="e">
        <f>IS!T132</f>
        <v>#NAME?</v>
      </c>
      <c r="U167" s="265" t="e">
        <f>IS!U132</f>
        <v>#NAME?</v>
      </c>
      <c r="V167" s="265" t="e">
        <f>IS!V132</f>
        <v>#NAME?</v>
      </c>
      <c r="W167" s="265" t="e">
        <f>IS!W132</f>
        <v>#NAME?</v>
      </c>
      <c r="X167" s="265" t="e">
        <f>IS!X132</f>
        <v>#NAME?</v>
      </c>
      <c r="Y167" s="265" t="e">
        <f>IS!Y132</f>
        <v>#NAME?</v>
      </c>
      <c r="Z167" s="265" t="e">
        <f>IS!Z132</f>
        <v>#NAME?</v>
      </c>
      <c r="AA167" s="265" t="e">
        <f>IS!AA132</f>
        <v>#NAME?</v>
      </c>
      <c r="AB167" s="265" t="e">
        <f>IS!AB132</f>
        <v>#NAME?</v>
      </c>
      <c r="AC167" s="265" t="e">
        <f>IS!AC132</f>
        <v>#NAME?</v>
      </c>
      <c r="AD167" s="265" t="e">
        <f>IS!AD132</f>
        <v>#NAME?</v>
      </c>
      <c r="AE167" s="265" t="e">
        <f>IS!AE132</f>
        <v>#NAME?</v>
      </c>
      <c r="AF167" s="265" t="e">
        <f>IS!AF132</f>
        <v>#NAME?</v>
      </c>
      <c r="AG167" s="265" t="e">
        <f>IS!AG132</f>
        <v>#NAME?</v>
      </c>
      <c r="AH167" s="265" t="e">
        <f>IS!AH132</f>
        <v>#NAME?</v>
      </c>
      <c r="AI167" s="265" t="e">
        <f>IS!AI132</f>
        <v>#NAME?</v>
      </c>
      <c r="AJ167" s="265" t="e">
        <f>IS!AJ132</f>
        <v>#NAME?</v>
      </c>
      <c r="AK167" s="265" t="e">
        <f>IS!AK132</f>
        <v>#NAME?</v>
      </c>
      <c r="AL167" s="265" t="e">
        <f>IS!AL132</f>
        <v>#NAME?</v>
      </c>
      <c r="AM167" s="265" t="e">
        <f>IS!AM132</f>
        <v>#NAME?</v>
      </c>
      <c r="AN167" s="265" t="e">
        <f>IS!AN132</f>
        <v>#NAME?</v>
      </c>
      <c r="AO167" s="265" t="e">
        <f>IS!AO132</f>
        <v>#NAME?</v>
      </c>
      <c r="AP167" s="265" t="e">
        <f>IS!AP132</f>
        <v>#NAME?</v>
      </c>
      <c r="AQ167" s="265" t="e">
        <f>IS!AQ132</f>
        <v>#NAME?</v>
      </c>
      <c r="AR167" s="265" t="e">
        <f>IS!AR132</f>
        <v>#NAME?</v>
      </c>
      <c r="AS167" s="265" t="e">
        <f>IS!AS132</f>
        <v>#NAME?</v>
      </c>
      <c r="AT167" s="265" t="e">
        <f>IS!AT132</f>
        <v>#NAME?</v>
      </c>
      <c r="AU167" s="265" t="e">
        <f>IS!AU132</f>
        <v>#NAME?</v>
      </c>
      <c r="AV167" s="265" t="e">
        <f>IS!AV132</f>
        <v>#NAME?</v>
      </c>
      <c r="AW167" s="265" t="e">
        <f>IS!AW132</f>
        <v>#NAME?</v>
      </c>
      <c r="AX167" s="265" t="str">
        <f>IS!AX132</f>
        <v>A</v>
      </c>
      <c r="AY167" s="265" t="str">
        <f>IS!AY132</f>
        <v>A</v>
      </c>
      <c r="AZ167" s="265" t="e">
        <f>IS!AZ132</f>
        <v>#NAME?</v>
      </c>
      <c r="BA167" s="265" t="e">
        <f>IS!BA132</f>
        <v>#NAME?</v>
      </c>
      <c r="BB167" s="265" t="e">
        <f>IS!BB132</f>
        <v>#NAME?</v>
      </c>
      <c r="BC167" s="265" t="e">
        <f>IS!BC132</f>
        <v>#NAME?</v>
      </c>
      <c r="BD167" s="265" t="e">
        <f>IS!BD132</f>
        <v>#NAME?</v>
      </c>
      <c r="BE167" s="265" t="e">
        <f>IS!BE132</f>
        <v>#NAME?</v>
      </c>
      <c r="BF167" s="265" t="e">
        <f>IS!BF132</f>
        <v>#NAME?</v>
      </c>
      <c r="BG167" s="265" t="e">
        <f>IS!BG132</f>
        <v>#NAME?</v>
      </c>
      <c r="BH167" s="265" t="e">
        <f>IS!BH132</f>
        <v>#NAME?</v>
      </c>
      <c r="BI167" s="265" t="e">
        <f>IS!BI132</f>
        <v>#NAME?</v>
      </c>
      <c r="BJ167" s="265" t="e">
        <f>IS!BJ132</f>
        <v>#NAME?</v>
      </c>
      <c r="BK167" s="265" t="e">
        <f>IS!BK132</f>
        <v>#NAME?</v>
      </c>
      <c r="BL167" s="265" t="e">
        <f>IS!BL132</f>
        <v>#NAME?</v>
      </c>
      <c r="BM167" s="265" t="e">
        <f>IS!BM132</f>
        <v>#NAME?</v>
      </c>
      <c r="BN167" s="265" t="e">
        <f>IS!BN132</f>
        <v>#NAME?</v>
      </c>
      <c r="BO167" s="265" t="e">
        <f>IS!BO132</f>
        <v>#NAME?</v>
      </c>
      <c r="BP167" s="1"/>
      <c r="BQ167" s="1" t="e">
        <f>IS!BQ132</f>
        <v>#NAME?</v>
      </c>
      <c r="BR167" s="1" t="e">
        <f>IS!BR132</f>
        <v>#NAME?</v>
      </c>
      <c r="BS167" s="1" t="e">
        <f>IS!BS132</f>
        <v>#NAME?</v>
      </c>
      <c r="BT167" s="1" t="e">
        <f>IS!BT132</f>
        <v>#NAME?</v>
      </c>
      <c r="BU167" s="1" t="e">
        <f>IS!BU132</f>
        <v>#NAME?</v>
      </c>
      <c r="BV167" s="1" t="e">
        <f>IS!BV132</f>
        <v>#NAME?</v>
      </c>
      <c r="BW167" s="1" t="e">
        <f>IS!BW132</f>
        <v>#NAME?</v>
      </c>
      <c r="BX167" s="1" t="e">
        <f>IS!BX132</f>
        <v>#NAME?</v>
      </c>
      <c r="BY167" s="1" t="e">
        <f>IS!BY132</f>
        <v>#NAME?</v>
      </c>
      <c r="BZ167" s="1" t="e">
        <f>IS!BZ132</f>
        <v>#NAME?</v>
      </c>
      <c r="CA167" s="1" t="e">
        <f>IS!CA132</f>
        <v>#NAME?</v>
      </c>
      <c r="CB167" s="1" t="str">
        <f>IS!CB132</f>
        <v>A</v>
      </c>
      <c r="CC167" s="1" t="e">
        <f>IS!CC132</f>
        <v>#NAME?</v>
      </c>
      <c r="CD167" s="1" t="e">
        <f>IS!CD132</f>
        <v>#NAME?</v>
      </c>
      <c r="CE167" s="1" t="e">
        <f>IS!CE132</f>
        <v>#NAME?</v>
      </c>
      <c r="CF167" s="1" t="e">
        <f>IS!CF132</f>
        <v>#NAME?</v>
      </c>
      <c r="CG167" s="1"/>
      <c r="CH167" s="1"/>
    </row>
    <row r="168" spans="1:86" ht="14.25" customHeight="1" outlineLevel="1">
      <c r="A168" s="1"/>
      <c r="B168" s="172"/>
      <c r="C168" s="17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</row>
    <row r="169" spans="1:86" ht="14.25" customHeight="1">
      <c r="A169" s="1"/>
      <c r="B169" s="172"/>
      <c r="C169" s="17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</row>
    <row r="170" spans="1:86" ht="14.25" customHeight="1">
      <c r="A170" s="1"/>
      <c r="B170" s="172"/>
      <c r="C170" s="17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</row>
    <row r="171" spans="1:86" ht="14.25" customHeight="1">
      <c r="A171" s="1"/>
      <c r="B171" s="172"/>
      <c r="C171" s="17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</row>
    <row r="172" spans="1:86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</row>
    <row r="173" spans="1:86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</row>
    <row r="174" spans="1:86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</row>
    <row r="175" spans="1:86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</row>
    <row r="176" spans="1:8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</row>
    <row r="177" spans="1:86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</row>
    <row r="178" spans="1:86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</row>
  </sheetData>
  <phoneticPr fontId="22" type="noConversion"/>
  <conditionalFormatting sqref="B6">
    <cfRule type="cellIs" dxfId="16" priority="1" stopIfTrue="1" operator="equal">
      <formula>"Bear Case"</formula>
    </cfRule>
    <cfRule type="cellIs" dxfId="15" priority="2" stopIfTrue="1" operator="equal">
      <formula>"Bull Case"</formula>
    </cfRule>
    <cfRule type="cellIs" dxfId="14" priority="3" stopIfTrue="1" operator="equal">
      <formula>"Base Case"</formula>
    </cfRule>
  </conditionalFormatting>
  <pageMargins left="0" right="0" top="0" bottom="0" header="0" footer="0"/>
  <pageSetup paperSize="5" scale="61" orientation="landscape" r:id="rId1"/>
  <headerFooter alignWithMargins="0"/>
  <colBreaks count="2" manualBreakCount="2">
    <brk id="77" min="5" max="66" man="1"/>
    <brk id="84" min="5" max="154" man="1"/>
  </colBreaks>
  <ignoredErrors>
    <ignoredError sqref="W15:AB15 BP40:BU46 W48:AB49 BV40 W52:AB54 BW66:BW67 BV42:BV46 BQ52:BV54 BP18:BV24 Y40:AB45 W18:AB32 BP51:BP54 X40 BP48:BV49 BW16:BZ24 BW51:BZ54 BW33:BZ34 BW47:BZ49 BY46 BW55 BY29:BY32 W40:W45 BW40:BW46 BY35:BZ38 BX40:BX41 AD53:AD54 AD48:AD50 X42:X45 BZ40 BX43:BX46 AD45 BZ43 W35:AB39 BP35:BX39 BP15:BZ15 BZ59:BZ67 AP53:AQ54 BP25:BX32 BZ25:BZ32 BY25:BY27 BZ45:BZ46 BX55 BY57:BY67 AP45:AQ45 BP50:BX50 BW57:BW64 BX57:BX67" formulaRange="1"/>
    <ignoredError sqref="L154:N165 V114:AB114 AP122:AQ124 AQ114 H114:T114 T143 O153:AD165 L143 H143:K144 M143:S144 AN151:AQ151 AP106:AQ107 H145:J145 AL145 AC135:AC138 BQ145:BZ145 AP131:AQ133 BQ65:BV65 BP106:BZ107 BP122:BZ124 BP131:BZ133 H106:AB107 AP140:AQ140 AL103:AN105 AC141:AC142 AG122 K124 AK159:AK165 AG124 AL124 AE156:AE165 K153:K165 AC125:AC130 AC108:AC121 AC103:AD107 BP113:BZ113 BP108:BZ110 BP115:BZ121 BP130:BZ130 BP125:BZ127 BY135:BZ138 BP114:BU114 AF164:AF165 H154:J165 H122:J124 K122 BP153:CA165 AL133 AG153:AH165 L122:AD124 H131:AD133 H139:AD140 L145:AD145 U143:AD144 BY140:BZ140 AI167:AI306 AF106 AJ143 AI139 AG140:AH140 AG145:AH145 AH122:AH124 AG103:AH107 AG131:AH133 AM151 AL114 AG147:AH151 H147:AD151 BP134:BX140 BP145:BP151 BQ148:CA151 AJ147:AJ151 AJ153:AJ165 AL153:AQ165 AJ140 AJ145 AJ114 AJ122:AJ124 AJ103:AJ107 AJ131:AJ133 AL122 AL131 AG143:AH143 AL143 BP143:BZ144 AL147:AL151 AL106:AL107 AP143:AQ144 CC153:CE165 CC151:CE151 BQ147:BZ147 AP147:AQ150 CC168:CE306 CC167:CD167 L167:N306 O167:AD306 AK167:AK306 AE167:AE306 K167:K306 AF167:AF306 H167:J306 BP167:CA306 AG167:AH306 AJ167:AJ306 AL167:AQ306" formula="1"/>
    <ignoredError sqref="BW65" formula="1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51"/>
  </sheetPr>
  <dimension ref="A1:CJ689"/>
  <sheetViews>
    <sheetView showGridLines="0" zoomScale="85" zoomScaleNormal="85" zoomScaleSheetLayoutView="75" workbookViewId="0">
      <pane xSplit="3" ySplit="6" topLeftCell="AZ37" activePane="bottomRight" state="frozen"/>
      <selection activeCell="AZ133" activeCellId="1" sqref="AZ131:BC131 AZ133:BC133"/>
      <selection pane="topRight" activeCell="AZ133" activeCellId="1" sqref="AZ131:BC131 AZ133:BC133"/>
      <selection pane="bottomLeft" activeCell="AZ133" activeCellId="1" sqref="AZ131:BC131 AZ133:BC133"/>
      <selection pane="bottomRight" activeCell="AZ83" sqref="AZ83"/>
    </sheetView>
  </sheetViews>
  <sheetFormatPr defaultRowHeight="14.25" customHeight="1" outlineLevelRow="3" outlineLevelCol="2"/>
  <cols>
    <col min="1" max="1" width="1.7109375" style="283" customWidth="1"/>
    <col min="2" max="2" width="56" style="639" customWidth="1"/>
    <col min="3" max="3" width="1.7109375" style="283" customWidth="1"/>
    <col min="4" max="11" width="11.42578125" style="283" hidden="1" customWidth="1" outlineLevel="2"/>
    <col min="12" max="23" width="11.42578125" style="283" hidden="1" customWidth="1" outlineLevel="1"/>
    <col min="24" max="24" width="11.42578125" style="283" hidden="1" customWidth="1" outlineLevel="1" collapsed="1"/>
    <col min="25" max="27" width="11.42578125" style="283" hidden="1" customWidth="1" outlineLevel="1"/>
    <col min="28" max="28" width="11.42578125" style="283" hidden="1" customWidth="1" outlineLevel="1" collapsed="1"/>
    <col min="29" max="31" width="11.42578125" style="283" hidden="1" customWidth="1" outlineLevel="1"/>
    <col min="32" max="32" width="11.42578125" style="283" hidden="1" customWidth="1" outlineLevel="1" collapsed="1"/>
    <col min="33" max="39" width="11.42578125" style="283" hidden="1" customWidth="1" outlineLevel="1"/>
    <col min="40" max="40" width="11.42578125" style="283" hidden="1" customWidth="1" outlineLevel="1" collapsed="1"/>
    <col min="41" max="47" width="11.42578125" style="283" hidden="1" customWidth="1" outlineLevel="1"/>
    <col min="48" max="48" width="11.42578125" style="283" hidden="1" customWidth="1" outlineLevel="1" collapsed="1"/>
    <col min="49" max="51" width="11.42578125" style="283" hidden="1" customWidth="1" outlineLevel="1"/>
    <col min="52" max="52" width="11.42578125" style="283" customWidth="1" collapsed="1"/>
    <col min="53" max="67" width="11.42578125" style="283" customWidth="1"/>
    <col min="68" max="68" width="11.42578125" style="638" customWidth="1"/>
    <col min="69" max="80" width="11.42578125" style="283" hidden="1" customWidth="1" outlineLevel="1"/>
    <col min="81" max="81" width="11.42578125" style="283" customWidth="1" collapsed="1"/>
    <col min="82" max="83" width="11.42578125" style="283" customWidth="1"/>
    <col min="84" max="84" width="11.42578125" style="283" hidden="1" customWidth="1" outlineLevel="1"/>
    <col min="85" max="85" width="6" style="283" customWidth="1" collapsed="1"/>
    <col min="86" max="86" width="9.140625" customWidth="1"/>
    <col min="87" max="87" width="7.7109375" bestFit="1" customWidth="1"/>
    <col min="88" max="88" width="9.42578125" bestFit="1" customWidth="1"/>
  </cols>
  <sheetData>
    <row r="1" spans="1:88" ht="18" customHeight="1">
      <c r="A1" s="5"/>
      <c r="B1" s="630" t="s">
        <v>305</v>
      </c>
      <c r="C1" s="4"/>
      <c r="X1" s="631"/>
      <c r="Y1" s="631"/>
      <c r="Z1" s="632"/>
      <c r="AA1" s="632"/>
      <c r="AB1" s="632"/>
      <c r="AC1" s="633"/>
      <c r="AD1" s="633"/>
      <c r="AE1" s="634"/>
      <c r="AF1" s="635"/>
      <c r="AG1" s="636"/>
      <c r="AH1" s="636"/>
      <c r="AI1" s="636"/>
      <c r="AJ1" s="636"/>
      <c r="AK1" s="636"/>
      <c r="AL1" s="636"/>
      <c r="AM1" s="636"/>
      <c r="AQ1" s="636"/>
      <c r="AU1" s="637"/>
      <c r="AY1" s="637"/>
      <c r="BC1" s="637"/>
      <c r="BD1" s="637"/>
      <c r="BE1" s="637"/>
      <c r="BF1" s="637"/>
      <c r="BG1" s="637"/>
      <c r="BH1" s="637"/>
      <c r="BI1" s="637"/>
      <c r="BJ1" s="637"/>
      <c r="BK1" s="637"/>
      <c r="BL1" s="637"/>
      <c r="BM1" s="637"/>
      <c r="BN1" s="637"/>
      <c r="BO1" s="637"/>
      <c r="BV1" s="283" t="s">
        <v>494</v>
      </c>
    </row>
    <row r="2" spans="1:88" ht="14.25" customHeight="1">
      <c r="X2" s="631"/>
      <c r="Y2" s="631"/>
      <c r="Z2" s="632"/>
      <c r="AA2" s="640"/>
      <c r="AB2" s="632"/>
      <c r="AC2" s="633"/>
      <c r="AD2" s="633"/>
      <c r="AE2" s="641"/>
      <c r="AF2" s="642"/>
      <c r="AG2" s="642"/>
      <c r="AH2" s="642"/>
      <c r="AI2" s="642"/>
      <c r="AJ2" s="642"/>
      <c r="AK2" s="642"/>
      <c r="AL2" s="642"/>
      <c r="AM2" s="642"/>
      <c r="AQ2" s="642"/>
      <c r="AU2" s="640"/>
      <c r="AY2" s="640"/>
      <c r="BC2" s="640"/>
      <c r="BD2" s="640"/>
      <c r="BE2" s="640"/>
      <c r="BF2" s="640"/>
      <c r="BG2" s="640"/>
      <c r="BH2" s="640"/>
      <c r="BI2" s="640"/>
      <c r="BJ2" s="640"/>
      <c r="BK2" s="640"/>
      <c r="BL2" s="640"/>
      <c r="BM2" s="640"/>
      <c r="BN2" s="640"/>
      <c r="BO2" s="640"/>
      <c r="BV2" s="283" t="s">
        <v>494</v>
      </c>
    </row>
    <row r="3" spans="1:88" ht="14.25" customHeight="1">
      <c r="A3" s="269"/>
      <c r="B3" s="643" t="str">
        <f>IS!$B$3</f>
        <v>Base Case</v>
      </c>
      <c r="C3" s="270"/>
      <c r="D3" s="1"/>
      <c r="E3" s="1"/>
      <c r="F3" s="1"/>
      <c r="G3" s="1"/>
      <c r="H3" s="1"/>
      <c r="I3" s="1"/>
      <c r="J3" s="1"/>
      <c r="K3" s="1"/>
      <c r="L3" s="644"/>
      <c r="M3" s="644"/>
      <c r="N3" s="644"/>
      <c r="O3" s="644"/>
      <c r="P3" s="644"/>
      <c r="Q3" s="644"/>
      <c r="R3" s="644"/>
      <c r="S3" s="644"/>
      <c r="T3" s="644"/>
      <c r="U3" s="644"/>
      <c r="V3" s="644"/>
      <c r="W3" s="644"/>
      <c r="X3" s="644"/>
      <c r="Y3" s="644"/>
      <c r="Z3" s="644"/>
      <c r="AA3" s="644"/>
      <c r="AB3" s="644"/>
      <c r="AC3" s="644"/>
      <c r="AD3" s="644"/>
      <c r="AE3" s="645"/>
      <c r="AF3" s="646"/>
      <c r="AG3" s="646"/>
      <c r="AH3" s="646"/>
      <c r="AI3" s="646"/>
      <c r="AJ3" s="646"/>
      <c r="AK3" s="646"/>
      <c r="AL3" s="646"/>
      <c r="AM3" s="646"/>
      <c r="AO3" s="637"/>
      <c r="AP3" s="632"/>
      <c r="AQ3" s="646"/>
      <c r="AS3" s="637"/>
      <c r="AT3" s="637"/>
      <c r="AU3" s="632"/>
      <c r="AW3" s="637"/>
      <c r="AX3" s="637"/>
      <c r="AY3" s="632"/>
      <c r="BA3" s="637"/>
      <c r="BB3" s="637"/>
      <c r="BC3" s="632"/>
      <c r="BD3" s="632"/>
      <c r="BE3" s="632"/>
      <c r="BF3" s="632"/>
      <c r="BG3" s="632"/>
      <c r="BH3" s="632"/>
      <c r="BI3" s="632"/>
      <c r="BJ3" s="632"/>
      <c r="BK3" s="632"/>
      <c r="BL3" s="632"/>
      <c r="BM3" s="632"/>
      <c r="BN3" s="632"/>
      <c r="BO3" s="632"/>
      <c r="BP3" s="647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</row>
    <row r="4" spans="1:88" ht="14.25" customHeight="1">
      <c r="A4" s="1"/>
      <c r="B4" s="648" t="s">
        <v>306</v>
      </c>
      <c r="C4" s="10"/>
      <c r="D4" s="1"/>
      <c r="E4" s="1"/>
      <c r="F4" s="1"/>
      <c r="G4" s="1"/>
      <c r="H4" s="1"/>
      <c r="I4" s="1"/>
      <c r="J4" s="1"/>
      <c r="K4" s="1"/>
      <c r="X4" s="644"/>
      <c r="Y4" s="644"/>
      <c r="Z4" s="644"/>
      <c r="AA4" s="637"/>
      <c r="AB4" s="644"/>
      <c r="AC4" s="644"/>
      <c r="AD4" s="644"/>
      <c r="AE4" s="634"/>
      <c r="AF4" s="642"/>
      <c r="AG4" s="642"/>
      <c r="AH4" s="642"/>
      <c r="AI4" s="642"/>
      <c r="AJ4" s="642"/>
      <c r="AK4" s="642"/>
      <c r="AL4" s="642"/>
      <c r="AM4" s="642"/>
      <c r="AN4" s="649"/>
      <c r="AO4" s="649"/>
      <c r="AP4" s="649"/>
      <c r="AQ4" s="642"/>
      <c r="AR4" s="649"/>
      <c r="AS4" s="649"/>
      <c r="AT4" s="649"/>
      <c r="AU4" s="649"/>
      <c r="AV4" s="649"/>
      <c r="AW4" s="649"/>
      <c r="AX4" s="247" t="s">
        <v>494</v>
      </c>
      <c r="AY4" s="649"/>
      <c r="BA4" s="649"/>
      <c r="BB4" s="649"/>
      <c r="BC4" s="649"/>
      <c r="BD4" s="649"/>
      <c r="BE4" s="649"/>
      <c r="BF4" s="649"/>
      <c r="BG4" s="649"/>
      <c r="BH4" s="649"/>
      <c r="BI4" s="649"/>
      <c r="BJ4" s="649"/>
      <c r="BK4" s="649"/>
      <c r="BL4" s="649"/>
      <c r="BM4" s="649"/>
      <c r="BN4" s="649"/>
      <c r="BO4" s="649"/>
      <c r="BP4" s="650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</row>
    <row r="5" spans="1:88" ht="14.25" customHeight="1">
      <c r="A5" s="1"/>
      <c r="B5" s="651" t="s">
        <v>89</v>
      </c>
      <c r="C5" s="271"/>
      <c r="D5" s="291">
        <f>IS!D5</f>
        <v>38442</v>
      </c>
      <c r="E5" s="292">
        <f>IS!E5</f>
        <v>38533</v>
      </c>
      <c r="F5" s="292">
        <f>IS!F5</f>
        <v>38625</v>
      </c>
      <c r="G5" s="293">
        <f>IS!G5</f>
        <v>38717</v>
      </c>
      <c r="H5" s="291">
        <f>IS!H5</f>
        <v>38807</v>
      </c>
      <c r="I5" s="292">
        <f>IS!I5</f>
        <v>38898</v>
      </c>
      <c r="J5" s="292">
        <f>IS!J5</f>
        <v>38990</v>
      </c>
      <c r="K5" s="293">
        <f>IS!K5</f>
        <v>39082</v>
      </c>
      <c r="L5" s="291">
        <f>IS!L5</f>
        <v>39172</v>
      </c>
      <c r="M5" s="292">
        <f>IS!M5</f>
        <v>39263</v>
      </c>
      <c r="N5" s="292">
        <f>IS!N5</f>
        <v>39355</v>
      </c>
      <c r="O5" s="292">
        <f>IS!O5</f>
        <v>39447</v>
      </c>
      <c r="P5" s="291">
        <f>IS!P5</f>
        <v>39538</v>
      </c>
      <c r="Q5" s="292">
        <f>IS!Q5</f>
        <v>39629</v>
      </c>
      <c r="R5" s="292">
        <f>IS!R5</f>
        <v>39721</v>
      </c>
      <c r="S5" s="293">
        <f>IS!S5</f>
        <v>39813</v>
      </c>
      <c r="T5" s="292">
        <f>IS!T5</f>
        <v>39903</v>
      </c>
      <c r="U5" s="292">
        <f>IS!U5</f>
        <v>39994</v>
      </c>
      <c r="V5" s="292">
        <f>IS!V5</f>
        <v>40086</v>
      </c>
      <c r="W5" s="293">
        <f>IS!W5</f>
        <v>40178</v>
      </c>
      <c r="X5" s="291">
        <f>IS!X5</f>
        <v>40268</v>
      </c>
      <c r="Y5" s="292">
        <f>IS!Y5</f>
        <v>40359</v>
      </c>
      <c r="Z5" s="292">
        <f>IS!Z5</f>
        <v>40451</v>
      </c>
      <c r="AA5" s="293">
        <f>IS!AA5</f>
        <v>40543</v>
      </c>
      <c r="AB5" s="291">
        <f>IS!AB5</f>
        <v>40633</v>
      </c>
      <c r="AC5" s="292">
        <f>IS!AC5</f>
        <v>40724</v>
      </c>
      <c r="AD5" s="292">
        <f>IS!AD5</f>
        <v>40816</v>
      </c>
      <c r="AE5" s="293">
        <f>IS!AE5</f>
        <v>40908</v>
      </c>
      <c r="AF5" s="291">
        <f>IS!AF5</f>
        <v>40999</v>
      </c>
      <c r="AG5" s="292">
        <f>IS!AG5</f>
        <v>41090</v>
      </c>
      <c r="AH5" s="292">
        <f>IS!AH5</f>
        <v>41182</v>
      </c>
      <c r="AI5" s="293">
        <f>IS!AI5</f>
        <v>41274</v>
      </c>
      <c r="AJ5" s="291">
        <f>IS!AJ5</f>
        <v>41364</v>
      </c>
      <c r="AK5" s="292">
        <f>IS!AK5</f>
        <v>41455</v>
      </c>
      <c r="AL5" s="292">
        <f>IS!AL5</f>
        <v>41547</v>
      </c>
      <c r="AM5" s="293">
        <f>IS!AM5</f>
        <v>41639</v>
      </c>
      <c r="AN5" s="292">
        <f>IS!AN5</f>
        <v>41729</v>
      </c>
      <c r="AO5" s="292">
        <f>IS!AO5</f>
        <v>41820</v>
      </c>
      <c r="AP5" s="292">
        <f>IS!AP5</f>
        <v>41912</v>
      </c>
      <c r="AQ5" s="293">
        <f>IS!AQ5</f>
        <v>42004</v>
      </c>
      <c r="AR5" s="292">
        <f>IS!AR5</f>
        <v>42094</v>
      </c>
      <c r="AS5" s="292">
        <f>IS!AS5</f>
        <v>42185</v>
      </c>
      <c r="AT5" s="292">
        <f>IS!AT5</f>
        <v>42277</v>
      </c>
      <c r="AU5" s="292">
        <f>IS!AU5</f>
        <v>42369</v>
      </c>
      <c r="AV5" s="292">
        <f>IS!AV5</f>
        <v>42460</v>
      </c>
      <c r="AW5" s="292">
        <f>IS!AW5</f>
        <v>42551</v>
      </c>
      <c r="AX5" s="292">
        <f>IS!AX5</f>
        <v>42643</v>
      </c>
      <c r="AY5" s="293">
        <f>IS!AY5</f>
        <v>42735</v>
      </c>
      <c r="AZ5" s="292">
        <f>IS!AZ5</f>
        <v>42825</v>
      </c>
      <c r="BA5" s="292">
        <f>IS!BA5</f>
        <v>42916</v>
      </c>
      <c r="BB5" s="292">
        <f>IS!BB5</f>
        <v>43008</v>
      </c>
      <c r="BC5" s="292">
        <f>IS!BC5</f>
        <v>43100</v>
      </c>
      <c r="BD5" s="291">
        <f>IS!BD5</f>
        <v>43190</v>
      </c>
      <c r="BE5" s="292">
        <f>IS!BE5</f>
        <v>43281</v>
      </c>
      <c r="BF5" s="292">
        <f>IS!BF5</f>
        <v>43373</v>
      </c>
      <c r="BG5" s="293">
        <f>IS!BG5</f>
        <v>43465</v>
      </c>
      <c r="BH5" s="291">
        <f>IS!BH5</f>
        <v>43555</v>
      </c>
      <c r="BI5" s="292">
        <f>IS!BI5</f>
        <v>43646</v>
      </c>
      <c r="BJ5" s="292">
        <f>IS!BJ5</f>
        <v>43738</v>
      </c>
      <c r="BK5" s="293">
        <f>IS!BK5</f>
        <v>43830</v>
      </c>
      <c r="BL5" s="291">
        <f>IS!BL5</f>
        <v>43921</v>
      </c>
      <c r="BM5" s="292">
        <f>IS!BM5</f>
        <v>44012</v>
      </c>
      <c r="BN5" s="292">
        <f>IS!BN5</f>
        <v>44104</v>
      </c>
      <c r="BO5" s="293">
        <f>IS!BO5</f>
        <v>44196</v>
      </c>
      <c r="BP5" s="652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</row>
    <row r="6" spans="1:88" ht="14.25" customHeight="1">
      <c r="A6" s="1"/>
      <c r="B6" s="653"/>
      <c r="C6" s="272"/>
      <c r="D6" s="654" t="str">
        <f>IS!D6</f>
        <v>F1Q05A</v>
      </c>
      <c r="E6" s="655" t="str">
        <f>IS!E6</f>
        <v>F2Q05A</v>
      </c>
      <c r="F6" s="655" t="str">
        <f>IS!F6</f>
        <v>F3Q05A</v>
      </c>
      <c r="G6" s="655" t="str">
        <f>IS!G6</f>
        <v>F4Q05A</v>
      </c>
      <c r="H6" s="654" t="str">
        <f>IS!H6</f>
        <v>F1Q06A</v>
      </c>
      <c r="I6" s="655" t="str">
        <f>IS!I6</f>
        <v>F2Q06A</v>
      </c>
      <c r="J6" s="655" t="str">
        <f>IS!J6</f>
        <v>F3Q06A</v>
      </c>
      <c r="K6" s="655" t="str">
        <f>IS!K6</f>
        <v>F4Q06A</v>
      </c>
      <c r="L6" s="654" t="str">
        <f>IS!L6</f>
        <v>F1Q07A</v>
      </c>
      <c r="M6" s="655" t="str">
        <f>IS!M6</f>
        <v>F2Q07A</v>
      </c>
      <c r="N6" s="655" t="str">
        <f>IS!N6</f>
        <v>F3Q07A</v>
      </c>
      <c r="O6" s="655" t="str">
        <f>IS!O6</f>
        <v>F4Q07A</v>
      </c>
      <c r="P6" s="654" t="str">
        <f>IS!P6</f>
        <v>F1Q08A</v>
      </c>
      <c r="Q6" s="655" t="str">
        <f>IS!Q6</f>
        <v>F2Q08A</v>
      </c>
      <c r="R6" s="655" t="str">
        <f>IS!R6</f>
        <v>F3Q08A</v>
      </c>
      <c r="S6" s="656" t="str">
        <f>IS!S6</f>
        <v>F4Q08A</v>
      </c>
      <c r="T6" s="655" t="str">
        <f>IS!T6</f>
        <v>F1Q09A</v>
      </c>
      <c r="U6" s="655" t="str">
        <f>IS!U6</f>
        <v>F2Q09A</v>
      </c>
      <c r="V6" s="655" t="str">
        <f>IS!V6</f>
        <v>F3Q09A</v>
      </c>
      <c r="W6" s="655" t="str">
        <f>IS!W6</f>
        <v>F4Q09A</v>
      </c>
      <c r="X6" s="654" t="str">
        <f>IS!X6</f>
        <v>F1Q10A</v>
      </c>
      <c r="Y6" s="655" t="str">
        <f>IS!Y6</f>
        <v>F2Q10A</v>
      </c>
      <c r="Z6" s="655" t="str">
        <f>IS!Z6</f>
        <v>F3Q10A</v>
      </c>
      <c r="AA6" s="655" t="str">
        <f>IS!AA6</f>
        <v>F4Q10A</v>
      </c>
      <c r="AB6" s="654" t="str">
        <f>IS!AB6</f>
        <v>F1Q11A</v>
      </c>
      <c r="AC6" s="655" t="str">
        <f>IS!AC6</f>
        <v>F2Q11A</v>
      </c>
      <c r="AD6" s="655" t="str">
        <f>IS!AD6</f>
        <v>F3Q11A</v>
      </c>
      <c r="AE6" s="655" t="str">
        <f>IS!AE6</f>
        <v>F4Q11A</v>
      </c>
      <c r="AF6" s="654" t="str">
        <f>IS!AF6</f>
        <v>F1Q12A</v>
      </c>
      <c r="AG6" s="655" t="str">
        <f>IS!AG6</f>
        <v>F2Q12A</v>
      </c>
      <c r="AH6" s="655" t="str">
        <f>IS!AH6</f>
        <v>F3Q12A</v>
      </c>
      <c r="AI6" s="655" t="str">
        <f>IS!AI6</f>
        <v>F4Q12A</v>
      </c>
      <c r="AJ6" s="654" t="str">
        <f>IS!AJ6</f>
        <v>F1Q13A</v>
      </c>
      <c r="AK6" s="655" t="str">
        <f>IS!AK6</f>
        <v>F2Q13A</v>
      </c>
      <c r="AL6" s="655" t="str">
        <f>IS!AL6</f>
        <v>F3Q13A</v>
      </c>
      <c r="AM6" s="656" t="str">
        <f>IS!AM6</f>
        <v>F4Q13A</v>
      </c>
      <c r="AN6" s="655" t="str">
        <f>IS!AN6</f>
        <v>F1Q14A</v>
      </c>
      <c r="AO6" s="655" t="str">
        <f>IS!AO6</f>
        <v>F2Q14A</v>
      </c>
      <c r="AP6" s="655" t="str">
        <f>IS!AP6</f>
        <v>F3Q14A</v>
      </c>
      <c r="AQ6" s="656" t="str">
        <f>IS!AQ6</f>
        <v>F4Q14A</v>
      </c>
      <c r="AR6" s="655" t="str">
        <f>IS!AR6</f>
        <v>F1Q15A</v>
      </c>
      <c r="AS6" s="655" t="str">
        <f>IS!AS6</f>
        <v>F2Q15A</v>
      </c>
      <c r="AT6" s="655" t="str">
        <f>IS!AT6</f>
        <v>F3Q15A</v>
      </c>
      <c r="AU6" s="656" t="str">
        <f>IS!AU6</f>
        <v>F4Q15A</v>
      </c>
      <c r="AV6" s="655" t="str">
        <f>IS!AV6</f>
        <v>F1Q16A</v>
      </c>
      <c r="AW6" s="655" t="str">
        <f>IS!AW6</f>
        <v>F2Q16A</v>
      </c>
      <c r="AX6" s="655" t="str">
        <f>IS!AX6</f>
        <v>F3Q16A</v>
      </c>
      <c r="AY6" s="656" t="str">
        <f>IS!AY6</f>
        <v>F4Q16A</v>
      </c>
      <c r="AZ6" s="655" t="str">
        <f>IS!AZ6</f>
        <v>F1Q17A</v>
      </c>
      <c r="BA6" s="655" t="str">
        <f>IS!BA6</f>
        <v>F2Q17A</v>
      </c>
      <c r="BB6" s="655" t="str">
        <f>IS!BB6</f>
        <v>F3Q17A</v>
      </c>
      <c r="BC6" s="655" t="str">
        <f>IS!BC6</f>
        <v>F4Q17A</v>
      </c>
      <c r="BD6" s="654" t="str">
        <f>IS!BD6</f>
        <v>F1Q18A</v>
      </c>
      <c r="BE6" s="655" t="str">
        <f>IS!BE6</f>
        <v>F2Q18E</v>
      </c>
      <c r="BF6" s="655" t="str">
        <f>IS!BF6</f>
        <v>F3Q18E</v>
      </c>
      <c r="BG6" s="656" t="str">
        <f>IS!BG6</f>
        <v>F4Q18E</v>
      </c>
      <c r="BH6" s="654" t="str">
        <f>IS!BH6</f>
        <v>F1Q19E</v>
      </c>
      <c r="BI6" s="655" t="str">
        <f>IS!BI6</f>
        <v>F2Q19E</v>
      </c>
      <c r="BJ6" s="655" t="str">
        <f>IS!BJ6</f>
        <v>F3Q19E</v>
      </c>
      <c r="BK6" s="656" t="str">
        <f>IS!BK6</f>
        <v>F4Q19E</v>
      </c>
      <c r="BL6" s="654" t="str">
        <f>IS!BL6</f>
        <v>F1Q20E</v>
      </c>
      <c r="BM6" s="655" t="str">
        <f>IS!BM6</f>
        <v>F2Q20E</v>
      </c>
      <c r="BN6" s="655" t="str">
        <f>IS!BN6</f>
        <v>F3Q20E</v>
      </c>
      <c r="BO6" s="656" t="str">
        <f>IS!BO6</f>
        <v>F4Q20E</v>
      </c>
      <c r="BP6" s="657"/>
      <c r="BQ6" s="654" t="str">
        <f>IS!BQ6</f>
        <v>FY2005A</v>
      </c>
      <c r="BR6" s="655" t="str">
        <f>IS!BR6</f>
        <v>FY2006A</v>
      </c>
      <c r="BS6" s="655" t="str">
        <f>IS!BS6</f>
        <v>FY2007A</v>
      </c>
      <c r="BT6" s="655" t="str">
        <f>IS!BT6</f>
        <v>FY2008A</v>
      </c>
      <c r="BU6" s="655" t="str">
        <f>IS!BU6</f>
        <v>FY2009A</v>
      </c>
      <c r="BV6" s="655" t="str">
        <f>IS!BV6</f>
        <v>FY2010A</v>
      </c>
      <c r="BW6" s="655" t="str">
        <f>IS!BW6</f>
        <v>FY2011A</v>
      </c>
      <c r="BX6" s="655" t="str">
        <f>IS!BX6</f>
        <v>FY2012A</v>
      </c>
      <c r="BY6" s="655" t="str">
        <f>IS!BY6</f>
        <v>FY2013A</v>
      </c>
      <c r="BZ6" s="655" t="str">
        <f>IS!BZ6</f>
        <v>FY2014A</v>
      </c>
      <c r="CA6" s="655" t="str">
        <f>IS!CA6</f>
        <v>FY2015A</v>
      </c>
      <c r="CB6" s="655" t="str">
        <f>IS!CB6</f>
        <v>FY2016A</v>
      </c>
      <c r="CC6" s="655" t="str">
        <f>IS!CC6</f>
        <v>FY2017E</v>
      </c>
      <c r="CD6" s="655" t="str">
        <f>IS!CD6</f>
        <v>FY2018E</v>
      </c>
      <c r="CE6" s="655" t="str">
        <f>IS!CE6</f>
        <v>FY2019E</v>
      </c>
      <c r="CF6" s="656" t="str">
        <f>IS!CF6</f>
        <v>FY2020E</v>
      </c>
      <c r="CG6" s="658"/>
      <c r="CH6" s="363"/>
    </row>
    <row r="7" spans="1:88" s="8" customFormat="1" ht="14.25" customHeight="1">
      <c r="B7" s="659" t="s">
        <v>282</v>
      </c>
      <c r="C7" s="660"/>
      <c r="D7" s="661"/>
      <c r="E7" s="661"/>
      <c r="F7" s="661"/>
      <c r="G7" s="661"/>
      <c r="H7" s="661"/>
      <c r="I7" s="661"/>
      <c r="J7" s="661"/>
      <c r="K7" s="661"/>
      <c r="L7" s="661"/>
      <c r="M7" s="661"/>
      <c r="N7" s="661"/>
      <c r="O7" s="661"/>
      <c r="P7" s="662"/>
      <c r="Q7" s="661"/>
      <c r="R7" s="661"/>
      <c r="S7" s="663"/>
      <c r="T7" s="661"/>
      <c r="U7" s="661"/>
      <c r="V7" s="661"/>
      <c r="W7" s="661"/>
      <c r="X7" s="661"/>
      <c r="Y7" s="661"/>
      <c r="Z7" s="661"/>
      <c r="AA7" s="661"/>
      <c r="AB7" s="661"/>
      <c r="AC7" s="661"/>
      <c r="AD7" s="661"/>
      <c r="AE7" s="661"/>
      <c r="AF7" s="661"/>
      <c r="AG7" s="661"/>
      <c r="AH7" s="661"/>
      <c r="AI7" s="661"/>
      <c r="AJ7" s="661"/>
      <c r="AK7" s="661"/>
      <c r="AL7" s="661"/>
      <c r="AM7" s="663"/>
      <c r="AN7" s="661"/>
      <c r="AO7" s="661"/>
      <c r="AP7" s="661"/>
      <c r="AQ7" s="663"/>
      <c r="AR7" s="661"/>
      <c r="AS7" s="661"/>
      <c r="AT7" s="661"/>
      <c r="AU7" s="663"/>
      <c r="AV7" s="661"/>
      <c r="AW7" s="661"/>
      <c r="AX7" s="661"/>
      <c r="AY7" s="663"/>
      <c r="AZ7" s="661"/>
      <c r="BA7" s="661"/>
      <c r="BB7" s="661"/>
      <c r="BC7" s="661"/>
      <c r="BD7" s="662"/>
      <c r="BE7" s="661"/>
      <c r="BF7" s="661"/>
      <c r="BG7" s="663"/>
      <c r="BH7" s="662"/>
      <c r="BI7" s="661"/>
      <c r="BJ7" s="661"/>
      <c r="BK7" s="663"/>
      <c r="BL7" s="662"/>
      <c r="BM7" s="661"/>
      <c r="BN7" s="661"/>
      <c r="BO7" s="663"/>
      <c r="BP7" s="657"/>
      <c r="BQ7" s="664"/>
      <c r="BR7" s="665"/>
      <c r="BS7" s="665"/>
      <c r="BT7" s="665"/>
      <c r="BU7" s="665"/>
      <c r="BV7" s="665"/>
      <c r="BW7" s="665"/>
      <c r="BX7" s="665"/>
      <c r="BY7" s="665"/>
      <c r="BZ7" s="665"/>
      <c r="CA7" s="665"/>
      <c r="CB7" s="665"/>
      <c r="CC7" s="665"/>
      <c r="CD7" s="665"/>
      <c r="CE7" s="665"/>
      <c r="CF7" s="666"/>
      <c r="CG7" s="297"/>
      <c r="CH7" s="14"/>
      <c r="CI7"/>
      <c r="CJ7"/>
    </row>
    <row r="8" spans="1:88" s="8" customFormat="1" ht="14.25" customHeight="1">
      <c r="B8" s="667" t="s">
        <v>444</v>
      </c>
      <c r="C8" s="668"/>
      <c r="D8" s="669"/>
      <c r="E8" s="669"/>
      <c r="F8" s="669"/>
      <c r="G8" s="669"/>
      <c r="H8" s="669"/>
      <c r="I8" s="669"/>
      <c r="J8" s="669"/>
      <c r="K8" s="669"/>
      <c r="L8" s="669"/>
      <c r="M8" s="669"/>
      <c r="N8" s="669"/>
      <c r="O8" s="669"/>
      <c r="P8" s="670"/>
      <c r="Q8" s="669"/>
      <c r="R8" s="669"/>
      <c r="S8" s="671"/>
      <c r="T8" s="669"/>
      <c r="U8" s="669"/>
      <c r="V8" s="669"/>
      <c r="W8" s="669"/>
      <c r="X8" s="669"/>
      <c r="Y8" s="669"/>
      <c r="Z8" s="669"/>
      <c r="AA8" s="669"/>
      <c r="AB8" s="669"/>
      <c r="AC8" s="669"/>
      <c r="AD8" s="669"/>
      <c r="AE8" s="669"/>
      <c r="AF8" s="669"/>
      <c r="AG8" s="669"/>
      <c r="AH8" s="669"/>
      <c r="AI8" s="669"/>
      <c r="AJ8" s="669"/>
      <c r="AK8" s="669"/>
      <c r="AL8" s="669"/>
      <c r="AM8" s="671"/>
      <c r="AN8" s="669"/>
      <c r="AO8" s="669"/>
      <c r="AP8" s="669"/>
      <c r="AQ8" s="671"/>
      <c r="AR8" s="669"/>
      <c r="AS8" s="669"/>
      <c r="AT8" s="669"/>
      <c r="AU8" s="671"/>
      <c r="AV8" s="669"/>
      <c r="AW8" s="669"/>
      <c r="AX8" s="669"/>
      <c r="AY8" s="671"/>
      <c r="AZ8" s="669"/>
      <c r="BA8" s="669"/>
      <c r="BB8" s="669"/>
      <c r="BC8" s="669"/>
      <c r="BD8" s="670"/>
      <c r="BE8" s="669"/>
      <c r="BF8" s="669"/>
      <c r="BG8" s="671"/>
      <c r="BH8" s="670"/>
      <c r="BI8" s="669"/>
      <c r="BJ8" s="669"/>
      <c r="BK8" s="671"/>
      <c r="BL8" s="670"/>
      <c r="BM8" s="669"/>
      <c r="BN8" s="669"/>
      <c r="BO8" s="671"/>
      <c r="BP8" s="657"/>
      <c r="BQ8" s="670"/>
      <c r="BR8" s="669"/>
      <c r="BS8" s="669"/>
      <c r="BT8" s="669"/>
      <c r="BU8" s="669"/>
      <c r="BV8" s="669"/>
      <c r="BW8" s="669"/>
      <c r="BX8" s="669"/>
      <c r="BY8" s="669"/>
      <c r="BZ8" s="669"/>
      <c r="CA8" s="669"/>
      <c r="CB8" s="669"/>
      <c r="CC8" s="669"/>
      <c r="CD8" s="669"/>
      <c r="CE8" s="669"/>
      <c r="CF8" s="671"/>
      <c r="CG8" s="297"/>
      <c r="CH8" s="14"/>
      <c r="CI8"/>
      <c r="CJ8"/>
    </row>
    <row r="9" spans="1:88" ht="14.25" customHeight="1">
      <c r="A9" s="672"/>
      <c r="B9" s="673" t="s">
        <v>1</v>
      </c>
      <c r="C9" s="674"/>
      <c r="D9" s="675"/>
      <c r="E9" s="675"/>
      <c r="F9" s="675"/>
      <c r="G9" s="676"/>
      <c r="H9" s="675"/>
      <c r="I9" s="675"/>
      <c r="J9" s="675"/>
      <c r="K9" s="676"/>
      <c r="L9" s="675"/>
      <c r="M9" s="677"/>
      <c r="N9" s="677"/>
      <c r="O9" s="678"/>
      <c r="P9" s="679"/>
      <c r="Q9" s="678"/>
      <c r="R9" s="678"/>
      <c r="S9" s="680"/>
      <c r="T9" s="681"/>
      <c r="U9" s="681"/>
      <c r="V9" s="681"/>
      <c r="W9" s="682"/>
      <c r="X9" s="677"/>
      <c r="Y9" s="677"/>
      <c r="Z9" s="677"/>
      <c r="AA9" s="678"/>
      <c r="AB9" s="679"/>
      <c r="AC9" s="678"/>
      <c r="AD9" s="678"/>
      <c r="AE9" s="680"/>
      <c r="AF9" s="678"/>
      <c r="AG9" s="678"/>
      <c r="AH9" s="678"/>
      <c r="AI9" s="680"/>
      <c r="AJ9" s="679"/>
      <c r="AK9" s="678"/>
      <c r="AL9" s="678" t="s">
        <v>494</v>
      </c>
      <c r="AM9" s="680"/>
      <c r="AN9" s="677"/>
      <c r="AO9" s="677"/>
      <c r="AP9" s="677"/>
      <c r="AQ9" s="680"/>
      <c r="AR9" s="677"/>
      <c r="AS9" s="677"/>
      <c r="AT9" s="677"/>
      <c r="AU9" s="680"/>
      <c r="AV9" s="677"/>
      <c r="AW9" s="677"/>
      <c r="AX9" s="677"/>
      <c r="AY9" s="680"/>
      <c r="AZ9" s="677"/>
      <c r="BA9" s="677"/>
      <c r="BB9" s="677"/>
      <c r="BC9" s="678"/>
      <c r="BD9" s="679"/>
      <c r="BE9" s="678"/>
      <c r="BF9" s="678"/>
      <c r="BG9" s="680"/>
      <c r="BH9" s="679"/>
      <c r="BI9" s="678"/>
      <c r="BJ9" s="678"/>
      <c r="BK9" s="680"/>
      <c r="BL9" s="679"/>
      <c r="BM9" s="678"/>
      <c r="BN9" s="678"/>
      <c r="BO9" s="680"/>
      <c r="BP9" s="657"/>
      <c r="BQ9" s="683"/>
      <c r="BR9" s="683"/>
      <c r="BS9" s="683"/>
      <c r="BT9" s="678"/>
      <c r="BU9" s="678"/>
      <c r="BV9" s="678"/>
      <c r="BW9" s="678"/>
      <c r="BX9" s="678"/>
      <c r="BY9" s="678" t="s">
        <v>494</v>
      </c>
      <c r="BZ9" s="678"/>
      <c r="CA9" s="678"/>
      <c r="CB9" s="678"/>
      <c r="CC9" s="678"/>
      <c r="CD9" s="678"/>
      <c r="CE9" s="678"/>
      <c r="CF9" s="680"/>
      <c r="CG9" s="297"/>
      <c r="CH9" s="363"/>
    </row>
    <row r="10" spans="1:88" s="261" customFormat="1" ht="14.25" customHeight="1">
      <c r="A10" s="672"/>
      <c r="B10" s="684" t="s">
        <v>312</v>
      </c>
      <c r="C10" s="14"/>
      <c r="D10" s="685"/>
      <c r="E10" s="685"/>
      <c r="F10" s="685"/>
      <c r="G10" s="686"/>
      <c r="H10" s="685"/>
      <c r="I10" s="685"/>
      <c r="J10" s="685"/>
      <c r="K10" s="686"/>
      <c r="L10" s="687">
        <f>+L38</f>
        <v>1126</v>
      </c>
      <c r="M10" s="687">
        <f t="shared" ref="M10:AG10" si="0">+M38</f>
        <v>1164</v>
      </c>
      <c r="N10" s="687">
        <f t="shared" si="0"/>
        <v>1288</v>
      </c>
      <c r="O10" s="687">
        <f t="shared" si="0"/>
        <v>1288</v>
      </c>
      <c r="P10" s="688">
        <f t="shared" si="0"/>
        <v>1249</v>
      </c>
      <c r="Q10" s="687">
        <f t="shared" si="0"/>
        <v>1269</v>
      </c>
      <c r="R10" s="687">
        <f t="shared" si="0"/>
        <v>1270</v>
      </c>
      <c r="S10" s="689">
        <f t="shared" si="0"/>
        <v>1002</v>
      </c>
      <c r="T10" s="687">
        <f t="shared" si="0"/>
        <v>802</v>
      </c>
      <c r="U10" s="687">
        <f t="shared" si="0"/>
        <v>970</v>
      </c>
      <c r="V10" s="687">
        <f t="shared" si="0"/>
        <v>1168</v>
      </c>
      <c r="W10" s="689">
        <f t="shared" si="0"/>
        <v>1263</v>
      </c>
      <c r="X10" s="687">
        <f t="shared" si="0"/>
        <v>1367</v>
      </c>
      <c r="Y10" s="687">
        <f t="shared" si="0"/>
        <v>1512</v>
      </c>
      <c r="Z10" s="687">
        <f t="shared" si="0"/>
        <v>1581</v>
      </c>
      <c r="AA10" s="687">
        <f t="shared" si="0"/>
        <v>1518</v>
      </c>
      <c r="AB10" s="688">
        <f t="shared" si="0"/>
        <v>1536</v>
      </c>
      <c r="AC10" s="687">
        <f t="shared" si="0"/>
        <v>1588</v>
      </c>
      <c r="AD10" s="687">
        <f t="shared" si="0"/>
        <v>1557</v>
      </c>
      <c r="AE10" s="689">
        <f t="shared" si="0"/>
        <v>1695</v>
      </c>
      <c r="AF10" s="687">
        <f t="shared" si="0"/>
        <v>1686</v>
      </c>
      <c r="AG10" s="687">
        <f t="shared" si="0"/>
        <v>1800</v>
      </c>
      <c r="AH10" s="687">
        <f>+AH38</f>
        <v>1843</v>
      </c>
      <c r="AI10" s="689">
        <f t="shared" ref="AI10:AQ10" si="1">+AI38</f>
        <v>1669</v>
      </c>
      <c r="AJ10" s="688">
        <f t="shared" si="1"/>
        <v>1648</v>
      </c>
      <c r="AK10" s="687">
        <f t="shared" si="1"/>
        <v>1745</v>
      </c>
      <c r="AL10" s="687">
        <f t="shared" si="1"/>
        <v>1931</v>
      </c>
      <c r="AM10" s="689">
        <f t="shared" si="1"/>
        <v>1869.1261989291902</v>
      </c>
      <c r="AN10" s="687">
        <f t="shared" si="1"/>
        <v>1837</v>
      </c>
      <c r="AO10" s="687">
        <f t="shared" si="1"/>
        <v>1995</v>
      </c>
      <c r="AP10" s="687">
        <f t="shared" si="1"/>
        <v>2149</v>
      </c>
      <c r="AQ10" s="689">
        <f t="shared" si="1"/>
        <v>2123</v>
      </c>
      <c r="AR10" s="687">
        <f t="shared" ref="AR10:AV10" si="2">+AR38</f>
        <v>2035</v>
      </c>
      <c r="AS10" s="687">
        <f t="shared" si="2"/>
        <v>2049</v>
      </c>
      <c r="AT10" s="687">
        <f t="shared" si="2"/>
        <v>2182</v>
      </c>
      <c r="AU10" s="689">
        <f t="shared" si="2"/>
        <v>2073</v>
      </c>
      <c r="AV10" s="687">
        <f t="shared" si="2"/>
        <v>1879</v>
      </c>
      <c r="AW10" s="687">
        <f>+AW38</f>
        <v>2044</v>
      </c>
      <c r="AX10" s="687">
        <f>+AX38</f>
        <v>2323</v>
      </c>
      <c r="AY10" s="689">
        <f t="shared" ref="AY10" si="3">+AY38</f>
        <v>2290</v>
      </c>
      <c r="AZ10" s="687">
        <f t="shared" ref="AZ10:BG10" si="4">+AZ38</f>
        <v>2256</v>
      </c>
      <c r="BA10" s="687">
        <f>+BA38</f>
        <v>2411</v>
      </c>
      <c r="BB10" s="687">
        <f t="shared" si="4"/>
        <v>2698</v>
      </c>
      <c r="BC10" s="689">
        <f t="shared" si="4"/>
        <v>2535</v>
      </c>
      <c r="BD10" s="687">
        <f t="shared" ref="BD10" si="5">+BD38</f>
        <v>2566</v>
      </c>
      <c r="BE10" s="687">
        <f t="shared" si="4"/>
        <v>2617.3200000000002</v>
      </c>
      <c r="BF10" s="687">
        <f t="shared" si="4"/>
        <v>2800.5324000000005</v>
      </c>
      <c r="BG10" s="689">
        <f t="shared" si="4"/>
        <v>2702.5137660000005</v>
      </c>
      <c r="BH10" s="688">
        <f t="shared" ref="BH10:BK10" si="6">+BH38</f>
        <v>2580.9006465300004</v>
      </c>
      <c r="BI10" s="687">
        <f t="shared" si="6"/>
        <v>2684.1366723912006</v>
      </c>
      <c r="BJ10" s="687">
        <f t="shared" si="6"/>
        <v>2872.0262394585848</v>
      </c>
      <c r="BK10" s="689">
        <f t="shared" si="6"/>
        <v>2757.1451898802411</v>
      </c>
      <c r="BL10" s="688">
        <f t="shared" ref="BL10:BO10" si="7">+BL38</f>
        <v>2633.0736563356299</v>
      </c>
      <c r="BM10" s="687">
        <f t="shared" si="7"/>
        <v>2738.3966025890554</v>
      </c>
      <c r="BN10" s="687">
        <f t="shared" si="7"/>
        <v>2930.0843647702895</v>
      </c>
      <c r="BO10" s="689">
        <f t="shared" si="7"/>
        <v>2812.880990179478</v>
      </c>
      <c r="BP10" s="657"/>
      <c r="BQ10" s="273"/>
      <c r="BR10" s="690"/>
      <c r="BS10" s="273">
        <f>SUM(L10:O10)</f>
        <v>4866</v>
      </c>
      <c r="BT10" s="691">
        <f>SUM(P10:S10)</f>
        <v>4790</v>
      </c>
      <c r="BU10" s="691">
        <f>SUM(T10:W10)</f>
        <v>4203</v>
      </c>
      <c r="BV10" s="691">
        <f>SUM(X10:AA10)</f>
        <v>5978</v>
      </c>
      <c r="BW10" s="691">
        <f>SUM(AB10:AE10)</f>
        <v>6376</v>
      </c>
      <c r="BX10" s="691">
        <f>SUM(AF10:AI10)</f>
        <v>6998</v>
      </c>
      <c r="BY10" s="691">
        <f>SUM(AJ10:AM10)</f>
        <v>7193.1261989291907</v>
      </c>
      <c r="BZ10" s="691">
        <f>SUM(AN10:AQ10)</f>
        <v>8104</v>
      </c>
      <c r="CA10" s="691">
        <f>SUM(AR10:AU10)</f>
        <v>8339</v>
      </c>
      <c r="CB10" s="691">
        <f>SUM(AV10:AY10)</f>
        <v>8536</v>
      </c>
      <c r="CC10" s="691">
        <f>SUM(AZ10:BC10)</f>
        <v>9900</v>
      </c>
      <c r="CD10" s="691">
        <f>SUM(BD10:BG10)</f>
        <v>10686.366166</v>
      </c>
      <c r="CE10" s="691">
        <f>SUM(BH10:BK10)</f>
        <v>10894.208748260025</v>
      </c>
      <c r="CF10" s="692">
        <f>SUM(BL10:BO10)</f>
        <v>11114.435613874452</v>
      </c>
      <c r="CG10" s="1165"/>
      <c r="CH10" s="363"/>
      <c r="CI10"/>
      <c r="CJ10"/>
    </row>
    <row r="11" spans="1:88" s="261" customFormat="1" ht="14.25" customHeight="1">
      <c r="A11" s="672"/>
      <c r="B11" s="684" t="s">
        <v>313</v>
      </c>
      <c r="C11" s="14"/>
      <c r="D11" s="685"/>
      <c r="E11" s="685"/>
      <c r="F11" s="685"/>
      <c r="G11" s="686"/>
      <c r="H11" s="685"/>
      <c r="I11" s="685"/>
      <c r="J11" s="685"/>
      <c r="K11" s="686"/>
      <c r="L11" s="687">
        <f>+L63</f>
        <v>378</v>
      </c>
      <c r="M11" s="687">
        <f t="shared" ref="M11:AG11" si="8">+M63</f>
        <v>389</v>
      </c>
      <c r="N11" s="687">
        <f t="shared" si="8"/>
        <v>390</v>
      </c>
      <c r="O11" s="687">
        <f t="shared" si="8"/>
        <v>431</v>
      </c>
      <c r="P11" s="688">
        <f t="shared" si="8"/>
        <v>425</v>
      </c>
      <c r="Q11" s="687">
        <f t="shared" si="8"/>
        <v>439</v>
      </c>
      <c r="R11" s="687">
        <f t="shared" si="8"/>
        <v>427</v>
      </c>
      <c r="S11" s="689">
        <f t="shared" si="8"/>
        <v>340</v>
      </c>
      <c r="T11" s="687">
        <f t="shared" si="8"/>
        <v>316</v>
      </c>
      <c r="U11" s="687">
        <f t="shared" si="8"/>
        <v>350</v>
      </c>
      <c r="V11" s="687">
        <f t="shared" si="8"/>
        <v>393</v>
      </c>
      <c r="W11" s="689">
        <f t="shared" si="8"/>
        <v>412</v>
      </c>
      <c r="X11" s="687">
        <f t="shared" si="8"/>
        <v>440</v>
      </c>
      <c r="Y11" s="687">
        <f t="shared" si="8"/>
        <v>516</v>
      </c>
      <c r="Z11" s="687">
        <f t="shared" si="8"/>
        <v>579</v>
      </c>
      <c r="AA11" s="687">
        <f t="shared" si="8"/>
        <v>538</v>
      </c>
      <c r="AB11" s="688">
        <f t="shared" si="8"/>
        <v>533</v>
      </c>
      <c r="AC11" s="687">
        <f t="shared" si="8"/>
        <v>596</v>
      </c>
      <c r="AD11" s="687">
        <f t="shared" si="8"/>
        <v>539</v>
      </c>
      <c r="AE11" s="689">
        <f t="shared" si="8"/>
        <v>442</v>
      </c>
      <c r="AF11" s="687">
        <f t="shared" si="8"/>
        <v>473</v>
      </c>
      <c r="AG11" s="687">
        <f t="shared" si="8"/>
        <v>509</v>
      </c>
      <c r="AH11" s="687">
        <f>+AH63</f>
        <v>520</v>
      </c>
      <c r="AI11" s="689">
        <f>+AI63</f>
        <v>469</v>
      </c>
      <c r="AJ11" s="688">
        <f>+AJ66</f>
        <v>561</v>
      </c>
      <c r="AK11" s="687">
        <f t="shared" ref="AK11:AQ11" si="9">+AK66</f>
        <v>618</v>
      </c>
      <c r="AL11" s="687">
        <f t="shared" si="9"/>
        <v>668</v>
      </c>
      <c r="AM11" s="689">
        <f t="shared" si="9"/>
        <v>604</v>
      </c>
      <c r="AN11" s="687">
        <f t="shared" si="9"/>
        <v>656</v>
      </c>
      <c r="AO11" s="687">
        <f>+AO66</f>
        <v>703</v>
      </c>
      <c r="AP11" s="687">
        <f t="shared" si="9"/>
        <v>711</v>
      </c>
      <c r="AQ11" s="689">
        <f t="shared" si="9"/>
        <v>670</v>
      </c>
      <c r="AR11" s="687">
        <f t="shared" ref="AR11:AU11" si="10">+AR66</f>
        <v>672</v>
      </c>
      <c r="AS11" s="687">
        <f t="shared" si="10"/>
        <v>690</v>
      </c>
      <c r="AT11" s="687">
        <f t="shared" si="10"/>
        <v>725</v>
      </c>
      <c r="AU11" s="689">
        <f t="shared" si="10"/>
        <v>700</v>
      </c>
      <c r="AV11" s="687">
        <f>+AV66</f>
        <v>729</v>
      </c>
      <c r="AW11" s="687">
        <f>+AW66</f>
        <v>755</v>
      </c>
      <c r="AX11" s="687">
        <f>+AX66</f>
        <v>795</v>
      </c>
      <c r="AY11" s="689">
        <f t="shared" ref="AY11" si="11">+AY66</f>
        <v>744</v>
      </c>
      <c r="AZ11" s="687">
        <f t="shared" ref="AZ11:BG11" si="12">+AZ66</f>
        <v>803</v>
      </c>
      <c r="BA11" s="687">
        <f>+BA66</f>
        <v>868</v>
      </c>
      <c r="BB11" s="687">
        <f t="shared" si="12"/>
        <v>931</v>
      </c>
      <c r="BC11" s="689">
        <f t="shared" si="12"/>
        <v>896</v>
      </c>
      <c r="BD11" s="687">
        <f t="shared" ref="BD11" si="13">+BD66</f>
        <v>926</v>
      </c>
      <c r="BE11" s="687">
        <f t="shared" si="12"/>
        <v>948.22400000000005</v>
      </c>
      <c r="BF11" s="687">
        <f t="shared" si="12"/>
        <v>967.18848000000003</v>
      </c>
      <c r="BG11" s="689">
        <f t="shared" si="12"/>
        <v>918.82905600000004</v>
      </c>
      <c r="BH11" s="688">
        <f t="shared" ref="BH11:BK11" si="14">+BH66</f>
        <v>937.20563712000001</v>
      </c>
      <c r="BI11" s="687">
        <f t="shared" si="14"/>
        <v>1012.1820880896</v>
      </c>
      <c r="BJ11" s="687">
        <f t="shared" si="14"/>
        <v>1022.3039089704961</v>
      </c>
      <c r="BK11" s="689">
        <f t="shared" si="14"/>
        <v>971.18871352197118</v>
      </c>
      <c r="BL11" s="688">
        <f t="shared" ref="BL11:BO11" si="15">+BL66</f>
        <v>990.61248779241066</v>
      </c>
      <c r="BM11" s="687">
        <f t="shared" si="15"/>
        <v>1069.8614868158036</v>
      </c>
      <c r="BN11" s="687">
        <f t="shared" si="15"/>
        <v>1080.5601016839616</v>
      </c>
      <c r="BO11" s="689">
        <f t="shared" si="15"/>
        <v>1026.5320965997635</v>
      </c>
      <c r="BP11" s="657"/>
      <c r="BQ11" s="273"/>
      <c r="BR11" s="690"/>
      <c r="BS11" s="273">
        <f>SUM(L11:O11)</f>
        <v>1588</v>
      </c>
      <c r="BT11" s="691">
        <f>SUM(P11:S11)</f>
        <v>1631</v>
      </c>
      <c r="BU11" s="691">
        <f>SUM(T11:W11)</f>
        <v>1471</v>
      </c>
      <c r="BV11" s="691">
        <f>SUM(X11:AA11)</f>
        <v>2073</v>
      </c>
      <c r="BW11" s="691">
        <f>SUM(AB11:AE11)</f>
        <v>2110</v>
      </c>
      <c r="BX11" s="691">
        <f>SUM(AF11:AI11)</f>
        <v>1971</v>
      </c>
      <c r="BY11" s="691">
        <f>SUM(AJ11:AM11)</f>
        <v>2451</v>
      </c>
      <c r="BZ11" s="691">
        <f>SUM(AN11:AQ11)</f>
        <v>2740</v>
      </c>
      <c r="CA11" s="691">
        <f>SUM(AR11:AU11)</f>
        <v>2787</v>
      </c>
      <c r="CB11" s="691">
        <f>SUM(AV11:AY11)</f>
        <v>3023</v>
      </c>
      <c r="CC11" s="691">
        <f>SUM(AZ11:BC11)</f>
        <v>3498</v>
      </c>
      <c r="CD11" s="691">
        <f>SUM(BD11:BG11)</f>
        <v>3760.241536</v>
      </c>
      <c r="CE11" s="691">
        <f>SUM(BH11:BK11)</f>
        <v>3942.8803477020674</v>
      </c>
      <c r="CF11" s="692">
        <f>SUM(BL12:BO12)</f>
        <v>0</v>
      </c>
      <c r="CG11" s="1165"/>
      <c r="CH11" s="363"/>
      <c r="CI11"/>
      <c r="CJ11"/>
    </row>
    <row r="12" spans="1:88" s="261" customFormat="1" ht="14.25" customHeight="1">
      <c r="A12" s="672"/>
      <c r="B12" s="684" t="s">
        <v>314</v>
      </c>
      <c r="C12" s="14"/>
      <c r="D12" s="685"/>
      <c r="E12" s="685"/>
      <c r="F12" s="685"/>
      <c r="G12" s="686"/>
      <c r="H12" s="685"/>
      <c r="I12" s="685"/>
      <c r="J12" s="685"/>
      <c r="K12" s="686"/>
      <c r="L12" s="687">
        <f>+L120</f>
        <v>968</v>
      </c>
      <c r="M12" s="687">
        <f t="shared" ref="M12:AG12" si="16">+M120</f>
        <v>1036</v>
      </c>
      <c r="N12" s="687">
        <f t="shared" si="16"/>
        <v>1114</v>
      </c>
      <c r="O12" s="687">
        <f t="shared" si="16"/>
        <v>1138</v>
      </c>
      <c r="P12" s="688">
        <f t="shared" si="16"/>
        <v>937</v>
      </c>
      <c r="Q12" s="687">
        <f t="shared" si="16"/>
        <v>920</v>
      </c>
      <c r="R12" s="687">
        <f t="shared" si="16"/>
        <v>934</v>
      </c>
      <c r="S12" s="689">
        <f t="shared" si="16"/>
        <v>659</v>
      </c>
      <c r="T12" s="687">
        <f t="shared" si="16"/>
        <v>563</v>
      </c>
      <c r="U12" s="687">
        <f t="shared" si="16"/>
        <v>614</v>
      </c>
      <c r="V12" s="687">
        <f t="shared" si="16"/>
        <v>691</v>
      </c>
      <c r="W12" s="689">
        <f t="shared" si="16"/>
        <v>758</v>
      </c>
      <c r="X12" s="687">
        <f t="shared" si="16"/>
        <v>717</v>
      </c>
      <c r="Y12" s="687">
        <f t="shared" si="16"/>
        <v>727</v>
      </c>
      <c r="Z12" s="687">
        <f t="shared" si="16"/>
        <v>767</v>
      </c>
      <c r="AA12" s="687">
        <f t="shared" si="16"/>
        <v>767</v>
      </c>
      <c r="AB12" s="688">
        <f t="shared" si="16"/>
        <v>658</v>
      </c>
      <c r="AC12" s="687">
        <f t="shared" si="16"/>
        <v>558</v>
      </c>
      <c r="AD12" s="687">
        <f t="shared" si="16"/>
        <v>580</v>
      </c>
      <c r="AE12" s="689">
        <f t="shared" si="16"/>
        <v>722</v>
      </c>
      <c r="AF12" s="687">
        <f t="shared" si="16"/>
        <v>373</v>
      </c>
      <c r="AG12" s="687">
        <f t="shared" si="16"/>
        <v>342</v>
      </c>
      <c r="AH12" s="687">
        <f>+AH120</f>
        <v>325</v>
      </c>
      <c r="AI12" s="689">
        <f>+AI120</f>
        <v>317</v>
      </c>
      <c r="AJ12" s="688"/>
      <c r="AK12" s="687"/>
      <c r="AL12" s="687"/>
      <c r="AM12" s="689"/>
      <c r="AN12" s="687"/>
      <c r="AO12" s="687"/>
      <c r="AP12" s="687"/>
      <c r="AQ12" s="689"/>
      <c r="AR12" s="687"/>
      <c r="AS12" s="687"/>
      <c r="AT12" s="687"/>
      <c r="AU12" s="689"/>
      <c r="AV12" s="687"/>
      <c r="AW12" s="687"/>
      <c r="AX12" s="687"/>
      <c r="AY12" s="689"/>
      <c r="AZ12" s="687"/>
      <c r="BA12" s="687"/>
      <c r="BB12" s="687"/>
      <c r="BC12" s="689"/>
      <c r="BD12" s="687"/>
      <c r="BE12" s="687"/>
      <c r="BF12" s="687"/>
      <c r="BG12" s="689"/>
      <c r="BH12" s="688"/>
      <c r="BI12" s="687"/>
      <c r="BJ12" s="687"/>
      <c r="BK12" s="689"/>
      <c r="BL12" s="688"/>
      <c r="BM12" s="687"/>
      <c r="BN12" s="687"/>
      <c r="BO12" s="689"/>
      <c r="BP12" s="657"/>
      <c r="BQ12" s="273"/>
      <c r="BR12" s="690"/>
      <c r="BS12" s="273">
        <f>SUM(L12:O12)</f>
        <v>4256</v>
      </c>
      <c r="BT12" s="691">
        <f>SUM(P12:S12)</f>
        <v>3450</v>
      </c>
      <c r="BU12" s="691">
        <f>SUM(T12:W12)</f>
        <v>2626</v>
      </c>
      <c r="BV12" s="691">
        <f>SUM(X12:AA12)</f>
        <v>2978</v>
      </c>
      <c r="BW12" s="691">
        <f>SUM(AB12:AE12)</f>
        <v>2518</v>
      </c>
      <c r="BX12" s="691">
        <f>SUM(AF12:AI12)</f>
        <v>1357</v>
      </c>
      <c r="BY12" s="691"/>
      <c r="BZ12" s="691"/>
      <c r="CA12" s="691"/>
      <c r="CB12" s="691"/>
      <c r="CC12" s="691"/>
      <c r="CD12" s="691"/>
      <c r="CE12" s="691"/>
      <c r="CF12" s="692"/>
      <c r="CG12" s="1165"/>
      <c r="CH12" s="1166"/>
      <c r="CI12"/>
      <c r="CJ12"/>
    </row>
    <row r="13" spans="1:88" ht="14.25" customHeight="1">
      <c r="A13" s="693"/>
      <c r="B13" s="694" t="s">
        <v>293</v>
      </c>
      <c r="C13" s="695"/>
      <c r="D13" s="696"/>
      <c r="E13" s="696"/>
      <c r="F13" s="696"/>
      <c r="G13" s="697"/>
      <c r="H13" s="696"/>
      <c r="I13" s="696"/>
      <c r="J13" s="696"/>
      <c r="K13" s="697"/>
      <c r="L13" s="698">
        <f>+L286</f>
        <v>719</v>
      </c>
      <c r="M13" s="698">
        <f t="shared" ref="M13:AG13" si="17">+M286</f>
        <v>835</v>
      </c>
      <c r="N13" s="698">
        <f t="shared" si="17"/>
        <v>871</v>
      </c>
      <c r="O13" s="698">
        <f t="shared" si="17"/>
        <v>699</v>
      </c>
      <c r="P13" s="699">
        <f t="shared" si="17"/>
        <v>661</v>
      </c>
      <c r="Q13" s="698">
        <f t="shared" si="17"/>
        <v>723</v>
      </c>
      <c r="R13" s="698">
        <f t="shared" si="17"/>
        <v>756</v>
      </c>
      <c r="S13" s="700">
        <f t="shared" si="17"/>
        <v>490</v>
      </c>
      <c r="T13" s="698">
        <f t="shared" si="17"/>
        <v>405</v>
      </c>
      <c r="U13" s="698">
        <f t="shared" si="17"/>
        <v>523</v>
      </c>
      <c r="V13" s="698">
        <f t="shared" si="17"/>
        <v>628</v>
      </c>
      <c r="W13" s="700">
        <f t="shared" si="17"/>
        <v>572</v>
      </c>
      <c r="X13" s="698">
        <f t="shared" si="17"/>
        <v>681</v>
      </c>
      <c r="Y13" s="698">
        <f t="shared" si="17"/>
        <v>741</v>
      </c>
      <c r="Z13" s="698">
        <f t="shared" si="17"/>
        <v>813</v>
      </c>
      <c r="AA13" s="698">
        <f t="shared" si="17"/>
        <v>702</v>
      </c>
      <c r="AB13" s="699">
        <f t="shared" si="17"/>
        <v>665</v>
      </c>
      <c r="AC13" s="698">
        <f t="shared" si="17"/>
        <v>716</v>
      </c>
      <c r="AD13" s="698">
        <f t="shared" si="17"/>
        <v>790</v>
      </c>
      <c r="AE13" s="700">
        <f t="shared" si="17"/>
        <v>561</v>
      </c>
      <c r="AF13" s="698">
        <f t="shared" si="17"/>
        <v>589</v>
      </c>
      <c r="AG13" s="698">
        <f t="shared" si="17"/>
        <v>684</v>
      </c>
      <c r="AH13" s="698">
        <f>+AH286</f>
        <v>702</v>
      </c>
      <c r="AI13" s="700">
        <f>+AI286</f>
        <v>524</v>
      </c>
      <c r="AJ13" s="699">
        <f>+AJ288</f>
        <v>676</v>
      </c>
      <c r="AK13" s="698">
        <f t="shared" ref="AK13:AP13" si="18">+AK288</f>
        <v>684</v>
      </c>
      <c r="AL13" s="698">
        <f t="shared" si="18"/>
        <v>645</v>
      </c>
      <c r="AM13" s="700">
        <f t="shared" si="18"/>
        <v>555</v>
      </c>
      <c r="AN13" s="698">
        <f t="shared" si="18"/>
        <v>489.49808303682909</v>
      </c>
      <c r="AO13" s="698">
        <f t="shared" si="18"/>
        <v>593.72030612102662</v>
      </c>
      <c r="AP13" s="698">
        <f t="shared" si="18"/>
        <v>641.39075148995255</v>
      </c>
      <c r="AQ13" s="700">
        <f>+AQ288</f>
        <v>475.99999999999994</v>
      </c>
      <c r="AR13" s="698">
        <f>+AR288</f>
        <v>443.00000000000006</v>
      </c>
      <c r="AS13" s="698">
        <f t="shared" ref="AS13:AV13" si="19">+AS288</f>
        <v>593.94233841636458</v>
      </c>
      <c r="AT13" s="698">
        <f>+AT288</f>
        <v>526.40509843270991</v>
      </c>
      <c r="AU13" s="700">
        <f>+AU288</f>
        <v>416.11253914059421</v>
      </c>
      <c r="AV13" s="698">
        <f t="shared" si="19"/>
        <v>399.59074264451323</v>
      </c>
      <c r="AW13" s="698">
        <f>+AW288</f>
        <v>473.59074264451323</v>
      </c>
      <c r="AX13" s="698">
        <f>+AX288</f>
        <v>556.60568294214647</v>
      </c>
      <c r="AY13" s="700">
        <f>+AY288</f>
        <v>379.93468115114763</v>
      </c>
      <c r="AZ13" s="698">
        <f t="shared" ref="AZ13:BG13" si="20">+AZ288</f>
        <v>343.12679538995872</v>
      </c>
      <c r="BA13" s="698">
        <f>+BA288</f>
        <v>414.13416867775288</v>
      </c>
      <c r="BB13" s="1147">
        <f t="shared" si="20"/>
        <v>487</v>
      </c>
      <c r="BC13" s="700">
        <f>+BC288</f>
        <v>319.20884738142519</v>
      </c>
      <c r="BD13" s="698">
        <f t="shared" ref="BD13" si="21">+BD288</f>
        <v>296.83256387994987</v>
      </c>
      <c r="BE13" s="698">
        <f t="shared" si="20"/>
        <v>378.83256387994987</v>
      </c>
      <c r="BF13" s="698">
        <f t="shared" si="20"/>
        <v>429.29151723253568</v>
      </c>
      <c r="BG13" s="700">
        <f t="shared" si="20"/>
        <v>333.29788859877368</v>
      </c>
      <c r="BH13" s="699">
        <f t="shared" ref="BH13:BK13" si="22">+BH288</f>
        <v>332.50186026877043</v>
      </c>
      <c r="BI13" s="698">
        <f t="shared" si="22"/>
        <v>393.06827866229497</v>
      </c>
      <c r="BJ13" s="698">
        <f t="shared" si="22"/>
        <v>446.40363569982537</v>
      </c>
      <c r="BK13" s="700">
        <f t="shared" si="22"/>
        <v>348.48095046791116</v>
      </c>
      <c r="BL13" s="699">
        <f t="shared" ref="BL13:BO13" si="23">+BL288</f>
        <v>350.36953271019507</v>
      </c>
      <c r="BM13" s="698">
        <f t="shared" si="23"/>
        <v>410.98170452662276</v>
      </c>
      <c r="BN13" s="698">
        <f t="shared" si="23"/>
        <v>465.34989256142228</v>
      </c>
      <c r="BO13" s="700">
        <f t="shared" si="23"/>
        <v>366.80910103380796</v>
      </c>
      <c r="BP13" s="701"/>
      <c r="BQ13" s="702"/>
      <c r="BR13" s="703"/>
      <c r="BS13" s="273">
        <f>SUM(L13:O13)</f>
        <v>3124</v>
      </c>
      <c r="BT13" s="691">
        <f>SUM(P13:S13)</f>
        <v>2630</v>
      </c>
      <c r="BU13" s="691">
        <f>SUM(T13:W13)</f>
        <v>2128</v>
      </c>
      <c r="BV13" s="691">
        <f>SUM(X13:AA13)</f>
        <v>2937</v>
      </c>
      <c r="BW13" s="691">
        <f>SUM(AB13:AE13)</f>
        <v>2732</v>
      </c>
      <c r="BX13" s="691">
        <f>SUM(AF13:AI13)</f>
        <v>2499</v>
      </c>
      <c r="BY13" s="691">
        <f>SUM(AJ13:AM13)</f>
        <v>2560</v>
      </c>
      <c r="BZ13" s="691">
        <f>SUM(AN13:AQ13)</f>
        <v>2200.6091406478081</v>
      </c>
      <c r="CA13" s="691">
        <f>SUM(AR13:AU13)</f>
        <v>1979.4599759896689</v>
      </c>
      <c r="CB13" s="691">
        <f>SUM(AV13:AY13)</f>
        <v>1809.7218493823207</v>
      </c>
      <c r="CC13" s="691">
        <f>SUM(AZ13:BC13)</f>
        <v>1563.4698114491366</v>
      </c>
      <c r="CD13" s="691">
        <f>SUM(BD13:BG13)</f>
        <v>1438.2545335912091</v>
      </c>
      <c r="CE13" s="691">
        <f>SUM(BH13:BK13)</f>
        <v>1520.4547250988021</v>
      </c>
      <c r="CF13" s="692">
        <f>SUM(BL13:BO13)</f>
        <v>1593.5102308320481</v>
      </c>
      <c r="CG13" s="1167"/>
      <c r="CH13" s="363"/>
    </row>
    <row r="14" spans="1:88" s="85" customFormat="1" ht="14.25" customHeight="1">
      <c r="A14" s="704"/>
      <c r="B14" s="705" t="s">
        <v>0</v>
      </c>
      <c r="C14" s="268"/>
      <c r="D14" s="706"/>
      <c r="E14" s="706"/>
      <c r="F14" s="706"/>
      <c r="G14" s="707"/>
      <c r="H14" s="706"/>
      <c r="I14" s="706"/>
      <c r="J14" s="706"/>
      <c r="K14" s="707"/>
      <c r="L14" s="708">
        <f>+SUM(L10:L13)</f>
        <v>3191</v>
      </c>
      <c r="M14" s="708">
        <f t="shared" ref="M14:AG14" si="24">+SUM(M10:M13)</f>
        <v>3424</v>
      </c>
      <c r="N14" s="708">
        <f t="shared" si="24"/>
        <v>3663</v>
      </c>
      <c r="O14" s="708">
        <f t="shared" si="24"/>
        <v>3556</v>
      </c>
      <c r="P14" s="709">
        <f t="shared" si="24"/>
        <v>3272</v>
      </c>
      <c r="Q14" s="708">
        <f t="shared" si="24"/>
        <v>3351</v>
      </c>
      <c r="R14" s="708">
        <f t="shared" si="24"/>
        <v>3387</v>
      </c>
      <c r="S14" s="710">
        <f t="shared" si="24"/>
        <v>2491</v>
      </c>
      <c r="T14" s="708">
        <f t="shared" si="24"/>
        <v>2086</v>
      </c>
      <c r="U14" s="708">
        <f t="shared" si="24"/>
        <v>2457</v>
      </c>
      <c r="V14" s="708">
        <f t="shared" si="24"/>
        <v>2880</v>
      </c>
      <c r="W14" s="710">
        <f t="shared" si="24"/>
        <v>3005</v>
      </c>
      <c r="X14" s="708">
        <f t="shared" si="24"/>
        <v>3205</v>
      </c>
      <c r="Y14" s="708">
        <f t="shared" si="24"/>
        <v>3496</v>
      </c>
      <c r="Z14" s="708">
        <f t="shared" si="24"/>
        <v>3740</v>
      </c>
      <c r="AA14" s="708">
        <f t="shared" si="24"/>
        <v>3525</v>
      </c>
      <c r="AB14" s="709">
        <f t="shared" si="24"/>
        <v>3392</v>
      </c>
      <c r="AC14" s="708">
        <f t="shared" si="24"/>
        <v>3458</v>
      </c>
      <c r="AD14" s="708">
        <f t="shared" si="24"/>
        <v>3466</v>
      </c>
      <c r="AE14" s="710">
        <f t="shared" si="24"/>
        <v>3420</v>
      </c>
      <c r="AF14" s="708">
        <f t="shared" si="24"/>
        <v>3121</v>
      </c>
      <c r="AG14" s="708">
        <f t="shared" si="24"/>
        <v>3335</v>
      </c>
      <c r="AH14" s="708">
        <f t="shared" ref="AH14:AQ14" si="25">+SUM(AH10:AH13)</f>
        <v>3390</v>
      </c>
      <c r="AI14" s="710">
        <f t="shared" si="25"/>
        <v>2979</v>
      </c>
      <c r="AJ14" s="709">
        <f t="shared" si="25"/>
        <v>2885</v>
      </c>
      <c r="AK14" s="708">
        <f t="shared" si="25"/>
        <v>3047</v>
      </c>
      <c r="AL14" s="708">
        <f t="shared" si="25"/>
        <v>3244</v>
      </c>
      <c r="AM14" s="710">
        <f t="shared" si="25"/>
        <v>3028.1261989291902</v>
      </c>
      <c r="AN14" s="708">
        <f t="shared" si="25"/>
        <v>2982.498083036829</v>
      </c>
      <c r="AO14" s="708">
        <f t="shared" si="25"/>
        <v>3291.7203061210266</v>
      </c>
      <c r="AP14" s="708">
        <f t="shared" si="25"/>
        <v>3501.3907514899524</v>
      </c>
      <c r="AQ14" s="710">
        <f t="shared" si="25"/>
        <v>3269</v>
      </c>
      <c r="AR14" s="708">
        <f t="shared" ref="AR14:AV14" si="26">+SUM(AR10:AR13)</f>
        <v>3150</v>
      </c>
      <c r="AS14" s="708">
        <f t="shared" si="26"/>
        <v>3332.9423384163647</v>
      </c>
      <c r="AT14" s="708">
        <f>+SUM(AT10:AT13)</f>
        <v>3433.40509843271</v>
      </c>
      <c r="AU14" s="710">
        <f>+SUM(AU10:AU13)</f>
        <v>3189.112539140594</v>
      </c>
      <c r="AV14" s="708">
        <f t="shared" si="26"/>
        <v>3007.5907426445133</v>
      </c>
      <c r="AW14" s="708">
        <f>+SUM(AW10:AW13)</f>
        <v>3272.5907426445133</v>
      </c>
      <c r="AX14" s="708">
        <f>+SUM(AX10:AX13)</f>
        <v>3674.6056829421464</v>
      </c>
      <c r="AY14" s="710">
        <f>+SUM(AY10:AY13)</f>
        <v>3413.9346811511477</v>
      </c>
      <c r="AZ14" s="708">
        <f t="shared" ref="AZ14:BG14" si="27">+SUM(AZ10:AZ13)</f>
        <v>3402.1267953899587</v>
      </c>
      <c r="BA14" s="708">
        <f>+SUM(BA10:BA13)</f>
        <v>3693.1341686777528</v>
      </c>
      <c r="BB14" s="708">
        <f t="shared" si="27"/>
        <v>4116</v>
      </c>
      <c r="BC14" s="710">
        <f>+SUM(BC10:BC13)</f>
        <v>3750.2088473814251</v>
      </c>
      <c r="BD14" s="708">
        <f>+SUM(BD10:BD13)</f>
        <v>3788.8325638799497</v>
      </c>
      <c r="BE14" s="708">
        <f t="shared" si="27"/>
        <v>3944.37656387995</v>
      </c>
      <c r="BF14" s="708">
        <f t="shared" si="27"/>
        <v>4197.0123972325364</v>
      </c>
      <c r="BG14" s="710">
        <f t="shared" si="27"/>
        <v>3954.6407105987741</v>
      </c>
      <c r="BH14" s="709">
        <f t="shared" ref="BH14:BK14" si="28">+SUM(BH10:BH13)</f>
        <v>3850.608143918771</v>
      </c>
      <c r="BI14" s="708">
        <f t="shared" si="28"/>
        <v>4089.387039143096</v>
      </c>
      <c r="BJ14" s="708">
        <f t="shared" si="28"/>
        <v>4340.7337841289063</v>
      </c>
      <c r="BK14" s="710">
        <f t="shared" si="28"/>
        <v>4076.8148538701234</v>
      </c>
      <c r="BL14" s="709">
        <f t="shared" ref="BL14:BO14" si="29">+SUM(BL10:BL13)</f>
        <v>3974.0556768382357</v>
      </c>
      <c r="BM14" s="708">
        <f t="shared" si="29"/>
        <v>4219.2397939314815</v>
      </c>
      <c r="BN14" s="708">
        <f t="shared" si="29"/>
        <v>4475.9943590156736</v>
      </c>
      <c r="BO14" s="710">
        <f t="shared" si="29"/>
        <v>4206.2221878130495</v>
      </c>
      <c r="BP14" s="711"/>
      <c r="BQ14" s="712"/>
      <c r="BR14" s="713"/>
      <c r="BS14" s="712">
        <f>SUM(L14:O14)</f>
        <v>13834</v>
      </c>
      <c r="BT14" s="714">
        <f>SUM(P14:S14)</f>
        <v>12501</v>
      </c>
      <c r="BU14" s="714">
        <f>SUM(T14:W14)</f>
        <v>10428</v>
      </c>
      <c r="BV14" s="714">
        <f>SUM(X14:AA14)</f>
        <v>13966</v>
      </c>
      <c r="BW14" s="714">
        <f>SUM(AB14:AE14)</f>
        <v>13736</v>
      </c>
      <c r="BX14" s="714">
        <f>SUM(AF14:AI14)</f>
        <v>12825</v>
      </c>
      <c r="BY14" s="714">
        <f>SUM(AJ14:AM14)</f>
        <v>12204.126198929191</v>
      </c>
      <c r="BZ14" s="714">
        <f>SUM(AN14:AQ14)</f>
        <v>13044.609140647808</v>
      </c>
      <c r="CA14" s="714">
        <f t="shared" ref="CA14:CF14" si="30">+SUM(CA10:CA13)</f>
        <v>13105.459975989668</v>
      </c>
      <c r="CB14" s="714">
        <f t="shared" si="30"/>
        <v>13368.72184938232</v>
      </c>
      <c r="CC14" s="714">
        <f t="shared" si="30"/>
        <v>14961.469811449137</v>
      </c>
      <c r="CD14" s="714">
        <f t="shared" si="30"/>
        <v>15884.862235591208</v>
      </c>
      <c r="CE14" s="714">
        <f t="shared" si="30"/>
        <v>16357.543821060894</v>
      </c>
      <c r="CF14" s="715">
        <f t="shared" si="30"/>
        <v>12707.945844706499</v>
      </c>
      <c r="CG14" s="1168"/>
      <c r="CH14" s="363"/>
      <c r="CI14"/>
      <c r="CJ14"/>
    </row>
    <row r="15" spans="1:88" ht="14.25" customHeight="1">
      <c r="A15" s="672"/>
      <c r="B15" s="705"/>
      <c r="C15" s="268"/>
      <c r="D15" s="685"/>
      <c r="E15" s="685"/>
      <c r="F15" s="685"/>
      <c r="G15" s="686"/>
      <c r="H15" s="685"/>
      <c r="I15" s="685"/>
      <c r="J15" s="685"/>
      <c r="K15" s="686"/>
      <c r="L15" s="687"/>
      <c r="M15" s="687"/>
      <c r="N15" s="687"/>
      <c r="O15" s="687"/>
      <c r="P15" s="688"/>
      <c r="Q15" s="687"/>
      <c r="R15" s="687"/>
      <c r="S15" s="689"/>
      <c r="T15" s="687"/>
      <c r="U15" s="687"/>
      <c r="V15" s="687"/>
      <c r="W15" s="689"/>
      <c r="X15" s="687"/>
      <c r="Y15" s="687"/>
      <c r="Z15" s="687"/>
      <c r="AA15" s="687"/>
      <c r="AB15" s="688"/>
      <c r="AC15" s="687"/>
      <c r="AD15" s="687"/>
      <c r="AE15" s="689"/>
      <c r="AF15" s="687"/>
      <c r="AG15" s="687"/>
      <c r="AH15" s="687"/>
      <c r="AI15" s="689"/>
      <c r="AJ15" s="471" t="s">
        <v>494</v>
      </c>
      <c r="AK15" s="687"/>
      <c r="AL15" s="687"/>
      <c r="AM15" s="689"/>
      <c r="AN15" s="716"/>
      <c r="AO15" s="687"/>
      <c r="AP15" s="687"/>
      <c r="AQ15" s="689"/>
      <c r="AR15" s="716"/>
      <c r="AS15" s="687"/>
      <c r="AT15" s="687"/>
      <c r="AU15" s="689"/>
      <c r="AV15" s="716"/>
      <c r="AW15" s="687"/>
      <c r="AX15" s="687"/>
      <c r="AY15" s="689"/>
      <c r="AZ15" s="687"/>
      <c r="BA15" s="687"/>
      <c r="BB15" s="687"/>
      <c r="BC15" s="689"/>
      <c r="BD15" s="687"/>
      <c r="BE15" s="687"/>
      <c r="BF15" s="687"/>
      <c r="BG15" s="689"/>
      <c r="BH15" s="688"/>
      <c r="BI15" s="687"/>
      <c r="BJ15" s="687"/>
      <c r="BK15" s="689"/>
      <c r="BL15" s="688"/>
      <c r="BM15" s="687"/>
      <c r="BN15" s="687"/>
      <c r="BO15" s="689"/>
      <c r="BP15" s="657"/>
      <c r="BQ15" s="273"/>
      <c r="BR15" s="690"/>
      <c r="BS15" s="273"/>
      <c r="BT15" s="273"/>
      <c r="BU15" s="273"/>
      <c r="BV15" s="273"/>
      <c r="BW15" s="273"/>
      <c r="BX15" s="273">
        <v>12825</v>
      </c>
      <c r="BY15" s="273">
        <v>12055.693744872606</v>
      </c>
      <c r="BZ15" s="273">
        <v>12803.473002964967</v>
      </c>
      <c r="CA15" s="273"/>
      <c r="CB15" s="273"/>
      <c r="CC15" s="273"/>
      <c r="CD15" s="273"/>
      <c r="CE15" s="273"/>
      <c r="CF15" s="717"/>
      <c r="CG15" s="658"/>
      <c r="CH15" s="363"/>
    </row>
    <row r="16" spans="1:88" ht="14.25" customHeight="1">
      <c r="A16" s="672"/>
      <c r="B16" s="705" t="s">
        <v>523</v>
      </c>
      <c r="C16" s="268"/>
      <c r="D16" s="685"/>
      <c r="E16" s="685"/>
      <c r="F16" s="685"/>
      <c r="G16" s="686"/>
      <c r="H16" s="685"/>
      <c r="I16" s="685"/>
      <c r="J16" s="685"/>
      <c r="K16" s="686"/>
      <c r="L16" s="687"/>
      <c r="M16" s="687"/>
      <c r="N16" s="687"/>
      <c r="O16" s="687"/>
      <c r="P16" s="688"/>
      <c r="Q16" s="687"/>
      <c r="R16" s="687"/>
      <c r="S16" s="689"/>
      <c r="T16" s="687"/>
      <c r="U16" s="687"/>
      <c r="V16" s="687"/>
      <c r="W16" s="689"/>
      <c r="X16" s="687"/>
      <c r="Y16" s="687"/>
      <c r="Z16" s="687"/>
      <c r="AA16" s="687"/>
      <c r="AB16" s="688"/>
      <c r="AC16" s="687"/>
      <c r="AD16" s="687"/>
      <c r="AE16" s="689"/>
      <c r="AF16" s="687"/>
      <c r="AG16" s="687"/>
      <c r="AH16" s="687"/>
      <c r="AI16" s="689"/>
      <c r="AJ16" s="688"/>
      <c r="AK16" s="687"/>
      <c r="AL16" s="687"/>
      <c r="AM16" s="689"/>
      <c r="AN16" s="687"/>
      <c r="AO16" s="687"/>
      <c r="AP16" s="687"/>
      <c r="AQ16" s="689"/>
      <c r="AR16" s="687"/>
      <c r="AS16" s="687"/>
      <c r="AT16" s="687"/>
      <c r="AU16" s="689"/>
      <c r="AV16" s="687"/>
      <c r="AW16" s="687"/>
      <c r="AX16" s="687"/>
      <c r="AY16" s="689"/>
      <c r="AZ16" s="687"/>
      <c r="BA16" s="687"/>
      <c r="BB16" s="687"/>
      <c r="BC16" s="689"/>
      <c r="BD16" s="687"/>
      <c r="BE16" s="687"/>
      <c r="BF16" s="687"/>
      <c r="BG16" s="689"/>
      <c r="BH16" s="688"/>
      <c r="BI16" s="687"/>
      <c r="BJ16" s="687"/>
      <c r="BK16" s="689"/>
      <c r="BL16" s="688"/>
      <c r="BM16" s="687"/>
      <c r="BN16" s="687"/>
      <c r="BO16" s="689"/>
      <c r="BP16" s="657"/>
      <c r="BQ16" s="273"/>
      <c r="BR16" s="690"/>
      <c r="BS16" s="273"/>
      <c r="BT16" s="273"/>
      <c r="BU16" s="273"/>
      <c r="BV16" s="273"/>
      <c r="BW16" s="273"/>
      <c r="BX16" s="273"/>
      <c r="BY16" s="273"/>
      <c r="BZ16" s="273"/>
      <c r="CA16" s="273"/>
      <c r="CB16" s="273"/>
      <c r="CC16" s="273"/>
      <c r="CD16" s="273"/>
      <c r="CE16" s="273"/>
      <c r="CF16" s="717"/>
      <c r="CG16" s="658"/>
      <c r="CH16" s="363"/>
    </row>
    <row r="17" spans="1:86" ht="14.25" customHeight="1">
      <c r="A17" s="718"/>
      <c r="B17" s="651" t="s">
        <v>312</v>
      </c>
      <c r="C17" s="719"/>
      <c r="D17" s="720"/>
      <c r="E17" s="720"/>
      <c r="F17" s="720"/>
      <c r="G17" s="721"/>
      <c r="H17" s="720"/>
      <c r="I17" s="720"/>
      <c r="J17" s="720"/>
      <c r="K17" s="721"/>
      <c r="L17" s="722"/>
      <c r="M17" s="76">
        <f>+M10/L10-1</f>
        <v>3.3747779751332141E-2</v>
      </c>
      <c r="N17" s="76">
        <f t="shared" ref="N17:AQ21" si="31">+N10/M10-1</f>
        <v>0.10652920962199319</v>
      </c>
      <c r="O17" s="76">
        <f t="shared" si="31"/>
        <v>0</v>
      </c>
      <c r="P17" s="522">
        <f t="shared" si="31"/>
        <v>-3.0279503105590022E-2</v>
      </c>
      <c r="Q17" s="76">
        <f t="shared" si="31"/>
        <v>1.601281024819845E-2</v>
      </c>
      <c r="R17" s="76">
        <f t="shared" si="31"/>
        <v>7.8802206461769941E-4</v>
      </c>
      <c r="S17" s="77">
        <f t="shared" si="31"/>
        <v>-0.21102362204724412</v>
      </c>
      <c r="T17" s="76">
        <f t="shared" si="31"/>
        <v>-0.19960079840319356</v>
      </c>
      <c r="U17" s="76">
        <f t="shared" si="31"/>
        <v>0.20947630922693272</v>
      </c>
      <c r="V17" s="76">
        <f t="shared" si="31"/>
        <v>0.20412371134020613</v>
      </c>
      <c r="W17" s="77">
        <f t="shared" si="31"/>
        <v>8.1335616438356073E-2</v>
      </c>
      <c r="X17" s="76">
        <f t="shared" si="31"/>
        <v>8.2343626286619065E-2</v>
      </c>
      <c r="Y17" s="76">
        <f t="shared" si="31"/>
        <v>0.10607168983174842</v>
      </c>
      <c r="Z17" s="76">
        <f t="shared" si="31"/>
        <v>4.5634920634920695E-2</v>
      </c>
      <c r="AA17" s="76">
        <f t="shared" si="31"/>
        <v>-3.9848197343453462E-2</v>
      </c>
      <c r="AB17" s="522">
        <f t="shared" si="31"/>
        <v>1.1857707509881354E-2</v>
      </c>
      <c r="AC17" s="76">
        <f t="shared" si="31"/>
        <v>3.3854166666666741E-2</v>
      </c>
      <c r="AD17" s="76">
        <f t="shared" si="31"/>
        <v>-1.9521410579345089E-2</v>
      </c>
      <c r="AE17" s="77">
        <f t="shared" si="31"/>
        <v>8.863198458574173E-2</v>
      </c>
      <c r="AF17" s="76">
        <f t="shared" si="31"/>
        <v>-5.3097345132743223E-3</v>
      </c>
      <c r="AG17" s="76">
        <f t="shared" si="31"/>
        <v>6.7615658362989217E-2</v>
      </c>
      <c r="AH17" s="76">
        <f t="shared" si="31"/>
        <v>2.3888888888888848E-2</v>
      </c>
      <c r="AI17" s="77">
        <f t="shared" si="31"/>
        <v>-9.4411285946825796E-2</v>
      </c>
      <c r="AJ17" s="522">
        <f t="shared" si="31"/>
        <v>-1.2582384661473989E-2</v>
      </c>
      <c r="AK17" s="76">
        <f t="shared" si="31"/>
        <v>5.885922330097082E-2</v>
      </c>
      <c r="AL17" s="76">
        <f t="shared" si="31"/>
        <v>0.10659025787965626</v>
      </c>
      <c r="AM17" s="77">
        <f t="shared" si="31"/>
        <v>-3.2042362025276994E-2</v>
      </c>
      <c r="AN17" s="76">
        <f t="shared" si="31"/>
        <v>-1.7187816931566791E-2</v>
      </c>
      <c r="AO17" s="76">
        <f t="shared" si="31"/>
        <v>8.6009798584648856E-2</v>
      </c>
      <c r="AP17" s="76">
        <f t="shared" si="31"/>
        <v>7.7192982456140369E-2</v>
      </c>
      <c r="AQ17" s="77">
        <f t="shared" si="31"/>
        <v>-1.2098650535132593E-2</v>
      </c>
      <c r="AR17" s="76">
        <f t="shared" ref="AR17:AU18" si="32">+AR10/AQ10-1</f>
        <v>-4.1450777202072575E-2</v>
      </c>
      <c r="AS17" s="76">
        <f t="shared" si="32"/>
        <v>6.8796068796068699E-3</v>
      </c>
      <c r="AT17" s="76">
        <f t="shared" si="32"/>
        <v>6.4909712054660895E-2</v>
      </c>
      <c r="AU17" s="77">
        <f t="shared" si="32"/>
        <v>-4.995417048579287E-2</v>
      </c>
      <c r="AV17" s="76">
        <f t="shared" ref="AV17:AV18" si="33">+AV10/AU10-1</f>
        <v>-9.3584177520501743E-2</v>
      </c>
      <c r="AW17" s="76">
        <f>+AW10/AV10-1</f>
        <v>8.7812666311867904E-2</v>
      </c>
      <c r="AX17" s="76">
        <f>+AX10/AW10-1</f>
        <v>0.13649706457925626</v>
      </c>
      <c r="AY17" s="77">
        <f t="shared" ref="AY17:AY18" si="34">+AY10/AX10-1</f>
        <v>-1.4205768402927199E-2</v>
      </c>
      <c r="AZ17" s="76">
        <f t="shared" ref="AZ17:BD18" si="35">+AZ10/AY10-1</f>
        <v>-1.4847161572052348E-2</v>
      </c>
      <c r="BA17" s="76">
        <f>+BA10/AZ10-1</f>
        <v>6.870567375886516E-2</v>
      </c>
      <c r="BB17" s="76">
        <f t="shared" si="35"/>
        <v>0.11903774367482378</v>
      </c>
      <c r="BC17" s="77">
        <f t="shared" si="35"/>
        <v>-6.041512231282431E-2</v>
      </c>
      <c r="BD17" s="76">
        <f t="shared" si="35"/>
        <v>1.2228796844181433E-2</v>
      </c>
      <c r="BE17" s="76">
        <f t="shared" ref="BE17:BE18" si="36">+BE10/BD10-1</f>
        <v>2.0000000000000018E-2</v>
      </c>
      <c r="BF17" s="76">
        <f t="shared" ref="BF17:BF18" si="37">+BF10/BE10-1</f>
        <v>7.0000000000000062E-2</v>
      </c>
      <c r="BG17" s="77">
        <f t="shared" ref="BG17:BG18" si="38">+BG10/BF10-1</f>
        <v>-3.5000000000000031E-2</v>
      </c>
      <c r="BH17" s="522">
        <f t="shared" ref="BH17:BH18" si="39">+BH10/BG10-1</f>
        <v>-4.500000000000004E-2</v>
      </c>
      <c r="BI17" s="76">
        <f t="shared" ref="BI17:BI18" si="40">+BI10/BH10-1</f>
        <v>4.0000000000000036E-2</v>
      </c>
      <c r="BJ17" s="76">
        <f t="shared" ref="BJ17:BJ18" si="41">+BJ10/BI10-1</f>
        <v>7.0000000000000062E-2</v>
      </c>
      <c r="BK17" s="77">
        <f t="shared" ref="BK17:BK18" si="42">+BK10/BJ10-1</f>
        <v>-4.0000000000000147E-2</v>
      </c>
      <c r="BL17" s="522">
        <f t="shared" ref="BL17:BL18" si="43">+BL10/BK10-1</f>
        <v>-4.5000000000000151E-2</v>
      </c>
      <c r="BM17" s="76">
        <f t="shared" ref="BM17:BM18" si="44">+BM10/BL10-1</f>
        <v>4.0000000000000036E-2</v>
      </c>
      <c r="BN17" s="76">
        <f t="shared" ref="BN17:BN18" si="45">+BN10/BM10-1</f>
        <v>7.0000000000000062E-2</v>
      </c>
      <c r="BO17" s="77">
        <f t="shared" ref="BO17:BO18" si="46">+BO10/BN10-1</f>
        <v>-4.0000000000000036E-2</v>
      </c>
      <c r="BP17" s="723"/>
      <c r="BQ17" s="724"/>
      <c r="BR17" s="725"/>
      <c r="BS17" s="724"/>
      <c r="BT17" s="724"/>
      <c r="BU17" s="724"/>
      <c r="BV17" s="724"/>
      <c r="BW17" s="724"/>
      <c r="BX17" s="724"/>
      <c r="BY17" s="724"/>
      <c r="BZ17" s="724"/>
      <c r="CA17" s="724"/>
      <c r="CB17" s="724"/>
      <c r="CC17" s="724"/>
      <c r="CD17" s="724"/>
      <c r="CE17" s="724"/>
      <c r="CF17" s="727"/>
      <c r="CG17" s="1169"/>
      <c r="CH17" s="363"/>
    </row>
    <row r="18" spans="1:86" ht="14.25" customHeight="1">
      <c r="A18" s="718"/>
      <c r="B18" s="651" t="s">
        <v>313</v>
      </c>
      <c r="C18" s="719"/>
      <c r="D18" s="720"/>
      <c r="E18" s="720"/>
      <c r="F18" s="720"/>
      <c r="G18" s="721"/>
      <c r="H18" s="720"/>
      <c r="I18" s="720"/>
      <c r="J18" s="720"/>
      <c r="K18" s="721"/>
      <c r="L18" s="722"/>
      <c r="M18" s="76">
        <f>+M11/L11-1</f>
        <v>2.9100529100529071E-2</v>
      </c>
      <c r="N18" s="76">
        <f t="shared" ref="N18:AB18" si="47">+N11/M11-1</f>
        <v>2.5706940874035134E-3</v>
      </c>
      <c r="O18" s="76">
        <f t="shared" si="47"/>
        <v>0.1051282051282052</v>
      </c>
      <c r="P18" s="522">
        <f t="shared" si="47"/>
        <v>-1.3921113689095099E-2</v>
      </c>
      <c r="Q18" s="76">
        <f t="shared" si="47"/>
        <v>3.2941176470588251E-2</v>
      </c>
      <c r="R18" s="76">
        <f t="shared" si="47"/>
        <v>-2.7334851936218652E-2</v>
      </c>
      <c r="S18" s="77">
        <f t="shared" si="47"/>
        <v>-0.20374707259953162</v>
      </c>
      <c r="T18" s="76">
        <f t="shared" si="47"/>
        <v>-7.0588235294117618E-2</v>
      </c>
      <c r="U18" s="76">
        <f t="shared" si="47"/>
        <v>0.10759493670886067</v>
      </c>
      <c r="V18" s="76">
        <f t="shared" si="47"/>
        <v>0.12285714285714278</v>
      </c>
      <c r="W18" s="77">
        <f t="shared" si="47"/>
        <v>4.8346055979643809E-2</v>
      </c>
      <c r="X18" s="76">
        <f t="shared" si="47"/>
        <v>6.7961165048543659E-2</v>
      </c>
      <c r="Y18" s="76">
        <f t="shared" si="47"/>
        <v>0.17272727272727262</v>
      </c>
      <c r="Z18" s="76">
        <f t="shared" si="47"/>
        <v>0.12209302325581395</v>
      </c>
      <c r="AA18" s="76">
        <f t="shared" si="47"/>
        <v>-7.0811744386873876E-2</v>
      </c>
      <c r="AB18" s="522">
        <f t="shared" si="47"/>
        <v>-9.2936802973977439E-3</v>
      </c>
      <c r="AC18" s="76">
        <f t="shared" si="31"/>
        <v>0.11819887429643527</v>
      </c>
      <c r="AD18" s="76">
        <f t="shared" si="31"/>
        <v>-9.563758389261745E-2</v>
      </c>
      <c r="AE18" s="77">
        <f t="shared" si="31"/>
        <v>-0.17996289424860856</v>
      </c>
      <c r="AF18" s="76">
        <f t="shared" si="31"/>
        <v>7.0135746606334815E-2</v>
      </c>
      <c r="AG18" s="76">
        <f t="shared" si="31"/>
        <v>7.6109936575052828E-2</v>
      </c>
      <c r="AH18" s="76">
        <f t="shared" si="31"/>
        <v>2.16110019646365E-2</v>
      </c>
      <c r="AI18" s="77">
        <f t="shared" si="31"/>
        <v>-9.8076923076923062E-2</v>
      </c>
      <c r="AJ18" s="522">
        <f t="shared" si="31"/>
        <v>0.19616204690831562</v>
      </c>
      <c r="AK18" s="76">
        <f t="shared" si="31"/>
        <v>0.10160427807486627</v>
      </c>
      <c r="AL18" s="76">
        <f t="shared" si="31"/>
        <v>8.0906148867313954E-2</v>
      </c>
      <c r="AM18" s="77">
        <f t="shared" si="31"/>
        <v>-9.5808383233532912E-2</v>
      </c>
      <c r="AN18" s="76">
        <f t="shared" si="31"/>
        <v>8.6092715231788075E-2</v>
      </c>
      <c r="AO18" s="76">
        <f t="shared" si="31"/>
        <v>7.1646341463414531E-2</v>
      </c>
      <c r="AP18" s="76">
        <f t="shared" si="31"/>
        <v>1.1379800853485111E-2</v>
      </c>
      <c r="AQ18" s="77">
        <f t="shared" si="31"/>
        <v>-5.7665260196905765E-2</v>
      </c>
      <c r="AR18" s="76">
        <f t="shared" si="32"/>
        <v>2.9850746268655914E-3</v>
      </c>
      <c r="AS18" s="76">
        <f t="shared" si="32"/>
        <v>2.6785714285714191E-2</v>
      </c>
      <c r="AT18" s="76">
        <f t="shared" si="32"/>
        <v>5.0724637681159424E-2</v>
      </c>
      <c r="AU18" s="77">
        <f t="shared" si="32"/>
        <v>-3.4482758620689613E-2</v>
      </c>
      <c r="AV18" s="76">
        <f t="shared" si="33"/>
        <v>4.142857142857137E-2</v>
      </c>
      <c r="AW18" s="76">
        <f>+AW11/AV11-1</f>
        <v>3.5665294924554169E-2</v>
      </c>
      <c r="AX18" s="76">
        <f>+AX11/AW11-1</f>
        <v>5.2980132450331174E-2</v>
      </c>
      <c r="AY18" s="77">
        <f t="shared" si="34"/>
        <v>-6.4150943396226401E-2</v>
      </c>
      <c r="AZ18" s="76">
        <f t="shared" si="35"/>
        <v>7.9301075268817245E-2</v>
      </c>
      <c r="BA18" s="76">
        <f>+BA11/AZ11-1</f>
        <v>8.094645080946461E-2</v>
      </c>
      <c r="BB18" s="76">
        <f t="shared" si="35"/>
        <v>7.2580645161290258E-2</v>
      </c>
      <c r="BC18" s="77">
        <f t="shared" si="35"/>
        <v>-3.7593984962406068E-2</v>
      </c>
      <c r="BD18" s="76">
        <f t="shared" si="35"/>
        <v>3.3482142857142794E-2</v>
      </c>
      <c r="BE18" s="76">
        <f t="shared" si="36"/>
        <v>2.4000000000000021E-2</v>
      </c>
      <c r="BF18" s="76">
        <f t="shared" si="37"/>
        <v>2.0000000000000018E-2</v>
      </c>
      <c r="BG18" s="77">
        <f t="shared" si="38"/>
        <v>-4.9999999999999933E-2</v>
      </c>
      <c r="BH18" s="522">
        <f t="shared" si="39"/>
        <v>2.0000000000000018E-2</v>
      </c>
      <c r="BI18" s="76">
        <f t="shared" si="40"/>
        <v>8.0000000000000071E-2</v>
      </c>
      <c r="BJ18" s="76">
        <f t="shared" si="41"/>
        <v>1.0000000000000009E-2</v>
      </c>
      <c r="BK18" s="77">
        <f t="shared" si="42"/>
        <v>-5.0000000000000044E-2</v>
      </c>
      <c r="BL18" s="522">
        <f t="shared" si="43"/>
        <v>2.0000000000000018E-2</v>
      </c>
      <c r="BM18" s="76">
        <f t="shared" si="44"/>
        <v>8.0000000000000071E-2</v>
      </c>
      <c r="BN18" s="76">
        <f t="shared" si="45"/>
        <v>1.0000000000000009E-2</v>
      </c>
      <c r="BO18" s="77">
        <f t="shared" si="46"/>
        <v>-5.0000000000000044E-2</v>
      </c>
      <c r="BP18" s="723"/>
      <c r="BQ18" s="724"/>
      <c r="BR18" s="725"/>
      <c r="BS18" s="724"/>
      <c r="BT18" s="724"/>
      <c r="BU18" s="724"/>
      <c r="BV18" s="724"/>
      <c r="BW18" s="724"/>
      <c r="BX18" s="724"/>
      <c r="BY18" s="724"/>
      <c r="BZ18" s="724"/>
      <c r="CA18" s="724"/>
      <c r="CB18" s="724"/>
      <c r="CC18" s="724"/>
      <c r="CD18" s="724"/>
      <c r="CE18" s="724"/>
      <c r="CF18" s="727"/>
      <c r="CG18" s="1169"/>
      <c r="CH18" s="363"/>
    </row>
    <row r="19" spans="1:86" ht="14.25" customHeight="1">
      <c r="A19" s="718"/>
      <c r="B19" s="651" t="s">
        <v>314</v>
      </c>
      <c r="C19" s="719"/>
      <c r="D19" s="720"/>
      <c r="E19" s="720"/>
      <c r="F19" s="720"/>
      <c r="G19" s="721"/>
      <c r="H19" s="720"/>
      <c r="I19" s="720"/>
      <c r="J19" s="720"/>
      <c r="K19" s="721"/>
      <c r="L19" s="722"/>
      <c r="M19" s="76">
        <f>+M12/L12-1</f>
        <v>7.024793388429762E-2</v>
      </c>
      <c r="N19" s="76">
        <f t="shared" si="31"/>
        <v>7.528957528957525E-2</v>
      </c>
      <c r="O19" s="76">
        <f t="shared" si="31"/>
        <v>2.1543985637342944E-2</v>
      </c>
      <c r="P19" s="522">
        <f t="shared" si="31"/>
        <v>-0.17662565905096661</v>
      </c>
      <c r="Q19" s="76">
        <f t="shared" si="31"/>
        <v>-1.8143009605122717E-2</v>
      </c>
      <c r="R19" s="76">
        <f t="shared" si="31"/>
        <v>1.5217391304347849E-2</v>
      </c>
      <c r="S19" s="77">
        <f t="shared" si="31"/>
        <v>-0.29443254817987152</v>
      </c>
      <c r="T19" s="76">
        <f t="shared" si="31"/>
        <v>-0.14567526555386945</v>
      </c>
      <c r="U19" s="76">
        <f t="shared" si="31"/>
        <v>9.0586145648312577E-2</v>
      </c>
      <c r="V19" s="76">
        <f t="shared" si="31"/>
        <v>0.12540716612377856</v>
      </c>
      <c r="W19" s="77">
        <f t="shared" si="31"/>
        <v>9.6960926193921937E-2</v>
      </c>
      <c r="X19" s="76">
        <f t="shared" si="31"/>
        <v>-5.4089709762533023E-2</v>
      </c>
      <c r="Y19" s="76">
        <f t="shared" si="31"/>
        <v>1.3947001394700065E-2</v>
      </c>
      <c r="Z19" s="76">
        <f t="shared" si="31"/>
        <v>5.502063273727642E-2</v>
      </c>
      <c r="AA19" s="76">
        <f t="shared" si="31"/>
        <v>0</v>
      </c>
      <c r="AB19" s="522">
        <f t="shared" si="31"/>
        <v>-0.14211212516297267</v>
      </c>
      <c r="AC19" s="76">
        <f t="shared" si="31"/>
        <v>-0.15197568389057747</v>
      </c>
      <c r="AD19" s="76">
        <f t="shared" si="31"/>
        <v>3.9426523297491078E-2</v>
      </c>
      <c r="AE19" s="77">
        <f t="shared" si="31"/>
        <v>0.24482758620689649</v>
      </c>
      <c r="AF19" s="76">
        <f t="shared" si="31"/>
        <v>-0.4833795013850416</v>
      </c>
      <c r="AG19" s="76">
        <f t="shared" si="31"/>
        <v>-8.3109919571045632E-2</v>
      </c>
      <c r="AH19" s="76">
        <f t="shared" si="31"/>
        <v>-4.9707602339181256E-2</v>
      </c>
      <c r="AI19" s="77">
        <f t="shared" si="31"/>
        <v>-2.4615384615384595E-2</v>
      </c>
      <c r="AJ19" s="522"/>
      <c r="AK19" s="76"/>
      <c r="AL19" s="76"/>
      <c r="AM19" s="77"/>
      <c r="AN19" s="76"/>
      <c r="AO19" s="76"/>
      <c r="AP19" s="76"/>
      <c r="AQ19" s="77"/>
      <c r="AR19" s="76"/>
      <c r="AS19" s="76"/>
      <c r="AT19" s="76"/>
      <c r="AU19" s="77"/>
      <c r="AV19" s="76"/>
      <c r="AW19" s="76"/>
      <c r="AX19" s="76"/>
      <c r="AY19" s="77"/>
      <c r="AZ19" s="76"/>
      <c r="BA19" s="76"/>
      <c r="BB19" s="76"/>
      <c r="BC19" s="77"/>
      <c r="BD19" s="76"/>
      <c r="BE19" s="76"/>
      <c r="BF19" s="76"/>
      <c r="BG19" s="77"/>
      <c r="BH19" s="522"/>
      <c r="BI19" s="76"/>
      <c r="BJ19" s="76"/>
      <c r="BK19" s="77"/>
      <c r="BL19" s="522"/>
      <c r="BM19" s="76"/>
      <c r="BN19" s="76"/>
      <c r="BO19" s="77"/>
      <c r="BP19" s="723"/>
      <c r="BQ19" s="724"/>
      <c r="BR19" s="725"/>
      <c r="BS19" s="724"/>
      <c r="BT19" s="724"/>
      <c r="BU19" s="724"/>
      <c r="BV19" s="724"/>
      <c r="BW19" s="724"/>
      <c r="BX19" s="724"/>
      <c r="BY19" s="724"/>
      <c r="BZ19" s="724"/>
      <c r="CA19" s="724"/>
      <c r="CB19" s="724"/>
      <c r="CC19" s="724"/>
      <c r="CD19" s="724"/>
      <c r="CE19" s="724"/>
      <c r="CF19" s="727"/>
      <c r="CG19" s="1169"/>
      <c r="CH19" s="363"/>
    </row>
    <row r="20" spans="1:86" ht="14.25" customHeight="1">
      <c r="A20" s="718"/>
      <c r="B20" s="728" t="s">
        <v>293</v>
      </c>
      <c r="C20" s="719"/>
      <c r="D20" s="720"/>
      <c r="E20" s="720"/>
      <c r="F20" s="720"/>
      <c r="G20" s="721"/>
      <c r="H20" s="720"/>
      <c r="I20" s="720"/>
      <c r="J20" s="720"/>
      <c r="K20" s="721"/>
      <c r="L20" s="722"/>
      <c r="M20" s="76">
        <f>+M13/L13-1</f>
        <v>0.16133518776077893</v>
      </c>
      <c r="N20" s="76">
        <f t="shared" si="31"/>
        <v>4.3113772455089849E-2</v>
      </c>
      <c r="O20" s="76">
        <f t="shared" si="31"/>
        <v>-0.1974741676234214</v>
      </c>
      <c r="P20" s="522">
        <f t="shared" si="31"/>
        <v>-5.436337625178822E-2</v>
      </c>
      <c r="Q20" s="76">
        <f t="shared" si="31"/>
        <v>9.3797276853252676E-2</v>
      </c>
      <c r="R20" s="76">
        <f t="shared" si="31"/>
        <v>4.5643153526971014E-2</v>
      </c>
      <c r="S20" s="77">
        <f t="shared" si="31"/>
        <v>-0.35185185185185186</v>
      </c>
      <c r="T20" s="76">
        <f t="shared" si="31"/>
        <v>-0.17346938775510201</v>
      </c>
      <c r="U20" s="76">
        <f t="shared" si="31"/>
        <v>0.29135802469135808</v>
      </c>
      <c r="V20" s="76">
        <f t="shared" si="31"/>
        <v>0.20076481835564053</v>
      </c>
      <c r="W20" s="77">
        <f t="shared" si="31"/>
        <v>-8.9171974522292974E-2</v>
      </c>
      <c r="X20" s="76">
        <f t="shared" si="31"/>
        <v>0.19055944055944063</v>
      </c>
      <c r="Y20" s="76">
        <f t="shared" si="31"/>
        <v>8.8105726872246715E-2</v>
      </c>
      <c r="Z20" s="76">
        <f t="shared" si="31"/>
        <v>9.7165991902834037E-2</v>
      </c>
      <c r="AA20" s="76">
        <f t="shared" si="31"/>
        <v>-0.13653136531365317</v>
      </c>
      <c r="AB20" s="522">
        <f t="shared" si="31"/>
        <v>-5.2706552706552667E-2</v>
      </c>
      <c r="AC20" s="76">
        <f t="shared" si="31"/>
        <v>7.6691729323308255E-2</v>
      </c>
      <c r="AD20" s="76">
        <f t="shared" si="31"/>
        <v>0.1033519553072626</v>
      </c>
      <c r="AE20" s="77">
        <f t="shared" si="31"/>
        <v>-0.28987341772151898</v>
      </c>
      <c r="AF20" s="76">
        <f t="shared" si="31"/>
        <v>4.9910873440285108E-2</v>
      </c>
      <c r="AG20" s="76">
        <f t="shared" si="31"/>
        <v>0.16129032258064524</v>
      </c>
      <c r="AH20" s="76">
        <f t="shared" si="31"/>
        <v>2.6315789473684292E-2</v>
      </c>
      <c r="AI20" s="77">
        <f t="shared" si="31"/>
        <v>-0.25356125356125359</v>
      </c>
      <c r="AJ20" s="522">
        <f t="shared" si="31"/>
        <v>0.29007633587786263</v>
      </c>
      <c r="AK20" s="76">
        <f t="shared" si="31"/>
        <v>1.1834319526627279E-2</v>
      </c>
      <c r="AL20" s="76">
        <f t="shared" si="31"/>
        <v>-5.7017543859649078E-2</v>
      </c>
      <c r="AM20" s="77">
        <f t="shared" si="31"/>
        <v>-0.13953488372093026</v>
      </c>
      <c r="AN20" s="76">
        <f t="shared" si="31"/>
        <v>-0.11802147200571333</v>
      </c>
      <c r="AO20" s="76">
        <f t="shared" si="31"/>
        <v>0.21291650916711768</v>
      </c>
      <c r="AP20" s="76">
        <f t="shared" si="31"/>
        <v>8.0291081301181899E-2</v>
      </c>
      <c r="AQ20" s="77">
        <f t="shared" si="31"/>
        <v>-0.25786270086643659</v>
      </c>
      <c r="AR20" s="76">
        <f t="shared" ref="AR20:AU21" si="48">+AR13/AQ13-1</f>
        <v>-6.9327731092436728E-2</v>
      </c>
      <c r="AS20" s="76">
        <f t="shared" si="48"/>
        <v>0.34072762622204178</v>
      </c>
      <c r="AT20" s="76">
        <f t="shared" si="48"/>
        <v>-0.11371009543406185</v>
      </c>
      <c r="AU20" s="77">
        <f t="shared" si="48"/>
        <v>-0.20952030977757397</v>
      </c>
      <c r="AV20" s="76">
        <f t="shared" ref="AV20:AV21" si="49">+AV13/AU13-1</f>
        <v>-3.9705115664631974E-2</v>
      </c>
      <c r="AW20" s="76">
        <f>+AW13/AV13-1</f>
        <v>0.1851894753874026</v>
      </c>
      <c r="AX20" s="76">
        <f>+AX13/AW13-1</f>
        <v>0.17528835093794459</v>
      </c>
      <c r="AY20" s="77">
        <f t="shared" ref="AY20:AY21" si="50">+AY13/AX13-1</f>
        <v>-0.31740782964546554</v>
      </c>
      <c r="AZ20" s="76">
        <f t="shared" ref="AZ20:BD21" si="51">+AZ13/AY13-1</f>
        <v>-9.687951005069162E-2</v>
      </c>
      <c r="BA20" s="76">
        <f>+BA13/AZ13-1</f>
        <v>0.20694208159142824</v>
      </c>
      <c r="BB20" s="76">
        <f t="shared" si="51"/>
        <v>0.17594740263739417</v>
      </c>
      <c r="BC20" s="77">
        <f t="shared" si="51"/>
        <v>-0.34454035445292575</v>
      </c>
      <c r="BD20" s="76">
        <f t="shared" si="51"/>
        <v>-7.009919582441182E-2</v>
      </c>
      <c r="BE20" s="76">
        <f t="shared" ref="BE20:BE21" si="52">+BE13/BD13-1</f>
        <v>0.27625001424427231</v>
      </c>
      <c r="BF20" s="76">
        <f t="shared" ref="BF20:BF21" si="53">+BF13/BE13-1</f>
        <v>0.13319592390842083</v>
      </c>
      <c r="BG20" s="77">
        <f t="shared" ref="BG20:BG21" si="54">+BG13/BF13-1</f>
        <v>-0.22360942338808165</v>
      </c>
      <c r="BH20" s="522">
        <f t="shared" ref="BH20:BH21" si="55">+BH13/BG13-1</f>
        <v>-2.3883389521303089E-3</v>
      </c>
      <c r="BI20" s="76">
        <f t="shared" ref="BI20:BI21" si="56">+BI13/BH13-1</f>
        <v>0.18215362267316948</v>
      </c>
      <c r="BJ20" s="76">
        <f t="shared" ref="BJ20:BJ21" si="57">+BJ13/BI13-1</f>
        <v>0.13568980233928651</v>
      </c>
      <c r="BK20" s="77">
        <f t="shared" ref="BK20:BK21" si="58">+BK13/BJ13-1</f>
        <v>-0.21935906744666445</v>
      </c>
      <c r="BL20" s="522">
        <f t="shared" ref="BL20:BL21" si="59">+BL13/BK13-1</f>
        <v>5.4194705327452741E-3</v>
      </c>
      <c r="BM20" s="76">
        <f t="shared" ref="BM20:BM21" si="60">+BM13/BL13-1</f>
        <v>0.17299498431720806</v>
      </c>
      <c r="BN20" s="76">
        <f t="shared" ref="BN20:BN21" si="61">+BN13/BM13-1</f>
        <v>0.13228858471308813</v>
      </c>
      <c r="BO20" s="77">
        <f t="shared" ref="BO20:BO21" si="62">+BO13/BN13-1</f>
        <v>-0.21175634313616554</v>
      </c>
      <c r="BP20" s="723"/>
      <c r="BQ20" s="724"/>
      <c r="BR20" s="725"/>
      <c r="BS20" s="724"/>
      <c r="BT20" s="724"/>
      <c r="BU20" s="724"/>
      <c r="BV20" s="724"/>
      <c r="BW20" s="724"/>
      <c r="BX20" s="724"/>
      <c r="BY20" s="724"/>
      <c r="BZ20" s="724"/>
      <c r="CA20" s="724"/>
      <c r="CB20" s="724"/>
      <c r="CC20" s="724"/>
      <c r="CD20" s="724"/>
      <c r="CE20" s="724"/>
      <c r="CF20" s="727"/>
      <c r="CG20" s="1169"/>
      <c r="CH20" s="363"/>
    </row>
    <row r="21" spans="1:86" ht="14.25" customHeight="1">
      <c r="A21" s="718"/>
      <c r="B21" s="729" t="s">
        <v>0</v>
      </c>
      <c r="C21" s="719"/>
      <c r="D21" s="720"/>
      <c r="E21" s="720"/>
      <c r="F21" s="720"/>
      <c r="G21" s="721"/>
      <c r="H21" s="720"/>
      <c r="I21" s="720"/>
      <c r="J21" s="720"/>
      <c r="K21" s="721"/>
      <c r="L21" s="722"/>
      <c r="M21" s="76">
        <f>+M14/L14-1</f>
        <v>7.3017862738953276E-2</v>
      </c>
      <c r="N21" s="76">
        <f t="shared" si="31"/>
        <v>6.9801401869158841E-2</v>
      </c>
      <c r="O21" s="76">
        <f t="shared" si="31"/>
        <v>-2.9211029211029249E-2</v>
      </c>
      <c r="P21" s="522">
        <f t="shared" si="31"/>
        <v>-7.9865016872890937E-2</v>
      </c>
      <c r="Q21" s="76">
        <f t="shared" si="31"/>
        <v>2.4144254278728683E-2</v>
      </c>
      <c r="R21" s="76">
        <f t="shared" si="31"/>
        <v>1.07430617726052E-2</v>
      </c>
      <c r="S21" s="77">
        <f t="shared" si="31"/>
        <v>-0.26454089164452321</v>
      </c>
      <c r="T21" s="76">
        <f t="shared" si="31"/>
        <v>-0.16258530710558006</v>
      </c>
      <c r="U21" s="76">
        <f t="shared" si="31"/>
        <v>0.17785234899328861</v>
      </c>
      <c r="V21" s="76">
        <f t="shared" si="31"/>
        <v>0.17216117216117222</v>
      </c>
      <c r="W21" s="77">
        <f t="shared" si="31"/>
        <v>4.3402777777777679E-2</v>
      </c>
      <c r="X21" s="76">
        <f t="shared" si="31"/>
        <v>6.6555740432612254E-2</v>
      </c>
      <c r="Y21" s="76">
        <f t="shared" si="31"/>
        <v>9.0795631825272949E-2</v>
      </c>
      <c r="Z21" s="76">
        <f t="shared" si="31"/>
        <v>6.9794050343249481E-2</v>
      </c>
      <c r="AA21" s="76">
        <f t="shared" si="31"/>
        <v>-5.7486631016042788E-2</v>
      </c>
      <c r="AB21" s="522">
        <f t="shared" si="31"/>
        <v>-3.7730496453900697E-2</v>
      </c>
      <c r="AC21" s="76">
        <f t="shared" si="31"/>
        <v>1.9457547169811296E-2</v>
      </c>
      <c r="AD21" s="76">
        <f t="shared" si="31"/>
        <v>2.3134759976866093E-3</v>
      </c>
      <c r="AE21" s="77">
        <f t="shared" si="31"/>
        <v>-1.3271783035199047E-2</v>
      </c>
      <c r="AF21" s="76">
        <f t="shared" si="31"/>
        <v>-8.7426900584795297E-2</v>
      </c>
      <c r="AG21" s="76">
        <f t="shared" si="31"/>
        <v>6.8567766741429059E-2</v>
      </c>
      <c r="AH21" s="76">
        <f t="shared" si="31"/>
        <v>1.6491754122938573E-2</v>
      </c>
      <c r="AI21" s="77">
        <f t="shared" si="31"/>
        <v>-0.12123893805309738</v>
      </c>
      <c r="AJ21" s="522">
        <f t="shared" si="31"/>
        <v>-3.1554212823095007E-2</v>
      </c>
      <c r="AK21" s="76">
        <f t="shared" si="31"/>
        <v>5.6152512998266957E-2</v>
      </c>
      <c r="AL21" s="76">
        <f t="shared" si="31"/>
        <v>6.4653757794552069E-2</v>
      </c>
      <c r="AM21" s="77">
        <f t="shared" si="31"/>
        <v>-6.6545561365847661E-2</v>
      </c>
      <c r="AN21" s="76">
        <f t="shared" si="31"/>
        <v>-1.5068102481493706E-2</v>
      </c>
      <c r="AO21" s="76">
        <f t="shared" si="31"/>
        <v>0.10367893439493603</v>
      </c>
      <c r="AP21" s="76">
        <f t="shared" si="31"/>
        <v>6.3696312526625887E-2</v>
      </c>
      <c r="AQ21" s="77">
        <f t="shared" si="31"/>
        <v>-6.6370984555512047E-2</v>
      </c>
      <c r="AR21" s="76">
        <f t="shared" si="48"/>
        <v>-3.6402569593147804E-2</v>
      </c>
      <c r="AS21" s="76">
        <f t="shared" si="48"/>
        <v>5.8076932830591899E-2</v>
      </c>
      <c r="AT21" s="76">
        <f t="shared" si="48"/>
        <v>3.0142363658196336E-2</v>
      </c>
      <c r="AU21" s="77">
        <f t="shared" si="48"/>
        <v>-7.115168536437233E-2</v>
      </c>
      <c r="AV21" s="76">
        <f t="shared" si="49"/>
        <v>-5.6919219459404036E-2</v>
      </c>
      <c r="AW21" s="76">
        <f>+AW14/AV14-1</f>
        <v>8.8110392229426404E-2</v>
      </c>
      <c r="AX21" s="76">
        <f>+AX14/AW14-1</f>
        <v>0.12284302313120055</v>
      </c>
      <c r="AY21" s="77">
        <f t="shared" si="50"/>
        <v>-7.0938496340180679E-2</v>
      </c>
      <c r="AZ21" s="76">
        <f t="shared" si="51"/>
        <v>-3.4587321855870101E-3</v>
      </c>
      <c r="BA21" s="76">
        <f>+BA14/AZ14-1</f>
        <v>8.5536898178552034E-2</v>
      </c>
      <c r="BB21" s="76">
        <f t="shared" si="51"/>
        <v>0.1145005331538349</v>
      </c>
      <c r="BC21" s="77">
        <f t="shared" si="51"/>
        <v>-8.8870542424337895E-2</v>
      </c>
      <c r="BD21" s="76">
        <f t="shared" si="51"/>
        <v>1.029908414980496E-2</v>
      </c>
      <c r="BE21" s="76">
        <f t="shared" si="52"/>
        <v>4.1053278913100177E-2</v>
      </c>
      <c r="BF21" s="76">
        <f t="shared" si="53"/>
        <v>6.4049623371678521E-2</v>
      </c>
      <c r="BG21" s="77">
        <f t="shared" si="54"/>
        <v>-5.7748622995152377E-2</v>
      </c>
      <c r="BH21" s="522">
        <f t="shared" si="55"/>
        <v>-2.6306452164209793E-2</v>
      </c>
      <c r="BI21" s="76">
        <f t="shared" si="56"/>
        <v>6.2010697089867728E-2</v>
      </c>
      <c r="BJ21" s="76">
        <f t="shared" si="57"/>
        <v>6.1463183254593101E-2</v>
      </c>
      <c r="BK21" s="77">
        <f t="shared" si="58"/>
        <v>-6.0800533592673678E-2</v>
      </c>
      <c r="BL21" s="522">
        <f t="shared" si="59"/>
        <v>-2.5205750252390913E-2</v>
      </c>
      <c r="BM21" s="76">
        <f t="shared" si="60"/>
        <v>6.1696195783626839E-2</v>
      </c>
      <c r="BN21" s="76">
        <f t="shared" si="61"/>
        <v>6.0853276330366857E-2</v>
      </c>
      <c r="BO21" s="77">
        <f t="shared" si="62"/>
        <v>-6.0270891686724615E-2</v>
      </c>
      <c r="BP21" s="723"/>
      <c r="BQ21" s="724"/>
      <c r="BR21" s="725"/>
      <c r="BS21" s="724"/>
      <c r="BT21" s="724"/>
      <c r="BU21" s="724"/>
      <c r="BV21" s="724"/>
      <c r="BW21" s="724"/>
      <c r="BX21" s="724"/>
      <c r="BY21" s="724"/>
      <c r="BZ21" s="724"/>
      <c r="CA21" s="724"/>
      <c r="CB21" s="724"/>
      <c r="CC21" s="724"/>
      <c r="CD21" s="724"/>
      <c r="CE21" s="724"/>
      <c r="CF21" s="727"/>
      <c r="CG21" s="1169"/>
      <c r="CH21" s="363"/>
    </row>
    <row r="22" spans="1:86" ht="14.25" customHeight="1">
      <c r="A22" s="672"/>
      <c r="B22" s="705"/>
      <c r="C22" s="268"/>
      <c r="D22" s="685"/>
      <c r="E22" s="685"/>
      <c r="F22" s="685"/>
      <c r="G22" s="686"/>
      <c r="H22" s="685"/>
      <c r="I22" s="685"/>
      <c r="J22" s="685"/>
      <c r="K22" s="686"/>
      <c r="L22" s="687"/>
      <c r="M22" s="687"/>
      <c r="N22" s="687"/>
      <c r="O22" s="687"/>
      <c r="P22" s="688"/>
      <c r="Q22" s="687"/>
      <c r="R22" s="687"/>
      <c r="S22" s="689"/>
      <c r="T22" s="687"/>
      <c r="U22" s="687"/>
      <c r="V22" s="687"/>
      <c r="W22" s="689"/>
      <c r="X22" s="687"/>
      <c r="Y22" s="687"/>
      <c r="Z22" s="687"/>
      <c r="AA22" s="687"/>
      <c r="AB22" s="688"/>
      <c r="AC22" s="687"/>
      <c r="AD22" s="687"/>
      <c r="AE22" s="689"/>
      <c r="AF22" s="687"/>
      <c r="AG22" s="687"/>
      <c r="AH22" s="687"/>
      <c r="AI22" s="689"/>
      <c r="AJ22" s="688"/>
      <c r="AK22" s="687"/>
      <c r="AL22" s="687"/>
      <c r="AM22" s="689"/>
      <c r="AN22" s="687"/>
      <c r="AO22" s="687"/>
      <c r="AP22" s="687"/>
      <c r="AQ22" s="689"/>
      <c r="AR22" s="687"/>
      <c r="AS22" s="687"/>
      <c r="AT22" s="687"/>
      <c r="AU22" s="689"/>
      <c r="AV22" s="687"/>
      <c r="AW22" s="687"/>
      <c r="AX22" s="687"/>
      <c r="AY22" s="689"/>
      <c r="AZ22" s="247"/>
      <c r="BA22" s="687"/>
      <c r="BB22" s="687"/>
      <c r="BC22" s="689"/>
      <c r="BD22" s="247"/>
      <c r="BE22" s="687"/>
      <c r="BF22" s="687"/>
      <c r="BG22" s="689"/>
      <c r="BH22" s="688"/>
      <c r="BI22" s="687"/>
      <c r="BJ22" s="687"/>
      <c r="BK22" s="689"/>
      <c r="BL22" s="688"/>
      <c r="BM22" s="687"/>
      <c r="BN22" s="687"/>
      <c r="BO22" s="689"/>
      <c r="BP22" s="657"/>
      <c r="BQ22" s="273"/>
      <c r="BR22" s="690"/>
      <c r="BS22" s="273"/>
      <c r="BT22" s="273"/>
      <c r="BU22" s="273"/>
      <c r="BV22" s="273"/>
      <c r="BW22" s="273"/>
      <c r="BX22" s="273"/>
      <c r="BY22" s="273"/>
      <c r="BZ22" s="273"/>
      <c r="CA22" s="273"/>
      <c r="CB22" s="273"/>
      <c r="CC22" s="273"/>
      <c r="CD22" s="273"/>
      <c r="CE22" s="273"/>
      <c r="CF22" s="717"/>
      <c r="CG22" s="658"/>
      <c r="CH22" s="363"/>
    </row>
    <row r="23" spans="1:86" ht="14.25" customHeight="1">
      <c r="A23" s="672"/>
      <c r="B23" s="705" t="s">
        <v>505</v>
      </c>
      <c r="C23" s="268"/>
      <c r="D23" s="685"/>
      <c r="E23" s="685"/>
      <c r="F23" s="685"/>
      <c r="G23" s="686"/>
      <c r="H23" s="685"/>
      <c r="I23" s="685"/>
      <c r="J23" s="685"/>
      <c r="K23" s="686"/>
      <c r="L23" s="687"/>
      <c r="M23" s="687"/>
      <c r="N23" s="687"/>
      <c r="O23" s="687"/>
      <c r="P23" s="688"/>
      <c r="Q23" s="687"/>
      <c r="R23" s="687"/>
      <c r="S23" s="689"/>
      <c r="T23" s="687"/>
      <c r="U23" s="687"/>
      <c r="V23" s="687"/>
      <c r="W23" s="689"/>
      <c r="X23" s="687"/>
      <c r="Y23" s="687"/>
      <c r="Z23" s="687"/>
      <c r="AA23" s="687"/>
      <c r="AB23" s="688"/>
      <c r="AC23" s="687"/>
      <c r="AD23" s="687"/>
      <c r="AE23" s="689"/>
      <c r="AF23" s="687"/>
      <c r="AG23" s="687"/>
      <c r="AH23" s="687"/>
      <c r="AI23" s="689"/>
      <c r="AJ23" s="688"/>
      <c r="AK23" s="687"/>
      <c r="AL23" s="687"/>
      <c r="AM23" s="689"/>
      <c r="AN23" s="687"/>
      <c r="AO23" s="687"/>
      <c r="AP23" s="687"/>
      <c r="AQ23" s="689"/>
      <c r="AR23" s="687"/>
      <c r="AS23" s="687"/>
      <c r="AT23" s="687"/>
      <c r="AU23" s="689"/>
      <c r="AV23" s="687"/>
      <c r="AW23" s="687"/>
      <c r="AX23" s="687"/>
      <c r="AY23" s="689"/>
      <c r="AZ23" s="687"/>
      <c r="BA23" s="687"/>
      <c r="BB23" s="687"/>
      <c r="BC23" s="689"/>
      <c r="BD23" s="687"/>
      <c r="BE23" s="687"/>
      <c r="BF23" s="687"/>
      <c r="BG23" s="689"/>
      <c r="BH23" s="688"/>
      <c r="BI23" s="687"/>
      <c r="BJ23" s="687"/>
      <c r="BK23" s="689"/>
      <c r="BL23" s="688"/>
      <c r="BM23" s="687"/>
      <c r="BN23" s="687"/>
      <c r="BO23" s="689"/>
      <c r="BP23" s="657"/>
      <c r="BQ23" s="273"/>
      <c r="BR23" s="690"/>
      <c r="BS23" s="273"/>
      <c r="BT23" s="273"/>
      <c r="BU23" s="273"/>
      <c r="BV23" s="273"/>
      <c r="BW23" s="273"/>
      <c r="BX23" s="273"/>
      <c r="BY23" s="273"/>
      <c r="BZ23" s="273"/>
      <c r="CA23" s="273"/>
      <c r="CB23" s="273"/>
      <c r="CC23" s="273"/>
      <c r="CD23" s="273"/>
      <c r="CE23" s="273"/>
      <c r="CF23" s="717"/>
      <c r="CG23" s="658"/>
      <c r="CH23" s="363"/>
    </row>
    <row r="24" spans="1:86" ht="14.25" customHeight="1">
      <c r="A24" s="730"/>
      <c r="B24" s="731" t="s">
        <v>312</v>
      </c>
      <c r="C24" s="732"/>
      <c r="D24" s="76"/>
      <c r="E24" s="76"/>
      <c r="F24" s="76"/>
      <c r="G24" s="77"/>
      <c r="H24" s="76"/>
      <c r="I24" s="76"/>
      <c r="J24" s="76"/>
      <c r="K24" s="77"/>
      <c r="L24" s="76"/>
      <c r="M24" s="76"/>
      <c r="N24" s="76"/>
      <c r="O24" s="76"/>
      <c r="P24" s="522">
        <f>+P10/L10-1</f>
        <v>0.10923623445825936</v>
      </c>
      <c r="Q24" s="76">
        <f t="shared" ref="Q24:AQ28" si="63">+Q10/M10-1</f>
        <v>9.0206185567010211E-2</v>
      </c>
      <c r="R24" s="76">
        <f t="shared" si="63"/>
        <v>-1.3975155279503104E-2</v>
      </c>
      <c r="S24" s="77">
        <f t="shared" si="63"/>
        <v>-0.22204968944099379</v>
      </c>
      <c r="T24" s="76">
        <f t="shared" si="63"/>
        <v>-0.35788630904723784</v>
      </c>
      <c r="U24" s="76">
        <f t="shared" si="63"/>
        <v>-0.23561859732072499</v>
      </c>
      <c r="V24" s="76">
        <f t="shared" si="63"/>
        <v>-8.0314960629921273E-2</v>
      </c>
      <c r="W24" s="77">
        <f t="shared" si="63"/>
        <v>0.26047904191616778</v>
      </c>
      <c r="X24" s="76">
        <f t="shared" si="63"/>
        <v>0.70448877805486276</v>
      </c>
      <c r="Y24" s="76">
        <f t="shared" si="63"/>
        <v>0.55876288659793816</v>
      </c>
      <c r="Z24" s="76">
        <f t="shared" si="63"/>
        <v>0.35359589041095885</v>
      </c>
      <c r="AA24" s="76">
        <f t="shared" si="63"/>
        <v>0.20190023752969122</v>
      </c>
      <c r="AB24" s="522">
        <f t="shared" si="63"/>
        <v>0.12362838332114112</v>
      </c>
      <c r="AC24" s="76">
        <f t="shared" si="63"/>
        <v>5.0264550264550234E-2</v>
      </c>
      <c r="AD24" s="76">
        <f t="shared" si="63"/>
        <v>-1.5180265654648917E-2</v>
      </c>
      <c r="AE24" s="77">
        <f t="shared" si="63"/>
        <v>0.11660079051383399</v>
      </c>
      <c r="AF24" s="76">
        <f t="shared" si="63"/>
        <v>9.765625E-2</v>
      </c>
      <c r="AG24" s="76">
        <f t="shared" si="63"/>
        <v>0.13350125944584379</v>
      </c>
      <c r="AH24" s="76">
        <f t="shared" si="63"/>
        <v>0.18368657675016054</v>
      </c>
      <c r="AI24" s="77">
        <f t="shared" si="63"/>
        <v>-1.5339233038348055E-2</v>
      </c>
      <c r="AJ24" s="522">
        <f t="shared" si="63"/>
        <v>-2.2538552787663146E-2</v>
      </c>
      <c r="AK24" s="76">
        <f t="shared" si="63"/>
        <v>-3.0555555555555558E-2</v>
      </c>
      <c r="AL24" s="76">
        <f t="shared" si="63"/>
        <v>4.77482365708084E-2</v>
      </c>
      <c r="AM24" s="77">
        <f t="shared" si="63"/>
        <v>0.1199078483697964</v>
      </c>
      <c r="AN24" s="76">
        <f t="shared" si="63"/>
        <v>0.11468446601941751</v>
      </c>
      <c r="AO24" s="76">
        <f t="shared" si="63"/>
        <v>0.14326647564469908</v>
      </c>
      <c r="AP24" s="76">
        <f t="shared" si="63"/>
        <v>0.11289487312273438</v>
      </c>
      <c r="AQ24" s="77">
        <f t="shared" si="63"/>
        <v>0.13582485827669233</v>
      </c>
      <c r="AR24" s="76">
        <f t="shared" ref="AR24:AU25" si="64">+AR10/AN10-1</f>
        <v>0.10778443113772451</v>
      </c>
      <c r="AS24" s="76">
        <f t="shared" si="64"/>
        <v>2.7067669172932352E-2</v>
      </c>
      <c r="AT24" s="76">
        <f t="shared" si="64"/>
        <v>1.5355979525360608E-2</v>
      </c>
      <c r="AU24" s="77">
        <f t="shared" si="64"/>
        <v>-2.3551577955723046E-2</v>
      </c>
      <c r="AV24" s="76">
        <f t="shared" ref="AV24:AV25" si="65">+AV10/AR10-1</f>
        <v>-7.6658476658476693E-2</v>
      </c>
      <c r="AW24" s="76">
        <f>+AW10/AS10-1</f>
        <v>-2.4402147388969953E-3</v>
      </c>
      <c r="AX24" s="76">
        <f>+AX10/AT10-1</f>
        <v>6.461961503208058E-2</v>
      </c>
      <c r="AY24" s="77">
        <f t="shared" ref="AY24:AY25" si="66">+AY10/AU10-1</f>
        <v>0.10467920887602511</v>
      </c>
      <c r="AZ24" s="76">
        <f t="shared" ref="AZ24:BD25" si="67">+AZ10/AV10-1</f>
        <v>0.20063863757317724</v>
      </c>
      <c r="BA24" s="76">
        <f>+BA10/AW10-1</f>
        <v>0.17954990215264188</v>
      </c>
      <c r="BB24" s="76">
        <f t="shared" si="67"/>
        <v>0.16142918639690063</v>
      </c>
      <c r="BC24" s="77">
        <f t="shared" si="67"/>
        <v>0.10698689956331875</v>
      </c>
      <c r="BD24" s="76">
        <f t="shared" si="67"/>
        <v>0.13741134751773054</v>
      </c>
      <c r="BE24" s="76">
        <f t="shared" ref="BE24:BE25" si="68">+BE10/BA10-1</f>
        <v>8.5574450435504046E-2</v>
      </c>
      <c r="BF24" s="76">
        <f t="shared" ref="BF24:BF25" si="69">+BF10/BB10-1</f>
        <v>3.8003113417346412E-2</v>
      </c>
      <c r="BG24" s="77">
        <f t="shared" ref="BG24:BG25" si="70">+BG10/BC10-1</f>
        <v>6.6080381065088956E-2</v>
      </c>
      <c r="BH24" s="522">
        <f t="shared" ref="BH24:BH25" si="71">+BH10/BD10-1</f>
        <v>5.8069550000001691E-3</v>
      </c>
      <c r="BI24" s="76">
        <f t="shared" ref="BI24:BI25" si="72">+BI10/BE10-1</f>
        <v>2.5528660000000203E-2</v>
      </c>
      <c r="BJ24" s="76">
        <f t="shared" ref="BJ24:BJ25" si="73">+BJ10/BF10-1</f>
        <v>2.5528659999999981E-2</v>
      </c>
      <c r="BK24" s="77">
        <f t="shared" ref="BK24:BK25" si="74">+BK10/BG10-1</f>
        <v>2.0215040000000073E-2</v>
      </c>
      <c r="BL24" s="522">
        <f t="shared" ref="BL24:BL25" si="75">+BL10/BH10-1</f>
        <v>2.0215039999999851E-2</v>
      </c>
      <c r="BM24" s="76">
        <f t="shared" ref="BM24:BM25" si="76">+BM10/BI10-1</f>
        <v>2.0215039999999851E-2</v>
      </c>
      <c r="BN24" s="76">
        <f t="shared" ref="BN24:BN25" si="77">+BN10/BJ10-1</f>
        <v>2.0215040000000073E-2</v>
      </c>
      <c r="BO24" s="77">
        <f t="shared" ref="BO24:BO25" si="78">+BO10/BK10-1</f>
        <v>2.0215040000000073E-2</v>
      </c>
      <c r="BP24" s="733"/>
      <c r="BQ24" s="231"/>
      <c r="BR24" s="278"/>
      <c r="BS24" s="231"/>
      <c r="BT24" s="231">
        <f>+BT10/BS10-1</f>
        <v>-1.5618577887381857E-2</v>
      </c>
      <c r="BU24" s="231">
        <f t="shared" ref="BU24:BZ24" si="79">+BU10/BT10-1</f>
        <v>-0.12254697286012528</v>
      </c>
      <c r="BV24" s="231">
        <f t="shared" si="79"/>
        <v>0.42231739233880572</v>
      </c>
      <c r="BW24" s="231">
        <f t="shared" si="79"/>
        <v>6.6577450652392178E-2</v>
      </c>
      <c r="BX24" s="231">
        <f t="shared" si="79"/>
        <v>9.7553324968632449E-2</v>
      </c>
      <c r="BY24" s="231">
        <f t="shared" si="79"/>
        <v>2.788313788642327E-2</v>
      </c>
      <c r="BZ24" s="231">
        <f t="shared" si="79"/>
        <v>0.1266311442174346</v>
      </c>
      <c r="CA24" s="231">
        <f t="shared" ref="CA24:CE25" si="80">+CA10/BZ10-1</f>
        <v>2.8998025666337579E-2</v>
      </c>
      <c r="CB24" s="231">
        <f t="shared" si="80"/>
        <v>2.3623935723707801E-2</v>
      </c>
      <c r="CC24" s="231">
        <f t="shared" si="80"/>
        <v>0.15979381443298979</v>
      </c>
      <c r="CD24" s="231">
        <f t="shared" si="80"/>
        <v>7.943092585858591E-2</v>
      </c>
      <c r="CE24" s="231">
        <f t="shared" si="80"/>
        <v>1.9449322532228308E-2</v>
      </c>
      <c r="CF24" s="276">
        <f>+CF10/CE10-1</f>
        <v>2.0215040000000073E-2</v>
      </c>
      <c r="CG24" s="1170"/>
      <c r="CH24" s="363"/>
    </row>
    <row r="25" spans="1:86" ht="14.25" customHeight="1">
      <c r="A25" s="730"/>
      <c r="B25" s="731" t="s">
        <v>313</v>
      </c>
      <c r="C25" s="732"/>
      <c r="D25" s="76"/>
      <c r="E25" s="76"/>
      <c r="F25" s="76"/>
      <c r="G25" s="77"/>
      <c r="H25" s="76"/>
      <c r="I25" s="76"/>
      <c r="J25" s="76"/>
      <c r="K25" s="77"/>
      <c r="L25" s="76"/>
      <c r="M25" s="76"/>
      <c r="N25" s="76"/>
      <c r="O25" s="76"/>
      <c r="P25" s="522">
        <f>+P11/L11-1</f>
        <v>0.12433862433862441</v>
      </c>
      <c r="Q25" s="76">
        <f t="shared" si="63"/>
        <v>0.12853470437017989</v>
      </c>
      <c r="R25" s="76">
        <f t="shared" si="63"/>
        <v>9.4871794871794979E-2</v>
      </c>
      <c r="S25" s="77">
        <f t="shared" si="63"/>
        <v>-0.21113689095127608</v>
      </c>
      <c r="T25" s="76">
        <f t="shared" si="63"/>
        <v>-0.25647058823529412</v>
      </c>
      <c r="U25" s="76">
        <f t="shared" si="63"/>
        <v>-0.20273348519362189</v>
      </c>
      <c r="V25" s="76">
        <f t="shared" si="63"/>
        <v>-7.9625292740046816E-2</v>
      </c>
      <c r="W25" s="77">
        <f t="shared" si="63"/>
        <v>0.21176470588235285</v>
      </c>
      <c r="X25" s="76">
        <f t="shared" si="63"/>
        <v>0.39240506329113933</v>
      </c>
      <c r="Y25" s="76">
        <f t="shared" si="63"/>
        <v>0.4742857142857142</v>
      </c>
      <c r="Z25" s="76">
        <f t="shared" si="63"/>
        <v>0.4732824427480915</v>
      </c>
      <c r="AA25" s="76">
        <f t="shared" si="63"/>
        <v>0.30582524271844669</v>
      </c>
      <c r="AB25" s="522">
        <f t="shared" si="63"/>
        <v>0.21136363636363642</v>
      </c>
      <c r="AC25" s="76">
        <f t="shared" si="63"/>
        <v>0.15503875968992253</v>
      </c>
      <c r="AD25" s="76">
        <f t="shared" si="63"/>
        <v>-6.9084628670120884E-2</v>
      </c>
      <c r="AE25" s="77">
        <f t="shared" si="63"/>
        <v>-0.17843866171003719</v>
      </c>
      <c r="AF25" s="76">
        <f t="shared" si="63"/>
        <v>-0.11257035647279545</v>
      </c>
      <c r="AG25" s="76">
        <f t="shared" si="63"/>
        <v>-0.14597315436241609</v>
      </c>
      <c r="AH25" s="76">
        <f t="shared" si="63"/>
        <v>-3.5250463821892342E-2</v>
      </c>
      <c r="AI25" s="77">
        <f t="shared" si="63"/>
        <v>6.1085972850678738E-2</v>
      </c>
      <c r="AJ25" s="522">
        <f t="shared" si="63"/>
        <v>0.18604651162790709</v>
      </c>
      <c r="AK25" s="76">
        <f t="shared" si="63"/>
        <v>0.21414538310412579</v>
      </c>
      <c r="AL25" s="76">
        <f t="shared" si="63"/>
        <v>0.28461538461538471</v>
      </c>
      <c r="AM25" s="77">
        <f t="shared" si="63"/>
        <v>0.28784648187633266</v>
      </c>
      <c r="AN25" s="76">
        <f t="shared" si="63"/>
        <v>0.1693404634581106</v>
      </c>
      <c r="AO25" s="76">
        <f t="shared" si="63"/>
        <v>0.13754045307443374</v>
      </c>
      <c r="AP25" s="76">
        <f t="shared" si="63"/>
        <v>6.437125748502992E-2</v>
      </c>
      <c r="AQ25" s="77">
        <f t="shared" si="63"/>
        <v>0.10927152317880795</v>
      </c>
      <c r="AR25" s="76">
        <f t="shared" si="64"/>
        <v>2.4390243902439046E-2</v>
      </c>
      <c r="AS25" s="76">
        <f t="shared" si="64"/>
        <v>-1.849217638691325E-2</v>
      </c>
      <c r="AT25" s="76">
        <f t="shared" si="64"/>
        <v>1.9690576652601877E-2</v>
      </c>
      <c r="AU25" s="77">
        <f t="shared" si="64"/>
        <v>4.4776119402984982E-2</v>
      </c>
      <c r="AV25" s="76">
        <f t="shared" si="65"/>
        <v>8.4821428571428603E-2</v>
      </c>
      <c r="AW25" s="76">
        <f>+AW11/AS11-1</f>
        <v>9.4202898550724612E-2</v>
      </c>
      <c r="AX25" s="76">
        <f>+AX11/AT11-1</f>
        <v>9.6551724137931005E-2</v>
      </c>
      <c r="AY25" s="77">
        <f t="shared" si="66"/>
        <v>6.2857142857142945E-2</v>
      </c>
      <c r="AZ25" s="76">
        <f t="shared" si="67"/>
        <v>0.10150891632373105</v>
      </c>
      <c r="BA25" s="76">
        <f>+BA11/AW11-1</f>
        <v>0.14966887417218544</v>
      </c>
      <c r="BB25" s="76">
        <f t="shared" si="67"/>
        <v>0.17106918238993707</v>
      </c>
      <c r="BC25" s="77">
        <f t="shared" si="67"/>
        <v>0.20430107526881724</v>
      </c>
      <c r="BD25" s="76">
        <f t="shared" si="67"/>
        <v>0.15317559153175586</v>
      </c>
      <c r="BE25" s="76">
        <f t="shared" si="68"/>
        <v>9.2423963133640541E-2</v>
      </c>
      <c r="BF25" s="76">
        <f t="shared" si="69"/>
        <v>3.8870547798066646E-2</v>
      </c>
      <c r="BG25" s="77">
        <f t="shared" si="70"/>
        <v>2.5478857142857247E-2</v>
      </c>
      <c r="BH25" s="522">
        <f t="shared" si="71"/>
        <v>1.2101120000000076E-2</v>
      </c>
      <c r="BI25" s="76">
        <f t="shared" si="72"/>
        <v>6.7450400000000021E-2</v>
      </c>
      <c r="BJ25" s="76">
        <f t="shared" si="73"/>
        <v>5.6985199999999958E-2</v>
      </c>
      <c r="BK25" s="77">
        <f t="shared" si="74"/>
        <v>5.6985199999999958E-2</v>
      </c>
      <c r="BL25" s="522">
        <f t="shared" si="75"/>
        <v>5.6985199999999958E-2</v>
      </c>
      <c r="BM25" s="76">
        <f t="shared" si="76"/>
        <v>5.6985199999999958E-2</v>
      </c>
      <c r="BN25" s="76">
        <f t="shared" si="77"/>
        <v>5.6985199999999958E-2</v>
      </c>
      <c r="BO25" s="77">
        <f t="shared" si="78"/>
        <v>5.6985199999999958E-2</v>
      </c>
      <c r="BP25" s="733"/>
      <c r="BQ25" s="231"/>
      <c r="BR25" s="278"/>
      <c r="BS25" s="231"/>
      <c r="BT25" s="231">
        <f t="shared" ref="BT25:BZ28" si="81">+BT11/BS11-1</f>
        <v>2.7078085642317395E-2</v>
      </c>
      <c r="BU25" s="231">
        <f t="shared" si="81"/>
        <v>-9.8099325567136741E-2</v>
      </c>
      <c r="BV25" s="231">
        <f t="shared" si="81"/>
        <v>0.40924541128484027</v>
      </c>
      <c r="BW25" s="231">
        <f t="shared" si="81"/>
        <v>1.7848528702363753E-2</v>
      </c>
      <c r="BX25" s="231">
        <f t="shared" si="81"/>
        <v>-6.5876777251184793E-2</v>
      </c>
      <c r="BY25" s="231">
        <f t="shared" si="81"/>
        <v>0.24353120243531201</v>
      </c>
      <c r="BZ25" s="231">
        <f t="shared" si="81"/>
        <v>0.11791105671154622</v>
      </c>
      <c r="CA25" s="231">
        <f t="shared" si="80"/>
        <v>1.7153284671532765E-2</v>
      </c>
      <c r="CB25" s="231">
        <f t="shared" si="80"/>
        <v>8.467886616433451E-2</v>
      </c>
      <c r="CC25" s="231">
        <f t="shared" si="80"/>
        <v>0.15712868011908698</v>
      </c>
      <c r="CD25" s="231">
        <f t="shared" si="80"/>
        <v>7.4968992567181258E-2</v>
      </c>
      <c r="CE25" s="231">
        <f t="shared" si="80"/>
        <v>4.857103192800527E-2</v>
      </c>
      <c r="CF25" s="276">
        <f>+CF11/CE11-1</f>
        <v>-1</v>
      </c>
      <c r="CG25" s="1170"/>
      <c r="CH25" s="363"/>
    </row>
    <row r="26" spans="1:86" ht="14.25" customHeight="1">
      <c r="A26" s="730"/>
      <c r="B26" s="731" t="s">
        <v>314</v>
      </c>
      <c r="C26" s="732"/>
      <c r="D26" s="76"/>
      <c r="E26" s="76"/>
      <c r="F26" s="76"/>
      <c r="G26" s="77"/>
      <c r="H26" s="76"/>
      <c r="I26" s="76"/>
      <c r="J26" s="76"/>
      <c r="K26" s="77"/>
      <c r="L26" s="76"/>
      <c r="M26" s="76"/>
      <c r="N26" s="76"/>
      <c r="O26" s="76"/>
      <c r="P26" s="522">
        <f>+P12/L12-1</f>
        <v>-3.2024793388429784E-2</v>
      </c>
      <c r="Q26" s="76">
        <f t="shared" si="63"/>
        <v>-0.11196911196911197</v>
      </c>
      <c r="R26" s="76">
        <f t="shared" si="63"/>
        <v>-0.16157989228007186</v>
      </c>
      <c r="S26" s="77">
        <f t="shared" si="63"/>
        <v>-0.42091388400702989</v>
      </c>
      <c r="T26" s="76">
        <f t="shared" si="63"/>
        <v>-0.39914621131270012</v>
      </c>
      <c r="U26" s="76">
        <f t="shared" si="63"/>
        <v>-0.33260869565217388</v>
      </c>
      <c r="V26" s="76">
        <f t="shared" si="63"/>
        <v>-0.26017130620985007</v>
      </c>
      <c r="W26" s="77">
        <f t="shared" si="63"/>
        <v>0.15022761760242798</v>
      </c>
      <c r="X26" s="76">
        <f t="shared" si="63"/>
        <v>0.27353463587921856</v>
      </c>
      <c r="Y26" s="76">
        <f t="shared" si="63"/>
        <v>0.18403908794788282</v>
      </c>
      <c r="Z26" s="76">
        <f t="shared" si="63"/>
        <v>0.1099855282199711</v>
      </c>
      <c r="AA26" s="76">
        <f t="shared" si="63"/>
        <v>1.1873350923482739E-2</v>
      </c>
      <c r="AB26" s="522">
        <f t="shared" si="63"/>
        <v>-8.2287308228730871E-2</v>
      </c>
      <c r="AC26" s="76">
        <f t="shared" si="63"/>
        <v>-0.23246217331499308</v>
      </c>
      <c r="AD26" s="76">
        <f t="shared" si="63"/>
        <v>-0.24380704041720991</v>
      </c>
      <c r="AE26" s="77">
        <f t="shared" si="63"/>
        <v>-5.8670143415906151E-2</v>
      </c>
      <c r="AF26" s="76">
        <f t="shared" si="63"/>
        <v>-0.43313069908814594</v>
      </c>
      <c r="AG26" s="76">
        <f t="shared" si="63"/>
        <v>-0.38709677419354838</v>
      </c>
      <c r="AH26" s="76">
        <f t="shared" si="63"/>
        <v>-0.43965517241379315</v>
      </c>
      <c r="AI26" s="77">
        <f t="shared" si="63"/>
        <v>-0.56094182825484762</v>
      </c>
      <c r="AJ26" s="522"/>
      <c r="AK26" s="76"/>
      <c r="AL26" s="76"/>
      <c r="AM26" s="77"/>
      <c r="AN26" s="76"/>
      <c r="AO26" s="76"/>
      <c r="AP26" s="76"/>
      <c r="AQ26" s="77"/>
      <c r="AR26" s="76"/>
      <c r="AS26" s="76"/>
      <c r="AT26" s="76"/>
      <c r="AU26" s="77"/>
      <c r="AV26" s="76"/>
      <c r="AW26" s="76"/>
      <c r="AX26" s="76"/>
      <c r="AY26" s="77"/>
      <c r="AZ26" s="76"/>
      <c r="BA26" s="76"/>
      <c r="BB26" s="76"/>
      <c r="BC26" s="77"/>
      <c r="BD26" s="76"/>
      <c r="BE26" s="76"/>
      <c r="BF26" s="76"/>
      <c r="BG26" s="77"/>
      <c r="BH26" s="522"/>
      <c r="BI26" s="76"/>
      <c r="BJ26" s="76"/>
      <c r="BK26" s="77"/>
      <c r="BL26" s="522"/>
      <c r="BM26" s="76"/>
      <c r="BN26" s="76"/>
      <c r="BO26" s="77"/>
      <c r="BP26" s="733"/>
      <c r="BQ26" s="231"/>
      <c r="BR26" s="278"/>
      <c r="BS26" s="231"/>
      <c r="BT26" s="231">
        <f t="shared" si="81"/>
        <v>-0.18937969924812026</v>
      </c>
      <c r="BU26" s="231">
        <f t="shared" si="81"/>
        <v>-0.23884057971014494</v>
      </c>
      <c r="BV26" s="231">
        <f t="shared" si="81"/>
        <v>0.13404417364813415</v>
      </c>
      <c r="BW26" s="231">
        <f t="shared" si="81"/>
        <v>-0.15446608462055067</v>
      </c>
      <c r="BX26" s="231">
        <f t="shared" si="81"/>
        <v>-0.46108022239872914</v>
      </c>
      <c r="BY26" s="231">
        <f t="shared" si="81"/>
        <v>-1</v>
      </c>
      <c r="BZ26" s="231"/>
      <c r="CA26" s="231"/>
      <c r="CB26" s="231"/>
      <c r="CC26" s="231"/>
      <c r="CD26" s="231"/>
      <c r="CE26" s="231"/>
      <c r="CF26" s="276"/>
      <c r="CG26" s="1170"/>
      <c r="CH26" s="363"/>
    </row>
    <row r="27" spans="1:86" ht="14.25" customHeight="1">
      <c r="A27" s="730"/>
      <c r="B27" s="735" t="s">
        <v>293</v>
      </c>
      <c r="C27" s="732"/>
      <c r="D27" s="76"/>
      <c r="E27" s="76"/>
      <c r="F27" s="76"/>
      <c r="G27" s="77"/>
      <c r="H27" s="76"/>
      <c r="I27" s="76"/>
      <c r="J27" s="76"/>
      <c r="K27" s="77"/>
      <c r="L27" s="76"/>
      <c r="M27" s="76"/>
      <c r="N27" s="76"/>
      <c r="O27" s="76"/>
      <c r="P27" s="522">
        <f>+P13/L13-1</f>
        <v>-8.0667593880389465E-2</v>
      </c>
      <c r="Q27" s="76">
        <f t="shared" si="63"/>
        <v>-0.1341317365269461</v>
      </c>
      <c r="R27" s="76">
        <f t="shared" si="63"/>
        <v>-0.13203214695752008</v>
      </c>
      <c r="S27" s="77">
        <f t="shared" si="63"/>
        <v>-0.29899856938483549</v>
      </c>
      <c r="T27" s="76">
        <f t="shared" si="63"/>
        <v>-0.38729198184568836</v>
      </c>
      <c r="U27" s="76">
        <f t="shared" si="63"/>
        <v>-0.27662517289073307</v>
      </c>
      <c r="V27" s="76">
        <f t="shared" si="63"/>
        <v>-0.1693121693121693</v>
      </c>
      <c r="W27" s="77">
        <f t="shared" si="63"/>
        <v>0.16734693877551021</v>
      </c>
      <c r="X27" s="76">
        <f t="shared" si="63"/>
        <v>0.68148148148148158</v>
      </c>
      <c r="Y27" s="76">
        <f t="shared" si="63"/>
        <v>0.41682600382409185</v>
      </c>
      <c r="Z27" s="76">
        <f t="shared" si="63"/>
        <v>0.29458598726114649</v>
      </c>
      <c r="AA27" s="76">
        <f t="shared" si="63"/>
        <v>0.22727272727272729</v>
      </c>
      <c r="AB27" s="522">
        <f t="shared" si="63"/>
        <v>-2.3494860499265746E-2</v>
      </c>
      <c r="AC27" s="76">
        <f t="shared" si="63"/>
        <v>-3.373819163292846E-2</v>
      </c>
      <c r="AD27" s="76">
        <f t="shared" si="63"/>
        <v>-2.8290282902828978E-2</v>
      </c>
      <c r="AE27" s="77">
        <f t="shared" si="63"/>
        <v>-0.20085470085470081</v>
      </c>
      <c r="AF27" s="76">
        <f t="shared" si="63"/>
        <v>-0.11428571428571432</v>
      </c>
      <c r="AG27" s="76">
        <f t="shared" si="63"/>
        <v>-4.4692737430167551E-2</v>
      </c>
      <c r="AH27" s="76">
        <f t="shared" si="63"/>
        <v>-0.11139240506329118</v>
      </c>
      <c r="AI27" s="77">
        <f t="shared" si="63"/>
        <v>-6.5953654188948274E-2</v>
      </c>
      <c r="AJ27" s="522">
        <f t="shared" si="63"/>
        <v>0.14770797962648552</v>
      </c>
      <c r="AK27" s="76">
        <f t="shared" si="63"/>
        <v>0</v>
      </c>
      <c r="AL27" s="76">
        <f t="shared" si="63"/>
        <v>-8.1196581196581241E-2</v>
      </c>
      <c r="AM27" s="77">
        <f t="shared" si="63"/>
        <v>5.9160305343511466E-2</v>
      </c>
      <c r="AN27" s="76">
        <f t="shared" si="63"/>
        <v>-0.27589040970883272</v>
      </c>
      <c r="AO27" s="76">
        <f t="shared" si="63"/>
        <v>-0.13198785654820666</v>
      </c>
      <c r="AP27" s="76">
        <f t="shared" si="63"/>
        <v>-5.5957341241045233E-3</v>
      </c>
      <c r="AQ27" s="77">
        <f t="shared" si="63"/>
        <v>-0.14234234234234244</v>
      </c>
      <c r="AR27" s="76">
        <f t="shared" ref="AR27:AU28" si="82">+AR13/AN13-1</f>
        <v>-9.4991348583750357E-2</v>
      </c>
      <c r="AS27" s="76">
        <f t="shared" si="82"/>
        <v>3.739678313996464E-4</v>
      </c>
      <c r="AT27" s="76">
        <f t="shared" si="82"/>
        <v>-0.1792755084012837</v>
      </c>
      <c r="AU27" s="77">
        <f t="shared" si="82"/>
        <v>-0.12581399340211286</v>
      </c>
      <c r="AV27" s="76">
        <f t="shared" ref="AV27:AV28" si="83">+AV13/AR13-1</f>
        <v>-9.7989294256177972E-2</v>
      </c>
      <c r="AW27" s="76">
        <f>+AW13/AS13-1</f>
        <v>-0.20263178424482453</v>
      </c>
      <c r="AX27" s="76">
        <f>+AX13/AT13-1</f>
        <v>5.7371375390082857E-2</v>
      </c>
      <c r="AY27" s="77">
        <f t="shared" ref="AY27:AY28" si="84">+AY13/AU13-1</f>
        <v>-8.6942484511919438E-2</v>
      </c>
      <c r="AZ27" s="76">
        <f t="shared" ref="AZ27:BD28" si="85">+AZ13/AV13-1</f>
        <v>-0.14130444284287735</v>
      </c>
      <c r="BA27" s="76">
        <f>+BA13/AW13-1</f>
        <v>-0.12554420644870934</v>
      </c>
      <c r="BB27" s="76">
        <f t="shared" si="85"/>
        <v>-0.12505384884721216</v>
      </c>
      <c r="BC27" s="77">
        <f t="shared" si="85"/>
        <v>-0.15983229955668132</v>
      </c>
      <c r="BD27" s="76">
        <f t="shared" si="85"/>
        <v>-0.13491873013705069</v>
      </c>
      <c r="BE27" s="76">
        <f t="shared" ref="BE27:BE28" si="86">+BE13/BA13-1</f>
        <v>-8.5241951685643191E-2</v>
      </c>
      <c r="BF27" s="76">
        <f t="shared" ref="BF27:BF28" si="87">+BF13/BB13-1</f>
        <v>-0.11849791122682607</v>
      </c>
      <c r="BG27" s="77">
        <f t="shared" ref="BG27:BG28" si="88">+BG13/BC13-1</f>
        <v>4.4137376933394812E-2</v>
      </c>
      <c r="BH27" s="522">
        <f t="shared" ref="BH27:BH28" si="89">+BH13/BD13-1</f>
        <v>0.12016638579871763</v>
      </c>
      <c r="BI27" s="76">
        <f t="shared" ref="BI27:BI28" si="90">+BI13/BE13-1</f>
        <v>3.7577854016943357E-2</v>
      </c>
      <c r="BJ27" s="76">
        <f t="shared" ref="BJ27:BJ28" si="91">+BJ13/BF13-1</f>
        <v>3.9861301191331355E-2</v>
      </c>
      <c r="BK27" s="77">
        <f t="shared" ref="BK27:BK28" si="92">+BK13/BG13-1</f>
        <v>4.5554029558869891E-2</v>
      </c>
      <c r="BL27" s="522">
        <f t="shared" ref="BL27:BL28" si="93">+BL13/BH13-1</f>
        <v>5.3737060078345777E-2</v>
      </c>
      <c r="BM27" s="76">
        <f t="shared" ref="BM27:BM28" si="94">+BM13/BI13-1</f>
        <v>4.557331852189006E-2</v>
      </c>
      <c r="BN27" s="76">
        <f t="shared" ref="BN27:BN28" si="95">+BN13/BJ13-1</f>
        <v>4.2441986010922417E-2</v>
      </c>
      <c r="BO27" s="77">
        <f t="shared" ref="BO27:BO28" si="96">+BO13/BK13-1</f>
        <v>5.25944116637862E-2</v>
      </c>
      <c r="BP27" s="733"/>
      <c r="BQ27" s="231"/>
      <c r="BR27" s="278"/>
      <c r="BS27" s="231"/>
      <c r="BT27" s="231">
        <f t="shared" si="81"/>
        <v>-0.15813060179257366</v>
      </c>
      <c r="BU27" s="231">
        <f t="shared" si="81"/>
        <v>-0.19087452471482891</v>
      </c>
      <c r="BV27" s="231">
        <f t="shared" si="81"/>
        <v>0.38016917293233088</v>
      </c>
      <c r="BW27" s="231">
        <f t="shared" si="81"/>
        <v>-6.9799114742934987E-2</v>
      </c>
      <c r="BX27" s="231">
        <f t="shared" si="81"/>
        <v>-8.5285505124450989E-2</v>
      </c>
      <c r="BY27" s="231">
        <f t="shared" si="81"/>
        <v>2.4409763905562265E-2</v>
      </c>
      <c r="BZ27" s="231">
        <f t="shared" si="81"/>
        <v>-0.14038705443444999</v>
      </c>
      <c r="CA27" s="231">
        <f t="shared" ref="CA27:CE28" si="97">+CA13/BZ13-1</f>
        <v>-0.10049452243620061</v>
      </c>
      <c r="CB27" s="231">
        <f t="shared" si="97"/>
        <v>-8.574971389481334E-2</v>
      </c>
      <c r="CC27" s="231">
        <f t="shared" si="97"/>
        <v>-0.13607176042950064</v>
      </c>
      <c r="CD27" s="231">
        <f t="shared" si="97"/>
        <v>-8.0088068820381553E-2</v>
      </c>
      <c r="CE27" s="231">
        <f t="shared" si="97"/>
        <v>5.7152742847502491E-2</v>
      </c>
      <c r="CF27" s="276">
        <f>+CF13/CE13-1</f>
        <v>4.8048458482378598E-2</v>
      </c>
      <c r="CG27" s="1170"/>
      <c r="CH27" s="363"/>
    </row>
    <row r="28" spans="1:86" ht="14.25" customHeight="1">
      <c r="A28" s="730"/>
      <c r="B28" s="736" t="s">
        <v>501</v>
      </c>
      <c r="C28" s="732"/>
      <c r="D28" s="76"/>
      <c r="E28" s="76"/>
      <c r="F28" s="76"/>
      <c r="G28" s="77"/>
      <c r="H28" s="76"/>
      <c r="I28" s="76"/>
      <c r="J28" s="76"/>
      <c r="K28" s="77"/>
      <c r="L28" s="76"/>
      <c r="M28" s="76"/>
      <c r="N28" s="76"/>
      <c r="O28" s="76"/>
      <c r="P28" s="522">
        <f>+P14/L14-1</f>
        <v>2.5383892196803481E-2</v>
      </c>
      <c r="Q28" s="76">
        <f t="shared" si="63"/>
        <v>-2.1320093457943945E-2</v>
      </c>
      <c r="R28" s="76">
        <f t="shared" si="63"/>
        <v>-7.5348075348075305E-2</v>
      </c>
      <c r="S28" s="77">
        <f t="shared" si="63"/>
        <v>-0.29949381327334079</v>
      </c>
      <c r="T28" s="76">
        <f t="shared" si="63"/>
        <v>-0.3624694376528117</v>
      </c>
      <c r="U28" s="76">
        <f t="shared" si="63"/>
        <v>-0.26678603401969558</v>
      </c>
      <c r="V28" s="76">
        <f t="shared" si="63"/>
        <v>-0.14968999114260406</v>
      </c>
      <c r="W28" s="77">
        <f t="shared" si="63"/>
        <v>0.20634283420313126</v>
      </c>
      <c r="X28" s="76">
        <f t="shared" si="63"/>
        <v>0.5364333652924258</v>
      </c>
      <c r="Y28" s="76">
        <f t="shared" si="63"/>
        <v>0.42287342287342278</v>
      </c>
      <c r="Z28" s="76">
        <f t="shared" si="63"/>
        <v>0.29861111111111116</v>
      </c>
      <c r="AA28" s="76">
        <f t="shared" si="63"/>
        <v>0.17304492512479208</v>
      </c>
      <c r="AB28" s="522">
        <f t="shared" si="63"/>
        <v>5.8346333853354082E-2</v>
      </c>
      <c r="AC28" s="76">
        <f t="shared" si="63"/>
        <v>-1.0869565217391353E-2</v>
      </c>
      <c r="AD28" s="76">
        <f t="shared" si="63"/>
        <v>-7.3262032085561479E-2</v>
      </c>
      <c r="AE28" s="77">
        <f t="shared" si="63"/>
        <v>-2.9787234042553234E-2</v>
      </c>
      <c r="AF28" s="76">
        <f t="shared" si="63"/>
        <v>-7.989386792452835E-2</v>
      </c>
      <c r="AG28" s="76">
        <f t="shared" si="63"/>
        <v>-3.5569693464430285E-2</v>
      </c>
      <c r="AH28" s="76">
        <f t="shared" si="63"/>
        <v>-2.1927293710328866E-2</v>
      </c>
      <c r="AI28" s="77">
        <f t="shared" si="63"/>
        <v>-0.12894736842105259</v>
      </c>
      <c r="AJ28" s="522">
        <f t="shared" si="63"/>
        <v>-7.5616789490547953E-2</v>
      </c>
      <c r="AK28" s="76">
        <f t="shared" si="63"/>
        <v>-8.6356821589205435E-2</v>
      </c>
      <c r="AL28" s="76">
        <f t="shared" si="63"/>
        <v>-4.3067846607669602E-2</v>
      </c>
      <c r="AM28" s="77">
        <f t="shared" si="63"/>
        <v>1.6490835491503875E-2</v>
      </c>
      <c r="AN28" s="76">
        <f t="shared" si="63"/>
        <v>3.379482947550394E-2</v>
      </c>
      <c r="AO28" s="76">
        <f t="shared" si="63"/>
        <v>8.0315164463743649E-2</v>
      </c>
      <c r="AP28" s="76">
        <f t="shared" si="63"/>
        <v>7.934363486126772E-2</v>
      </c>
      <c r="AQ28" s="77">
        <f t="shared" si="63"/>
        <v>7.9545496206858246E-2</v>
      </c>
      <c r="AR28" s="76">
        <f t="shared" si="82"/>
        <v>5.6161617643897266E-2</v>
      </c>
      <c r="AS28" s="76">
        <f t="shared" si="82"/>
        <v>1.2522944983717199E-2</v>
      </c>
      <c r="AT28" s="76">
        <f t="shared" si="82"/>
        <v>-1.9416756906755483E-2</v>
      </c>
      <c r="AU28" s="77">
        <f t="shared" si="82"/>
        <v>-2.4437889525667167E-2</v>
      </c>
      <c r="AV28" s="76">
        <f t="shared" si="83"/>
        <v>-4.5209288049360863E-2</v>
      </c>
      <c r="AW28" s="76">
        <f>+AW14/AS14-1</f>
        <v>-1.8107602725742744E-2</v>
      </c>
      <c r="AX28" s="76">
        <f>+AX14/AT14-1</f>
        <v>7.0251129008790825E-2</v>
      </c>
      <c r="AY28" s="77">
        <f t="shared" si="84"/>
        <v>7.0496772770251237E-2</v>
      </c>
      <c r="AZ28" s="76">
        <f t="shared" si="85"/>
        <v>0.13118009945679576</v>
      </c>
      <c r="BA28" s="76">
        <f>+BA14/AW14-1</f>
        <v>0.1285047410766087</v>
      </c>
      <c r="BB28" s="76">
        <f t="shared" si="85"/>
        <v>0.12012018571321703</v>
      </c>
      <c r="BC28" s="77">
        <f t="shared" si="85"/>
        <v>9.8500468707529265E-2</v>
      </c>
      <c r="BD28" s="76">
        <f t="shared" si="85"/>
        <v>0.11366588952945422</v>
      </c>
      <c r="BE28" s="76">
        <f t="shared" si="86"/>
        <v>6.8029587804590674E-2</v>
      </c>
      <c r="BF28" s="76">
        <f t="shared" si="87"/>
        <v>1.9682312252802925E-2</v>
      </c>
      <c r="BG28" s="77">
        <f t="shared" si="88"/>
        <v>5.4512127600598426E-2</v>
      </c>
      <c r="BH28" s="522">
        <f t="shared" si="89"/>
        <v>1.6304647671091521E-2</v>
      </c>
      <c r="BI28" s="76">
        <f t="shared" si="90"/>
        <v>3.6763851755701626E-2</v>
      </c>
      <c r="BJ28" s="76">
        <f t="shared" si="91"/>
        <v>3.4243736566310412E-2</v>
      </c>
      <c r="BK28" s="77">
        <f t="shared" si="92"/>
        <v>3.089386677882322E-2</v>
      </c>
      <c r="BL28" s="522">
        <f t="shared" si="93"/>
        <v>3.2059230206123113E-2</v>
      </c>
      <c r="BM28" s="76">
        <f t="shared" si="94"/>
        <v>3.1753598655605675E-2</v>
      </c>
      <c r="BN28" s="76">
        <f t="shared" si="95"/>
        <v>3.1160762583810842E-2</v>
      </c>
      <c r="BO28" s="77">
        <f t="shared" si="96"/>
        <v>3.174226414036907E-2</v>
      </c>
      <c r="BP28" s="733"/>
      <c r="BQ28" s="231"/>
      <c r="BR28" s="278"/>
      <c r="BS28" s="231"/>
      <c r="BT28" s="231">
        <f t="shared" si="81"/>
        <v>-9.6356802081827397E-2</v>
      </c>
      <c r="BU28" s="231">
        <f t="shared" si="81"/>
        <v>-0.1658267338612911</v>
      </c>
      <c r="BV28" s="231">
        <f t="shared" si="81"/>
        <v>0.3392788645953202</v>
      </c>
      <c r="BW28" s="231">
        <f t="shared" si="81"/>
        <v>-1.6468566518688221E-2</v>
      </c>
      <c r="BX28" s="231">
        <f t="shared" si="81"/>
        <v>-6.6322073383809022E-2</v>
      </c>
      <c r="BY28" s="231">
        <f t="shared" si="81"/>
        <v>-4.8411212559127392E-2</v>
      </c>
      <c r="BZ28" s="231">
        <f t="shared" si="81"/>
        <v>6.8868752094055186E-2</v>
      </c>
      <c r="CA28" s="231">
        <f t="shared" si="97"/>
        <v>4.6648262654529482E-3</v>
      </c>
      <c r="CB28" s="231">
        <f t="shared" si="97"/>
        <v>2.0087953713564533E-2</v>
      </c>
      <c r="CC28" s="231">
        <f t="shared" si="97"/>
        <v>0.11913988337938286</v>
      </c>
      <c r="CD28" s="231">
        <f t="shared" si="97"/>
        <v>6.1718028761816868E-2</v>
      </c>
      <c r="CE28" s="231">
        <f t="shared" si="97"/>
        <v>2.9756731815439252E-2</v>
      </c>
      <c r="CF28" s="276">
        <f>+CF14/CE14-1</f>
        <v>-0.22311405772640591</v>
      </c>
      <c r="CG28" s="1170"/>
      <c r="CH28" s="363"/>
    </row>
    <row r="29" spans="1:86" ht="14.25" customHeight="1">
      <c r="A29" s="718"/>
      <c r="B29" s="729"/>
      <c r="C29" s="719"/>
      <c r="D29" s="720"/>
      <c r="E29" s="720"/>
      <c r="F29" s="720"/>
      <c r="G29" s="721"/>
      <c r="H29" s="720"/>
      <c r="I29" s="720"/>
      <c r="J29" s="720"/>
      <c r="K29" s="721"/>
      <c r="L29" s="722"/>
      <c r="M29" s="722"/>
      <c r="N29" s="722"/>
      <c r="O29" s="722"/>
      <c r="P29" s="522"/>
      <c r="Q29" s="76"/>
      <c r="R29" s="76"/>
      <c r="S29" s="77"/>
      <c r="T29" s="76"/>
      <c r="U29" s="76"/>
      <c r="V29" s="76"/>
      <c r="W29" s="77"/>
      <c r="X29" s="76"/>
      <c r="Y29" s="76"/>
      <c r="Z29" s="76"/>
      <c r="AA29" s="76"/>
      <c r="AB29" s="522"/>
      <c r="AC29" s="76"/>
      <c r="AD29" s="76"/>
      <c r="AE29" s="77"/>
      <c r="AF29" s="76"/>
      <c r="AG29" s="76"/>
      <c r="AH29" s="76"/>
      <c r="AI29" s="77"/>
      <c r="AJ29" s="522"/>
      <c r="AK29" s="76"/>
      <c r="AL29" s="76"/>
      <c r="AM29" s="77"/>
      <c r="AN29" s="76"/>
      <c r="AO29" s="76"/>
      <c r="AP29" s="76"/>
      <c r="AQ29" s="77"/>
      <c r="AR29" s="76"/>
      <c r="AS29" s="76"/>
      <c r="AT29" s="76"/>
      <c r="AU29" s="77"/>
      <c r="AV29" s="76"/>
      <c r="AW29" s="76"/>
      <c r="AX29" s="76"/>
      <c r="AY29" s="77"/>
      <c r="AZ29" s="76"/>
      <c r="BA29" s="76"/>
      <c r="BB29" s="76"/>
      <c r="BC29" s="77"/>
      <c r="BD29" s="76"/>
      <c r="BE29" s="76"/>
      <c r="BF29" s="76"/>
      <c r="BG29" s="77"/>
      <c r="BH29" s="522"/>
      <c r="BI29" s="76"/>
      <c r="BJ29" s="76"/>
      <c r="BK29" s="77"/>
      <c r="BL29" s="522"/>
      <c r="BM29" s="76"/>
      <c r="BN29" s="76"/>
      <c r="BO29" s="77"/>
      <c r="BP29" s="723"/>
      <c r="BQ29" s="724"/>
      <c r="BR29" s="725"/>
      <c r="BS29" s="724"/>
      <c r="BT29" s="724"/>
      <c r="BU29" s="724"/>
      <c r="BV29" s="724"/>
      <c r="BW29" s="724"/>
      <c r="BX29" s="724"/>
      <c r="BY29" s="724"/>
      <c r="BZ29" s="724"/>
      <c r="CA29" s="724"/>
      <c r="CB29" s="724"/>
      <c r="CC29" s="724"/>
      <c r="CD29" s="724"/>
      <c r="CE29" s="724"/>
      <c r="CF29" s="727"/>
      <c r="CG29" s="1169"/>
      <c r="CH29" s="363"/>
    </row>
    <row r="30" spans="1:86" ht="14.25" customHeight="1">
      <c r="A30" s="672"/>
      <c r="B30" s="705" t="s">
        <v>2</v>
      </c>
      <c r="C30" s="268"/>
      <c r="D30" s="685"/>
      <c r="E30" s="685"/>
      <c r="F30" s="685"/>
      <c r="G30" s="686"/>
      <c r="H30" s="685"/>
      <c r="I30" s="685"/>
      <c r="J30" s="685"/>
      <c r="K30" s="686"/>
      <c r="L30" s="687"/>
      <c r="M30" s="687"/>
      <c r="N30" s="687"/>
      <c r="O30" s="687"/>
      <c r="P30" s="688"/>
      <c r="Q30" s="687"/>
      <c r="R30" s="687"/>
      <c r="S30" s="689"/>
      <c r="T30" s="687"/>
      <c r="U30" s="687"/>
      <c r="V30" s="687"/>
      <c r="W30" s="689"/>
      <c r="X30" s="687"/>
      <c r="Y30" s="687"/>
      <c r="Z30" s="687"/>
      <c r="AA30" s="687"/>
      <c r="AB30" s="688"/>
      <c r="AC30" s="687"/>
      <c r="AD30" s="687"/>
      <c r="AE30" s="689"/>
      <c r="AF30" s="687"/>
      <c r="AG30" s="687"/>
      <c r="AH30" s="687"/>
      <c r="AI30" s="689"/>
      <c r="AJ30" s="688"/>
      <c r="AK30" s="687"/>
      <c r="AL30" s="687"/>
      <c r="AM30" s="689"/>
      <c r="AN30" s="687"/>
      <c r="AO30" s="687"/>
      <c r="AP30" s="687"/>
      <c r="AQ30" s="689"/>
      <c r="AR30" s="687"/>
      <c r="AS30" s="687"/>
      <c r="AT30" s="687"/>
      <c r="AU30" s="689"/>
      <c r="AV30" s="687"/>
      <c r="AW30" s="687"/>
      <c r="AX30" s="687"/>
      <c r="AY30" s="689"/>
      <c r="AZ30" s="687"/>
      <c r="BA30" s="687"/>
      <c r="BB30" s="687"/>
      <c r="BC30" s="689"/>
      <c r="BD30" s="687"/>
      <c r="BE30" s="687"/>
      <c r="BF30" s="687"/>
      <c r="BG30" s="689"/>
      <c r="BH30" s="688"/>
      <c r="BI30" s="687"/>
      <c r="BJ30" s="687"/>
      <c r="BK30" s="689"/>
      <c r="BL30" s="688"/>
      <c r="BM30" s="687"/>
      <c r="BN30" s="687"/>
      <c r="BO30" s="689"/>
      <c r="BP30" s="657"/>
      <c r="BQ30" s="273"/>
      <c r="BR30" s="690"/>
      <c r="BS30" s="273"/>
      <c r="BT30" s="273"/>
      <c r="BU30" s="273"/>
      <c r="BV30" s="273"/>
      <c r="BW30" s="273"/>
      <c r="BX30" s="273"/>
      <c r="BY30" s="273"/>
      <c r="BZ30" s="273"/>
      <c r="CA30" s="273"/>
      <c r="CB30" s="273"/>
      <c r="CC30" s="273"/>
      <c r="CD30" s="273"/>
      <c r="CE30" s="273"/>
      <c r="CF30" s="717"/>
      <c r="CG30" s="658"/>
      <c r="CH30" s="363"/>
    </row>
    <row r="31" spans="1:86" ht="14.25" customHeight="1">
      <c r="A31" s="730"/>
      <c r="B31" s="731" t="s">
        <v>312</v>
      </c>
      <c r="C31" s="732"/>
      <c r="D31" s="76"/>
      <c r="E31" s="76"/>
      <c r="F31" s="76"/>
      <c r="G31" s="77"/>
      <c r="H31" s="76"/>
      <c r="I31" s="76"/>
      <c r="J31" s="76"/>
      <c r="K31" s="77"/>
      <c r="L31" s="76">
        <f>+L10/L$14</f>
        <v>0.35286743967408335</v>
      </c>
      <c r="M31" s="76">
        <f t="shared" ref="M31:AQ35" si="98">+M10/M$14</f>
        <v>0.33995327102803741</v>
      </c>
      <c r="N31" s="76">
        <f t="shared" si="98"/>
        <v>0.35162435162435163</v>
      </c>
      <c r="O31" s="76">
        <f t="shared" si="98"/>
        <v>0.36220472440944884</v>
      </c>
      <c r="P31" s="522">
        <f t="shared" si="98"/>
        <v>0.38172371638141811</v>
      </c>
      <c r="Q31" s="76">
        <f t="shared" si="98"/>
        <v>0.37869292748433303</v>
      </c>
      <c r="R31" s="76">
        <f t="shared" si="98"/>
        <v>0.37496309418364332</v>
      </c>
      <c r="S31" s="77">
        <f t="shared" si="98"/>
        <v>0.40224809313528703</v>
      </c>
      <c r="T31" s="76">
        <f t="shared" si="98"/>
        <v>0.38446788111217639</v>
      </c>
      <c r="U31" s="76">
        <f t="shared" si="98"/>
        <v>0.39479039479039479</v>
      </c>
      <c r="V31" s="76">
        <f t="shared" si="98"/>
        <v>0.40555555555555556</v>
      </c>
      <c r="W31" s="77">
        <f t="shared" si="98"/>
        <v>0.42029950083194678</v>
      </c>
      <c r="X31" s="76">
        <f t="shared" si="98"/>
        <v>0.42652106084243369</v>
      </c>
      <c r="Y31" s="76">
        <f t="shared" si="98"/>
        <v>0.43249427917620137</v>
      </c>
      <c r="Z31" s="76">
        <f t="shared" si="98"/>
        <v>0.42272727272727273</v>
      </c>
      <c r="AA31" s="76">
        <f t="shared" si="98"/>
        <v>0.43063829787234043</v>
      </c>
      <c r="AB31" s="522">
        <f t="shared" si="98"/>
        <v>0.45283018867924529</v>
      </c>
      <c r="AC31" s="76">
        <f t="shared" si="98"/>
        <v>0.45922498554077501</v>
      </c>
      <c r="AD31" s="76">
        <f t="shared" si="98"/>
        <v>0.44922100403923831</v>
      </c>
      <c r="AE31" s="77">
        <f t="shared" si="98"/>
        <v>0.49561403508771928</v>
      </c>
      <c r="AF31" s="76">
        <f t="shared" si="98"/>
        <v>0.54021147068247355</v>
      </c>
      <c r="AG31" s="76">
        <f t="shared" si="98"/>
        <v>0.53973013493253374</v>
      </c>
      <c r="AH31" s="76">
        <f t="shared" si="98"/>
        <v>0.54365781710914451</v>
      </c>
      <c r="AI31" s="77">
        <f t="shared" si="98"/>
        <v>0.56025511916750592</v>
      </c>
      <c r="AJ31" s="522">
        <f t="shared" si="98"/>
        <v>0.57123050259965336</v>
      </c>
      <c r="AK31" s="76">
        <f t="shared" si="98"/>
        <v>0.57269445356087956</v>
      </c>
      <c r="AL31" s="76">
        <f t="shared" si="98"/>
        <v>0.595252774352651</v>
      </c>
      <c r="AM31" s="77">
        <f t="shared" si="98"/>
        <v>0.61725505350145349</v>
      </c>
      <c r="AN31" s="76">
        <f t="shared" si="98"/>
        <v>0.61592663225772681</v>
      </c>
      <c r="AO31" s="76">
        <f t="shared" si="98"/>
        <v>0.60606607319894512</v>
      </c>
      <c r="AP31" s="76">
        <f t="shared" si="98"/>
        <v>0.61375611936072327</v>
      </c>
      <c r="AQ31" s="77">
        <f t="shared" si="98"/>
        <v>0.64943407769960237</v>
      </c>
      <c r="AR31" s="76">
        <f t="shared" ref="AR31:AU35" si="99">+AR10/AR$14</f>
        <v>0.64603174603174607</v>
      </c>
      <c r="AS31" s="76">
        <f t="shared" si="99"/>
        <v>0.61477211183124603</v>
      </c>
      <c r="AT31" s="76">
        <f t="shared" si="99"/>
        <v>0.63552069663904365</v>
      </c>
      <c r="AU31" s="77">
        <f t="shared" si="99"/>
        <v>0.65002409747466439</v>
      </c>
      <c r="AV31" s="76">
        <f t="shared" ref="AV31:AY35" si="100">+AV10/AV$14</f>
        <v>0.62475255471355573</v>
      </c>
      <c r="AW31" s="76">
        <f t="shared" si="100"/>
        <v>0.6245816115547298</v>
      </c>
      <c r="AX31" s="76">
        <f t="shared" si="100"/>
        <v>0.63217667429830016</v>
      </c>
      <c r="AY31" s="77">
        <f t="shared" si="100"/>
        <v>0.67078026203706764</v>
      </c>
      <c r="AZ31" s="76">
        <f t="shared" ref="AZ31:BC35" si="101">+AZ10/AZ$14</f>
        <v>0.66311461496878532</v>
      </c>
      <c r="BA31" s="76">
        <f t="shared" si="101"/>
        <v>0.65283303824924577</v>
      </c>
      <c r="BB31" s="76">
        <f t="shared" si="101"/>
        <v>0.65549076773566572</v>
      </c>
      <c r="BC31" s="77">
        <f t="shared" si="101"/>
        <v>0.67596235387532033</v>
      </c>
      <c r="BD31" s="76">
        <f t="shared" ref="BD31" si="102">+BD10/BD$14</f>
        <v>0.67725346969998867</v>
      </c>
      <c r="BE31" s="76">
        <f t="shared" ref="BE31:BG31" si="103">+BE10/BE$14</f>
        <v>0.66355733475543999</v>
      </c>
      <c r="BF31" s="76">
        <f t="shared" si="103"/>
        <v>0.6672680790379939</v>
      </c>
      <c r="BG31" s="77">
        <f t="shared" si="103"/>
        <v>0.68337782462943686</v>
      </c>
      <c r="BH31" s="522">
        <f t="shared" ref="BH31:BK31" si="104">+BH10/BH$14</f>
        <v>0.67025793071309847</v>
      </c>
      <c r="BI31" s="76">
        <f t="shared" si="104"/>
        <v>0.65636650351238057</v>
      </c>
      <c r="BJ31" s="76">
        <f t="shared" si="104"/>
        <v>0.66164533055669528</v>
      </c>
      <c r="BK31" s="77">
        <f t="shared" si="104"/>
        <v>0.67629884817135644</v>
      </c>
      <c r="BL31" s="522">
        <f t="shared" ref="BL31:BO31" si="105">+BL10/BL$14</f>
        <v>0.66256586984470911</v>
      </c>
      <c r="BM31" s="76">
        <f t="shared" si="105"/>
        <v>0.64902606543664143</v>
      </c>
      <c r="BN31" s="76">
        <f t="shared" si="105"/>
        <v>0.65462199675663824</v>
      </c>
      <c r="BO31" s="77">
        <f t="shared" si="105"/>
        <v>0.66874284442923959</v>
      </c>
      <c r="BP31" s="733"/>
      <c r="BQ31" s="231"/>
      <c r="BR31" s="278"/>
      <c r="BS31" s="231"/>
      <c r="BT31" s="231">
        <f t="shared" ref="BT31:BZ31" si="106">+BT10/BT$14</f>
        <v>0.38316934645228384</v>
      </c>
      <c r="BU31" s="231">
        <f t="shared" si="106"/>
        <v>0.40304948216340619</v>
      </c>
      <c r="BV31" s="231">
        <f t="shared" si="106"/>
        <v>0.42803952455964484</v>
      </c>
      <c r="BW31" s="231">
        <f t="shared" si="106"/>
        <v>0.46418171228887595</v>
      </c>
      <c r="BX31" s="231">
        <f t="shared" si="106"/>
        <v>0.54565302144249517</v>
      </c>
      <c r="BY31" s="231">
        <f t="shared" si="106"/>
        <v>0.5894011649568428</v>
      </c>
      <c r="BZ31" s="231">
        <f t="shared" si="106"/>
        <v>0.62125280356215773</v>
      </c>
      <c r="CA31" s="231">
        <f t="shared" ref="CA31:CB35" si="107">+CA10/CA$14</f>
        <v>0.63629968084124988</v>
      </c>
      <c r="CB31" s="231">
        <f t="shared" si="107"/>
        <v>0.63850531832213953</v>
      </c>
      <c r="CC31" s="231">
        <f t="shared" ref="CC31:CC35" si="108">+CC10/CC$14</f>
        <v>0.66169969426560682</v>
      </c>
      <c r="CD31" s="231">
        <f t="shared" ref="CD31:CE31" si="109">+CD10/CD$14</f>
        <v>0.67273898932887222</v>
      </c>
      <c r="CE31" s="231">
        <f t="shared" si="109"/>
        <v>0.66600516969016832</v>
      </c>
      <c r="CF31" s="276">
        <f>+CF10/CF$14</f>
        <v>0.87460520761537353</v>
      </c>
      <c r="CG31" s="1170"/>
      <c r="CH31" s="363"/>
    </row>
    <row r="32" spans="1:86" ht="14.25" customHeight="1">
      <c r="A32" s="730"/>
      <c r="B32" s="731" t="s">
        <v>313</v>
      </c>
      <c r="C32" s="732"/>
      <c r="D32" s="76"/>
      <c r="E32" s="76"/>
      <c r="F32" s="76"/>
      <c r="G32" s="77"/>
      <c r="H32" s="76"/>
      <c r="I32" s="76"/>
      <c r="J32" s="76"/>
      <c r="K32" s="77"/>
      <c r="L32" s="76">
        <f>+L11/L$14</f>
        <v>0.11845816358508304</v>
      </c>
      <c r="M32" s="76">
        <f t="shared" ref="M32:AA32" si="110">+M11/M$14</f>
        <v>0.11360981308411215</v>
      </c>
      <c r="N32" s="76">
        <f t="shared" si="110"/>
        <v>0.10647010647010648</v>
      </c>
      <c r="O32" s="76">
        <f t="shared" si="110"/>
        <v>0.12120359955005625</v>
      </c>
      <c r="P32" s="522">
        <f t="shared" si="110"/>
        <v>0.12988997555012224</v>
      </c>
      <c r="Q32" s="76">
        <f t="shared" si="110"/>
        <v>0.13100566994926888</v>
      </c>
      <c r="R32" s="76">
        <f t="shared" si="110"/>
        <v>0.12607026867434307</v>
      </c>
      <c r="S32" s="77">
        <f t="shared" si="110"/>
        <v>0.13649136892814132</v>
      </c>
      <c r="T32" s="76">
        <f t="shared" si="110"/>
        <v>0.15148609779482264</v>
      </c>
      <c r="U32" s="76">
        <f t="shared" si="110"/>
        <v>0.14245014245014245</v>
      </c>
      <c r="V32" s="76">
        <f t="shared" si="110"/>
        <v>0.13645833333333332</v>
      </c>
      <c r="W32" s="77">
        <f t="shared" si="110"/>
        <v>0.13710482529118137</v>
      </c>
      <c r="X32" s="76">
        <f t="shared" si="110"/>
        <v>0.13728549141965679</v>
      </c>
      <c r="Y32" s="76">
        <f t="shared" si="110"/>
        <v>0.14759725400457666</v>
      </c>
      <c r="Z32" s="76">
        <f t="shared" si="110"/>
        <v>0.15481283422459893</v>
      </c>
      <c r="AA32" s="76">
        <f t="shared" si="110"/>
        <v>0.15262411347517729</v>
      </c>
      <c r="AB32" s="522">
        <f t="shared" si="98"/>
        <v>0.15713443396226415</v>
      </c>
      <c r="AC32" s="76">
        <f t="shared" si="98"/>
        <v>0.17235396182764604</v>
      </c>
      <c r="AD32" s="76">
        <f t="shared" si="98"/>
        <v>0.15551067512983266</v>
      </c>
      <c r="AE32" s="77">
        <f t="shared" si="98"/>
        <v>0.12923976608187135</v>
      </c>
      <c r="AF32" s="76">
        <f t="shared" si="98"/>
        <v>0.15155398910605575</v>
      </c>
      <c r="AG32" s="76">
        <f t="shared" si="98"/>
        <v>0.15262368815592203</v>
      </c>
      <c r="AH32" s="76">
        <f t="shared" si="98"/>
        <v>0.15339233038348082</v>
      </c>
      <c r="AI32" s="77">
        <f t="shared" si="98"/>
        <v>0.15743538100033569</v>
      </c>
      <c r="AJ32" s="522">
        <f t="shared" si="98"/>
        <v>0.19445407279029464</v>
      </c>
      <c r="AK32" s="76">
        <f t="shared" si="98"/>
        <v>0.20282244830981294</v>
      </c>
      <c r="AL32" s="76">
        <f t="shared" si="98"/>
        <v>0.2059186189889026</v>
      </c>
      <c r="AM32" s="77">
        <f t="shared" si="98"/>
        <v>0.1994632853193461</v>
      </c>
      <c r="AN32" s="76">
        <f t="shared" si="98"/>
        <v>0.21994984799187195</v>
      </c>
      <c r="AO32" s="76">
        <f t="shared" si="98"/>
        <v>0.21356614007962826</v>
      </c>
      <c r="AP32" s="76">
        <f t="shared" si="98"/>
        <v>0.20306216885317557</v>
      </c>
      <c r="AQ32" s="77">
        <f t="shared" si="98"/>
        <v>0.20495564392780666</v>
      </c>
      <c r="AR32" s="76">
        <f t="shared" si="99"/>
        <v>0.21333333333333335</v>
      </c>
      <c r="AS32" s="76">
        <f t="shared" si="99"/>
        <v>0.20702428363277683</v>
      </c>
      <c r="AT32" s="76">
        <f t="shared" si="99"/>
        <v>0.21116063476778488</v>
      </c>
      <c r="AU32" s="77">
        <f t="shared" si="99"/>
        <v>0.21949680088387125</v>
      </c>
      <c r="AV32" s="76">
        <f t="shared" si="100"/>
        <v>0.2423867016424599</v>
      </c>
      <c r="AW32" s="76">
        <f t="shared" si="100"/>
        <v>0.23070406884727054</v>
      </c>
      <c r="AX32" s="76">
        <f t="shared" si="100"/>
        <v>0.21634974432507473</v>
      </c>
      <c r="AY32" s="77">
        <f t="shared" si="100"/>
        <v>0.2179303558757984</v>
      </c>
      <c r="AZ32" s="76">
        <f t="shared" si="101"/>
        <v>0.23602882793436819</v>
      </c>
      <c r="BA32" s="76">
        <f t="shared" si="101"/>
        <v>0.23503072467869987</v>
      </c>
      <c r="BB32" s="76">
        <f t="shared" si="101"/>
        <v>0.22619047619047619</v>
      </c>
      <c r="BC32" s="77">
        <f t="shared" si="101"/>
        <v>0.23892002724745048</v>
      </c>
      <c r="BD32" s="76">
        <f t="shared" ref="BD32" si="111">+BD11/BD$14</f>
        <v>0.24440246022688603</v>
      </c>
      <c r="BE32" s="76">
        <f t="shared" ref="BE32:BG32" si="112">+BE11/BE$14</f>
        <v>0.24039895396479694</v>
      </c>
      <c r="BF32" s="76">
        <f t="shared" si="112"/>
        <v>0.23044689613920449</v>
      </c>
      <c r="BG32" s="77">
        <f t="shared" si="112"/>
        <v>0.23234198078663881</v>
      </c>
      <c r="BH32" s="522">
        <f t="shared" ref="BH32:BK32" si="113">+BH11/BH$14</f>
        <v>0.24339158961166174</v>
      </c>
      <c r="BI32" s="76">
        <f t="shared" si="113"/>
        <v>0.24751437768084092</v>
      </c>
      <c r="BJ32" s="76">
        <f t="shared" si="113"/>
        <v>0.23551407660805232</v>
      </c>
      <c r="BK32" s="77">
        <f t="shared" si="113"/>
        <v>0.23822242322337031</v>
      </c>
      <c r="BL32" s="522">
        <f t="shared" ref="BL32:BO32" si="114">+BL11/BL$14</f>
        <v>0.24926990670159491</v>
      </c>
      <c r="BM32" s="76">
        <f t="shared" si="114"/>
        <v>0.25356735788152684</v>
      </c>
      <c r="BN32" s="76">
        <f t="shared" si="114"/>
        <v>0.24141230194078933</v>
      </c>
      <c r="BO32" s="77">
        <f t="shared" si="114"/>
        <v>0.24405084913821221</v>
      </c>
      <c r="BP32" s="733"/>
      <c r="BQ32" s="231"/>
      <c r="BR32" s="278"/>
      <c r="BS32" s="231"/>
      <c r="BT32" s="231">
        <f t="shared" ref="BT32:BZ32" si="115">+BT11/BT$14</f>
        <v>0.13046956243500521</v>
      </c>
      <c r="BU32" s="231">
        <f t="shared" si="115"/>
        <v>0.14106252397391639</v>
      </c>
      <c r="BV32" s="231">
        <f t="shared" si="115"/>
        <v>0.14843190605756837</v>
      </c>
      <c r="BW32" s="231">
        <f t="shared" si="115"/>
        <v>0.15361094933022715</v>
      </c>
      <c r="BX32" s="231">
        <f t="shared" si="115"/>
        <v>0.15368421052631578</v>
      </c>
      <c r="BY32" s="231">
        <f t="shared" si="115"/>
        <v>0.20083371476567119</v>
      </c>
      <c r="BZ32" s="231">
        <f t="shared" si="115"/>
        <v>0.2100484553011244</v>
      </c>
      <c r="CA32" s="231">
        <f t="shared" si="107"/>
        <v>0.21265945682990328</v>
      </c>
      <c r="CB32" s="231">
        <f t="shared" si="107"/>
        <v>0.22612483332800232</v>
      </c>
      <c r="CC32" s="231">
        <f t="shared" si="108"/>
        <v>0.23380055864051441</v>
      </c>
      <c r="CD32" s="231">
        <f t="shared" ref="CD32:CE32" si="116">+CD11/CD$14</f>
        <v>0.23671854878129825</v>
      </c>
      <c r="CE32" s="231">
        <f t="shared" si="116"/>
        <v>0.24104354485209906</v>
      </c>
      <c r="CF32" s="276">
        <f>+CF11/CF$14</f>
        <v>0</v>
      </c>
      <c r="CG32" s="1170"/>
      <c r="CH32" s="363"/>
    </row>
    <row r="33" spans="1:88" ht="14.25" customHeight="1">
      <c r="A33" s="730"/>
      <c r="B33" s="731" t="s">
        <v>314</v>
      </c>
      <c r="C33" s="732"/>
      <c r="D33" s="76"/>
      <c r="E33" s="76"/>
      <c r="F33" s="76"/>
      <c r="G33" s="77"/>
      <c r="H33" s="76"/>
      <c r="I33" s="76"/>
      <c r="J33" s="76"/>
      <c r="K33" s="77"/>
      <c r="L33" s="76">
        <f>+L12/L$14</f>
        <v>0.30335318082105922</v>
      </c>
      <c r="M33" s="76">
        <f t="shared" si="98"/>
        <v>0.30257009345794394</v>
      </c>
      <c r="N33" s="76">
        <f t="shared" si="98"/>
        <v>0.30412230412230412</v>
      </c>
      <c r="O33" s="76">
        <f t="shared" si="98"/>
        <v>0.32002249718785153</v>
      </c>
      <c r="P33" s="522">
        <f t="shared" si="98"/>
        <v>0.28636919315403425</v>
      </c>
      <c r="Q33" s="76">
        <f t="shared" si="98"/>
        <v>0.27454491196657715</v>
      </c>
      <c r="R33" s="76">
        <f t="shared" si="98"/>
        <v>0.27576025981694713</v>
      </c>
      <c r="S33" s="77">
        <f t="shared" si="98"/>
        <v>0.26455238859895625</v>
      </c>
      <c r="T33" s="76">
        <f t="shared" si="98"/>
        <v>0.26989453499520616</v>
      </c>
      <c r="U33" s="76">
        <f t="shared" si="98"/>
        <v>0.24989824989824991</v>
      </c>
      <c r="V33" s="76">
        <f t="shared" si="98"/>
        <v>0.23993055555555556</v>
      </c>
      <c r="W33" s="77">
        <f t="shared" si="98"/>
        <v>0.25224625623960067</v>
      </c>
      <c r="X33" s="76">
        <f t="shared" si="98"/>
        <v>0.22371294851794071</v>
      </c>
      <c r="Y33" s="76">
        <f t="shared" si="98"/>
        <v>0.20795194508009154</v>
      </c>
      <c r="Z33" s="76">
        <f t="shared" si="98"/>
        <v>0.20508021390374331</v>
      </c>
      <c r="AA33" s="76">
        <f t="shared" si="98"/>
        <v>0.2175886524822695</v>
      </c>
      <c r="AB33" s="522">
        <f t="shared" si="98"/>
        <v>0.19398584905660377</v>
      </c>
      <c r="AC33" s="76">
        <f t="shared" si="98"/>
        <v>0.16136495083863506</v>
      </c>
      <c r="AD33" s="76">
        <f t="shared" si="98"/>
        <v>0.16733987305251011</v>
      </c>
      <c r="AE33" s="77">
        <f t="shared" si="98"/>
        <v>0.21111111111111111</v>
      </c>
      <c r="AF33" s="76">
        <f t="shared" si="98"/>
        <v>0.11951297661006088</v>
      </c>
      <c r="AG33" s="76">
        <f t="shared" si="98"/>
        <v>0.10254872563718141</v>
      </c>
      <c r="AH33" s="76">
        <f t="shared" si="98"/>
        <v>9.5870206489675522E-2</v>
      </c>
      <c r="AI33" s="77">
        <f t="shared" si="98"/>
        <v>0.10641154749916079</v>
      </c>
      <c r="AJ33" s="522">
        <f t="shared" si="98"/>
        <v>0</v>
      </c>
      <c r="AK33" s="76">
        <f t="shared" si="98"/>
        <v>0</v>
      </c>
      <c r="AL33" s="76">
        <f t="shared" si="98"/>
        <v>0</v>
      </c>
      <c r="AM33" s="77">
        <f t="shared" si="98"/>
        <v>0</v>
      </c>
      <c r="AN33" s="76">
        <f t="shared" si="98"/>
        <v>0</v>
      </c>
      <c r="AO33" s="76">
        <f t="shared" si="98"/>
        <v>0</v>
      </c>
      <c r="AP33" s="76">
        <f t="shared" si="98"/>
        <v>0</v>
      </c>
      <c r="AQ33" s="77">
        <f t="shared" si="98"/>
        <v>0</v>
      </c>
      <c r="AR33" s="76">
        <f t="shared" si="99"/>
        <v>0</v>
      </c>
      <c r="AS33" s="76">
        <f t="shared" si="99"/>
        <v>0</v>
      </c>
      <c r="AT33" s="76">
        <f t="shared" si="99"/>
        <v>0</v>
      </c>
      <c r="AU33" s="77">
        <f t="shared" si="99"/>
        <v>0</v>
      </c>
      <c r="AV33" s="76">
        <f t="shared" si="100"/>
        <v>0</v>
      </c>
      <c r="AW33" s="76">
        <f t="shared" si="100"/>
        <v>0</v>
      </c>
      <c r="AX33" s="76">
        <f t="shared" si="100"/>
        <v>0</v>
      </c>
      <c r="AY33" s="77">
        <f t="shared" si="100"/>
        <v>0</v>
      </c>
      <c r="AZ33" s="76">
        <f t="shared" si="101"/>
        <v>0</v>
      </c>
      <c r="BA33" s="76">
        <f t="shared" si="101"/>
        <v>0</v>
      </c>
      <c r="BB33" s="76">
        <f t="shared" si="101"/>
        <v>0</v>
      </c>
      <c r="BC33" s="77">
        <f t="shared" si="101"/>
        <v>0</v>
      </c>
      <c r="BD33" s="76">
        <f t="shared" ref="BD33" si="117">+BD12/BD$14</f>
        <v>0</v>
      </c>
      <c r="BE33" s="76">
        <f t="shared" ref="BE33:BG33" si="118">+BE12/BE$14</f>
        <v>0</v>
      </c>
      <c r="BF33" s="76">
        <f t="shared" si="118"/>
        <v>0</v>
      </c>
      <c r="BG33" s="77">
        <f t="shared" si="118"/>
        <v>0</v>
      </c>
      <c r="BH33" s="522">
        <f t="shared" ref="BH33:BK33" si="119">+BH12/BH$14</f>
        <v>0</v>
      </c>
      <c r="BI33" s="76">
        <f t="shared" si="119"/>
        <v>0</v>
      </c>
      <c r="BJ33" s="76">
        <f t="shared" si="119"/>
        <v>0</v>
      </c>
      <c r="BK33" s="77">
        <f t="shared" si="119"/>
        <v>0</v>
      </c>
      <c r="BL33" s="522">
        <f t="shared" ref="BL33:BO33" si="120">+BL12/BL$14</f>
        <v>0</v>
      </c>
      <c r="BM33" s="76">
        <f t="shared" si="120"/>
        <v>0</v>
      </c>
      <c r="BN33" s="76">
        <f t="shared" si="120"/>
        <v>0</v>
      </c>
      <c r="BO33" s="77">
        <f t="shared" si="120"/>
        <v>0</v>
      </c>
      <c r="BP33" s="733"/>
      <c r="BQ33" s="231"/>
      <c r="BR33" s="278"/>
      <c r="BS33" s="231"/>
      <c r="BT33" s="231">
        <f t="shared" ref="BT33:BZ33" si="121">+BT12/BT$14</f>
        <v>0.27597792176625868</v>
      </c>
      <c r="BU33" s="231">
        <f t="shared" si="121"/>
        <v>0.25182201764480244</v>
      </c>
      <c r="BV33" s="231">
        <f t="shared" si="121"/>
        <v>0.21323213518545037</v>
      </c>
      <c r="BW33" s="231">
        <f t="shared" si="121"/>
        <v>0.18331391962725685</v>
      </c>
      <c r="BX33" s="231">
        <f t="shared" si="121"/>
        <v>0.10580896686159844</v>
      </c>
      <c r="BY33" s="231">
        <f t="shared" si="121"/>
        <v>0</v>
      </c>
      <c r="BZ33" s="231">
        <f t="shared" si="121"/>
        <v>0</v>
      </c>
      <c r="CA33" s="231">
        <f t="shared" si="107"/>
        <v>0</v>
      </c>
      <c r="CB33" s="231">
        <f t="shared" si="107"/>
        <v>0</v>
      </c>
      <c r="CC33" s="231">
        <f t="shared" si="108"/>
        <v>0</v>
      </c>
      <c r="CD33" s="231">
        <f t="shared" ref="CD33:CE33" si="122">+CD12/CD$14</f>
        <v>0</v>
      </c>
      <c r="CE33" s="231">
        <f t="shared" si="122"/>
        <v>0</v>
      </c>
      <c r="CF33" s="276">
        <f>+CF12/CF$14</f>
        <v>0</v>
      </c>
      <c r="CG33" s="1170"/>
      <c r="CH33" s="363"/>
    </row>
    <row r="34" spans="1:88" ht="14.25" customHeight="1">
      <c r="A34" s="730"/>
      <c r="B34" s="735" t="s">
        <v>293</v>
      </c>
      <c r="C34" s="732"/>
      <c r="D34" s="76"/>
      <c r="E34" s="76"/>
      <c r="F34" s="76"/>
      <c r="G34" s="77"/>
      <c r="H34" s="76"/>
      <c r="I34" s="76"/>
      <c r="J34" s="76"/>
      <c r="K34" s="77"/>
      <c r="L34" s="76">
        <f>+L13/L$14</f>
        <v>0.22532121591977436</v>
      </c>
      <c r="M34" s="76">
        <f t="shared" si="98"/>
        <v>0.24386682242990654</v>
      </c>
      <c r="N34" s="76">
        <f t="shared" si="98"/>
        <v>0.23778323778323779</v>
      </c>
      <c r="O34" s="76">
        <f t="shared" si="98"/>
        <v>0.19656917885264341</v>
      </c>
      <c r="P34" s="522">
        <f t="shared" si="98"/>
        <v>0.20201711491442542</v>
      </c>
      <c r="Q34" s="76">
        <f t="shared" si="98"/>
        <v>0.21575649059982094</v>
      </c>
      <c r="R34" s="76">
        <f t="shared" si="98"/>
        <v>0.22320637732506643</v>
      </c>
      <c r="S34" s="77">
        <f t="shared" si="98"/>
        <v>0.19670814933761541</v>
      </c>
      <c r="T34" s="76">
        <f t="shared" si="98"/>
        <v>0.19415148609779481</v>
      </c>
      <c r="U34" s="76">
        <f t="shared" si="98"/>
        <v>0.21286121286121287</v>
      </c>
      <c r="V34" s="76">
        <f t="shared" si="98"/>
        <v>0.21805555555555556</v>
      </c>
      <c r="W34" s="77">
        <f t="shared" si="98"/>
        <v>0.1903494176372712</v>
      </c>
      <c r="X34" s="76">
        <f t="shared" si="98"/>
        <v>0.21248049921996881</v>
      </c>
      <c r="Y34" s="76">
        <f t="shared" si="98"/>
        <v>0.21195652173913043</v>
      </c>
      <c r="Z34" s="76">
        <f t="shared" si="98"/>
        <v>0.21737967914438502</v>
      </c>
      <c r="AA34" s="76">
        <f t="shared" si="98"/>
        <v>0.19914893617021276</v>
      </c>
      <c r="AB34" s="522">
        <f t="shared" si="98"/>
        <v>0.19604952830188679</v>
      </c>
      <c r="AC34" s="76">
        <f t="shared" si="98"/>
        <v>0.2070561017929439</v>
      </c>
      <c r="AD34" s="76">
        <f t="shared" si="98"/>
        <v>0.22792844777841892</v>
      </c>
      <c r="AE34" s="77">
        <f t="shared" si="98"/>
        <v>0.16403508771929826</v>
      </c>
      <c r="AF34" s="76">
        <f t="shared" si="98"/>
        <v>0.18872156360140979</v>
      </c>
      <c r="AG34" s="76">
        <f t="shared" si="98"/>
        <v>0.20509745127436282</v>
      </c>
      <c r="AH34" s="76">
        <f t="shared" si="98"/>
        <v>0.20707964601769913</v>
      </c>
      <c r="AI34" s="77">
        <f t="shared" si="98"/>
        <v>0.17589795233299765</v>
      </c>
      <c r="AJ34" s="522">
        <f t="shared" si="98"/>
        <v>0.234315424610052</v>
      </c>
      <c r="AK34" s="76">
        <f t="shared" si="98"/>
        <v>0.22448309812930753</v>
      </c>
      <c r="AL34" s="76">
        <f t="shared" si="98"/>
        <v>0.19882860665844637</v>
      </c>
      <c r="AM34" s="77">
        <f t="shared" si="98"/>
        <v>0.18328166117920044</v>
      </c>
      <c r="AN34" s="76">
        <f t="shared" si="98"/>
        <v>0.16412351975040132</v>
      </c>
      <c r="AO34" s="76">
        <f t="shared" si="98"/>
        <v>0.18036778672142667</v>
      </c>
      <c r="AP34" s="76">
        <f t="shared" si="98"/>
        <v>0.18318171178610115</v>
      </c>
      <c r="AQ34" s="77">
        <f t="shared" si="98"/>
        <v>0.145610278372591</v>
      </c>
      <c r="AR34" s="76">
        <f t="shared" si="99"/>
        <v>0.14063492063492064</v>
      </c>
      <c r="AS34" s="76">
        <f t="shared" si="99"/>
        <v>0.17820360453597708</v>
      </c>
      <c r="AT34" s="76">
        <f t="shared" si="99"/>
        <v>0.15331866859317145</v>
      </c>
      <c r="AU34" s="77">
        <f t="shared" si="99"/>
        <v>0.13047910164146442</v>
      </c>
      <c r="AV34" s="76">
        <f t="shared" si="100"/>
        <v>0.13286074364398437</v>
      </c>
      <c r="AW34" s="76">
        <f t="shared" si="100"/>
        <v>0.14471431959799969</v>
      </c>
      <c r="AX34" s="76">
        <f t="shared" si="100"/>
        <v>0.15147358137662517</v>
      </c>
      <c r="AY34" s="77">
        <f t="shared" si="100"/>
        <v>0.11128938208713388</v>
      </c>
      <c r="AZ34" s="76">
        <f t="shared" si="101"/>
        <v>0.10085655709684647</v>
      </c>
      <c r="BA34" s="76">
        <f t="shared" si="101"/>
        <v>0.11213623707205436</v>
      </c>
      <c r="BB34" s="76">
        <f t="shared" si="101"/>
        <v>0.11831875607385811</v>
      </c>
      <c r="BC34" s="77">
        <f t="shared" si="101"/>
        <v>8.5117618877229212E-2</v>
      </c>
      <c r="BD34" s="76">
        <f t="shared" ref="BD34" si="123">+BD13/BD$14</f>
        <v>7.8344070073125327E-2</v>
      </c>
      <c r="BE34" s="76">
        <f t="shared" ref="BE34:BG34" si="124">+BE13/BE$14</f>
        <v>9.6043711279763078E-2</v>
      </c>
      <c r="BF34" s="76">
        <f t="shared" si="124"/>
        <v>0.10228502482280151</v>
      </c>
      <c r="BG34" s="77">
        <f t="shared" si="124"/>
        <v>8.4280194583924384E-2</v>
      </c>
      <c r="BH34" s="522">
        <f t="shared" ref="BH34:BK34" si="125">+BH13/BH$14</f>
        <v>8.6350479675239733E-2</v>
      </c>
      <c r="BI34" s="76">
        <f t="shared" si="125"/>
        <v>9.6119118806778397E-2</v>
      </c>
      <c r="BJ34" s="76">
        <f t="shared" si="125"/>
        <v>0.10284059283525243</v>
      </c>
      <c r="BK34" s="77">
        <f t="shared" si="125"/>
        <v>8.5478728605273294E-2</v>
      </c>
      <c r="BL34" s="522">
        <f t="shared" ref="BL34:BO34" si="126">+BL13/BL$14</f>
        <v>8.8164223453695942E-2</v>
      </c>
      <c r="BM34" s="76">
        <f t="shared" si="126"/>
        <v>9.7406576681831739E-2</v>
      </c>
      <c r="BN34" s="76">
        <f t="shared" si="126"/>
        <v>0.10396570130257235</v>
      </c>
      <c r="BO34" s="77">
        <f t="shared" si="126"/>
        <v>8.7206306432548161E-2</v>
      </c>
      <c r="BP34" s="733"/>
      <c r="BQ34" s="231"/>
      <c r="BR34" s="278"/>
      <c r="BS34" s="231"/>
      <c r="BT34" s="231">
        <f t="shared" ref="BT34:BZ34" si="127">+BT13/BT$14</f>
        <v>0.21038316934645229</v>
      </c>
      <c r="BU34" s="231">
        <f t="shared" si="127"/>
        <v>0.20406597621787495</v>
      </c>
      <c r="BV34" s="231">
        <f t="shared" si="127"/>
        <v>0.2102964341973364</v>
      </c>
      <c r="BW34" s="231">
        <f t="shared" si="127"/>
        <v>0.19889341875364008</v>
      </c>
      <c r="BX34" s="231">
        <f t="shared" si="127"/>
        <v>0.19485380116959064</v>
      </c>
      <c r="BY34" s="231">
        <f t="shared" si="127"/>
        <v>0.20976512027748603</v>
      </c>
      <c r="BZ34" s="231">
        <f t="shared" si="127"/>
        <v>0.16869874113671784</v>
      </c>
      <c r="CA34" s="231">
        <f t="shared" si="107"/>
        <v>0.15104086232884692</v>
      </c>
      <c r="CB34" s="231">
        <f t="shared" si="107"/>
        <v>0.13536984834985821</v>
      </c>
      <c r="CC34" s="231">
        <f t="shared" si="108"/>
        <v>0.10449974709387876</v>
      </c>
      <c r="CD34" s="231">
        <f t="shared" ref="CD34:CE34" si="128">+CD13/CD$14</f>
        <v>9.054246188982952E-2</v>
      </c>
      <c r="CE34" s="231">
        <f t="shared" si="128"/>
        <v>9.2951285457732652E-2</v>
      </c>
      <c r="CF34" s="276">
        <f>+CF13/CF$14</f>
        <v>0.12539479238462647</v>
      </c>
      <c r="CG34" s="1170"/>
      <c r="CH34" s="363"/>
    </row>
    <row r="35" spans="1:88" ht="14.25" customHeight="1">
      <c r="A35" s="730"/>
      <c r="B35" s="736" t="s">
        <v>501</v>
      </c>
      <c r="C35" s="732"/>
      <c r="D35" s="76"/>
      <c r="E35" s="76"/>
      <c r="F35" s="76"/>
      <c r="G35" s="77"/>
      <c r="H35" s="76"/>
      <c r="I35" s="76"/>
      <c r="J35" s="76"/>
      <c r="K35" s="77"/>
      <c r="L35" s="76">
        <f>+L14/L$14</f>
        <v>1</v>
      </c>
      <c r="M35" s="76">
        <f t="shared" si="98"/>
        <v>1</v>
      </c>
      <c r="N35" s="76">
        <f t="shared" si="98"/>
        <v>1</v>
      </c>
      <c r="O35" s="76">
        <f t="shared" si="98"/>
        <v>1</v>
      </c>
      <c r="P35" s="522">
        <f t="shared" si="98"/>
        <v>1</v>
      </c>
      <c r="Q35" s="76">
        <f t="shared" si="98"/>
        <v>1</v>
      </c>
      <c r="R35" s="76">
        <f t="shared" si="98"/>
        <v>1</v>
      </c>
      <c r="S35" s="77">
        <f t="shared" si="98"/>
        <v>1</v>
      </c>
      <c r="T35" s="76">
        <f t="shared" si="98"/>
        <v>1</v>
      </c>
      <c r="U35" s="76">
        <f t="shared" si="98"/>
        <v>1</v>
      </c>
      <c r="V35" s="76">
        <f t="shared" si="98"/>
        <v>1</v>
      </c>
      <c r="W35" s="77">
        <f t="shared" si="98"/>
        <v>1</v>
      </c>
      <c r="X35" s="76">
        <f t="shared" si="98"/>
        <v>1</v>
      </c>
      <c r="Y35" s="76">
        <f t="shared" si="98"/>
        <v>1</v>
      </c>
      <c r="Z35" s="76">
        <f t="shared" si="98"/>
        <v>1</v>
      </c>
      <c r="AA35" s="76">
        <f t="shared" si="98"/>
        <v>1</v>
      </c>
      <c r="AB35" s="522">
        <f t="shared" si="98"/>
        <v>1</v>
      </c>
      <c r="AC35" s="76">
        <f t="shared" si="98"/>
        <v>1</v>
      </c>
      <c r="AD35" s="76">
        <f t="shared" si="98"/>
        <v>1</v>
      </c>
      <c r="AE35" s="77">
        <f t="shared" si="98"/>
        <v>1</v>
      </c>
      <c r="AF35" s="76">
        <f t="shared" si="98"/>
        <v>1</v>
      </c>
      <c r="AG35" s="76">
        <f t="shared" si="98"/>
        <v>1</v>
      </c>
      <c r="AH35" s="76">
        <f t="shared" si="98"/>
        <v>1</v>
      </c>
      <c r="AI35" s="77">
        <f t="shared" si="98"/>
        <v>1</v>
      </c>
      <c r="AJ35" s="522">
        <f t="shared" si="98"/>
        <v>1</v>
      </c>
      <c r="AK35" s="76">
        <f t="shared" si="98"/>
        <v>1</v>
      </c>
      <c r="AL35" s="76">
        <f t="shared" si="98"/>
        <v>1</v>
      </c>
      <c r="AM35" s="77">
        <f t="shared" si="98"/>
        <v>1</v>
      </c>
      <c r="AN35" s="76">
        <f t="shared" si="98"/>
        <v>1</v>
      </c>
      <c r="AO35" s="76">
        <f t="shared" si="98"/>
        <v>1</v>
      </c>
      <c r="AP35" s="76">
        <f t="shared" si="98"/>
        <v>1</v>
      </c>
      <c r="AQ35" s="77">
        <f t="shared" si="98"/>
        <v>1</v>
      </c>
      <c r="AR35" s="76">
        <f t="shared" si="99"/>
        <v>1</v>
      </c>
      <c r="AS35" s="76">
        <f t="shared" si="99"/>
        <v>1</v>
      </c>
      <c r="AT35" s="76">
        <f t="shared" si="99"/>
        <v>1</v>
      </c>
      <c r="AU35" s="77">
        <f t="shared" si="99"/>
        <v>1</v>
      </c>
      <c r="AV35" s="76">
        <f t="shared" si="100"/>
        <v>1</v>
      </c>
      <c r="AW35" s="76">
        <f t="shared" si="100"/>
        <v>1</v>
      </c>
      <c r="AX35" s="76">
        <f t="shared" si="100"/>
        <v>1</v>
      </c>
      <c r="AY35" s="77">
        <f t="shared" si="100"/>
        <v>1</v>
      </c>
      <c r="AZ35" s="76">
        <f t="shared" si="101"/>
        <v>1</v>
      </c>
      <c r="BA35" s="76">
        <f t="shared" si="101"/>
        <v>1</v>
      </c>
      <c r="BB35" s="76">
        <f t="shared" si="101"/>
        <v>1</v>
      </c>
      <c r="BC35" s="77">
        <f t="shared" si="101"/>
        <v>1</v>
      </c>
      <c r="BD35" s="76">
        <f t="shared" ref="BD35" si="129">+BD14/BD$14</f>
        <v>1</v>
      </c>
      <c r="BE35" s="76">
        <f t="shared" ref="BE35:BG35" si="130">+BE14/BE$14</f>
        <v>1</v>
      </c>
      <c r="BF35" s="76">
        <f t="shared" si="130"/>
        <v>1</v>
      </c>
      <c r="BG35" s="77">
        <f t="shared" si="130"/>
        <v>1</v>
      </c>
      <c r="BH35" s="522">
        <f t="shared" ref="BH35:BK35" si="131">+BH14/BH$14</f>
        <v>1</v>
      </c>
      <c r="BI35" s="76">
        <f t="shared" si="131"/>
        <v>1</v>
      </c>
      <c r="BJ35" s="76">
        <f t="shared" si="131"/>
        <v>1</v>
      </c>
      <c r="BK35" s="77">
        <f t="shared" si="131"/>
        <v>1</v>
      </c>
      <c r="BL35" s="522">
        <f t="shared" ref="BL35:BO35" si="132">+BL14/BL$14</f>
        <v>1</v>
      </c>
      <c r="BM35" s="76">
        <f t="shared" si="132"/>
        <v>1</v>
      </c>
      <c r="BN35" s="76">
        <f t="shared" si="132"/>
        <v>1</v>
      </c>
      <c r="BO35" s="77">
        <f t="shared" si="132"/>
        <v>1</v>
      </c>
      <c r="BP35" s="733"/>
      <c r="BQ35" s="231"/>
      <c r="BR35" s="278"/>
      <c r="BS35" s="231"/>
      <c r="BT35" s="231">
        <f t="shared" ref="BT35:BZ35" si="133">+BT14/BT$14</f>
        <v>1</v>
      </c>
      <c r="BU35" s="231">
        <f t="shared" si="133"/>
        <v>1</v>
      </c>
      <c r="BV35" s="231">
        <f t="shared" si="133"/>
        <v>1</v>
      </c>
      <c r="BW35" s="231">
        <f t="shared" si="133"/>
        <v>1</v>
      </c>
      <c r="BX35" s="231">
        <f t="shared" si="133"/>
        <v>1</v>
      </c>
      <c r="BY35" s="231">
        <f t="shared" si="133"/>
        <v>1</v>
      </c>
      <c r="BZ35" s="231">
        <f t="shared" si="133"/>
        <v>1</v>
      </c>
      <c r="CA35" s="231">
        <f t="shared" si="107"/>
        <v>1</v>
      </c>
      <c r="CB35" s="231">
        <f t="shared" si="107"/>
        <v>1</v>
      </c>
      <c r="CC35" s="231">
        <f t="shared" si="108"/>
        <v>1</v>
      </c>
      <c r="CD35" s="231">
        <f t="shared" ref="CD35:CE35" si="134">+CD14/CD$14</f>
        <v>1</v>
      </c>
      <c r="CE35" s="231">
        <f t="shared" si="134"/>
        <v>1</v>
      </c>
      <c r="CF35" s="276">
        <f>+CF14/CF$14</f>
        <v>1</v>
      </c>
      <c r="CG35" s="1170"/>
      <c r="CH35" s="363"/>
    </row>
    <row r="36" spans="1:88" ht="14.25" customHeight="1">
      <c r="A36" s="718"/>
      <c r="B36" s="729"/>
      <c r="C36" s="719"/>
      <c r="D36" s="720"/>
      <c r="E36" s="720"/>
      <c r="F36" s="720"/>
      <c r="G36" s="721"/>
      <c r="H36" s="720"/>
      <c r="I36" s="720"/>
      <c r="J36" s="720"/>
      <c r="K36" s="721"/>
      <c r="L36" s="722"/>
      <c r="M36" s="722"/>
      <c r="N36" s="722"/>
      <c r="O36" s="722"/>
      <c r="P36" s="522"/>
      <c r="Q36" s="76"/>
      <c r="R36" s="76"/>
      <c r="S36" s="77"/>
      <c r="T36" s="76"/>
      <c r="U36" s="76"/>
      <c r="V36" s="76"/>
      <c r="W36" s="77"/>
      <c r="X36" s="76"/>
      <c r="Y36" s="76"/>
      <c r="Z36" s="76"/>
      <c r="AA36" s="76"/>
      <c r="AB36" s="522"/>
      <c r="AC36" s="76"/>
      <c r="AD36" s="76"/>
      <c r="AE36" s="77"/>
      <c r="AF36" s="76"/>
      <c r="AG36" s="76"/>
      <c r="AH36" s="76"/>
      <c r="AI36" s="77"/>
      <c r="AJ36" s="522"/>
      <c r="AK36" s="76"/>
      <c r="AL36" s="76"/>
      <c r="AM36" s="77"/>
      <c r="AN36" s="76"/>
      <c r="AO36" s="76"/>
      <c r="AP36" s="76"/>
      <c r="AQ36" s="77"/>
      <c r="AR36" s="76"/>
      <c r="AS36" s="76"/>
      <c r="AT36" s="76"/>
      <c r="AU36" s="77"/>
      <c r="AV36" s="76"/>
      <c r="AW36" s="76"/>
      <c r="AX36" s="76"/>
      <c r="AY36" s="77"/>
      <c r="AZ36" s="76"/>
      <c r="BA36" s="76"/>
      <c r="BB36" s="76"/>
      <c r="BC36" s="76"/>
      <c r="BD36" s="522"/>
      <c r="BE36" s="76"/>
      <c r="BF36" s="76"/>
      <c r="BG36" s="77"/>
      <c r="BH36" s="522"/>
      <c r="BI36" s="76"/>
      <c r="BJ36" s="76"/>
      <c r="BK36" s="77"/>
      <c r="BL36" s="522"/>
      <c r="BM36" s="76"/>
      <c r="BN36" s="76"/>
      <c r="BO36" s="77"/>
      <c r="BP36" s="723"/>
      <c r="BQ36" s="724"/>
      <c r="BR36" s="725"/>
      <c r="BS36" s="724"/>
      <c r="BT36" s="724"/>
      <c r="BU36" s="724"/>
      <c r="BV36" s="724"/>
      <c r="BW36" s="724"/>
      <c r="BX36" s="724"/>
      <c r="BY36" s="724"/>
      <c r="BZ36" s="724"/>
      <c r="CA36" s="724"/>
      <c r="CB36" s="724"/>
      <c r="CC36" s="724"/>
      <c r="CD36" s="724"/>
      <c r="CE36" s="724"/>
      <c r="CF36" s="727"/>
      <c r="CG36" s="1169"/>
      <c r="CH36" s="363"/>
    </row>
    <row r="37" spans="1:88" ht="14.25" customHeight="1">
      <c r="A37" s="672"/>
      <c r="B37" s="673" t="s">
        <v>312</v>
      </c>
      <c r="C37" s="674"/>
      <c r="D37" s="675"/>
      <c r="E37" s="675"/>
      <c r="F37" s="675"/>
      <c r="G37" s="676"/>
      <c r="H37" s="675"/>
      <c r="I37" s="675"/>
      <c r="J37" s="675"/>
      <c r="K37" s="676"/>
      <c r="L37" s="675"/>
      <c r="M37" s="677"/>
      <c r="N37" s="677"/>
      <c r="O37" s="678"/>
      <c r="P37" s="679"/>
      <c r="Q37" s="678"/>
      <c r="R37" s="678"/>
      <c r="S37" s="680"/>
      <c r="T37" s="678"/>
      <c r="U37" s="678"/>
      <c r="V37" s="678"/>
      <c r="W37" s="680"/>
      <c r="X37" s="677"/>
      <c r="Y37" s="677"/>
      <c r="Z37" s="677"/>
      <c r="AA37" s="678"/>
      <c r="AB37" s="679"/>
      <c r="AC37" s="678"/>
      <c r="AD37" s="678"/>
      <c r="AE37" s="680"/>
      <c r="AF37" s="678"/>
      <c r="AG37" s="678"/>
      <c r="AH37" s="678"/>
      <c r="AI37" s="680"/>
      <c r="AJ37" s="679"/>
      <c r="AK37" s="737"/>
      <c r="AL37" s="737"/>
      <c r="AM37" s="680"/>
      <c r="AN37" s="677"/>
      <c r="AO37" s="677"/>
      <c r="AP37" s="677"/>
      <c r="AQ37" s="680"/>
      <c r="AR37" s="738"/>
      <c r="AS37" s="677"/>
      <c r="AT37" s="677"/>
      <c r="AU37" s="680"/>
      <c r="AV37" s="738"/>
      <c r="AW37" s="677"/>
      <c r="AX37" s="677"/>
      <c r="AY37" s="680"/>
      <c r="AZ37" s="677"/>
      <c r="BA37" s="677"/>
      <c r="BB37" s="677"/>
      <c r="BC37" s="678"/>
      <c r="BD37" s="679"/>
      <c r="BE37" s="678"/>
      <c r="BF37" s="678"/>
      <c r="BG37" s="680"/>
      <c r="BH37" s="679"/>
      <c r="BI37" s="678"/>
      <c r="BJ37" s="678"/>
      <c r="BK37" s="680"/>
      <c r="BL37" s="679"/>
      <c r="BM37" s="678"/>
      <c r="BN37" s="678"/>
      <c r="BO37" s="680"/>
      <c r="BP37" s="657"/>
      <c r="BQ37" s="683"/>
      <c r="BR37" s="683"/>
      <c r="BS37" s="683"/>
      <c r="BT37" s="678"/>
      <c r="BU37" s="678"/>
      <c r="BV37" s="678"/>
      <c r="BW37" s="678"/>
      <c r="BX37" s="678"/>
      <c r="BY37" s="678"/>
      <c r="BZ37" s="678"/>
      <c r="CA37" s="678"/>
      <c r="CB37" s="678"/>
      <c r="CC37" s="678"/>
      <c r="CD37" s="678"/>
      <c r="CE37" s="678"/>
      <c r="CF37" s="680"/>
      <c r="CG37" s="658"/>
      <c r="CH37" s="363"/>
    </row>
    <row r="38" spans="1:88" s="85" customFormat="1" ht="14.25" customHeight="1">
      <c r="A38" s="704"/>
      <c r="B38" s="705" t="s">
        <v>493</v>
      </c>
      <c r="C38" s="1121"/>
      <c r="D38" s="1122"/>
      <c r="E38" s="1122"/>
      <c r="F38" s="1122"/>
      <c r="G38" s="1123"/>
      <c r="H38" s="1122"/>
      <c r="I38" s="1122"/>
      <c r="J38" s="1122"/>
      <c r="K38" s="1123"/>
      <c r="L38" s="1124">
        <v>1126</v>
      </c>
      <c r="M38" s="1124">
        <v>1164</v>
      </c>
      <c r="N38" s="1124">
        <v>1288</v>
      </c>
      <c r="O38" s="1124">
        <v>1288</v>
      </c>
      <c r="P38" s="1125">
        <v>1249</v>
      </c>
      <c r="Q38" s="1124">
        <v>1269</v>
      </c>
      <c r="R38" s="1124">
        <v>1270</v>
      </c>
      <c r="S38" s="1126">
        <v>1002</v>
      </c>
      <c r="T38" s="1124">
        <v>802</v>
      </c>
      <c r="U38" s="1124">
        <v>970</v>
      </c>
      <c r="V38" s="1124">
        <v>1168</v>
      </c>
      <c r="W38" s="1126">
        <v>1263</v>
      </c>
      <c r="X38" s="1124">
        <v>1367</v>
      </c>
      <c r="Y38" s="1124">
        <v>1512</v>
      </c>
      <c r="Z38" s="1124">
        <v>1581</v>
      </c>
      <c r="AA38" s="1124">
        <v>1518</v>
      </c>
      <c r="AB38" s="1125">
        <v>1536</v>
      </c>
      <c r="AC38" s="1124">
        <v>1588</v>
      </c>
      <c r="AD38" s="1124">
        <v>1557</v>
      </c>
      <c r="AE38" s="1126">
        <v>1695</v>
      </c>
      <c r="AF38" s="1124">
        <v>1686</v>
      </c>
      <c r="AG38" s="1124">
        <v>1800</v>
      </c>
      <c r="AH38" s="1124">
        <v>1843</v>
      </c>
      <c r="AI38" s="1126">
        <v>1669</v>
      </c>
      <c r="AJ38" s="1127">
        <v>1648</v>
      </c>
      <c r="AK38" s="1124">
        <v>1745</v>
      </c>
      <c r="AL38" s="1124">
        <v>1931</v>
      </c>
      <c r="AM38" s="1128">
        <f>+AM49+AM44</f>
        <v>1869.1261989291902</v>
      </c>
      <c r="AN38" s="1127">
        <v>1837</v>
      </c>
      <c r="AO38" s="1124">
        <v>1995</v>
      </c>
      <c r="AP38" s="1124">
        <v>2149</v>
      </c>
      <c r="AQ38" s="1126">
        <v>2123</v>
      </c>
      <c r="AR38" s="1127">
        <v>2035</v>
      </c>
      <c r="AS38" s="1124">
        <v>2049</v>
      </c>
      <c r="AT38" s="1124">
        <v>2182</v>
      </c>
      <c r="AU38" s="1126">
        <v>2073</v>
      </c>
      <c r="AV38" s="1127">
        <v>1879</v>
      </c>
      <c r="AW38" s="1124">
        <v>2044</v>
      </c>
      <c r="AX38" s="1129">
        <v>2323</v>
      </c>
      <c r="AY38" s="1126">
        <v>2290</v>
      </c>
      <c r="AZ38" s="1124">
        <v>2256</v>
      </c>
      <c r="BA38" s="1124">
        <v>2411</v>
      </c>
      <c r="BB38" s="1124">
        <v>2698</v>
      </c>
      <c r="BC38" s="1126">
        <v>2535</v>
      </c>
      <c r="BD38" s="1124">
        <v>2566</v>
      </c>
      <c r="BE38" s="1130">
        <f t="shared" ref="BE38:BG38" si="135">BD38*(1+BE39)</f>
        <v>2617.3200000000002</v>
      </c>
      <c r="BF38" s="1130">
        <f t="shared" si="135"/>
        <v>2800.5324000000005</v>
      </c>
      <c r="BG38" s="1128">
        <f t="shared" si="135"/>
        <v>2702.5137660000005</v>
      </c>
      <c r="BH38" s="1131">
        <f t="shared" ref="BH38" si="136">BG38*(1+BH39)</f>
        <v>2580.9006465300004</v>
      </c>
      <c r="BI38" s="1130">
        <f t="shared" ref="BI38" si="137">BH38*(1+BI39)</f>
        <v>2684.1366723912006</v>
      </c>
      <c r="BJ38" s="1130">
        <f t="shared" ref="BJ38" si="138">BI38*(1+BJ39)</f>
        <v>2872.0262394585848</v>
      </c>
      <c r="BK38" s="1128">
        <f t="shared" ref="BK38" si="139">BJ38*(1+BK39)</f>
        <v>2757.1451898802411</v>
      </c>
      <c r="BL38" s="1131">
        <f t="shared" ref="BL38" si="140">BK38*(1+BL39)</f>
        <v>2633.0736563356299</v>
      </c>
      <c r="BM38" s="1130">
        <f t="shared" ref="BM38" si="141">BL38*(1+BM39)</f>
        <v>2738.3966025890554</v>
      </c>
      <c r="BN38" s="1130">
        <f t="shared" ref="BN38" si="142">BM38*(1+BN39)</f>
        <v>2930.0843647702895</v>
      </c>
      <c r="BO38" s="1128">
        <f t="shared" ref="BO38" si="143">BN38*(1+BO39)</f>
        <v>2812.880990179478</v>
      </c>
      <c r="BP38" s="711"/>
      <c r="BQ38" s="392"/>
      <c r="BR38" s="392"/>
      <c r="BS38" s="712">
        <f>SUM(L38:O38)</f>
        <v>4866</v>
      </c>
      <c r="BT38" s="714">
        <f>SUM(P38:S38)</f>
        <v>4790</v>
      </c>
      <c r="BU38" s="714">
        <f>SUM(T38:W38)</f>
        <v>4203</v>
      </c>
      <c r="BV38" s="714">
        <f>SUM(X38:AA38)</f>
        <v>5978</v>
      </c>
      <c r="BW38" s="714">
        <f>SUM(AB38:AE38)</f>
        <v>6376</v>
      </c>
      <c r="BX38" s="714">
        <f>SUM(AF38:AI38)</f>
        <v>6998</v>
      </c>
      <c r="BY38" s="714">
        <f>SUM(AJ38:AM38)</f>
        <v>7193.1261989291907</v>
      </c>
      <c r="BZ38" s="714">
        <f>+SUM(AN38:AQ38)</f>
        <v>8104</v>
      </c>
      <c r="CA38" s="714">
        <f>+SUM(AR38:AU38)</f>
        <v>8339</v>
      </c>
      <c r="CB38" s="714">
        <f>SUM(AV38:AY38)</f>
        <v>8536</v>
      </c>
      <c r="CC38" s="714">
        <f>SUM(AZ38:BC38)</f>
        <v>9900</v>
      </c>
      <c r="CD38" s="714">
        <f>SUM(BD38:BG38)</f>
        <v>10686.366166</v>
      </c>
      <c r="CE38" s="714">
        <f>SUM(BH38:BK38)</f>
        <v>10894.208748260025</v>
      </c>
      <c r="CF38" s="715">
        <f>SUM(BL38:BO38)</f>
        <v>11114.435613874452</v>
      </c>
      <c r="CG38" s="1168"/>
      <c r="CH38" s="1171"/>
      <c r="CI38" s="281"/>
      <c r="CJ38" s="281"/>
    </row>
    <row r="39" spans="1:88" ht="14.25" customHeight="1">
      <c r="A39" s="672"/>
      <c r="B39" s="651" t="s">
        <v>268</v>
      </c>
      <c r="C39" s="274"/>
      <c r="D39" s="247"/>
      <c r="E39" s="247"/>
      <c r="F39" s="247"/>
      <c r="G39" s="77"/>
      <c r="H39" s="247"/>
      <c r="I39" s="247"/>
      <c r="J39" s="247"/>
      <c r="K39" s="77"/>
      <c r="L39" s="247"/>
      <c r="M39" s="247">
        <f t="shared" ref="M39:AA39" si="144">M38/L38-1</f>
        <v>3.3747779751332141E-2</v>
      </c>
      <c r="N39" s="247">
        <f t="shared" si="144"/>
        <v>0.10652920962199319</v>
      </c>
      <c r="O39" s="76">
        <f t="shared" si="144"/>
        <v>0</v>
      </c>
      <c r="P39" s="522">
        <f t="shared" si="144"/>
        <v>-3.0279503105590022E-2</v>
      </c>
      <c r="Q39" s="76">
        <f t="shared" si="144"/>
        <v>1.601281024819845E-2</v>
      </c>
      <c r="R39" s="76">
        <f t="shared" si="144"/>
        <v>7.8802206461769941E-4</v>
      </c>
      <c r="S39" s="77">
        <f t="shared" si="144"/>
        <v>-0.21102362204724412</v>
      </c>
      <c r="T39" s="76">
        <f t="shared" si="144"/>
        <v>-0.19960079840319356</v>
      </c>
      <c r="U39" s="76">
        <f t="shared" si="144"/>
        <v>0.20947630922693272</v>
      </c>
      <c r="V39" s="76">
        <f t="shared" si="144"/>
        <v>0.20412371134020613</v>
      </c>
      <c r="W39" s="77">
        <f t="shared" si="144"/>
        <v>8.1335616438356073E-2</v>
      </c>
      <c r="X39" s="247">
        <f t="shared" si="144"/>
        <v>8.2343626286619065E-2</v>
      </c>
      <c r="Y39" s="247">
        <f t="shared" si="144"/>
        <v>0.10607168983174842</v>
      </c>
      <c r="Z39" s="247">
        <f t="shared" si="144"/>
        <v>4.5634920634920695E-2</v>
      </c>
      <c r="AA39" s="76">
        <f t="shared" si="144"/>
        <v>-3.9848197343453462E-2</v>
      </c>
      <c r="AB39" s="522">
        <f>(AB38-AA38)/AA38</f>
        <v>1.1857707509881422E-2</v>
      </c>
      <c r="AC39" s="76">
        <f>(AC38-AB38)/AB38</f>
        <v>3.3854166666666664E-2</v>
      </c>
      <c r="AD39" s="231">
        <f>(AD38-AC38)/AC38</f>
        <v>-1.9521410579345089E-2</v>
      </c>
      <c r="AE39" s="77">
        <f>AE38/AD38-1</f>
        <v>8.863198458574173E-2</v>
      </c>
      <c r="AF39" s="76">
        <f t="shared" ref="AF39:BD39" si="145">(AF38-AE38)/AE38</f>
        <v>-5.3097345132743362E-3</v>
      </c>
      <c r="AG39" s="231">
        <f t="shared" si="145"/>
        <v>6.7615658362989328E-2</v>
      </c>
      <c r="AH39" s="231">
        <f t="shared" si="145"/>
        <v>2.388888888888889E-2</v>
      </c>
      <c r="AI39" s="276">
        <f t="shared" si="145"/>
        <v>-9.4411285946825824E-2</v>
      </c>
      <c r="AJ39" s="734">
        <f t="shared" si="145"/>
        <v>-1.2582384661473937E-2</v>
      </c>
      <c r="AK39" s="231">
        <f t="shared" si="145"/>
        <v>5.8859223300970875E-2</v>
      </c>
      <c r="AL39" s="231">
        <f t="shared" si="145"/>
        <v>0.10659025787965616</v>
      </c>
      <c r="AM39" s="276">
        <f t="shared" si="145"/>
        <v>-3.2042362025276959E-2</v>
      </c>
      <c r="AN39" s="734">
        <f t="shared" si="145"/>
        <v>-1.718781693156678E-2</v>
      </c>
      <c r="AO39" s="231">
        <f t="shared" si="145"/>
        <v>8.6009798584648883E-2</v>
      </c>
      <c r="AP39" s="247">
        <f t="shared" si="145"/>
        <v>7.7192982456140355E-2</v>
      </c>
      <c r="AQ39" s="276">
        <f t="shared" si="145"/>
        <v>-1.2098650535132619E-2</v>
      </c>
      <c r="AR39" s="734">
        <f t="shared" si="145"/>
        <v>-4.145077720207254E-2</v>
      </c>
      <c r="AS39" s="231">
        <f t="shared" si="145"/>
        <v>6.8796068796068794E-3</v>
      </c>
      <c r="AT39" s="247">
        <f t="shared" si="145"/>
        <v>6.4909712054660812E-2</v>
      </c>
      <c r="AU39" s="276">
        <f t="shared" si="145"/>
        <v>-4.995417048579285E-2</v>
      </c>
      <c r="AV39" s="734">
        <f t="shared" si="145"/>
        <v>-9.3584177520501688E-2</v>
      </c>
      <c r="AW39" s="231">
        <f t="shared" si="145"/>
        <v>8.7812666311868015E-2</v>
      </c>
      <c r="AX39" s="247">
        <f t="shared" si="145"/>
        <v>0.13649706457925637</v>
      </c>
      <c r="AY39" s="276">
        <f t="shared" si="145"/>
        <v>-1.4205768402927249E-2</v>
      </c>
      <c r="AZ39" s="734">
        <f t="shared" si="145"/>
        <v>-1.4847161572052401E-2</v>
      </c>
      <c r="BA39" s="231">
        <f t="shared" si="145"/>
        <v>6.8705673758865243E-2</v>
      </c>
      <c r="BB39" s="231">
        <f t="shared" si="145"/>
        <v>0.11903774367482373</v>
      </c>
      <c r="BC39" s="276">
        <f t="shared" si="145"/>
        <v>-6.0415122312824317E-2</v>
      </c>
      <c r="BD39" s="734">
        <f t="shared" si="145"/>
        <v>1.2228796844181459E-2</v>
      </c>
      <c r="BE39" s="748">
        <v>0.02</v>
      </c>
      <c r="BF39" s="748">
        <v>7.0000000000000007E-2</v>
      </c>
      <c r="BG39" s="747">
        <v>-3.5000000000000003E-2</v>
      </c>
      <c r="BH39" s="763">
        <v>-4.4999999999999998E-2</v>
      </c>
      <c r="BI39" s="748">
        <v>0.04</v>
      </c>
      <c r="BJ39" s="748">
        <v>7.0000000000000007E-2</v>
      </c>
      <c r="BK39" s="747">
        <v>-0.04</v>
      </c>
      <c r="BL39" s="763">
        <v>-4.4999999999999998E-2</v>
      </c>
      <c r="BM39" s="748">
        <v>0.04</v>
      </c>
      <c r="BN39" s="748">
        <v>7.0000000000000007E-2</v>
      </c>
      <c r="BO39" s="747">
        <v>-0.04</v>
      </c>
      <c r="BP39" s="657"/>
      <c r="BQ39" s="275"/>
      <c r="BR39" s="275"/>
      <c r="BS39" s="275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76"/>
      <c r="CG39" s="658"/>
      <c r="CH39" s="363"/>
    </row>
    <row r="40" spans="1:88" ht="14.25" customHeight="1">
      <c r="A40" s="672"/>
      <c r="B40" s="651" t="s">
        <v>499</v>
      </c>
      <c r="C40" s="274"/>
      <c r="D40" s="247"/>
      <c r="E40" s="247"/>
      <c r="F40" s="247"/>
      <c r="G40" s="77"/>
      <c r="H40" s="247"/>
      <c r="I40" s="247"/>
      <c r="J40" s="247"/>
      <c r="K40" s="77"/>
      <c r="L40" s="247"/>
      <c r="M40" s="247"/>
      <c r="N40" s="247"/>
      <c r="O40" s="76"/>
      <c r="P40" s="522"/>
      <c r="Q40" s="76"/>
      <c r="R40" s="76"/>
      <c r="S40" s="77"/>
      <c r="T40" s="76"/>
      <c r="U40" s="76"/>
      <c r="V40" s="76"/>
      <c r="W40" s="77"/>
      <c r="X40" s="247"/>
      <c r="Y40" s="247"/>
      <c r="Z40" s="247"/>
      <c r="AA40" s="76"/>
      <c r="AB40" s="522"/>
      <c r="AC40" s="76"/>
      <c r="AD40" s="231"/>
      <c r="AE40" s="77"/>
      <c r="AF40" s="76"/>
      <c r="AG40" s="231"/>
      <c r="AH40" s="231"/>
      <c r="AI40" s="276"/>
      <c r="AJ40" s="734"/>
      <c r="AK40" s="231"/>
      <c r="AL40" s="231"/>
      <c r="AM40" s="749">
        <f>+AI40</f>
        <v>0</v>
      </c>
      <c r="AN40" s="247">
        <f t="shared" ref="AN40:AQ40" si="146">AVERAGE(AJ39,AF39,AB39,X39,T50)</f>
        <v>-2.4658316756288268E-2</v>
      </c>
      <c r="AO40" s="247">
        <f t="shared" si="146"/>
        <v>9.51754094778616E-2</v>
      </c>
      <c r="AP40" s="247">
        <f t="shared" si="146"/>
        <v>7.2143273632865351E-2</v>
      </c>
      <c r="AQ40" s="749">
        <f t="shared" si="146"/>
        <v>7.3315114170831026E-4</v>
      </c>
      <c r="AR40" s="247">
        <f t="shared" ref="AR40:AS40" si="147">AVERAGE(AN39,AJ39,AF39,AB39,X39)</f>
        <v>1.1824279538037087E-2</v>
      </c>
      <c r="AS40" s="247">
        <f t="shared" si="147"/>
        <v>7.0482107349404827E-2</v>
      </c>
      <c r="AT40" s="247">
        <f t="shared" ref="AT40" si="148">AVERAGE(AP39,AL39,AH39,AD39,Z39)</f>
        <v>4.6757127856052204E-2</v>
      </c>
      <c r="AU40" s="749">
        <f t="shared" ref="AU40" si="149">AVERAGE(AQ39,AM39,AI39,AE39,AA39)</f>
        <v>-1.795370225298943E-2</v>
      </c>
      <c r="AV40" s="247">
        <f t="shared" ref="AV40" si="150">AVERAGE(AR39,AN39,AJ39,AF39,AB39)</f>
        <v>-1.2934601159701234E-2</v>
      </c>
      <c r="AW40" s="247">
        <f t="shared" ref="AW40" si="151">AVERAGE(AS39,AO39,AK39,AG39,AC39)</f>
        <v>5.0643690758976533E-2</v>
      </c>
      <c r="AX40" s="247">
        <f t="shared" ref="AX40" si="152">AVERAGE(AT39,AP39,AL39,AH39,AD39)</f>
        <v>5.061208614000022E-2</v>
      </c>
      <c r="AY40" s="749">
        <f t="shared" ref="AY40" si="153">AVERAGE(AU39,AQ39,AM39,AI39,AE39)</f>
        <v>-1.9974896881457305E-2</v>
      </c>
      <c r="AZ40" s="247">
        <f t="shared" ref="AZ40" si="154">AVERAGE(AV39,AR39,AN39,AJ39,AF39)</f>
        <v>-3.4022978165777859E-2</v>
      </c>
      <c r="BA40" s="247">
        <f t="shared" ref="BA40:BD40" si="155">AVERAGE(AW39,AS39,AO39,AK39,AG39)</f>
        <v>6.1435390688016803E-2</v>
      </c>
      <c r="BB40" s="247">
        <f t="shared" si="155"/>
        <v>8.1815781171720517E-2</v>
      </c>
      <c r="BC40" s="749">
        <f t="shared" si="155"/>
        <v>-4.0542447479191099E-2</v>
      </c>
      <c r="BD40" s="247">
        <f t="shared" si="155"/>
        <v>-3.5930463577533475E-2</v>
      </c>
      <c r="BE40" s="76">
        <f t="shared" ref="BE40" si="156">AVERAGE(BA39,AW39,AS39,AO39,AK39)</f>
        <v>6.1653393767191977E-2</v>
      </c>
      <c r="BF40" s="76">
        <f t="shared" ref="BF40" si="157">AVERAGE(BB39,AX39,AT39,AP39,AL39)</f>
        <v>0.10084555212890749</v>
      </c>
      <c r="BG40" s="77">
        <f t="shared" ref="BG40" si="158">AVERAGE(BC39,AY39,AU39,AQ39,AM39)</f>
        <v>-3.3743214752390796E-2</v>
      </c>
      <c r="BH40" s="522">
        <f t="shared" ref="BH40" si="159">AVERAGE(BD39,AZ39,AV39,AR39,AN39)</f>
        <v>-3.0968227276402395E-2</v>
      </c>
      <c r="BI40" s="76">
        <f t="shared" ref="BI40" si="160">AVERAGE(BE39,BA39,AW39,AS39,AO39)</f>
        <v>5.3881549106997807E-2</v>
      </c>
      <c r="BJ40" s="76">
        <f t="shared" ref="BJ40" si="161">AVERAGE(BF39,BB39,AX39,AT39,AP39)</f>
        <v>9.3527500552976248E-2</v>
      </c>
      <c r="BK40" s="77">
        <f t="shared" ref="BK40" si="162">AVERAGE(BG39,BC39,AY39,AU39,AQ39)</f>
        <v>-3.4334742347335405E-2</v>
      </c>
      <c r="BL40" s="522">
        <f t="shared" ref="BL40" si="163">AVERAGE(BH39,BD39,AZ39,AV39,AR39)</f>
        <v>-3.6530663890089035E-2</v>
      </c>
      <c r="BM40" s="76">
        <f t="shared" ref="BM40" si="164">AVERAGE(BI39,BE39,BA39,AW39,AS39)</f>
        <v>4.4679589390068025E-2</v>
      </c>
      <c r="BN40" s="76">
        <f t="shared" ref="BN40" si="165">AVERAGE(BJ39,BF39,BB39,AX39,AT39)</f>
        <v>9.2088904061748189E-2</v>
      </c>
      <c r="BO40" s="77">
        <f t="shared" ref="BO40" si="166">AVERAGE(BK39,BG39,BC39,AY39,AU39)</f>
        <v>-3.9915012240308884E-2</v>
      </c>
      <c r="BP40" s="657"/>
      <c r="BQ40" s="275"/>
      <c r="BR40" s="275"/>
      <c r="BS40" s="275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76"/>
      <c r="CG40" s="658"/>
      <c r="CH40" s="363"/>
    </row>
    <row r="41" spans="1:88" ht="14.25" customHeight="1">
      <c r="A41" s="672"/>
      <c r="B41" s="750" t="s">
        <v>269</v>
      </c>
      <c r="C41" s="277"/>
      <c r="D41" s="247"/>
      <c r="E41" s="247"/>
      <c r="F41" s="247"/>
      <c r="G41" s="77"/>
      <c r="H41" s="247"/>
      <c r="I41" s="247"/>
      <c r="J41" s="247"/>
      <c r="K41" s="77"/>
      <c r="L41" s="247"/>
      <c r="M41" s="247"/>
      <c r="N41" s="247"/>
      <c r="O41" s="76"/>
      <c r="P41" s="522">
        <f t="shared" ref="P41:BC41" si="167">P38/L38-1</f>
        <v>0.10923623445825936</v>
      </c>
      <c r="Q41" s="76">
        <f t="shared" si="167"/>
        <v>9.0206185567010211E-2</v>
      </c>
      <c r="R41" s="76">
        <f t="shared" si="167"/>
        <v>-1.3975155279503104E-2</v>
      </c>
      <c r="S41" s="77">
        <f t="shared" si="167"/>
        <v>-0.22204968944099379</v>
      </c>
      <c r="T41" s="76">
        <f t="shared" si="167"/>
        <v>-0.35788630904723784</v>
      </c>
      <c r="U41" s="76">
        <f t="shared" si="167"/>
        <v>-0.23561859732072499</v>
      </c>
      <c r="V41" s="76">
        <f t="shared" si="167"/>
        <v>-8.0314960629921273E-2</v>
      </c>
      <c r="W41" s="77">
        <f t="shared" si="167"/>
        <v>0.26047904191616778</v>
      </c>
      <c r="X41" s="247">
        <f t="shared" si="167"/>
        <v>0.70448877805486276</v>
      </c>
      <c r="Y41" s="247">
        <f t="shared" si="167"/>
        <v>0.55876288659793816</v>
      </c>
      <c r="Z41" s="247">
        <f t="shared" si="167"/>
        <v>0.35359589041095885</v>
      </c>
      <c r="AA41" s="76">
        <f t="shared" si="167"/>
        <v>0.20190023752969122</v>
      </c>
      <c r="AB41" s="522">
        <f t="shared" si="167"/>
        <v>0.12362838332114112</v>
      </c>
      <c r="AC41" s="76">
        <f t="shared" si="167"/>
        <v>5.0264550264550234E-2</v>
      </c>
      <c r="AD41" s="231">
        <f t="shared" si="167"/>
        <v>-1.5180265654648917E-2</v>
      </c>
      <c r="AE41" s="77">
        <f t="shared" si="167"/>
        <v>0.11660079051383399</v>
      </c>
      <c r="AF41" s="76">
        <f t="shared" si="167"/>
        <v>9.765625E-2</v>
      </c>
      <c r="AG41" s="231">
        <f t="shared" si="167"/>
        <v>0.13350125944584379</v>
      </c>
      <c r="AH41" s="231">
        <f t="shared" si="167"/>
        <v>0.18368657675016054</v>
      </c>
      <c r="AI41" s="276">
        <f t="shared" si="167"/>
        <v>-1.5339233038348055E-2</v>
      </c>
      <c r="AJ41" s="734">
        <f t="shared" si="167"/>
        <v>-2.2538552787663146E-2</v>
      </c>
      <c r="AK41" s="231">
        <f t="shared" si="167"/>
        <v>-3.0555555555555558E-2</v>
      </c>
      <c r="AL41" s="231">
        <f t="shared" si="167"/>
        <v>4.77482365708084E-2</v>
      </c>
      <c r="AM41" s="276">
        <f t="shared" si="167"/>
        <v>0.1199078483697964</v>
      </c>
      <c r="AN41" s="734">
        <f t="shared" si="167"/>
        <v>0.11468446601941751</v>
      </c>
      <c r="AO41" s="231">
        <f t="shared" si="167"/>
        <v>0.14326647564469908</v>
      </c>
      <c r="AP41" s="275">
        <f t="shared" si="167"/>
        <v>0.11289487312273438</v>
      </c>
      <c r="AQ41" s="276">
        <f t="shared" si="167"/>
        <v>0.13582485827669233</v>
      </c>
      <c r="AR41" s="734">
        <f>AR38/AN38-1</f>
        <v>0.10778443113772451</v>
      </c>
      <c r="AS41" s="231">
        <f t="shared" si="167"/>
        <v>2.7067669172932352E-2</v>
      </c>
      <c r="AT41" s="275">
        <f t="shared" si="167"/>
        <v>1.5355979525360608E-2</v>
      </c>
      <c r="AU41" s="276">
        <f t="shared" si="167"/>
        <v>-2.3551577955723046E-2</v>
      </c>
      <c r="AV41" s="734">
        <f>AV38/AR38-1</f>
        <v>-7.6658476658476693E-2</v>
      </c>
      <c r="AW41" s="231">
        <f t="shared" si="167"/>
        <v>-2.4402147388969953E-3</v>
      </c>
      <c r="AX41" s="275">
        <f t="shared" si="167"/>
        <v>6.461961503208058E-2</v>
      </c>
      <c r="AY41" s="276">
        <f t="shared" si="167"/>
        <v>0.10467920887602511</v>
      </c>
      <c r="AZ41" s="734">
        <f>AZ38/AV38-1</f>
        <v>0.20063863757317724</v>
      </c>
      <c r="BA41" s="231">
        <f t="shared" si="167"/>
        <v>0.17954990215264188</v>
      </c>
      <c r="BB41" s="231">
        <f t="shared" si="167"/>
        <v>0.16142918639690063</v>
      </c>
      <c r="BC41" s="276">
        <f t="shared" si="167"/>
        <v>0.10698689956331875</v>
      </c>
      <c r="BD41" s="734">
        <f>BD38/AZ38-1</f>
        <v>0.13741134751773054</v>
      </c>
      <c r="BE41" s="231">
        <f t="shared" ref="BE41:BG41" si="168">BE38/BA38-1</f>
        <v>8.5574450435504046E-2</v>
      </c>
      <c r="BF41" s="231">
        <f t="shared" si="168"/>
        <v>3.8003113417346412E-2</v>
      </c>
      <c r="BG41" s="276">
        <f t="shared" si="168"/>
        <v>6.6080381065088956E-2</v>
      </c>
      <c r="BH41" s="734">
        <f t="shared" ref="BH41" si="169">BH38/BD38-1</f>
        <v>5.8069550000001691E-3</v>
      </c>
      <c r="BI41" s="231">
        <f t="shared" ref="BI41" si="170">BI38/BE38-1</f>
        <v>2.5528660000000203E-2</v>
      </c>
      <c r="BJ41" s="231">
        <f t="shared" ref="BJ41" si="171">BJ38/BF38-1</f>
        <v>2.5528659999999981E-2</v>
      </c>
      <c r="BK41" s="276">
        <f t="shared" ref="BK41" si="172">BK38/BG38-1</f>
        <v>2.0215040000000073E-2</v>
      </c>
      <c r="BL41" s="734">
        <f t="shared" ref="BL41" si="173">BL38/BH38-1</f>
        <v>2.0215039999999851E-2</v>
      </c>
      <c r="BM41" s="231">
        <f t="shared" ref="BM41" si="174">BM38/BI38-1</f>
        <v>2.0215039999999851E-2</v>
      </c>
      <c r="BN41" s="231">
        <f t="shared" ref="BN41" si="175">BN38/BJ38-1</f>
        <v>2.0215040000000073E-2</v>
      </c>
      <c r="BO41" s="276">
        <f t="shared" ref="BO41" si="176">BO38/BK38-1</f>
        <v>2.0215040000000073E-2</v>
      </c>
      <c r="BP41" s="657"/>
      <c r="BQ41" s="275"/>
      <c r="BR41" s="751"/>
      <c r="BS41" s="751" t="str">
        <f t="shared" ref="BS41:CE41" si="177">IF(ISERROR(BS38/BR38-1),"NA",BS38/BR38-1)</f>
        <v>NA</v>
      </c>
      <c r="BT41" s="752">
        <f t="shared" si="177"/>
        <v>-1.5618577887381857E-2</v>
      </c>
      <c r="BU41" s="752">
        <f t="shared" si="177"/>
        <v>-0.12254697286012528</v>
      </c>
      <c r="BV41" s="752">
        <f t="shared" si="177"/>
        <v>0.42231739233880572</v>
      </c>
      <c r="BW41" s="752">
        <f t="shared" si="177"/>
        <v>6.6577450652392178E-2</v>
      </c>
      <c r="BX41" s="752">
        <f t="shared" si="177"/>
        <v>9.7553324968632449E-2</v>
      </c>
      <c r="BY41" s="752">
        <f t="shared" si="177"/>
        <v>2.788313788642327E-2</v>
      </c>
      <c r="BZ41" s="752">
        <f t="shared" si="177"/>
        <v>0.1266311442174346</v>
      </c>
      <c r="CA41" s="752">
        <f t="shared" si="177"/>
        <v>2.8998025666337579E-2</v>
      </c>
      <c r="CB41" s="752">
        <f t="shared" si="177"/>
        <v>2.3623935723707801E-2</v>
      </c>
      <c r="CC41" s="752">
        <f t="shared" si="177"/>
        <v>0.15979381443298979</v>
      </c>
      <c r="CD41" s="752">
        <f t="shared" si="177"/>
        <v>7.943092585858591E-2</v>
      </c>
      <c r="CE41" s="752">
        <f t="shared" si="177"/>
        <v>1.9449322532228308E-2</v>
      </c>
      <c r="CF41" s="753">
        <f>IF(ISERROR(CF38/CE38-1),"NA",CF38/CE38-1)</f>
        <v>2.0215040000000073E-2</v>
      </c>
      <c r="CG41" s="658"/>
      <c r="CH41" s="363"/>
    </row>
    <row r="42" spans="1:88" ht="14.25" customHeight="1">
      <c r="A42" s="672"/>
      <c r="B42" s="651" t="s">
        <v>270</v>
      </c>
      <c r="C42" s="274"/>
      <c r="D42" s="754"/>
      <c r="E42" s="754"/>
      <c r="F42" s="754"/>
      <c r="G42" s="79"/>
      <c r="H42" s="754"/>
      <c r="I42" s="754"/>
      <c r="J42" s="754"/>
      <c r="K42" s="79"/>
      <c r="L42" s="247">
        <f>L38/L$14</f>
        <v>0.35286743967408335</v>
      </c>
      <c r="M42" s="247">
        <f t="shared" ref="M42:AQ42" si="178">M38/M$14</f>
        <v>0.33995327102803741</v>
      </c>
      <c r="N42" s="247">
        <f t="shared" si="178"/>
        <v>0.35162435162435163</v>
      </c>
      <c r="O42" s="76">
        <f t="shared" si="178"/>
        <v>0.36220472440944884</v>
      </c>
      <c r="P42" s="522">
        <f t="shared" si="178"/>
        <v>0.38172371638141811</v>
      </c>
      <c r="Q42" s="76">
        <f t="shared" si="178"/>
        <v>0.37869292748433303</v>
      </c>
      <c r="R42" s="76">
        <f t="shared" si="178"/>
        <v>0.37496309418364332</v>
      </c>
      <c r="S42" s="77">
        <f t="shared" si="178"/>
        <v>0.40224809313528703</v>
      </c>
      <c r="T42" s="76">
        <f t="shared" si="178"/>
        <v>0.38446788111217639</v>
      </c>
      <c r="U42" s="76">
        <f t="shared" si="178"/>
        <v>0.39479039479039479</v>
      </c>
      <c r="V42" s="76">
        <f t="shared" si="178"/>
        <v>0.40555555555555556</v>
      </c>
      <c r="W42" s="77">
        <f t="shared" si="178"/>
        <v>0.42029950083194678</v>
      </c>
      <c r="X42" s="247">
        <f t="shared" si="178"/>
        <v>0.42652106084243369</v>
      </c>
      <c r="Y42" s="247">
        <f t="shared" si="178"/>
        <v>0.43249427917620137</v>
      </c>
      <c r="Z42" s="247">
        <f t="shared" si="178"/>
        <v>0.42272727272727273</v>
      </c>
      <c r="AA42" s="76">
        <f t="shared" si="178"/>
        <v>0.43063829787234043</v>
      </c>
      <c r="AB42" s="522">
        <f t="shared" si="178"/>
        <v>0.45283018867924529</v>
      </c>
      <c r="AC42" s="76">
        <f t="shared" si="178"/>
        <v>0.45922498554077501</v>
      </c>
      <c r="AD42" s="76">
        <f t="shared" si="178"/>
        <v>0.44922100403923831</v>
      </c>
      <c r="AE42" s="77">
        <f t="shared" si="178"/>
        <v>0.49561403508771928</v>
      </c>
      <c r="AF42" s="76">
        <f t="shared" si="178"/>
        <v>0.54021147068247355</v>
      </c>
      <c r="AG42" s="76">
        <f t="shared" si="178"/>
        <v>0.53973013493253374</v>
      </c>
      <c r="AH42" s="76">
        <f t="shared" si="178"/>
        <v>0.54365781710914451</v>
      </c>
      <c r="AI42" s="77">
        <f t="shared" si="178"/>
        <v>0.56025511916750592</v>
      </c>
      <c r="AJ42" s="522">
        <f t="shared" si="178"/>
        <v>0.57123050259965336</v>
      </c>
      <c r="AK42" s="76">
        <f t="shared" si="178"/>
        <v>0.57269445356087956</v>
      </c>
      <c r="AL42" s="76">
        <f t="shared" si="178"/>
        <v>0.595252774352651</v>
      </c>
      <c r="AM42" s="77">
        <f t="shared" si="178"/>
        <v>0.61725505350145349</v>
      </c>
      <c r="AN42" s="522">
        <f>AN38/AN$14</f>
        <v>0.61592663225772681</v>
      </c>
      <c r="AO42" s="76">
        <f>AO38/AO$14</f>
        <v>0.60606607319894512</v>
      </c>
      <c r="AP42" s="247">
        <f t="shared" si="178"/>
        <v>0.61375611936072327</v>
      </c>
      <c r="AQ42" s="77">
        <f t="shared" si="178"/>
        <v>0.64943407769960237</v>
      </c>
      <c r="AR42" s="522">
        <f t="shared" ref="AR42:AX42" si="179">AR38/AR$14</f>
        <v>0.64603174603174607</v>
      </c>
      <c r="AS42" s="76">
        <f t="shared" si="179"/>
        <v>0.61477211183124603</v>
      </c>
      <c r="AT42" s="247">
        <f t="shared" si="179"/>
        <v>0.63552069663904365</v>
      </c>
      <c r="AU42" s="77">
        <f t="shared" si="179"/>
        <v>0.65002409747466439</v>
      </c>
      <c r="AV42" s="522">
        <f t="shared" si="179"/>
        <v>0.62475255471355573</v>
      </c>
      <c r="AW42" s="76">
        <f t="shared" si="179"/>
        <v>0.6245816115547298</v>
      </c>
      <c r="AX42" s="247">
        <f t="shared" si="179"/>
        <v>0.63217667429830016</v>
      </c>
      <c r="AY42" s="77">
        <f t="shared" ref="AY42:BA42" si="180">AY38/AY$14</f>
        <v>0.67078026203706764</v>
      </c>
      <c r="AZ42" s="522">
        <f t="shared" si="180"/>
        <v>0.66311461496878532</v>
      </c>
      <c r="BA42" s="76">
        <f t="shared" si="180"/>
        <v>0.65283303824924577</v>
      </c>
      <c r="BB42" s="76">
        <f t="shared" ref="BB42:BD42" si="181">BB38/BB$14</f>
        <v>0.65549076773566572</v>
      </c>
      <c r="BC42" s="77">
        <f t="shared" si="181"/>
        <v>0.67596235387532033</v>
      </c>
      <c r="BD42" s="522">
        <f t="shared" si="181"/>
        <v>0.67725346969998867</v>
      </c>
      <c r="BE42" s="76">
        <f t="shared" ref="BE42:BG42" si="182">BE38/BE$14</f>
        <v>0.66355733475543999</v>
      </c>
      <c r="BF42" s="76">
        <f t="shared" si="182"/>
        <v>0.6672680790379939</v>
      </c>
      <c r="BG42" s="77">
        <f t="shared" si="182"/>
        <v>0.68337782462943686</v>
      </c>
      <c r="BH42" s="522">
        <f t="shared" ref="BH42:BK42" si="183">BH38/BH$14</f>
        <v>0.67025793071309847</v>
      </c>
      <c r="BI42" s="76">
        <f t="shared" si="183"/>
        <v>0.65636650351238057</v>
      </c>
      <c r="BJ42" s="76">
        <f t="shared" si="183"/>
        <v>0.66164533055669528</v>
      </c>
      <c r="BK42" s="77">
        <f t="shared" si="183"/>
        <v>0.67629884817135644</v>
      </c>
      <c r="BL42" s="522">
        <f t="shared" ref="BL42:BO42" si="184">BL38/BL$14</f>
        <v>0.66256586984470911</v>
      </c>
      <c r="BM42" s="76">
        <f t="shared" si="184"/>
        <v>0.64902606543664143</v>
      </c>
      <c r="BN42" s="76">
        <f t="shared" si="184"/>
        <v>0.65462199675663824</v>
      </c>
      <c r="BO42" s="77">
        <f t="shared" si="184"/>
        <v>0.66874284442923959</v>
      </c>
      <c r="BP42" s="657"/>
      <c r="BQ42" s="275"/>
      <c r="BR42" s="751" t="e">
        <f t="shared" ref="BR42:BZ42" si="185">BR38/BR$14</f>
        <v>#DIV/0!</v>
      </c>
      <c r="BS42" s="751">
        <f t="shared" si="185"/>
        <v>0.35174208471880875</v>
      </c>
      <c r="BT42" s="752">
        <f t="shared" si="185"/>
        <v>0.38316934645228384</v>
      </c>
      <c r="BU42" s="752">
        <f t="shared" si="185"/>
        <v>0.40304948216340619</v>
      </c>
      <c r="BV42" s="752">
        <f t="shared" si="185"/>
        <v>0.42803952455964484</v>
      </c>
      <c r="BW42" s="752">
        <f t="shared" si="185"/>
        <v>0.46418171228887595</v>
      </c>
      <c r="BX42" s="752">
        <f t="shared" si="185"/>
        <v>0.54565302144249517</v>
      </c>
      <c r="BY42" s="752">
        <f t="shared" si="185"/>
        <v>0.5894011649568428</v>
      </c>
      <c r="BZ42" s="752">
        <f t="shared" si="185"/>
        <v>0.62125280356215773</v>
      </c>
      <c r="CA42" s="752">
        <f t="shared" ref="CA42:CF42" si="186">CA38/CA$14</f>
        <v>0.63629968084124988</v>
      </c>
      <c r="CB42" s="752">
        <f t="shared" si="186"/>
        <v>0.63850531832213953</v>
      </c>
      <c r="CC42" s="752">
        <f t="shared" si="186"/>
        <v>0.66169969426560682</v>
      </c>
      <c r="CD42" s="752">
        <f t="shared" si="186"/>
        <v>0.67273898932887222</v>
      </c>
      <c r="CE42" s="752">
        <f t="shared" si="186"/>
        <v>0.66600516969016832</v>
      </c>
      <c r="CF42" s="753">
        <f t="shared" si="186"/>
        <v>0.87460520761537353</v>
      </c>
      <c r="CG42" s="658"/>
      <c r="CH42" s="363"/>
    </row>
    <row r="43" spans="1:88" ht="14.25" hidden="1" customHeight="1" outlineLevel="2">
      <c r="A43" s="672"/>
      <c r="B43" s="705"/>
      <c r="C43" s="268"/>
      <c r="D43" s="685"/>
      <c r="E43" s="685"/>
      <c r="F43" s="685"/>
      <c r="G43" s="686"/>
      <c r="H43" s="685"/>
      <c r="I43" s="685"/>
      <c r="J43" s="685"/>
      <c r="K43" s="686"/>
      <c r="L43" s="687"/>
      <c r="M43" s="687"/>
      <c r="N43" s="687"/>
      <c r="O43" s="687"/>
      <c r="P43" s="688"/>
      <c r="Q43" s="687"/>
      <c r="R43" s="687"/>
      <c r="S43" s="689"/>
      <c r="T43" s="687"/>
      <c r="U43" s="687"/>
      <c r="V43" s="687"/>
      <c r="W43" s="689"/>
      <c r="X43" s="687"/>
      <c r="Y43" s="687"/>
      <c r="Z43" s="687"/>
      <c r="AA43" s="687"/>
      <c r="AB43" s="688"/>
      <c r="AC43" s="687"/>
      <c r="AD43" s="687"/>
      <c r="AE43" s="689"/>
      <c r="AF43" s="687"/>
      <c r="AG43" s="687"/>
      <c r="AH43" s="687"/>
      <c r="AI43" s="689"/>
      <c r="AJ43" s="688"/>
      <c r="AK43" s="687"/>
      <c r="AL43" s="687"/>
      <c r="AM43" s="689"/>
      <c r="AN43" s="687"/>
      <c r="AO43" s="687"/>
      <c r="AP43" s="687"/>
      <c r="AQ43" s="689"/>
      <c r="AR43" s="687"/>
      <c r="AS43" s="687"/>
      <c r="AT43" s="687"/>
      <c r="AU43" s="689"/>
      <c r="AV43" s="687"/>
      <c r="AW43" s="687"/>
      <c r="AX43" s="687"/>
      <c r="AY43" s="689"/>
      <c r="AZ43" s="687"/>
      <c r="BA43" s="687"/>
      <c r="BB43" s="687"/>
      <c r="BC43" s="689"/>
      <c r="BD43" s="688"/>
      <c r="BE43" s="687"/>
      <c r="BF43" s="687"/>
      <c r="BG43" s="689"/>
      <c r="BH43" s="688"/>
      <c r="BI43" s="687"/>
      <c r="BJ43" s="687"/>
      <c r="BK43" s="689"/>
      <c r="BL43" s="688"/>
      <c r="BM43" s="687"/>
      <c r="BN43" s="687"/>
      <c r="BO43" s="689"/>
      <c r="BP43" s="657"/>
      <c r="BQ43" s="273"/>
      <c r="BR43" s="690"/>
      <c r="BS43" s="273"/>
      <c r="BT43" s="273"/>
      <c r="BU43" s="273"/>
      <c r="BV43" s="273"/>
      <c r="BW43" s="273"/>
      <c r="BX43" s="273"/>
      <c r="BY43" s="273"/>
      <c r="BZ43" s="273"/>
      <c r="CA43" s="273"/>
      <c r="CB43" s="273"/>
      <c r="CC43" s="273"/>
      <c r="CD43" s="273"/>
      <c r="CE43" s="273"/>
      <c r="CF43" s="717"/>
      <c r="CG43" s="658"/>
      <c r="CH43" s="363"/>
    </row>
    <row r="44" spans="1:88" ht="14.25" hidden="1" customHeight="1" outlineLevel="2">
      <c r="A44" s="672"/>
      <c r="B44" s="755" t="s">
        <v>530</v>
      </c>
      <c r="C44" s="274"/>
      <c r="D44" s="78"/>
      <c r="E44" s="78"/>
      <c r="F44" s="78"/>
      <c r="G44" s="79"/>
      <c r="H44" s="78"/>
      <c r="I44" s="78"/>
      <c r="J44" s="78"/>
      <c r="K44" s="79"/>
      <c r="L44" s="632">
        <v>0</v>
      </c>
      <c r="M44" s="632">
        <v>456</v>
      </c>
      <c r="N44" s="632">
        <v>472</v>
      </c>
      <c r="O44" s="632">
        <v>499</v>
      </c>
      <c r="P44" s="742">
        <v>0</v>
      </c>
      <c r="Q44" s="632">
        <v>462</v>
      </c>
      <c r="R44" s="632">
        <v>466</v>
      </c>
      <c r="S44" s="743">
        <v>422</v>
      </c>
      <c r="T44" s="632">
        <v>0</v>
      </c>
      <c r="U44" s="632">
        <v>281</v>
      </c>
      <c r="V44" s="632">
        <v>314</v>
      </c>
      <c r="W44" s="743">
        <v>345</v>
      </c>
      <c r="X44" s="632">
        <v>368</v>
      </c>
      <c r="Y44" s="632">
        <v>404</v>
      </c>
      <c r="Z44" s="632">
        <v>401</v>
      </c>
      <c r="AA44" s="632">
        <v>373</v>
      </c>
      <c r="AB44" s="742">
        <v>358</v>
      </c>
      <c r="AC44" s="632">
        <v>383</v>
      </c>
      <c r="AD44" s="632">
        <v>333</v>
      </c>
      <c r="AE44" s="743">
        <f>+AD44*0.9</f>
        <v>299.7</v>
      </c>
      <c r="AF44" s="756">
        <f>AE44*1.02</f>
        <v>305.69400000000002</v>
      </c>
      <c r="AG44" s="687">
        <f>+AF44*(1+AG45)</f>
        <v>305.69400000000002</v>
      </c>
      <c r="AH44" s="687">
        <f t="shared" ref="AH44:AU44" si="187">AG44*(1+AH45)</f>
        <v>296.52318000000002</v>
      </c>
      <c r="AI44" s="689">
        <f>AI38-AI49</f>
        <v>246.24132559999998</v>
      </c>
      <c r="AJ44" s="757">
        <f t="shared" si="187"/>
        <v>246.24132559999998</v>
      </c>
      <c r="AK44" s="687">
        <f t="shared" si="187"/>
        <v>275.79028467199998</v>
      </c>
      <c r="AL44" s="687">
        <f t="shared" si="187"/>
        <v>303.36931313920002</v>
      </c>
      <c r="AM44" s="689">
        <f t="shared" si="187"/>
        <v>290.32443267421439</v>
      </c>
      <c r="AN44" s="758">
        <f t="shared" si="187"/>
        <v>290.32443267421439</v>
      </c>
      <c r="AO44" s="687">
        <f t="shared" si="187"/>
        <v>316.45363161489371</v>
      </c>
      <c r="AP44" s="687">
        <f t="shared" si="187"/>
        <v>344.93445846023417</v>
      </c>
      <c r="AQ44" s="689">
        <f t="shared" si="187"/>
        <v>344.93445846023417</v>
      </c>
      <c r="AR44" s="758">
        <f>AQ44*(1+AR45)</f>
        <v>331.13708012182479</v>
      </c>
      <c r="AS44" s="687">
        <f t="shared" si="187"/>
        <v>360.93941733278905</v>
      </c>
      <c r="AT44" s="687">
        <f>AS44*(1+AT45)</f>
        <v>393.42396489274012</v>
      </c>
      <c r="AU44" s="689">
        <f t="shared" si="187"/>
        <v>393.42396489274012</v>
      </c>
      <c r="AV44" s="758"/>
      <c r="AW44" s="687"/>
      <c r="AX44" s="687"/>
      <c r="AY44" s="689"/>
      <c r="AZ44" s="758"/>
      <c r="BA44" s="687"/>
      <c r="BB44" s="687"/>
      <c r="BC44" s="689"/>
      <c r="BD44" s="757"/>
      <c r="BE44" s="687"/>
      <c r="BF44" s="687"/>
      <c r="BG44" s="689"/>
      <c r="BH44" s="757"/>
      <c r="BI44" s="687"/>
      <c r="BJ44" s="687"/>
      <c r="BK44" s="689"/>
      <c r="BL44" s="757"/>
      <c r="BM44" s="687"/>
      <c r="BN44" s="687"/>
      <c r="BO44" s="689"/>
      <c r="BP44" s="652"/>
      <c r="BQ44" s="297"/>
      <c r="BR44" s="8"/>
      <c r="BS44" s="690">
        <v>0</v>
      </c>
      <c r="BT44" s="63">
        <v>0</v>
      </c>
      <c r="BU44" s="63">
        <v>0</v>
      </c>
      <c r="BV44" s="63">
        <v>0</v>
      </c>
      <c r="BW44" s="63">
        <f>18+AE44</f>
        <v>317.7</v>
      </c>
      <c r="BX44" s="63">
        <f>SUM(AF44:AI44)</f>
        <v>1154.1525056</v>
      </c>
      <c r="BY44" s="63">
        <f>SUM(AJ44:AM44)</f>
        <v>1115.7253560854144</v>
      </c>
      <c r="BZ44" s="63">
        <f>+SUM(AN44:AQ44)</f>
        <v>1296.6469812095766</v>
      </c>
      <c r="CA44" s="63">
        <f>+SUM(AR44:AU44)</f>
        <v>1478.924427240094</v>
      </c>
      <c r="CB44" s="63"/>
      <c r="CC44" s="63"/>
      <c r="CD44" s="63"/>
      <c r="CE44" s="63"/>
      <c r="CF44" s="64"/>
      <c r="CG44" s="658"/>
      <c r="CH44" s="363"/>
    </row>
    <row r="45" spans="1:88" ht="14.25" hidden="1" customHeight="1" outlineLevel="2">
      <c r="A45" s="672"/>
      <c r="B45" s="759" t="s">
        <v>268</v>
      </c>
      <c r="C45" s="274"/>
      <c r="D45" s="76"/>
      <c r="E45" s="76"/>
      <c r="F45" s="76"/>
      <c r="G45" s="77"/>
      <c r="H45" s="76"/>
      <c r="I45" s="76"/>
      <c r="J45" s="76"/>
      <c r="K45" s="77"/>
      <c r="L45" s="46"/>
      <c r="M45" s="46" t="str">
        <f t="shared" ref="M45:AF45" si="188">IF(ISERROR(M44/L44-1),"NA",M44/L44-1)</f>
        <v>NA</v>
      </c>
      <c r="N45" s="46">
        <f t="shared" si="188"/>
        <v>3.5087719298245723E-2</v>
      </c>
      <c r="O45" s="46">
        <f t="shared" si="188"/>
        <v>5.7203389830508433E-2</v>
      </c>
      <c r="P45" s="760">
        <f t="shared" si="188"/>
        <v>-1</v>
      </c>
      <c r="Q45" s="46" t="str">
        <f t="shared" si="188"/>
        <v>NA</v>
      </c>
      <c r="R45" s="46">
        <f t="shared" si="188"/>
        <v>8.6580086580085869E-3</v>
      </c>
      <c r="S45" s="749">
        <f t="shared" si="188"/>
        <v>-9.4420600858369119E-2</v>
      </c>
      <c r="T45" s="46">
        <f t="shared" si="188"/>
        <v>-1</v>
      </c>
      <c r="U45" s="46" t="str">
        <f t="shared" si="188"/>
        <v>NA</v>
      </c>
      <c r="V45" s="46">
        <f t="shared" si="188"/>
        <v>0.11743772241992878</v>
      </c>
      <c r="W45" s="749">
        <f t="shared" si="188"/>
        <v>9.8726114649681618E-2</v>
      </c>
      <c r="X45" s="46">
        <f t="shared" si="188"/>
        <v>6.6666666666666652E-2</v>
      </c>
      <c r="Y45" s="46">
        <f t="shared" si="188"/>
        <v>9.7826086956521729E-2</v>
      </c>
      <c r="Z45" s="46">
        <f t="shared" si="188"/>
        <v>-7.4257425742574323E-3</v>
      </c>
      <c r="AA45" s="46">
        <f t="shared" si="188"/>
        <v>-6.9825436408977537E-2</v>
      </c>
      <c r="AB45" s="760">
        <f t="shared" si="188"/>
        <v>-4.0214477211796273E-2</v>
      </c>
      <c r="AC45" s="46">
        <f t="shared" si="188"/>
        <v>6.9832402234636826E-2</v>
      </c>
      <c r="AD45" s="46">
        <f t="shared" si="188"/>
        <v>-0.13054830287206265</v>
      </c>
      <c r="AE45" s="749">
        <f t="shared" si="188"/>
        <v>-0.10000000000000009</v>
      </c>
      <c r="AF45" s="46">
        <f t="shared" si="188"/>
        <v>2.0000000000000018E-2</v>
      </c>
      <c r="AG45" s="761">
        <v>0</v>
      </c>
      <c r="AH45" s="761">
        <v>-0.03</v>
      </c>
      <c r="AI45" s="762">
        <v>-0.09</v>
      </c>
      <c r="AJ45" s="763">
        <v>0</v>
      </c>
      <c r="AK45" s="748">
        <v>0.12</v>
      </c>
      <c r="AL45" s="748">
        <v>0.1</v>
      </c>
      <c r="AM45" s="747">
        <v>-4.2999999999999997E-2</v>
      </c>
      <c r="AN45" s="748">
        <v>0</v>
      </c>
      <c r="AO45" s="748">
        <v>0.09</v>
      </c>
      <c r="AP45" s="748">
        <v>0.09</v>
      </c>
      <c r="AQ45" s="747">
        <v>0</v>
      </c>
      <c r="AR45" s="748">
        <v>-0.04</v>
      </c>
      <c r="AS45" s="748">
        <v>0.09</v>
      </c>
      <c r="AT45" s="748">
        <v>0.09</v>
      </c>
      <c r="AU45" s="747">
        <v>0</v>
      </c>
      <c r="AV45" s="748"/>
      <c r="AW45" s="748"/>
      <c r="AX45" s="748"/>
      <c r="AY45" s="747"/>
      <c r="AZ45" s="1160"/>
      <c r="BA45" s="1160"/>
      <c r="BB45" s="1160"/>
      <c r="BC45" s="747"/>
      <c r="BD45" s="891"/>
      <c r="BE45" s="761"/>
      <c r="BF45" s="761"/>
      <c r="BG45" s="762"/>
      <c r="BH45" s="891"/>
      <c r="BI45" s="761"/>
      <c r="BJ45" s="761"/>
      <c r="BK45" s="762"/>
      <c r="BL45" s="891"/>
      <c r="BM45" s="761"/>
      <c r="BN45" s="761"/>
      <c r="BO45" s="762"/>
      <c r="BP45" s="652"/>
      <c r="BQ45" s="734"/>
      <c r="BR45" s="275"/>
      <c r="BS45" s="275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76"/>
      <c r="CG45" s="658"/>
      <c r="CH45" s="363"/>
    </row>
    <row r="46" spans="1:88" ht="14.25" hidden="1" customHeight="1" outlineLevel="2">
      <c r="A46" s="672"/>
      <c r="B46" s="764" t="s">
        <v>269</v>
      </c>
      <c r="C46" s="277"/>
      <c r="D46" s="76"/>
      <c r="E46" s="76"/>
      <c r="F46" s="76"/>
      <c r="G46" s="77"/>
      <c r="H46" s="76"/>
      <c r="I46" s="76"/>
      <c r="J46" s="76"/>
      <c r="K46" s="77"/>
      <c r="L46" s="46"/>
      <c r="M46" s="46"/>
      <c r="N46" s="46"/>
      <c r="O46" s="46"/>
      <c r="P46" s="760" t="str">
        <f t="shared" ref="P46:AU46" si="189">IF(ISERROR(P44/L44-1),"NA",P44/L44-1)</f>
        <v>NA</v>
      </c>
      <c r="Q46" s="46">
        <f t="shared" si="189"/>
        <v>1.3157894736842035E-2</v>
      </c>
      <c r="R46" s="46">
        <f t="shared" si="189"/>
        <v>-1.2711864406779627E-2</v>
      </c>
      <c r="S46" s="749">
        <f t="shared" si="189"/>
        <v>-0.15430861723446898</v>
      </c>
      <c r="T46" s="46" t="str">
        <f t="shared" si="189"/>
        <v>NA</v>
      </c>
      <c r="U46" s="46">
        <f t="shared" si="189"/>
        <v>-0.39177489177489178</v>
      </c>
      <c r="V46" s="46">
        <f t="shared" si="189"/>
        <v>-0.32618025751072965</v>
      </c>
      <c r="W46" s="749">
        <f t="shared" si="189"/>
        <v>-0.18246445497630337</v>
      </c>
      <c r="X46" s="46" t="str">
        <f t="shared" si="189"/>
        <v>NA</v>
      </c>
      <c r="Y46" s="46">
        <f t="shared" si="189"/>
        <v>0.43772241992882566</v>
      </c>
      <c r="Z46" s="46">
        <f t="shared" si="189"/>
        <v>0.27707006369426757</v>
      </c>
      <c r="AA46" s="46">
        <f t="shared" si="189"/>
        <v>8.1159420289855122E-2</v>
      </c>
      <c r="AB46" s="760">
        <f t="shared" si="189"/>
        <v>-2.7173913043478271E-2</v>
      </c>
      <c r="AC46" s="46">
        <f t="shared" si="189"/>
        <v>-5.1980198019802026E-2</v>
      </c>
      <c r="AD46" s="46">
        <f t="shared" si="189"/>
        <v>-0.16957605985037405</v>
      </c>
      <c r="AE46" s="749">
        <f t="shared" si="189"/>
        <v>-0.19651474530831103</v>
      </c>
      <c r="AF46" s="46">
        <f t="shared" si="189"/>
        <v>-0.14610614525139665</v>
      </c>
      <c r="AG46" s="46">
        <f t="shared" si="189"/>
        <v>-0.20184334203655352</v>
      </c>
      <c r="AH46" s="46">
        <f t="shared" si="189"/>
        <v>-0.10953999999999997</v>
      </c>
      <c r="AI46" s="749">
        <f t="shared" si="189"/>
        <v>-0.17837395528862199</v>
      </c>
      <c r="AJ46" s="760">
        <f t="shared" si="189"/>
        <v>-0.19448426989080592</v>
      </c>
      <c r="AK46" s="46">
        <f t="shared" si="189"/>
        <v>-9.782238227770268E-2</v>
      </c>
      <c r="AL46" s="46">
        <f t="shared" si="189"/>
        <v>2.308802009745059E-2</v>
      </c>
      <c r="AM46" s="749">
        <f t="shared" si="189"/>
        <v>0.17902400000000007</v>
      </c>
      <c r="AN46" s="46">
        <f t="shared" si="189"/>
        <v>0.17902400000000007</v>
      </c>
      <c r="AO46" s="46">
        <f t="shared" si="189"/>
        <v>0.14744300000000021</v>
      </c>
      <c r="AP46" s="46">
        <f t="shared" si="189"/>
        <v>0.13701169999999996</v>
      </c>
      <c r="AQ46" s="749">
        <f t="shared" si="189"/>
        <v>0.18810000000000016</v>
      </c>
      <c r="AR46" s="46">
        <f>IF(ISERROR(AR44/AN44-1),"NA",AR44/AN44-1)</f>
        <v>0.14057600000000003</v>
      </c>
      <c r="AS46" s="46">
        <f t="shared" si="189"/>
        <v>0.14057600000000003</v>
      </c>
      <c r="AT46" s="46">
        <f t="shared" si="189"/>
        <v>0.14057600000000026</v>
      </c>
      <c r="AU46" s="749">
        <f t="shared" si="189"/>
        <v>0.14057600000000026</v>
      </c>
      <c r="AV46" s="46"/>
      <c r="AW46" s="46"/>
      <c r="AX46" s="46"/>
      <c r="AY46" s="749"/>
      <c r="AZ46" s="46"/>
      <c r="BA46" s="46"/>
      <c r="BB46" s="46"/>
      <c r="BC46" s="749"/>
      <c r="BD46" s="760"/>
      <c r="BE46" s="46"/>
      <c r="BF46" s="46"/>
      <c r="BG46" s="749"/>
      <c r="BH46" s="760"/>
      <c r="BI46" s="46"/>
      <c r="BJ46" s="46"/>
      <c r="BK46" s="749"/>
      <c r="BL46" s="760"/>
      <c r="BM46" s="46"/>
      <c r="BN46" s="46"/>
      <c r="BO46" s="749"/>
      <c r="BP46" s="657"/>
      <c r="BQ46" s="275"/>
      <c r="BR46" s="751"/>
      <c r="BS46" s="751" t="str">
        <f>IF(ISERROR(BS44/BR44-1),"NA",BS44/BR44-1)</f>
        <v>NA</v>
      </c>
      <c r="BT46" s="752" t="str">
        <f>IF(ISERROR(BT44/BS44-1),"NA",BT44/BS44-1)</f>
        <v>NA</v>
      </c>
      <c r="BU46" s="752" t="str">
        <f>IF(ISERROR(BU44/BT44-1),"NA",BU44/BT44-1)</f>
        <v>NA</v>
      </c>
      <c r="BV46" s="752" t="str">
        <f>IF(ISERROR(BV44/BU44-1),"NA",BV44/BU44-1)</f>
        <v>NA</v>
      </c>
      <c r="BW46" s="752" t="str">
        <f>IF(ISERROR(BW44/BV44-1),"NA",BW44/BV44-1)</f>
        <v>NA</v>
      </c>
      <c r="BX46" s="752" t="s">
        <v>266</v>
      </c>
      <c r="BY46" s="752">
        <f>IF(ISERROR(BY44/BX44-1),"NA",BY44/BX44-1)</f>
        <v>-3.3294689677607847E-2</v>
      </c>
      <c r="BZ46" s="752">
        <f>IF(ISERROR(BZ44/BY44-1),"NA",BZ44/BY44-1)</f>
        <v>0.16215605761523233</v>
      </c>
      <c r="CA46" s="752">
        <f>IF(ISERROR(CA44/BZ44-1),"NA",CA44/BZ44-1)</f>
        <v>0.14057600000000003</v>
      </c>
      <c r="CB46" s="752"/>
      <c r="CC46" s="752"/>
      <c r="CD46" s="752"/>
      <c r="CE46" s="752"/>
      <c r="CF46" s="753"/>
      <c r="CG46" s="658"/>
      <c r="CH46" s="363"/>
    </row>
    <row r="47" spans="1:88" ht="14.25" hidden="1" customHeight="1" outlineLevel="2">
      <c r="A47" s="672"/>
      <c r="B47" s="759" t="s">
        <v>270</v>
      </c>
      <c r="C47" s="274"/>
      <c r="D47" s="78"/>
      <c r="E47" s="78"/>
      <c r="F47" s="78"/>
      <c r="G47" s="79"/>
      <c r="H47" s="78"/>
      <c r="I47" s="78"/>
      <c r="J47" s="78"/>
      <c r="K47" s="79"/>
      <c r="L47" s="76">
        <f t="shared" ref="L47:AQ47" si="190">L44/L14</f>
        <v>0</v>
      </c>
      <c r="M47" s="76">
        <f t="shared" si="190"/>
        <v>0.13317757009345793</v>
      </c>
      <c r="N47" s="76">
        <f t="shared" si="190"/>
        <v>0.12885612885612885</v>
      </c>
      <c r="O47" s="76">
        <f t="shared" si="190"/>
        <v>0.14032620922384703</v>
      </c>
      <c r="P47" s="522">
        <f t="shared" si="190"/>
        <v>0</v>
      </c>
      <c r="Q47" s="76">
        <f t="shared" si="190"/>
        <v>0.13786929274843329</v>
      </c>
      <c r="R47" s="76">
        <f t="shared" si="190"/>
        <v>0.13758488337762032</v>
      </c>
      <c r="S47" s="77">
        <f t="shared" si="190"/>
        <v>0.16940987555198717</v>
      </c>
      <c r="T47" s="76">
        <f t="shared" si="190"/>
        <v>0</v>
      </c>
      <c r="U47" s="76">
        <f t="shared" si="190"/>
        <v>0.11436711436711437</v>
      </c>
      <c r="V47" s="76">
        <f t="shared" si="190"/>
        <v>0.10902777777777778</v>
      </c>
      <c r="W47" s="77">
        <f t="shared" si="190"/>
        <v>0.11480865224625623</v>
      </c>
      <c r="X47" s="76">
        <f t="shared" si="190"/>
        <v>0.11482059282371294</v>
      </c>
      <c r="Y47" s="76">
        <f t="shared" si="190"/>
        <v>0.11556064073226545</v>
      </c>
      <c r="Z47" s="76">
        <f t="shared" si="190"/>
        <v>0.1072192513368984</v>
      </c>
      <c r="AA47" s="76">
        <f t="shared" si="190"/>
        <v>0.10581560283687944</v>
      </c>
      <c r="AB47" s="522">
        <f t="shared" si="190"/>
        <v>0.10554245283018868</v>
      </c>
      <c r="AC47" s="76">
        <f t="shared" si="190"/>
        <v>0.11075766338924234</v>
      </c>
      <c r="AD47" s="76">
        <f t="shared" si="190"/>
        <v>9.6076168493941141E-2</v>
      </c>
      <c r="AE47" s="77">
        <f t="shared" si="190"/>
        <v>8.7631578947368421E-2</v>
      </c>
      <c r="AF47" s="76">
        <f t="shared" si="190"/>
        <v>9.7947452739506571E-2</v>
      </c>
      <c r="AG47" s="76">
        <f t="shared" si="190"/>
        <v>9.1662368815592213E-2</v>
      </c>
      <c r="AH47" s="76">
        <f t="shared" si="190"/>
        <v>8.7469964601769923E-2</v>
      </c>
      <c r="AI47" s="77">
        <f t="shared" si="190"/>
        <v>8.265905525344075E-2</v>
      </c>
      <c r="AJ47" s="522">
        <f t="shared" si="190"/>
        <v>8.5352279237435005E-2</v>
      </c>
      <c r="AK47" s="76">
        <f t="shared" si="190"/>
        <v>9.0512072422710851E-2</v>
      </c>
      <c r="AL47" s="76">
        <f t="shared" si="190"/>
        <v>9.3517050906041926E-2</v>
      </c>
      <c r="AM47" s="77">
        <f t="shared" si="190"/>
        <v>9.5875935678268395E-2</v>
      </c>
      <c r="AN47" s="76">
        <f t="shared" si="190"/>
        <v>9.7342705541188901E-2</v>
      </c>
      <c r="AO47" s="76">
        <f t="shared" si="190"/>
        <v>9.6136245545054719E-2</v>
      </c>
      <c r="AP47" s="76">
        <f t="shared" si="190"/>
        <v>9.851355730960723E-2</v>
      </c>
      <c r="AQ47" s="77">
        <f t="shared" si="190"/>
        <v>0.10551681200986056</v>
      </c>
      <c r="AR47" s="76">
        <f>AR44/AR14</f>
        <v>0.10512288257835707</v>
      </c>
      <c r="AS47" s="76">
        <f>AS44/AS14</f>
        <v>0.10829452798282975</v>
      </c>
      <c r="AT47" s="76">
        <f>AT44/AT14</f>
        <v>0.11458710918566858</v>
      </c>
      <c r="AU47" s="77">
        <f>AU44/AU14</f>
        <v>0.12336471669286418</v>
      </c>
      <c r="AV47" s="76"/>
      <c r="AW47" s="76"/>
      <c r="AX47" s="76"/>
      <c r="AY47" s="77"/>
      <c r="AZ47" s="76"/>
      <c r="BA47" s="76"/>
      <c r="BB47" s="76"/>
      <c r="BC47" s="77"/>
      <c r="BD47" s="522"/>
      <c r="BE47" s="76"/>
      <c r="BF47" s="76"/>
      <c r="BG47" s="77"/>
      <c r="BH47" s="522"/>
      <c r="BI47" s="76"/>
      <c r="BJ47" s="76"/>
      <c r="BK47" s="77"/>
      <c r="BL47" s="522"/>
      <c r="BM47" s="76"/>
      <c r="BN47" s="76"/>
      <c r="BO47" s="77"/>
      <c r="BP47" s="657"/>
      <c r="BQ47" s="275"/>
      <c r="BR47" s="751" t="e">
        <f t="shared" ref="BR47:BZ47" si="191">BR44/BR14</f>
        <v>#DIV/0!</v>
      </c>
      <c r="BS47" s="751">
        <f t="shared" si="191"/>
        <v>0</v>
      </c>
      <c r="BT47" s="752">
        <f t="shared" si="191"/>
        <v>0</v>
      </c>
      <c r="BU47" s="752">
        <f t="shared" si="191"/>
        <v>0</v>
      </c>
      <c r="BV47" s="752">
        <f t="shared" si="191"/>
        <v>0</v>
      </c>
      <c r="BW47" s="752">
        <f t="shared" si="191"/>
        <v>2.3129004076878276E-2</v>
      </c>
      <c r="BX47" s="752">
        <f t="shared" si="191"/>
        <v>8.9992398097465884E-2</v>
      </c>
      <c r="BY47" s="752">
        <f t="shared" si="191"/>
        <v>9.1421977935897611E-2</v>
      </c>
      <c r="BZ47" s="752">
        <f t="shared" si="191"/>
        <v>9.9400983749612273E-2</v>
      </c>
      <c r="CA47" s="752">
        <f>CA44/CA14</f>
        <v>0.11284796031193189</v>
      </c>
      <c r="CB47" s="752"/>
      <c r="CC47" s="752"/>
      <c r="CD47" s="752"/>
      <c r="CE47" s="752"/>
      <c r="CF47" s="753"/>
      <c r="CG47" s="658"/>
      <c r="CH47" s="363"/>
    </row>
    <row r="48" spans="1:88" ht="14.25" hidden="1" customHeight="1" outlineLevel="2">
      <c r="A48" s="672"/>
      <c r="B48" s="755"/>
      <c r="C48" s="268"/>
      <c r="D48" s="685"/>
      <c r="E48" s="685"/>
      <c r="F48" s="685"/>
      <c r="G48" s="686"/>
      <c r="H48" s="685"/>
      <c r="I48" s="685"/>
      <c r="J48" s="685"/>
      <c r="K48" s="686"/>
      <c r="L48" s="687"/>
      <c r="M48" s="687"/>
      <c r="N48" s="687"/>
      <c r="O48" s="687"/>
      <c r="P48" s="688"/>
      <c r="Q48" s="687"/>
      <c r="R48" s="687"/>
      <c r="S48" s="689"/>
      <c r="T48" s="687"/>
      <c r="U48" s="687"/>
      <c r="V48" s="687"/>
      <c r="W48" s="689"/>
      <c r="X48" s="687"/>
      <c r="Y48" s="687"/>
      <c r="Z48" s="687"/>
      <c r="AA48" s="687"/>
      <c r="AB48" s="688"/>
      <c r="AC48" s="687"/>
      <c r="AD48" s="687"/>
      <c r="AE48" s="689"/>
      <c r="AF48" s="687"/>
      <c r="AG48" s="687"/>
      <c r="AH48" s="687"/>
      <c r="AI48" s="689"/>
      <c r="AJ48" s="688"/>
      <c r="AK48" s="687"/>
      <c r="AL48" s="687"/>
      <c r="AM48" s="766" t="s">
        <v>494</v>
      </c>
      <c r="AN48" s="687"/>
      <c r="AO48" s="687"/>
      <c r="AP48" s="687"/>
      <c r="AQ48" s="766"/>
      <c r="AR48" s="687"/>
      <c r="AS48" s="687"/>
      <c r="AT48" s="687"/>
      <c r="AU48" s="766"/>
      <c r="AV48" s="687"/>
      <c r="AW48" s="687"/>
      <c r="AX48" s="687"/>
      <c r="AY48" s="766"/>
      <c r="AZ48" s="687"/>
      <c r="BA48" s="687"/>
      <c r="BB48" s="687"/>
      <c r="BC48" s="766"/>
      <c r="BD48" s="688"/>
      <c r="BE48" s="687"/>
      <c r="BF48" s="687"/>
      <c r="BG48" s="689"/>
      <c r="BH48" s="688"/>
      <c r="BI48" s="687"/>
      <c r="BJ48" s="687"/>
      <c r="BK48" s="689"/>
      <c r="BL48" s="688"/>
      <c r="BM48" s="687"/>
      <c r="BN48" s="687"/>
      <c r="BO48" s="689"/>
      <c r="BP48" s="657"/>
      <c r="BQ48" s="273"/>
      <c r="BR48" s="690"/>
      <c r="BS48" s="273"/>
      <c r="BT48" s="273"/>
      <c r="BU48" s="273"/>
      <c r="BV48" s="273"/>
      <c r="BW48" s="273"/>
      <c r="BX48" s="273"/>
      <c r="BY48" s="273"/>
      <c r="BZ48" s="273"/>
      <c r="CA48" s="273"/>
      <c r="CB48" s="273"/>
      <c r="CC48" s="273"/>
      <c r="CD48" s="273"/>
      <c r="CE48" s="273"/>
      <c r="CF48" s="717"/>
      <c r="CG48" s="658"/>
      <c r="CH48" s="363"/>
    </row>
    <row r="49" spans="1:86" ht="14.25" hidden="1" customHeight="1" outlineLevel="2">
      <c r="A49" s="672"/>
      <c r="B49" s="755" t="s">
        <v>529</v>
      </c>
      <c r="C49" s="268"/>
      <c r="D49" s="685"/>
      <c r="E49" s="685"/>
      <c r="F49" s="685"/>
      <c r="G49" s="686"/>
      <c r="H49" s="685"/>
      <c r="I49" s="685"/>
      <c r="J49" s="685"/>
      <c r="K49" s="686"/>
      <c r="L49" s="687">
        <f t="shared" ref="L49:AB49" si="192">L38</f>
        <v>1126</v>
      </c>
      <c r="M49" s="687">
        <f t="shared" si="192"/>
        <v>1164</v>
      </c>
      <c r="N49" s="687">
        <f t="shared" si="192"/>
        <v>1288</v>
      </c>
      <c r="O49" s="687">
        <f t="shared" si="192"/>
        <v>1288</v>
      </c>
      <c r="P49" s="688">
        <f t="shared" si="192"/>
        <v>1249</v>
      </c>
      <c r="Q49" s="687">
        <f t="shared" si="192"/>
        <v>1269</v>
      </c>
      <c r="R49" s="687">
        <f t="shared" si="192"/>
        <v>1270</v>
      </c>
      <c r="S49" s="689">
        <f t="shared" si="192"/>
        <v>1002</v>
      </c>
      <c r="T49" s="687">
        <f t="shared" si="192"/>
        <v>802</v>
      </c>
      <c r="U49" s="687">
        <f t="shared" si="192"/>
        <v>970</v>
      </c>
      <c r="V49" s="687">
        <f t="shared" si="192"/>
        <v>1168</v>
      </c>
      <c r="W49" s="689">
        <f t="shared" si="192"/>
        <v>1263</v>
      </c>
      <c r="X49" s="687">
        <f t="shared" si="192"/>
        <v>1367</v>
      </c>
      <c r="Y49" s="687">
        <f t="shared" si="192"/>
        <v>1512</v>
      </c>
      <c r="Z49" s="687">
        <f t="shared" si="192"/>
        <v>1581</v>
      </c>
      <c r="AA49" s="687">
        <f t="shared" si="192"/>
        <v>1518</v>
      </c>
      <c r="AB49" s="688">
        <f t="shared" si="192"/>
        <v>1536</v>
      </c>
      <c r="AC49" s="687">
        <f>AC38</f>
        <v>1588</v>
      </c>
      <c r="AD49" s="632">
        <f>AD38-18</f>
        <v>1539</v>
      </c>
      <c r="AE49" s="689">
        <f>AE38-AE44</f>
        <v>1395.3</v>
      </c>
      <c r="AF49" s="687">
        <f>AF38-AF44</f>
        <v>1380.306</v>
      </c>
      <c r="AG49" s="687">
        <f>AG38-AG44</f>
        <v>1494.306</v>
      </c>
      <c r="AH49" s="687">
        <f>AH38-AH44</f>
        <v>1546.4768199999999</v>
      </c>
      <c r="AI49" s="689">
        <f>+AH49*(1+AI50)</f>
        <v>1422.7586744</v>
      </c>
      <c r="AJ49" s="688">
        <f>+AJ38-AJ44</f>
        <v>1401.7586744</v>
      </c>
      <c r="AK49" s="687">
        <f>+AK38-AK44</f>
        <v>1469.2097153280001</v>
      </c>
      <c r="AL49" s="687">
        <f>+AL38-AL44</f>
        <v>1627.6306868607999</v>
      </c>
      <c r="AM49" s="689">
        <f>+AL49*(1+AM50)</f>
        <v>1578.8017662549757</v>
      </c>
      <c r="AN49" s="688">
        <f t="shared" ref="AN49:AS49" si="193">+AN38-AN44</f>
        <v>1546.6755673257856</v>
      </c>
      <c r="AO49" s="687">
        <f t="shared" si="193"/>
        <v>1678.5463683851062</v>
      </c>
      <c r="AP49" s="687">
        <f t="shared" si="193"/>
        <v>1804.0655415397659</v>
      </c>
      <c r="AQ49" s="689">
        <f t="shared" si="193"/>
        <v>1778.0655415397659</v>
      </c>
      <c r="AR49" s="688">
        <f t="shared" si="193"/>
        <v>1703.8629198781753</v>
      </c>
      <c r="AS49" s="687">
        <f t="shared" si="193"/>
        <v>1688.0605826672108</v>
      </c>
      <c r="AT49" s="687">
        <f>+AT38-AT44</f>
        <v>1788.5760351072599</v>
      </c>
      <c r="AU49" s="689">
        <f>+AU38-AU44</f>
        <v>1679.5760351072599</v>
      </c>
      <c r="AV49" s="688"/>
      <c r="AW49" s="687"/>
      <c r="AX49" s="687"/>
      <c r="AY49" s="689"/>
      <c r="AZ49" s="687"/>
      <c r="BA49" s="687"/>
      <c r="BB49" s="687"/>
      <c r="BC49" s="689"/>
      <c r="BD49" s="688"/>
      <c r="BE49" s="687"/>
      <c r="BF49" s="687"/>
      <c r="BG49" s="689"/>
      <c r="BH49" s="688"/>
      <c r="BI49" s="687"/>
      <c r="BJ49" s="687"/>
      <c r="BK49" s="689"/>
      <c r="BL49" s="688"/>
      <c r="BM49" s="687"/>
      <c r="BN49" s="687"/>
      <c r="BO49" s="689"/>
      <c r="BP49" s="657"/>
      <c r="BQ49" s="273"/>
      <c r="BR49" s="690"/>
      <c r="BS49" s="273">
        <f t="shared" ref="BS49:BZ49" si="194">+BS38-BS44</f>
        <v>4866</v>
      </c>
      <c r="BT49" s="273">
        <f t="shared" si="194"/>
        <v>4790</v>
      </c>
      <c r="BU49" s="273">
        <f t="shared" si="194"/>
        <v>4203</v>
      </c>
      <c r="BV49" s="273">
        <f t="shared" si="194"/>
        <v>5978</v>
      </c>
      <c r="BW49" s="273">
        <f t="shared" si="194"/>
        <v>6058.3</v>
      </c>
      <c r="BX49" s="273">
        <f>+BX38-BX44</f>
        <v>5843.8474944</v>
      </c>
      <c r="BY49" s="273">
        <f>+BY38-BY44</f>
        <v>6077.4008428437764</v>
      </c>
      <c r="BZ49" s="273">
        <f t="shared" si="194"/>
        <v>6807.3530187904234</v>
      </c>
      <c r="CA49" s="273">
        <f>+CA38-CA44</f>
        <v>6860.0755727599062</v>
      </c>
      <c r="CB49" s="273"/>
      <c r="CC49" s="273"/>
      <c r="CD49" s="273"/>
      <c r="CE49" s="273"/>
      <c r="CF49" s="717"/>
      <c r="CG49" s="658"/>
      <c r="CH49" s="363"/>
    </row>
    <row r="50" spans="1:86" ht="14.25" hidden="1" customHeight="1" outlineLevel="2">
      <c r="A50" s="672"/>
      <c r="B50" s="759" t="s">
        <v>495</v>
      </c>
      <c r="C50" s="268"/>
      <c r="D50" s="685"/>
      <c r="E50" s="685"/>
      <c r="F50" s="685"/>
      <c r="G50" s="686"/>
      <c r="H50" s="685"/>
      <c r="I50" s="685"/>
      <c r="J50" s="685"/>
      <c r="K50" s="686"/>
      <c r="L50" s="247">
        <f>L39</f>
        <v>0</v>
      </c>
      <c r="M50" s="247">
        <f>M39</f>
        <v>3.3747779751332141E-2</v>
      </c>
      <c r="N50" s="275">
        <f>N49/M49-1</f>
        <v>0.10652920962199319</v>
      </c>
      <c r="O50" s="275">
        <f>O49/N49-1</f>
        <v>0</v>
      </c>
      <c r="P50" s="522">
        <f>P39</f>
        <v>-3.0279503105590022E-2</v>
      </c>
      <c r="Q50" s="76">
        <f>Q39</f>
        <v>1.601281024819845E-2</v>
      </c>
      <c r="R50" s="231">
        <f>R49/Q49-1</f>
        <v>7.8802206461769941E-4</v>
      </c>
      <c r="S50" s="276">
        <f>S49/R49-1</f>
        <v>-0.21102362204724412</v>
      </c>
      <c r="T50" s="76">
        <f>T39</f>
        <v>-0.19960079840319356</v>
      </c>
      <c r="U50" s="76">
        <f>U39</f>
        <v>0.20947630922693272</v>
      </c>
      <c r="V50" s="231">
        <f>V49/U49-1</f>
        <v>0.20412371134020613</v>
      </c>
      <c r="W50" s="276">
        <f>W49/V49-1</f>
        <v>8.1335616438356073E-2</v>
      </c>
      <c r="X50" s="247">
        <f>X39</f>
        <v>8.2343626286619065E-2</v>
      </c>
      <c r="Y50" s="247">
        <f>Y39</f>
        <v>0.10607168983174842</v>
      </c>
      <c r="Z50" s="275">
        <f>Z49/Y49-1</f>
        <v>4.5634920634920695E-2</v>
      </c>
      <c r="AA50" s="275">
        <f>AA49/Z49-1</f>
        <v>-3.9848197343453462E-2</v>
      </c>
      <c r="AB50" s="522">
        <f>AB39</f>
        <v>1.1857707509881422E-2</v>
      </c>
      <c r="AC50" s="76">
        <f>AC39</f>
        <v>3.3854166666666664E-2</v>
      </c>
      <c r="AD50" s="231">
        <f>AD49/AC49-1</f>
        <v>-3.0856423173803549E-2</v>
      </c>
      <c r="AE50" s="276">
        <f>AE49/AD49-1</f>
        <v>-9.3372319688109218E-2</v>
      </c>
      <c r="AF50" s="231">
        <f>AF49/AE49-1</f>
        <v>-1.0746076112663872E-2</v>
      </c>
      <c r="AG50" s="231">
        <f>AG49/AF49-1</f>
        <v>8.2590382132657458E-2</v>
      </c>
      <c r="AH50" s="231">
        <f>AH49/AG49-1</f>
        <v>3.4913076705841872E-2</v>
      </c>
      <c r="AI50" s="279">
        <v>-0.08</v>
      </c>
      <c r="AJ50" s="231">
        <f>AJ49/AI49-1</f>
        <v>-1.4760057610512245E-2</v>
      </c>
      <c r="AK50" s="231">
        <f>AK49/AJ49-1</f>
        <v>4.8118868218790523E-2</v>
      </c>
      <c r="AL50" s="231">
        <f>AL49/AK49-1</f>
        <v>0.10782733729570548</v>
      </c>
      <c r="AM50" s="762">
        <v>-0.03</v>
      </c>
      <c r="AN50" s="231">
        <f t="shared" ref="AN50:AU50" si="195">AN49/AM49-1</f>
        <v>-2.034846908323118E-2</v>
      </c>
      <c r="AO50" s="231">
        <f t="shared" si="195"/>
        <v>8.5260803134898033E-2</v>
      </c>
      <c r="AP50" s="231">
        <f t="shared" si="195"/>
        <v>7.4778496155229357E-2</v>
      </c>
      <c r="AQ50" s="767">
        <f t="shared" si="195"/>
        <v>-1.4411893249626107E-2</v>
      </c>
      <c r="AR50" s="231">
        <f t="shared" si="195"/>
        <v>-4.1732219610607135E-2</v>
      </c>
      <c r="AS50" s="231">
        <f t="shared" si="195"/>
        <v>-9.2744181627558708E-3</v>
      </c>
      <c r="AT50" s="231">
        <f t="shared" si="195"/>
        <v>5.954493190121779E-2</v>
      </c>
      <c r="AU50" s="767">
        <f t="shared" si="195"/>
        <v>-6.0942335053406516E-2</v>
      </c>
      <c r="AV50" s="231"/>
      <c r="AW50" s="231"/>
      <c r="AX50" s="231"/>
      <c r="AY50" s="767"/>
      <c r="AZ50" s="46"/>
      <c r="BA50" s="46"/>
      <c r="BB50" s="46"/>
      <c r="BC50" s="767"/>
      <c r="BD50" s="760"/>
      <c r="BE50" s="46"/>
      <c r="BF50" s="46"/>
      <c r="BG50" s="749"/>
      <c r="BH50" s="760"/>
      <c r="BI50" s="46"/>
      <c r="BJ50" s="46"/>
      <c r="BK50" s="749"/>
      <c r="BL50" s="760"/>
      <c r="BM50" s="46"/>
      <c r="BN50" s="46"/>
      <c r="BO50" s="749"/>
      <c r="BP50" s="657"/>
      <c r="BQ50" s="273"/>
      <c r="BR50" s="690"/>
      <c r="BS50" s="273"/>
      <c r="BT50" s="273"/>
      <c r="BU50" s="273"/>
      <c r="BV50" s="273"/>
      <c r="BW50" s="273"/>
      <c r="BX50" s="273"/>
      <c r="BY50" s="273"/>
      <c r="BZ50" s="273"/>
      <c r="CA50" s="273"/>
      <c r="CB50" s="273"/>
      <c r="CC50" s="273"/>
      <c r="CD50" s="273"/>
      <c r="CE50" s="273"/>
      <c r="CF50" s="717"/>
      <c r="CG50" s="658"/>
      <c r="CH50" s="363"/>
    </row>
    <row r="51" spans="1:86" ht="14.25" hidden="1" customHeight="1" outlineLevel="2">
      <c r="A51" s="672"/>
      <c r="B51" s="764" t="s">
        <v>496</v>
      </c>
      <c r="C51" s="268"/>
      <c r="D51" s="685"/>
      <c r="E51" s="685"/>
      <c r="F51" s="685"/>
      <c r="G51" s="686"/>
      <c r="H51" s="685"/>
      <c r="I51" s="685"/>
      <c r="J51" s="685"/>
      <c r="K51" s="686"/>
      <c r="L51" s="687"/>
      <c r="M51" s="687"/>
      <c r="N51" s="687"/>
      <c r="O51" s="687"/>
      <c r="P51" s="688"/>
      <c r="Q51" s="687"/>
      <c r="R51" s="687"/>
      <c r="S51" s="689"/>
      <c r="T51" s="687"/>
      <c r="U51" s="687"/>
      <c r="V51" s="687"/>
      <c r="W51" s="689"/>
      <c r="X51" s="687"/>
      <c r="Y51" s="687"/>
      <c r="Z51" s="687"/>
      <c r="AA51" s="687"/>
      <c r="AB51" s="522"/>
      <c r="AC51" s="76"/>
      <c r="AD51" s="231">
        <f t="shared" ref="AD51:AI51" si="196">AD49/Z49-1</f>
        <v>-2.6565464895635715E-2</v>
      </c>
      <c r="AE51" s="276">
        <f t="shared" si="196"/>
        <v>-8.0830039525691677E-2</v>
      </c>
      <c r="AF51" s="231">
        <f t="shared" si="196"/>
        <v>-0.10136328124999994</v>
      </c>
      <c r="AG51" s="231">
        <f t="shared" si="196"/>
        <v>-5.9001259445843779E-2</v>
      </c>
      <c r="AH51" s="231">
        <f t="shared" si="196"/>
        <v>4.8582326185833136E-3</v>
      </c>
      <c r="AI51" s="231">
        <f t="shared" si="196"/>
        <v>1.9679405432523556E-2</v>
      </c>
      <c r="AJ51" s="688"/>
      <c r="AK51" s="687"/>
      <c r="AL51" s="687"/>
      <c r="AM51" s="768">
        <f>AVERAGE(AI50,AE50,W50)</f>
        <v>-3.0678901083251053E-2</v>
      </c>
      <c r="AN51" s="688"/>
      <c r="AO51" s="687"/>
      <c r="AP51" s="687"/>
      <c r="AQ51" s="768"/>
      <c r="AR51" s="688"/>
      <c r="AS51" s="687"/>
      <c r="AT51" s="687"/>
      <c r="AU51" s="768"/>
      <c r="AV51" s="688"/>
      <c r="AW51" s="687"/>
      <c r="AX51" s="687"/>
      <c r="AY51" s="1133"/>
      <c r="AZ51" s="687"/>
      <c r="BA51" s="687"/>
      <c r="BB51" s="687"/>
      <c r="BC51" s="1133"/>
      <c r="BD51" s="688"/>
      <c r="BE51" s="687"/>
      <c r="BF51" s="687"/>
      <c r="BG51" s="689"/>
      <c r="BH51" s="688"/>
      <c r="BI51" s="687"/>
      <c r="BJ51" s="687"/>
      <c r="BK51" s="689"/>
      <c r="BL51" s="688"/>
      <c r="BM51" s="687"/>
      <c r="BN51" s="687"/>
      <c r="BO51" s="689"/>
      <c r="BP51" s="657"/>
      <c r="BQ51" s="273"/>
      <c r="BR51" s="690"/>
      <c r="BS51" s="273"/>
      <c r="BT51" s="752"/>
      <c r="BU51" s="752"/>
      <c r="BV51" s="752"/>
      <c r="BW51" s="752">
        <f>BW49/BV38-1</f>
        <v>1.3432586149213721E-2</v>
      </c>
      <c r="BX51" s="752">
        <f>BX49/BW49-1</f>
        <v>-3.5398132413383299E-2</v>
      </c>
      <c r="BY51" s="752">
        <f>BY49/BX49-1</f>
        <v>3.9965681628000072E-2</v>
      </c>
      <c r="BZ51" s="752">
        <f>BZ49/BY49-1</f>
        <v>0.12010926954179357</v>
      </c>
      <c r="CA51" s="752">
        <f>CA49/BZ49-1</f>
        <v>7.7449419508510697E-3</v>
      </c>
      <c r="CB51" s="752"/>
      <c r="CC51" s="752"/>
      <c r="CD51" s="752"/>
      <c r="CE51" s="752"/>
      <c r="CF51" s="753"/>
      <c r="CG51" s="658"/>
      <c r="CH51" s="363"/>
    </row>
    <row r="52" spans="1:86" ht="14.25" hidden="1" customHeight="1" outlineLevel="1">
      <c r="A52" s="672"/>
      <c r="B52" s="651"/>
      <c r="C52" s="274"/>
      <c r="D52" s="754"/>
      <c r="E52" s="754"/>
      <c r="F52" s="754"/>
      <c r="G52" s="79"/>
      <c r="H52" s="754"/>
      <c r="I52" s="754"/>
      <c r="J52" s="754"/>
      <c r="K52" s="79"/>
      <c r="L52" s="247"/>
      <c r="M52" s="247"/>
      <c r="N52" s="247"/>
      <c r="O52" s="76"/>
      <c r="P52" s="522"/>
      <c r="Q52" s="76"/>
      <c r="R52" s="76"/>
      <c r="S52" s="77"/>
      <c r="T52" s="76"/>
      <c r="U52" s="76"/>
      <c r="V52" s="76"/>
      <c r="W52" s="77"/>
      <c r="X52" s="247"/>
      <c r="Y52" s="247"/>
      <c r="Z52" s="247"/>
      <c r="AA52" s="76"/>
      <c r="AB52" s="522"/>
      <c r="AC52" s="76"/>
      <c r="AD52" s="76"/>
      <c r="AE52" s="77"/>
      <c r="AF52" s="76"/>
      <c r="AG52" s="76"/>
      <c r="AH52" s="76"/>
      <c r="AI52" s="77"/>
      <c r="AJ52" s="522"/>
      <c r="AK52" s="76"/>
      <c r="AL52" s="76"/>
      <c r="AM52" s="76"/>
      <c r="AN52" s="522"/>
      <c r="AO52" s="76"/>
      <c r="AP52" s="247"/>
      <c r="AQ52" s="76"/>
      <c r="AR52" s="522"/>
      <c r="AS52" s="76"/>
      <c r="AT52" s="247"/>
      <c r="AU52" s="76"/>
      <c r="AV52" s="522"/>
      <c r="AW52" s="76"/>
      <c r="AX52" s="247"/>
      <c r="AY52" s="77"/>
      <c r="AZ52" s="247"/>
      <c r="BA52" s="247"/>
      <c r="BB52" s="247"/>
      <c r="BC52" s="77"/>
      <c r="BD52" s="522"/>
      <c r="BE52" s="76"/>
      <c r="BF52" s="76"/>
      <c r="BG52" s="77"/>
      <c r="BH52" s="522"/>
      <c r="BI52" s="76"/>
      <c r="BJ52" s="76"/>
      <c r="BK52" s="77"/>
      <c r="BL52" s="522"/>
      <c r="BM52" s="76"/>
      <c r="BN52" s="76"/>
      <c r="BO52" s="77"/>
      <c r="BP52" s="657"/>
      <c r="BQ52" s="8"/>
      <c r="BR52" s="751"/>
      <c r="BS52" s="751"/>
      <c r="BT52" s="752"/>
      <c r="BU52" s="752"/>
      <c r="BV52" s="752"/>
      <c r="BW52" s="752"/>
      <c r="BX52" s="752"/>
      <c r="BY52" s="752"/>
      <c r="BZ52" s="752"/>
      <c r="CA52" s="752"/>
      <c r="CB52" s="752"/>
      <c r="CC52" s="752"/>
      <c r="CD52" s="752"/>
      <c r="CE52" s="752"/>
      <c r="CF52" s="753"/>
      <c r="CG52" s="658"/>
      <c r="CH52" s="363"/>
    </row>
    <row r="53" spans="1:86" ht="14.25" hidden="1" customHeight="1" outlineLevel="1">
      <c r="A53" s="672"/>
      <c r="B53" s="769" t="s">
        <v>335</v>
      </c>
      <c r="C53" s="274"/>
      <c r="D53" s="78"/>
      <c r="E53" s="78"/>
      <c r="F53" s="78"/>
      <c r="G53" s="79"/>
      <c r="H53" s="78"/>
      <c r="I53" s="78"/>
      <c r="J53" s="78"/>
      <c r="K53" s="79"/>
      <c r="L53" s="687">
        <f t="shared" ref="L53:AI53" si="197">L$595</f>
        <v>358</v>
      </c>
      <c r="M53" s="687">
        <f t="shared" si="197"/>
        <v>337</v>
      </c>
      <c r="N53" s="687">
        <f t="shared" si="197"/>
        <v>432</v>
      </c>
      <c r="O53" s="687">
        <f t="shared" si="197"/>
        <v>437</v>
      </c>
      <c r="P53" s="688">
        <f t="shared" si="197"/>
        <v>376</v>
      </c>
      <c r="Q53" s="687">
        <f t="shared" si="197"/>
        <v>330</v>
      </c>
      <c r="R53" s="687">
        <f t="shared" si="197"/>
        <v>280</v>
      </c>
      <c r="S53" s="689">
        <f t="shared" si="197"/>
        <v>88</v>
      </c>
      <c r="T53" s="687">
        <f t="shared" si="197"/>
        <v>-26</v>
      </c>
      <c r="U53" s="687">
        <f t="shared" si="197"/>
        <v>103</v>
      </c>
      <c r="V53" s="687">
        <f t="shared" si="197"/>
        <v>311</v>
      </c>
      <c r="W53" s="689">
        <f t="shared" si="197"/>
        <v>383</v>
      </c>
      <c r="X53" s="687">
        <f t="shared" si="197"/>
        <v>398</v>
      </c>
      <c r="Y53" s="687">
        <f t="shared" si="197"/>
        <v>472</v>
      </c>
      <c r="Z53" s="687">
        <f t="shared" si="197"/>
        <v>520</v>
      </c>
      <c r="AA53" s="687">
        <f t="shared" si="197"/>
        <v>486</v>
      </c>
      <c r="AB53" s="688">
        <f t="shared" si="197"/>
        <v>418</v>
      </c>
      <c r="AC53" s="687">
        <f t="shared" si="197"/>
        <v>446</v>
      </c>
      <c r="AD53" s="687">
        <f t="shared" si="197"/>
        <v>414</v>
      </c>
      <c r="AE53" s="689">
        <f t="shared" si="197"/>
        <v>414</v>
      </c>
      <c r="AF53" s="687">
        <f t="shared" si="197"/>
        <v>335</v>
      </c>
      <c r="AG53" s="687">
        <f t="shared" si="197"/>
        <v>437</v>
      </c>
      <c r="AH53" s="687">
        <f t="shared" si="197"/>
        <v>460</v>
      </c>
      <c r="AI53" s="689">
        <f t="shared" si="197"/>
        <v>419</v>
      </c>
      <c r="AJ53" s="742">
        <v>300</v>
      </c>
      <c r="AK53" s="632">
        <v>416</v>
      </c>
      <c r="AL53" s="632">
        <v>583</v>
      </c>
      <c r="AM53" s="632">
        <v>561</v>
      </c>
      <c r="AN53" s="742">
        <v>498</v>
      </c>
      <c r="AO53" s="632">
        <v>664</v>
      </c>
      <c r="AP53" s="632">
        <v>802</v>
      </c>
      <c r="AQ53" s="632">
        <v>822</v>
      </c>
      <c r="AR53" s="742">
        <v>721</v>
      </c>
      <c r="AS53" s="632">
        <v>728</v>
      </c>
      <c r="AT53" s="632">
        <v>812</v>
      </c>
      <c r="AU53" s="632">
        <v>787</v>
      </c>
      <c r="AV53" s="742">
        <v>679</v>
      </c>
      <c r="AW53" s="632">
        <v>771</v>
      </c>
      <c r="AX53" s="632">
        <v>949</v>
      </c>
      <c r="AY53" s="632">
        <v>981</v>
      </c>
      <c r="AZ53" s="742">
        <v>935</v>
      </c>
      <c r="BA53" s="632">
        <v>1077</v>
      </c>
      <c r="BB53" s="632">
        <v>1268</v>
      </c>
      <c r="BC53" s="632">
        <v>1188</v>
      </c>
      <c r="BD53" s="742">
        <v>1166</v>
      </c>
      <c r="BE53" s="687"/>
      <c r="BF53" s="687"/>
      <c r="BG53" s="689"/>
      <c r="BH53" s="688"/>
      <c r="BI53" s="687"/>
      <c r="BJ53" s="687"/>
      <c r="BK53" s="689"/>
      <c r="BL53" s="688"/>
      <c r="BM53" s="687"/>
      <c r="BN53" s="687"/>
      <c r="BO53" s="689"/>
      <c r="BP53" s="657"/>
      <c r="BQ53" s="8"/>
      <c r="BR53" s="690">
        <v>1481</v>
      </c>
      <c r="BS53" s="273">
        <f>SUM(L53:O53)</f>
        <v>1564</v>
      </c>
      <c r="BT53" s="273">
        <f>SUM(P53:S53)</f>
        <v>1074</v>
      </c>
      <c r="BU53" s="273">
        <f>SUM(T53:W53)</f>
        <v>771</v>
      </c>
      <c r="BV53" s="273">
        <f>SUM(X53:AA53)</f>
        <v>1876</v>
      </c>
      <c r="BW53" s="273">
        <f>SUM(AB53:AE53)</f>
        <v>1692</v>
      </c>
      <c r="BX53" s="273">
        <f>SUM(AF53:AI53)</f>
        <v>1651</v>
      </c>
      <c r="BY53" s="273">
        <f>SUM(AJ53:AM53)</f>
        <v>1860</v>
      </c>
      <c r="BZ53" s="273">
        <f>SUM(AN53:AQ53)</f>
        <v>2786</v>
      </c>
      <c r="CA53" s="273">
        <f>SUM(AR53:AU53)</f>
        <v>3048</v>
      </c>
      <c r="CB53" s="273"/>
      <c r="CC53" s="273"/>
      <c r="CD53" s="273"/>
      <c r="CE53" s="273"/>
      <c r="CF53" s="717"/>
      <c r="CG53" s="658"/>
      <c r="CH53" s="363"/>
    </row>
    <row r="54" spans="1:86" ht="14.25" hidden="1" customHeight="1" outlineLevel="1">
      <c r="A54" s="672"/>
      <c r="B54" s="651" t="s">
        <v>334</v>
      </c>
      <c r="C54" s="274"/>
      <c r="D54" s="78"/>
      <c r="E54" s="78"/>
      <c r="F54" s="78"/>
      <c r="G54" s="79"/>
      <c r="H54" s="78"/>
      <c r="I54" s="78"/>
      <c r="J54" s="78"/>
      <c r="K54" s="79"/>
      <c r="L54" s="247">
        <f t="shared" ref="L54:AQ54" si="198">L53/L38</f>
        <v>0.31793960923623443</v>
      </c>
      <c r="M54" s="247">
        <f t="shared" si="198"/>
        <v>0.28951890034364264</v>
      </c>
      <c r="N54" s="247">
        <f t="shared" si="198"/>
        <v>0.33540372670807456</v>
      </c>
      <c r="O54" s="247">
        <f t="shared" si="198"/>
        <v>0.3392857142857143</v>
      </c>
      <c r="P54" s="522">
        <f t="shared" si="198"/>
        <v>0.30104083266613291</v>
      </c>
      <c r="Q54" s="76">
        <f t="shared" si="198"/>
        <v>0.26004728132387706</v>
      </c>
      <c r="R54" s="76">
        <f t="shared" si="198"/>
        <v>0.22047244094488189</v>
      </c>
      <c r="S54" s="77">
        <f t="shared" si="198"/>
        <v>8.7824351297405193E-2</v>
      </c>
      <c r="T54" s="76">
        <f t="shared" si="198"/>
        <v>-3.2418952618453865E-2</v>
      </c>
      <c r="U54" s="76">
        <f t="shared" si="198"/>
        <v>0.10618556701030928</v>
      </c>
      <c r="V54" s="76">
        <f t="shared" si="198"/>
        <v>0.26626712328767121</v>
      </c>
      <c r="W54" s="77">
        <f t="shared" si="198"/>
        <v>0.30324623911322246</v>
      </c>
      <c r="X54" s="247">
        <f t="shared" si="198"/>
        <v>0.29114850036576445</v>
      </c>
      <c r="Y54" s="247">
        <f t="shared" si="198"/>
        <v>0.31216931216931215</v>
      </c>
      <c r="Z54" s="247">
        <f t="shared" si="198"/>
        <v>0.3289057558507274</v>
      </c>
      <c r="AA54" s="247">
        <f t="shared" si="198"/>
        <v>0.3201581027667984</v>
      </c>
      <c r="AB54" s="522">
        <f t="shared" si="198"/>
        <v>0.27213541666666669</v>
      </c>
      <c r="AC54" s="76">
        <f t="shared" si="198"/>
        <v>0.28085642317380355</v>
      </c>
      <c r="AD54" s="76">
        <f t="shared" si="198"/>
        <v>0.26589595375722541</v>
      </c>
      <c r="AE54" s="77">
        <f t="shared" si="198"/>
        <v>0.24424778761061947</v>
      </c>
      <c r="AF54" s="76">
        <f t="shared" si="198"/>
        <v>0.19869513641755635</v>
      </c>
      <c r="AG54" s="76">
        <f t="shared" si="198"/>
        <v>0.24277777777777779</v>
      </c>
      <c r="AH54" s="76">
        <f t="shared" si="198"/>
        <v>0.24959305480195335</v>
      </c>
      <c r="AI54" s="77">
        <f t="shared" si="198"/>
        <v>0.25104853205512284</v>
      </c>
      <c r="AJ54" s="76">
        <f t="shared" si="198"/>
        <v>0.18203883495145631</v>
      </c>
      <c r="AK54" s="76">
        <f t="shared" si="198"/>
        <v>0.23839541547277937</v>
      </c>
      <c r="AL54" s="76">
        <f t="shared" si="198"/>
        <v>0.30191610564474364</v>
      </c>
      <c r="AM54" s="76">
        <f t="shared" si="198"/>
        <v>0.30014024752389279</v>
      </c>
      <c r="AN54" s="522">
        <f t="shared" si="198"/>
        <v>0.27109417528579205</v>
      </c>
      <c r="AO54" s="76">
        <f t="shared" si="198"/>
        <v>0.33283208020050126</v>
      </c>
      <c r="AP54" s="76">
        <f t="shared" si="198"/>
        <v>0.37319683573755236</v>
      </c>
      <c r="AQ54" s="76">
        <f t="shared" si="198"/>
        <v>0.38718794159208669</v>
      </c>
      <c r="AR54" s="522">
        <f t="shared" ref="AR54:AW54" si="199">AR53/AR38</f>
        <v>0.3542997542997543</v>
      </c>
      <c r="AS54" s="76">
        <f t="shared" si="199"/>
        <v>0.35529526598340655</v>
      </c>
      <c r="AT54" s="76">
        <f t="shared" si="199"/>
        <v>0.37213565536205317</v>
      </c>
      <c r="AU54" s="76">
        <f t="shared" si="199"/>
        <v>0.37964302942595274</v>
      </c>
      <c r="AV54" s="522">
        <f t="shared" si="199"/>
        <v>0.36136242682277808</v>
      </c>
      <c r="AW54" s="76">
        <f t="shared" si="199"/>
        <v>0.37720156555772993</v>
      </c>
      <c r="AX54" s="76">
        <f>AX53/AX38</f>
        <v>0.40852346104175635</v>
      </c>
      <c r="AY54" s="76">
        <f t="shared" ref="AY54:BB54" si="200">AY53/AY38</f>
        <v>0.42838427947598251</v>
      </c>
      <c r="AZ54" s="522">
        <f t="shared" si="200"/>
        <v>0.41445035460992907</v>
      </c>
      <c r="BA54" s="76">
        <f t="shared" si="200"/>
        <v>0.44670261302364161</v>
      </c>
      <c r="BB54" s="76">
        <f t="shared" si="200"/>
        <v>0.46997776130467012</v>
      </c>
      <c r="BC54" s="76">
        <f t="shared" ref="BC54:BD54" si="201">BC53/BC38</f>
        <v>0.46863905325443789</v>
      </c>
      <c r="BD54" s="522">
        <f t="shared" si="201"/>
        <v>0.45440374123148869</v>
      </c>
      <c r="BE54" s="78"/>
      <c r="BF54" s="78"/>
      <c r="BG54" s="79"/>
      <c r="BH54" s="770"/>
      <c r="BI54" s="78"/>
      <c r="BJ54" s="78"/>
      <c r="BK54" s="79"/>
      <c r="BL54" s="770"/>
      <c r="BM54" s="78"/>
      <c r="BN54" s="78"/>
      <c r="BO54" s="79"/>
      <c r="BP54" s="657"/>
      <c r="BQ54" s="8"/>
      <c r="BR54" s="247" t="e">
        <f t="shared" ref="BR54:CA54" si="202">BR53/BR38</f>
        <v>#DIV/0!</v>
      </c>
      <c r="BS54" s="247">
        <f t="shared" si="202"/>
        <v>0.32141389231401563</v>
      </c>
      <c r="BT54" s="76">
        <f t="shared" si="202"/>
        <v>0.22421711899791233</v>
      </c>
      <c r="BU54" s="76">
        <f t="shared" si="202"/>
        <v>0.18344039971448964</v>
      </c>
      <c r="BV54" s="76">
        <f t="shared" si="202"/>
        <v>0.31381733021077285</v>
      </c>
      <c r="BW54" s="76">
        <f t="shared" si="202"/>
        <v>0.26537013801756587</v>
      </c>
      <c r="BX54" s="76">
        <f t="shared" si="202"/>
        <v>0.23592454987139183</v>
      </c>
      <c r="BY54" s="76">
        <f t="shared" si="202"/>
        <v>0.25858019845069452</v>
      </c>
      <c r="BZ54" s="76">
        <f t="shared" si="202"/>
        <v>0.34378084896347483</v>
      </c>
      <c r="CA54" s="76">
        <f t="shared" si="202"/>
        <v>0.36551145221249548</v>
      </c>
      <c r="CB54" s="76"/>
      <c r="CC54" s="76"/>
      <c r="CD54" s="76"/>
      <c r="CE54" s="76"/>
      <c r="CF54" s="77"/>
      <c r="CG54" s="658"/>
      <c r="CH54" s="363"/>
    </row>
    <row r="55" spans="1:86" ht="14.25" hidden="1" customHeight="1" outlineLevel="1">
      <c r="A55" s="672"/>
      <c r="B55" s="651"/>
      <c r="C55" s="274"/>
      <c r="D55" s="78"/>
      <c r="E55" s="78"/>
      <c r="F55" s="78"/>
      <c r="G55" s="79"/>
      <c r="H55" s="78"/>
      <c r="I55" s="78"/>
      <c r="J55" s="78"/>
      <c r="K55" s="79"/>
      <c r="L55" s="78"/>
      <c r="M55" s="247"/>
      <c r="N55" s="247"/>
      <c r="O55" s="76"/>
      <c r="P55" s="522"/>
      <c r="Q55" s="76"/>
      <c r="R55" s="76"/>
      <c r="S55" s="77"/>
      <c r="T55" s="76"/>
      <c r="U55" s="76"/>
      <c r="V55" s="76"/>
      <c r="W55" s="77"/>
      <c r="X55" s="247"/>
      <c r="Y55" s="247"/>
      <c r="Z55" s="247"/>
      <c r="AA55" s="76"/>
      <c r="AB55" s="522"/>
      <c r="AC55" s="76"/>
      <c r="AD55" s="76"/>
      <c r="AE55" s="77"/>
      <c r="AF55" s="76"/>
      <c r="AG55" s="76"/>
      <c r="AH55" s="76"/>
      <c r="AI55" s="77"/>
      <c r="AJ55" s="522"/>
      <c r="AK55" s="76"/>
      <c r="AL55" s="76"/>
      <c r="AM55" s="76"/>
      <c r="AN55" s="522"/>
      <c r="AO55" s="76"/>
      <c r="AP55" s="247"/>
      <c r="AQ55" s="76"/>
      <c r="AR55" s="522"/>
      <c r="AS55" s="76"/>
      <c r="AT55" s="247"/>
      <c r="AU55" s="76"/>
      <c r="AV55" s="522"/>
      <c r="AW55" s="76"/>
      <c r="AX55" s="247"/>
      <c r="AY55" s="76"/>
      <c r="AZ55" s="522"/>
      <c r="BA55" s="247"/>
      <c r="BB55" s="247"/>
      <c r="BC55" s="76"/>
      <c r="BD55" s="522"/>
      <c r="BE55" s="76"/>
      <c r="BF55" s="76"/>
      <c r="BG55" s="77"/>
      <c r="BH55" s="522"/>
      <c r="BI55" s="76"/>
      <c r="BJ55" s="76"/>
      <c r="BK55" s="77"/>
      <c r="BL55" s="522"/>
      <c r="BM55" s="76"/>
      <c r="BN55" s="76"/>
      <c r="BO55" s="77"/>
      <c r="BP55" s="657"/>
      <c r="BQ55" s="8"/>
      <c r="BR55" s="8"/>
      <c r="BS55" s="247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7"/>
      <c r="CG55" s="658"/>
      <c r="CH55" s="363"/>
    </row>
    <row r="56" spans="1:86" ht="14.25" hidden="1" customHeight="1" outlineLevel="1">
      <c r="A56" s="672"/>
      <c r="B56" s="769" t="s">
        <v>337</v>
      </c>
      <c r="C56" s="274"/>
      <c r="D56" s="78"/>
      <c r="E56" s="78"/>
      <c r="F56" s="78"/>
      <c r="G56" s="79"/>
      <c r="H56" s="78"/>
      <c r="I56" s="78"/>
      <c r="J56" s="78"/>
      <c r="K56" s="79"/>
      <c r="L56" s="687">
        <f t="shared" ref="L56:AI56" si="203">L$607</f>
        <v>5</v>
      </c>
      <c r="M56" s="687">
        <f t="shared" si="203"/>
        <v>6</v>
      </c>
      <c r="N56" s="687">
        <f t="shared" si="203"/>
        <v>5</v>
      </c>
      <c r="O56" s="687">
        <f t="shared" si="203"/>
        <v>2</v>
      </c>
      <c r="P56" s="688">
        <f t="shared" si="203"/>
        <v>0</v>
      </c>
      <c r="Q56" s="687">
        <f t="shared" si="203"/>
        <v>0</v>
      </c>
      <c r="R56" s="687">
        <f t="shared" si="203"/>
        <v>0</v>
      </c>
      <c r="S56" s="689">
        <f t="shared" si="203"/>
        <v>58</v>
      </c>
      <c r="T56" s="687">
        <f t="shared" si="203"/>
        <v>40</v>
      </c>
      <c r="U56" s="687">
        <f t="shared" si="203"/>
        <v>34</v>
      </c>
      <c r="V56" s="687">
        <f t="shared" si="203"/>
        <v>4</v>
      </c>
      <c r="W56" s="689">
        <f t="shared" si="203"/>
        <v>6</v>
      </c>
      <c r="X56" s="687">
        <f t="shared" si="203"/>
        <v>4</v>
      </c>
      <c r="Y56" s="687">
        <f t="shared" si="203"/>
        <v>7</v>
      </c>
      <c r="Z56" s="687">
        <f t="shared" si="203"/>
        <v>1</v>
      </c>
      <c r="AA56" s="687">
        <f t="shared" si="203"/>
        <v>1</v>
      </c>
      <c r="AB56" s="688">
        <f t="shared" si="203"/>
        <v>0</v>
      </c>
      <c r="AC56" s="687">
        <f t="shared" si="203"/>
        <v>0</v>
      </c>
      <c r="AD56" s="687">
        <f t="shared" si="203"/>
        <v>0</v>
      </c>
      <c r="AE56" s="689">
        <f t="shared" si="203"/>
        <v>0</v>
      </c>
      <c r="AF56" s="687">
        <f t="shared" si="203"/>
        <v>0</v>
      </c>
      <c r="AG56" s="687">
        <f t="shared" si="203"/>
        <v>0</v>
      </c>
      <c r="AH56" s="687">
        <f t="shared" si="203"/>
        <v>0</v>
      </c>
      <c r="AI56" s="689">
        <f t="shared" si="203"/>
        <v>0</v>
      </c>
      <c r="AJ56" s="742">
        <v>0</v>
      </c>
      <c r="AK56" s="632">
        <v>0</v>
      </c>
      <c r="AL56" s="632">
        <v>0</v>
      </c>
      <c r="AM56" s="632">
        <v>0</v>
      </c>
      <c r="AN56" s="742">
        <v>0</v>
      </c>
      <c r="AO56" s="632">
        <v>0</v>
      </c>
      <c r="AP56" s="632">
        <v>0</v>
      </c>
      <c r="AQ56" s="632">
        <v>0</v>
      </c>
      <c r="AR56" s="742">
        <v>0</v>
      </c>
      <c r="AS56" s="632">
        <v>0</v>
      </c>
      <c r="AT56" s="632">
        <v>0</v>
      </c>
      <c r="AU56" s="632">
        <v>0</v>
      </c>
      <c r="AV56" s="742">
        <v>0</v>
      </c>
      <c r="AW56" s="632">
        <v>0</v>
      </c>
      <c r="AX56" s="632">
        <v>0</v>
      </c>
      <c r="AY56" s="632">
        <v>0</v>
      </c>
      <c r="AZ56" s="742">
        <v>0</v>
      </c>
      <c r="BA56" s="632">
        <v>0</v>
      </c>
      <c r="BB56" s="632">
        <v>0</v>
      </c>
      <c r="BC56" s="632">
        <v>0</v>
      </c>
      <c r="BD56" s="742">
        <v>0</v>
      </c>
      <c r="BE56" s="632"/>
      <c r="BF56" s="632"/>
      <c r="BG56" s="743"/>
      <c r="BH56" s="742"/>
      <c r="BI56" s="632"/>
      <c r="BJ56" s="632"/>
      <c r="BK56" s="743"/>
      <c r="BL56" s="742"/>
      <c r="BM56" s="632"/>
      <c r="BN56" s="632"/>
      <c r="BO56" s="743"/>
      <c r="BP56" s="657"/>
      <c r="BQ56" s="8"/>
      <c r="BR56" s="690">
        <v>0</v>
      </c>
      <c r="BS56" s="273">
        <f>SUM(L56:O56)</f>
        <v>18</v>
      </c>
      <c r="BT56" s="273">
        <f>SUM(P56:S56)</f>
        <v>58</v>
      </c>
      <c r="BU56" s="273">
        <f>SUM(T56:W56)</f>
        <v>84</v>
      </c>
      <c r="BV56" s="273">
        <f>SUM(X56:AA56)</f>
        <v>13</v>
      </c>
      <c r="BW56" s="273">
        <f>SUM(AB56:AE56)</f>
        <v>0</v>
      </c>
      <c r="BX56" s="273">
        <f>SUM(AF56:AI56)</f>
        <v>0</v>
      </c>
      <c r="BY56" s="273">
        <f>SUM(AJ56:AM56)</f>
        <v>0</v>
      </c>
      <c r="BZ56" s="273">
        <f>SUM(AN56:AQ56)</f>
        <v>0</v>
      </c>
      <c r="CA56" s="273">
        <f>SUM(AR56:AU56)</f>
        <v>0</v>
      </c>
      <c r="CB56" s="273"/>
      <c r="CC56" s="273"/>
      <c r="CD56" s="273"/>
      <c r="CE56" s="273"/>
      <c r="CF56" s="717"/>
      <c r="CG56" s="658"/>
      <c r="CH56" s="363"/>
    </row>
    <row r="57" spans="1:86" ht="14.25" customHeight="1" collapsed="1">
      <c r="A57" s="672"/>
      <c r="B57" s="769"/>
      <c r="C57" s="274"/>
      <c r="D57" s="78"/>
      <c r="E57" s="78"/>
      <c r="F57" s="78"/>
      <c r="G57" s="79"/>
      <c r="H57" s="78"/>
      <c r="I57" s="78"/>
      <c r="J57" s="78"/>
      <c r="K57" s="79"/>
      <c r="L57" s="632"/>
      <c r="M57" s="632"/>
      <c r="N57" s="632"/>
      <c r="O57" s="632"/>
      <c r="P57" s="742"/>
      <c r="Q57" s="632"/>
      <c r="R57" s="632"/>
      <c r="S57" s="743"/>
      <c r="T57" s="632"/>
      <c r="U57" s="632"/>
      <c r="V57" s="632"/>
      <c r="W57" s="743"/>
      <c r="X57" s="632"/>
      <c r="Y57" s="632"/>
      <c r="Z57" s="632"/>
      <c r="AA57" s="632"/>
      <c r="AB57" s="742"/>
      <c r="AC57" s="632"/>
      <c r="AD57" s="687"/>
      <c r="AE57" s="743"/>
      <c r="AF57" s="632"/>
      <c r="AG57" s="632"/>
      <c r="AH57" s="632"/>
      <c r="AI57" s="743"/>
      <c r="AJ57" s="688"/>
      <c r="AK57" s="687"/>
      <c r="AL57" s="687"/>
      <c r="AM57" s="687"/>
      <c r="AN57" s="688"/>
      <c r="AO57" s="687"/>
      <c r="AP57" s="687"/>
      <c r="AQ57" s="687"/>
      <c r="AR57" s="688"/>
      <c r="AS57" s="687"/>
      <c r="AT57" s="687"/>
      <c r="AU57" s="687"/>
      <c r="AV57" s="688"/>
      <c r="AW57" s="687"/>
      <c r="AX57" s="687"/>
      <c r="AY57" s="687"/>
      <c r="AZ57" s="688"/>
      <c r="BA57" s="687"/>
      <c r="BB57" s="687"/>
      <c r="BC57" s="687"/>
      <c r="BD57" s="688"/>
      <c r="BE57" s="687"/>
      <c r="BF57" s="687"/>
      <c r="BG57" s="689"/>
      <c r="BH57" s="688"/>
      <c r="BI57" s="687"/>
      <c r="BJ57" s="687"/>
      <c r="BK57" s="689"/>
      <c r="BL57" s="688"/>
      <c r="BM57" s="687"/>
      <c r="BN57" s="687"/>
      <c r="BO57" s="689"/>
      <c r="BP57" s="657"/>
      <c r="BQ57" s="8"/>
      <c r="BR57" s="8"/>
      <c r="BS57" s="273"/>
      <c r="BT57" s="273"/>
      <c r="BU57" s="273"/>
      <c r="BV57" s="273"/>
      <c r="BW57" s="273"/>
      <c r="BX57" s="273"/>
      <c r="BY57" s="273"/>
      <c r="BZ57" s="273"/>
      <c r="CA57" s="273"/>
      <c r="CB57" s="273"/>
      <c r="CC57" s="273"/>
      <c r="CD57" s="273"/>
      <c r="CE57" s="273"/>
      <c r="CF57" s="717"/>
      <c r="CG57" s="658"/>
      <c r="CH57" s="363"/>
    </row>
    <row r="58" spans="1:86" ht="14.25" customHeight="1">
      <c r="A58" s="672"/>
      <c r="B58" s="769" t="s">
        <v>851</v>
      </c>
      <c r="C58" s="274"/>
      <c r="D58" s="78"/>
      <c r="E58" s="78"/>
      <c r="F58" s="78"/>
      <c r="G58" s="79"/>
      <c r="H58" s="78"/>
      <c r="I58" s="78"/>
      <c r="J58" s="78"/>
      <c r="K58" s="79"/>
      <c r="L58" s="687">
        <f t="shared" ref="L58:AH58" si="204">L56+L53</f>
        <v>363</v>
      </c>
      <c r="M58" s="687">
        <f t="shared" si="204"/>
        <v>343</v>
      </c>
      <c r="N58" s="687">
        <f t="shared" si="204"/>
        <v>437</v>
      </c>
      <c r="O58" s="687">
        <f t="shared" si="204"/>
        <v>439</v>
      </c>
      <c r="P58" s="688">
        <f t="shared" si="204"/>
        <v>376</v>
      </c>
      <c r="Q58" s="687">
        <f t="shared" si="204"/>
        <v>330</v>
      </c>
      <c r="R58" s="687">
        <f t="shared" si="204"/>
        <v>280</v>
      </c>
      <c r="S58" s="689">
        <f t="shared" si="204"/>
        <v>146</v>
      </c>
      <c r="T58" s="687">
        <f t="shared" si="204"/>
        <v>14</v>
      </c>
      <c r="U58" s="687">
        <f t="shared" si="204"/>
        <v>137</v>
      </c>
      <c r="V58" s="687">
        <f t="shared" si="204"/>
        <v>315</v>
      </c>
      <c r="W58" s="689">
        <f t="shared" si="204"/>
        <v>389</v>
      </c>
      <c r="X58" s="687">
        <f t="shared" si="204"/>
        <v>402</v>
      </c>
      <c r="Y58" s="687">
        <f t="shared" si="204"/>
        <v>479</v>
      </c>
      <c r="Z58" s="687">
        <f t="shared" si="204"/>
        <v>521</v>
      </c>
      <c r="AA58" s="687">
        <f t="shared" si="204"/>
        <v>487</v>
      </c>
      <c r="AB58" s="688">
        <f t="shared" si="204"/>
        <v>418</v>
      </c>
      <c r="AC58" s="687">
        <f t="shared" si="204"/>
        <v>446</v>
      </c>
      <c r="AD58" s="687">
        <f t="shared" si="204"/>
        <v>414</v>
      </c>
      <c r="AE58" s="689">
        <f t="shared" si="204"/>
        <v>414</v>
      </c>
      <c r="AF58" s="687">
        <f t="shared" si="204"/>
        <v>335</v>
      </c>
      <c r="AG58" s="687">
        <f t="shared" si="204"/>
        <v>437</v>
      </c>
      <c r="AH58" s="687">
        <f t="shared" si="204"/>
        <v>460</v>
      </c>
      <c r="AI58" s="689">
        <f t="shared" ref="AI58:AN58" si="205">AI56+AI53</f>
        <v>419</v>
      </c>
      <c r="AJ58" s="687">
        <f t="shared" si="205"/>
        <v>300</v>
      </c>
      <c r="AK58" s="687">
        <f t="shared" si="205"/>
        <v>416</v>
      </c>
      <c r="AL58" s="687">
        <f t="shared" si="205"/>
        <v>583</v>
      </c>
      <c r="AM58" s="687">
        <f t="shared" si="205"/>
        <v>561</v>
      </c>
      <c r="AN58" s="688">
        <f t="shared" si="205"/>
        <v>498</v>
      </c>
      <c r="AO58" s="687">
        <f t="shared" ref="AO58:AT58" si="206">AO56+AO53</f>
        <v>664</v>
      </c>
      <c r="AP58" s="687">
        <f t="shared" si="206"/>
        <v>802</v>
      </c>
      <c r="AQ58" s="687">
        <f t="shared" si="206"/>
        <v>822</v>
      </c>
      <c r="AR58" s="688">
        <f t="shared" si="206"/>
        <v>721</v>
      </c>
      <c r="AS58" s="687">
        <f t="shared" si="206"/>
        <v>728</v>
      </c>
      <c r="AT58" s="687">
        <f t="shared" si="206"/>
        <v>812</v>
      </c>
      <c r="AU58" s="687">
        <f t="shared" ref="AU58:AZ58" si="207">AU56+AU53</f>
        <v>787</v>
      </c>
      <c r="AV58" s="688">
        <f t="shared" si="207"/>
        <v>679</v>
      </c>
      <c r="AW58" s="687">
        <f t="shared" si="207"/>
        <v>771</v>
      </c>
      <c r="AX58" s="687">
        <f t="shared" si="207"/>
        <v>949</v>
      </c>
      <c r="AY58" s="687">
        <f t="shared" si="207"/>
        <v>981</v>
      </c>
      <c r="AZ58" s="688">
        <f t="shared" si="207"/>
        <v>935</v>
      </c>
      <c r="BA58" s="687">
        <f t="shared" ref="BA58:BD58" si="208">BA56+BA53</f>
        <v>1077</v>
      </c>
      <c r="BB58" s="687">
        <f t="shared" si="208"/>
        <v>1268</v>
      </c>
      <c r="BC58" s="687">
        <f t="shared" si="208"/>
        <v>1188</v>
      </c>
      <c r="BD58" s="688">
        <f t="shared" si="208"/>
        <v>1166</v>
      </c>
      <c r="BE58" s="687"/>
      <c r="BF58" s="687"/>
      <c r="BG58" s="689"/>
      <c r="BH58" s="688"/>
      <c r="BI58" s="687"/>
      <c r="BJ58" s="687"/>
      <c r="BK58" s="689"/>
      <c r="BL58" s="688"/>
      <c r="BM58" s="687"/>
      <c r="BN58" s="687"/>
      <c r="BO58" s="689"/>
      <c r="BP58" s="657"/>
      <c r="BQ58" s="8"/>
      <c r="BR58" s="273">
        <f>BR56+BR53</f>
        <v>1481</v>
      </c>
      <c r="BS58" s="273">
        <f>SUM(L58:O58)</f>
        <v>1582</v>
      </c>
      <c r="BT58" s="273">
        <f>SUM(P58:S58)</f>
        <v>1132</v>
      </c>
      <c r="BU58" s="273">
        <f>SUM(T58:W58)</f>
        <v>855</v>
      </c>
      <c r="BV58" s="273">
        <f>SUM(X58:AA58)</f>
        <v>1889</v>
      </c>
      <c r="BW58" s="273">
        <f>SUM(AB58:AE58)</f>
        <v>1692</v>
      </c>
      <c r="BX58" s="273">
        <f>SUM(AF58:AI58)</f>
        <v>1651</v>
      </c>
      <c r="BY58" s="273">
        <f>SUM(AJ58:AM58)</f>
        <v>1860</v>
      </c>
      <c r="BZ58" s="273">
        <f>SUM(AN58:AQ58)</f>
        <v>2786</v>
      </c>
      <c r="CA58" s="273">
        <f>SUM(AR58:AU58)</f>
        <v>3048</v>
      </c>
      <c r="CB58" s="273"/>
      <c r="CC58" s="273"/>
      <c r="CD58" s="273"/>
      <c r="CE58" s="273"/>
      <c r="CF58" s="717"/>
      <c r="CG58" s="658"/>
      <c r="CH58" s="363"/>
    </row>
    <row r="59" spans="1:86" ht="14.25" customHeight="1">
      <c r="A59" s="672"/>
      <c r="B59" s="651" t="s">
        <v>334</v>
      </c>
      <c r="C59" s="274"/>
      <c r="D59" s="78"/>
      <c r="E59" s="78"/>
      <c r="F59" s="78"/>
      <c r="G59" s="79"/>
      <c r="H59" s="78"/>
      <c r="I59" s="78"/>
      <c r="J59" s="78"/>
      <c r="K59" s="79"/>
      <c r="L59" s="247">
        <f t="shared" ref="L59:AP59" si="209">L58/L38</f>
        <v>0.32238010657193605</v>
      </c>
      <c r="M59" s="247">
        <f t="shared" si="209"/>
        <v>0.29467353951890035</v>
      </c>
      <c r="N59" s="247">
        <f t="shared" si="209"/>
        <v>0.3392857142857143</v>
      </c>
      <c r="O59" s="247">
        <f t="shared" si="209"/>
        <v>0.34083850931677018</v>
      </c>
      <c r="P59" s="522">
        <f t="shared" si="209"/>
        <v>0.30104083266613291</v>
      </c>
      <c r="Q59" s="76">
        <f t="shared" si="209"/>
        <v>0.26004728132387706</v>
      </c>
      <c r="R59" s="76">
        <f t="shared" si="209"/>
        <v>0.22047244094488189</v>
      </c>
      <c r="S59" s="77">
        <f t="shared" si="209"/>
        <v>0.14570858283433133</v>
      </c>
      <c r="T59" s="76">
        <f t="shared" si="209"/>
        <v>1.7456359102244388E-2</v>
      </c>
      <c r="U59" s="76">
        <f t="shared" si="209"/>
        <v>0.14123711340206185</v>
      </c>
      <c r="V59" s="76">
        <f t="shared" si="209"/>
        <v>0.2696917808219178</v>
      </c>
      <c r="W59" s="77">
        <f t="shared" si="209"/>
        <v>0.3079968329374505</v>
      </c>
      <c r="X59" s="247">
        <f t="shared" si="209"/>
        <v>0.29407461594732992</v>
      </c>
      <c r="Y59" s="247">
        <f t="shared" si="209"/>
        <v>0.3167989417989418</v>
      </c>
      <c r="Z59" s="247">
        <f t="shared" si="209"/>
        <v>0.32953826691967109</v>
      </c>
      <c r="AA59" s="247">
        <f t="shared" si="209"/>
        <v>0.32081686429512518</v>
      </c>
      <c r="AB59" s="522">
        <f t="shared" si="209"/>
        <v>0.27213541666666669</v>
      </c>
      <c r="AC59" s="76">
        <f t="shared" si="209"/>
        <v>0.28085642317380355</v>
      </c>
      <c r="AD59" s="76">
        <f t="shared" si="209"/>
        <v>0.26589595375722541</v>
      </c>
      <c r="AE59" s="77">
        <f t="shared" si="209"/>
        <v>0.24424778761061947</v>
      </c>
      <c r="AF59" s="76">
        <f t="shared" si="209"/>
        <v>0.19869513641755635</v>
      </c>
      <c r="AG59" s="76">
        <f t="shared" si="209"/>
        <v>0.24277777777777779</v>
      </c>
      <c r="AH59" s="76">
        <f t="shared" si="209"/>
        <v>0.24959305480195335</v>
      </c>
      <c r="AI59" s="77">
        <f t="shared" si="209"/>
        <v>0.25104853205512284</v>
      </c>
      <c r="AJ59" s="76">
        <f t="shared" si="209"/>
        <v>0.18203883495145631</v>
      </c>
      <c r="AK59" s="76">
        <f t="shared" si="209"/>
        <v>0.23839541547277937</v>
      </c>
      <c r="AL59" s="76">
        <f t="shared" si="209"/>
        <v>0.30191610564474364</v>
      </c>
      <c r="AM59" s="76">
        <f t="shared" si="209"/>
        <v>0.30014024752389279</v>
      </c>
      <c r="AN59" s="522">
        <f t="shared" si="209"/>
        <v>0.27109417528579205</v>
      </c>
      <c r="AO59" s="76">
        <f t="shared" si="209"/>
        <v>0.33283208020050126</v>
      </c>
      <c r="AP59" s="76">
        <f t="shared" si="209"/>
        <v>0.37319683573755236</v>
      </c>
      <c r="AQ59" s="76">
        <f t="shared" ref="AQ59:AW59" si="210">AQ58/AQ38</f>
        <v>0.38718794159208669</v>
      </c>
      <c r="AR59" s="522">
        <f t="shared" si="210"/>
        <v>0.3542997542997543</v>
      </c>
      <c r="AS59" s="76">
        <f t="shared" si="210"/>
        <v>0.35529526598340655</v>
      </c>
      <c r="AT59" s="76">
        <f t="shared" si="210"/>
        <v>0.37213565536205317</v>
      </c>
      <c r="AU59" s="76">
        <f t="shared" si="210"/>
        <v>0.37964302942595274</v>
      </c>
      <c r="AV59" s="522">
        <f t="shared" si="210"/>
        <v>0.36136242682277808</v>
      </c>
      <c r="AW59" s="76">
        <f t="shared" si="210"/>
        <v>0.37720156555772993</v>
      </c>
      <c r="AX59" s="76">
        <f>AX58/AX38</f>
        <v>0.40852346104175635</v>
      </c>
      <c r="AY59" s="76">
        <f t="shared" ref="AY59:BA59" si="211">AY58/AY38</f>
        <v>0.42838427947598251</v>
      </c>
      <c r="AZ59" s="522">
        <f t="shared" si="211"/>
        <v>0.41445035460992907</v>
      </c>
      <c r="BA59" s="247">
        <f t="shared" si="211"/>
        <v>0.44670261302364161</v>
      </c>
      <c r="BB59" s="247">
        <f t="shared" ref="BB59:BD59" si="212">BB58/BB38</f>
        <v>0.46997776130467012</v>
      </c>
      <c r="BC59" s="76">
        <f t="shared" si="212"/>
        <v>0.46863905325443789</v>
      </c>
      <c r="BD59" s="522">
        <f t="shared" si="212"/>
        <v>0.45440374123148869</v>
      </c>
      <c r="BE59" s="76"/>
      <c r="BF59" s="76"/>
      <c r="BG59" s="77"/>
      <c r="BH59" s="522"/>
      <c r="BI59" s="76"/>
      <c r="BJ59" s="76"/>
      <c r="BK59" s="77"/>
      <c r="BL59" s="522"/>
      <c r="BM59" s="76"/>
      <c r="BN59" s="76"/>
      <c r="BO59" s="77"/>
      <c r="BP59" s="657"/>
      <c r="BQ59" s="8"/>
      <c r="BR59" s="247" t="e">
        <f t="shared" ref="BR59:CA59" si="213">BR58/BR38</f>
        <v>#DIV/0!</v>
      </c>
      <c r="BS59" s="247">
        <f t="shared" si="213"/>
        <v>0.32511302918207974</v>
      </c>
      <c r="BT59" s="76">
        <f t="shared" si="213"/>
        <v>0.23632567849686847</v>
      </c>
      <c r="BU59" s="76">
        <f t="shared" si="213"/>
        <v>0.20342612419700215</v>
      </c>
      <c r="BV59" s="76">
        <f t="shared" si="213"/>
        <v>0.31599197055871531</v>
      </c>
      <c r="BW59" s="76">
        <f t="shared" si="213"/>
        <v>0.26537013801756587</v>
      </c>
      <c r="BX59" s="76">
        <f t="shared" si="213"/>
        <v>0.23592454987139183</v>
      </c>
      <c r="BY59" s="76">
        <f t="shared" si="213"/>
        <v>0.25858019845069452</v>
      </c>
      <c r="BZ59" s="76">
        <f t="shared" si="213"/>
        <v>0.34378084896347483</v>
      </c>
      <c r="CA59" s="76">
        <f t="shared" si="213"/>
        <v>0.36551145221249548</v>
      </c>
      <c r="CB59" s="76"/>
      <c r="CC59" s="76"/>
      <c r="CD59" s="76"/>
      <c r="CE59" s="76"/>
      <c r="CF59" s="77"/>
      <c r="CG59" s="658"/>
      <c r="CH59" s="363"/>
    </row>
    <row r="60" spans="1:86" ht="14.25" customHeight="1">
      <c r="A60" s="672"/>
      <c r="B60" s="651"/>
      <c r="C60" s="274"/>
      <c r="D60" s="78"/>
      <c r="E60" s="78"/>
      <c r="F60" s="78"/>
      <c r="G60" s="79"/>
      <c r="H60" s="78"/>
      <c r="I60" s="78"/>
      <c r="J60" s="78"/>
      <c r="K60" s="79"/>
      <c r="L60" s="78"/>
      <c r="M60" s="78"/>
      <c r="N60" s="78"/>
      <c r="O60" s="78"/>
      <c r="P60" s="770"/>
      <c r="Q60" s="78"/>
      <c r="R60" s="78"/>
      <c r="S60" s="79"/>
      <c r="T60" s="78"/>
      <c r="U60" s="78"/>
      <c r="V60" s="78"/>
      <c r="W60" s="79"/>
      <c r="X60" s="78"/>
      <c r="Y60" s="78"/>
      <c r="Z60" s="78"/>
      <c r="AA60" s="78"/>
      <c r="AB60" s="770"/>
      <c r="AC60" s="78"/>
      <c r="AD60" s="278"/>
      <c r="AE60" s="79"/>
      <c r="AF60" s="78"/>
      <c r="AG60" s="278"/>
      <c r="AH60" s="278"/>
      <c r="AI60" s="279"/>
      <c r="AJ60" s="297"/>
      <c r="AK60" s="14"/>
      <c r="AL60" s="14"/>
      <c r="AM60" s="279"/>
      <c r="AN60" s="14"/>
      <c r="AO60" s="14"/>
      <c r="AP60" s="14"/>
      <c r="AQ60" s="279"/>
      <c r="AR60" s="14"/>
      <c r="AS60" s="14"/>
      <c r="AT60" s="14"/>
      <c r="AU60" s="279"/>
      <c r="AV60" s="14"/>
      <c r="AW60" s="14"/>
      <c r="AX60" s="14"/>
      <c r="AY60" s="279"/>
      <c r="AZ60" s="14"/>
      <c r="BA60" s="14"/>
      <c r="BB60" s="14"/>
      <c r="BC60" s="278"/>
      <c r="BD60" s="297"/>
      <c r="BE60" s="14"/>
      <c r="BF60" s="14"/>
      <c r="BG60" s="279"/>
      <c r="BH60" s="297"/>
      <c r="BI60" s="14"/>
      <c r="BJ60" s="14"/>
      <c r="BK60" s="279"/>
      <c r="BL60" s="297"/>
      <c r="BM60" s="14"/>
      <c r="BN60" s="14"/>
      <c r="BO60" s="279"/>
      <c r="BP60" s="657"/>
      <c r="BQ60" s="8"/>
      <c r="BR60" s="8"/>
      <c r="BS60" s="8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224"/>
      <c r="CG60" s="658"/>
      <c r="CH60" s="363"/>
    </row>
    <row r="61" spans="1:86" ht="14.25" customHeight="1">
      <c r="A61" s="672"/>
      <c r="B61" s="673" t="s">
        <v>313</v>
      </c>
      <c r="C61" s="771"/>
      <c r="D61" s="772"/>
      <c r="E61" s="772"/>
      <c r="F61" s="772"/>
      <c r="G61" s="773"/>
      <c r="H61" s="772"/>
      <c r="I61" s="772"/>
      <c r="J61" s="772"/>
      <c r="K61" s="773"/>
      <c r="L61" s="772"/>
      <c r="M61" s="772"/>
      <c r="N61" s="772"/>
      <c r="O61" s="772"/>
      <c r="P61" s="774"/>
      <c r="Q61" s="772"/>
      <c r="R61" s="772"/>
      <c r="S61" s="773"/>
      <c r="T61" s="772"/>
      <c r="U61" s="772"/>
      <c r="V61" s="772"/>
      <c r="W61" s="773"/>
      <c r="X61" s="775"/>
      <c r="Y61" s="772"/>
      <c r="Z61" s="772"/>
      <c r="AA61" s="772"/>
      <c r="AB61" s="774"/>
      <c r="AC61" s="772"/>
      <c r="AD61" s="772"/>
      <c r="AE61" s="773"/>
      <c r="AF61" s="772"/>
      <c r="AG61" s="772"/>
      <c r="AH61" s="772"/>
      <c r="AI61" s="773"/>
      <c r="AJ61" s="776"/>
      <c r="AK61" s="777"/>
      <c r="AL61" s="777"/>
      <c r="AM61" s="778"/>
      <c r="AN61" s="777"/>
      <c r="AO61" s="777"/>
      <c r="AP61" s="777"/>
      <c r="AQ61" s="778"/>
      <c r="AR61" s="777"/>
      <c r="AS61" s="777"/>
      <c r="AT61" s="777"/>
      <c r="AU61" s="778"/>
      <c r="AV61" s="777"/>
      <c r="AW61" s="777"/>
      <c r="AX61" s="777"/>
      <c r="AY61" s="778"/>
      <c r="AZ61" s="777"/>
      <c r="BA61" s="777"/>
      <c r="BB61" s="777"/>
      <c r="BC61" s="1103"/>
      <c r="BD61" s="776"/>
      <c r="BE61" s="777"/>
      <c r="BF61" s="777"/>
      <c r="BG61" s="778"/>
      <c r="BH61" s="776"/>
      <c r="BI61" s="777"/>
      <c r="BJ61" s="777"/>
      <c r="BK61" s="778"/>
      <c r="BL61" s="776"/>
      <c r="BM61" s="777"/>
      <c r="BN61" s="777"/>
      <c r="BO61" s="778"/>
      <c r="BP61" s="657"/>
      <c r="BQ61" s="779"/>
      <c r="BR61" s="779"/>
      <c r="BS61" s="779"/>
      <c r="BT61" s="781"/>
      <c r="BU61" s="781"/>
      <c r="BV61" s="781"/>
      <c r="BW61" s="781"/>
      <c r="BX61" s="781"/>
      <c r="BY61" s="781"/>
      <c r="BZ61" s="781"/>
      <c r="CA61" s="781"/>
      <c r="CB61" s="781"/>
      <c r="CC61" s="781"/>
      <c r="CD61" s="781"/>
      <c r="CE61" s="781"/>
      <c r="CF61" s="782"/>
      <c r="CG61" s="658"/>
      <c r="CH61" s="363"/>
    </row>
    <row r="62" spans="1:86" ht="14.25" hidden="1" customHeight="1" outlineLevel="1">
      <c r="A62" s="672"/>
      <c r="B62" s="783"/>
      <c r="C62" s="277"/>
      <c r="D62" s="78"/>
      <c r="E62" s="78"/>
      <c r="F62" s="78"/>
      <c r="G62" s="79"/>
      <c r="H62" s="78"/>
      <c r="I62" s="78"/>
      <c r="J62" s="78"/>
      <c r="K62" s="79"/>
      <c r="L62" s="78"/>
      <c r="M62" s="78"/>
      <c r="N62" s="78"/>
      <c r="O62" s="78"/>
      <c r="P62" s="770"/>
      <c r="Q62" s="78"/>
      <c r="R62" s="78"/>
      <c r="S62" s="79"/>
      <c r="T62" s="78"/>
      <c r="U62" s="78"/>
      <c r="V62" s="78"/>
      <c r="W62" s="79"/>
      <c r="X62" s="784"/>
      <c r="Y62" s="78"/>
      <c r="Z62" s="78"/>
      <c r="AA62" s="78"/>
      <c r="AB62" s="770"/>
      <c r="AC62" s="78"/>
      <c r="AD62" s="78"/>
      <c r="AE62" s="79"/>
      <c r="AF62" s="78"/>
      <c r="AG62" s="78"/>
      <c r="AH62" s="78"/>
      <c r="AI62" s="79"/>
      <c r="AJ62" s="785"/>
      <c r="AK62" s="54"/>
      <c r="AL62" s="54"/>
      <c r="AM62" s="79"/>
      <c r="AN62" s="54"/>
      <c r="AO62" s="54"/>
      <c r="AP62" s="54"/>
      <c r="AQ62" s="79"/>
      <c r="AR62" s="54"/>
      <c r="AS62" s="54"/>
      <c r="AT62" s="54"/>
      <c r="AU62" s="79"/>
      <c r="AV62" s="54"/>
      <c r="AW62" s="54"/>
      <c r="AX62" s="54"/>
      <c r="AY62" s="79"/>
      <c r="AZ62" s="54"/>
      <c r="BA62" s="54"/>
      <c r="BB62" s="54"/>
      <c r="BC62" s="78"/>
      <c r="BD62" s="342"/>
      <c r="BE62" s="54"/>
      <c r="BF62" s="54"/>
      <c r="BG62" s="79"/>
      <c r="BH62" s="342"/>
      <c r="BI62" s="54"/>
      <c r="BJ62" s="54"/>
      <c r="BK62" s="79"/>
      <c r="BL62" s="342"/>
      <c r="BM62" s="54"/>
      <c r="BN62" s="54"/>
      <c r="BO62" s="79"/>
      <c r="BP62" s="21"/>
      <c r="BQ62" s="12"/>
      <c r="BR62" s="12"/>
      <c r="BS62" s="12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21"/>
      <c r="CG62" s="1172"/>
      <c r="CH62" s="363"/>
    </row>
    <row r="63" spans="1:86" ht="14.25" hidden="1" customHeight="1" outlineLevel="1">
      <c r="A63" s="786"/>
      <c r="B63" s="787" t="s">
        <v>53</v>
      </c>
      <c r="C63" s="458"/>
      <c r="D63" s="445"/>
      <c r="E63" s="445"/>
      <c r="F63" s="445"/>
      <c r="G63" s="446"/>
      <c r="H63" s="445"/>
      <c r="I63" s="445"/>
      <c r="J63" s="445"/>
      <c r="K63" s="446"/>
      <c r="L63" s="788">
        <v>378</v>
      </c>
      <c r="M63" s="788">
        <v>389</v>
      </c>
      <c r="N63" s="788">
        <v>390</v>
      </c>
      <c r="O63" s="788">
        <v>431</v>
      </c>
      <c r="P63" s="789">
        <v>425</v>
      </c>
      <c r="Q63" s="788">
        <v>439</v>
      </c>
      <c r="R63" s="788">
        <v>427</v>
      </c>
      <c r="S63" s="790">
        <v>340</v>
      </c>
      <c r="T63" s="788">
        <v>316</v>
      </c>
      <c r="U63" s="788">
        <v>350</v>
      </c>
      <c r="V63" s="788">
        <v>393</v>
      </c>
      <c r="W63" s="790">
        <v>412</v>
      </c>
      <c r="X63" s="788">
        <v>440</v>
      </c>
      <c r="Y63" s="788">
        <v>516</v>
      </c>
      <c r="Z63" s="788">
        <v>579</v>
      </c>
      <c r="AA63" s="788">
        <v>538</v>
      </c>
      <c r="AB63" s="789">
        <v>533</v>
      </c>
      <c r="AC63" s="788">
        <v>596</v>
      </c>
      <c r="AD63" s="788">
        <v>539</v>
      </c>
      <c r="AE63" s="790">
        <v>442</v>
      </c>
      <c r="AF63" s="788">
        <v>473</v>
      </c>
      <c r="AG63" s="788">
        <v>509</v>
      </c>
      <c r="AH63" s="788">
        <v>520</v>
      </c>
      <c r="AI63" s="790">
        <v>469</v>
      </c>
      <c r="AJ63" s="789"/>
      <c r="AK63" s="788"/>
      <c r="AL63" s="788"/>
      <c r="AM63" s="790"/>
      <c r="AN63" s="788"/>
      <c r="AO63" s="788"/>
      <c r="AP63" s="788"/>
      <c r="AQ63" s="790"/>
      <c r="AR63" s="788"/>
      <c r="AS63" s="788"/>
      <c r="AT63" s="788"/>
      <c r="AU63" s="790"/>
      <c r="AV63" s="788"/>
      <c r="AW63" s="788"/>
      <c r="AX63" s="788"/>
      <c r="AY63" s="790"/>
      <c r="AZ63" s="788"/>
      <c r="BA63" s="788"/>
      <c r="BB63" s="788"/>
      <c r="BC63" s="788"/>
      <c r="BD63" s="789"/>
      <c r="BE63" s="788"/>
      <c r="BF63" s="788"/>
      <c r="BG63" s="790"/>
      <c r="BH63" s="789"/>
      <c r="BI63" s="788"/>
      <c r="BJ63" s="788"/>
      <c r="BK63" s="790"/>
      <c r="BL63" s="789"/>
      <c r="BM63" s="788"/>
      <c r="BN63" s="788"/>
      <c r="BO63" s="790"/>
      <c r="BP63" s="791"/>
      <c r="BQ63" s="440"/>
      <c r="BR63" s="792">
        <v>1554</v>
      </c>
      <c r="BS63" s="440">
        <f>SUM(L63:O63)</f>
        <v>1588</v>
      </c>
      <c r="BT63" s="691">
        <f>SUM(P63:S63)</f>
        <v>1631</v>
      </c>
      <c r="BU63" s="691">
        <f>SUM(T63:W63)</f>
        <v>1471</v>
      </c>
      <c r="BV63" s="691">
        <f>SUM(X63:AA63)</f>
        <v>2073</v>
      </c>
      <c r="BW63" s="691">
        <f>SUM(AB63:AE63)</f>
        <v>2110</v>
      </c>
      <c r="BX63" s="691">
        <f>SUM(AF63:AI63)</f>
        <v>1971</v>
      </c>
      <c r="BY63" s="691">
        <f>SUM(AJ63:AM63)</f>
        <v>0</v>
      </c>
      <c r="BZ63" s="691">
        <f>+SUM(AN63:AQ63)</f>
        <v>0</v>
      </c>
      <c r="CA63" s="691">
        <f>+SUM(AR63:AU63)</f>
        <v>0</v>
      </c>
      <c r="CB63" s="691">
        <f>SUM(AV63:AY63)</f>
        <v>0</v>
      </c>
      <c r="CC63" s="691">
        <f>SUM(AZ63:BC63)</f>
        <v>0</v>
      </c>
      <c r="CD63" s="691">
        <f>SUM(BD63:BG63)</f>
        <v>0</v>
      </c>
      <c r="CE63" s="691">
        <f>SUM(BH63:BK63)</f>
        <v>0</v>
      </c>
      <c r="CF63" s="692">
        <f>SUM(BL63:BO63)</f>
        <v>0</v>
      </c>
      <c r="CG63" s="793"/>
      <c r="CH63" s="363"/>
    </row>
    <row r="64" spans="1:86" ht="14.25" hidden="1" customHeight="1" outlineLevel="1">
      <c r="A64" s="786"/>
      <c r="B64" s="787" t="s">
        <v>48</v>
      </c>
      <c r="C64" s="458"/>
      <c r="D64" s="445"/>
      <c r="E64" s="445"/>
      <c r="F64" s="445"/>
      <c r="G64" s="446"/>
      <c r="H64" s="445"/>
      <c r="I64" s="445"/>
      <c r="J64" s="445"/>
      <c r="K64" s="446"/>
      <c r="L64" s="788"/>
      <c r="M64" s="788"/>
      <c r="N64" s="788"/>
      <c r="O64" s="788"/>
      <c r="P64" s="789"/>
      <c r="Q64" s="788"/>
      <c r="R64" s="788"/>
      <c r="S64" s="790"/>
      <c r="T64" s="788"/>
      <c r="U64" s="788"/>
      <c r="V64" s="788"/>
      <c r="W64" s="790"/>
      <c r="X64" s="788">
        <v>34</v>
      </c>
      <c r="Y64" s="788">
        <v>27</v>
      </c>
      <c r="Z64" s="788">
        <v>23</v>
      </c>
      <c r="AA64" s="788">
        <v>25</v>
      </c>
      <c r="AB64" s="789">
        <v>27</v>
      </c>
      <c r="AC64" s="788">
        <v>34</v>
      </c>
      <c r="AD64" s="788">
        <v>33</v>
      </c>
      <c r="AE64" s="790">
        <v>32</v>
      </c>
      <c r="AF64" s="788">
        <v>34</v>
      </c>
      <c r="AG64" s="788">
        <v>37</v>
      </c>
      <c r="AH64" s="788">
        <v>39</v>
      </c>
      <c r="AI64" s="790">
        <v>47</v>
      </c>
      <c r="AJ64" s="789"/>
      <c r="AK64" s="788"/>
      <c r="AL64" s="788"/>
      <c r="AM64" s="790"/>
      <c r="AN64" s="788"/>
      <c r="AO64" s="788"/>
      <c r="AP64" s="788"/>
      <c r="AQ64" s="790"/>
      <c r="AR64" s="788"/>
      <c r="AS64" s="788"/>
      <c r="AT64" s="788"/>
      <c r="AU64" s="790"/>
      <c r="AV64" s="788"/>
      <c r="AW64" s="788"/>
      <c r="AX64" s="788"/>
      <c r="AY64" s="790"/>
      <c r="AZ64" s="788"/>
      <c r="BA64" s="788"/>
      <c r="BB64" s="788"/>
      <c r="BC64" s="788"/>
      <c r="BD64" s="789"/>
      <c r="BE64" s="788"/>
      <c r="BF64" s="788"/>
      <c r="BG64" s="790"/>
      <c r="BH64" s="789"/>
      <c r="BI64" s="788"/>
      <c r="BJ64" s="788"/>
      <c r="BK64" s="790"/>
      <c r="BL64" s="789"/>
      <c r="BM64" s="788"/>
      <c r="BN64" s="788"/>
      <c r="BO64" s="790"/>
      <c r="BP64" s="791"/>
      <c r="BQ64" s="440"/>
      <c r="BR64" s="792"/>
      <c r="BS64" s="440"/>
      <c r="BT64" s="691"/>
      <c r="BU64" s="691"/>
      <c r="BV64" s="691">
        <f>SUM(X64:AA64)</f>
        <v>109</v>
      </c>
      <c r="BW64" s="691">
        <f>SUM(AB64:AE64)</f>
        <v>126</v>
      </c>
      <c r="BX64" s="691">
        <f>SUM(AF64:AI64)</f>
        <v>157</v>
      </c>
      <c r="BY64" s="691">
        <f>SUM(AJ64:AM64)</f>
        <v>0</v>
      </c>
      <c r="BZ64" s="691">
        <f>+SUM(AN64:AQ64)</f>
        <v>0</v>
      </c>
      <c r="CA64" s="691">
        <f>+SUM(AR64:AU64)</f>
        <v>0</v>
      </c>
      <c r="CB64" s="691">
        <f>SUM(AV64:AY64)</f>
        <v>0</v>
      </c>
      <c r="CC64" s="691">
        <f>SUM(AZ64:BC64)</f>
        <v>0</v>
      </c>
      <c r="CD64" s="691">
        <f>SUM(BD64:BG64)</f>
        <v>0</v>
      </c>
      <c r="CE64" s="691">
        <f>SUM(BH64:BK64)</f>
        <v>0</v>
      </c>
      <c r="CF64" s="692">
        <f>SUM(BL64:BO64)</f>
        <v>0</v>
      </c>
      <c r="CG64" s="1173"/>
      <c r="CH64" s="363"/>
    </row>
    <row r="65" spans="1:88" ht="14.25" hidden="1" customHeight="1" outlineLevel="1">
      <c r="A65" s="794"/>
      <c r="B65" s="795" t="s">
        <v>62</v>
      </c>
      <c r="C65" s="796"/>
      <c r="D65" s="454"/>
      <c r="E65" s="454"/>
      <c r="F65" s="454"/>
      <c r="G65" s="455"/>
      <c r="H65" s="454"/>
      <c r="I65" s="454"/>
      <c r="J65" s="454"/>
      <c r="K65" s="455"/>
      <c r="L65" s="797"/>
      <c r="M65" s="797"/>
      <c r="N65" s="797"/>
      <c r="O65" s="797"/>
      <c r="P65" s="798"/>
      <c r="Q65" s="797"/>
      <c r="R65" s="797"/>
      <c r="S65" s="799"/>
      <c r="T65" s="797"/>
      <c r="U65" s="797"/>
      <c r="V65" s="797"/>
      <c r="W65" s="799"/>
      <c r="X65" s="454">
        <f>+X66-SUM(X63:X64)</f>
        <v>40</v>
      </c>
      <c r="Y65" s="454">
        <f t="shared" ref="Y65:AI65" si="214">+Y66-SUM(Y63:Y64)</f>
        <v>47</v>
      </c>
      <c r="Z65" s="454">
        <f t="shared" si="214"/>
        <v>45</v>
      </c>
      <c r="AA65" s="454">
        <f t="shared" si="214"/>
        <v>45</v>
      </c>
      <c r="AB65" s="453">
        <f t="shared" si="214"/>
        <v>42</v>
      </c>
      <c r="AC65" s="454">
        <f t="shared" si="214"/>
        <v>37</v>
      </c>
      <c r="AD65" s="454">
        <f t="shared" si="214"/>
        <v>36</v>
      </c>
      <c r="AE65" s="455">
        <f t="shared" si="214"/>
        <v>30</v>
      </c>
      <c r="AF65" s="454">
        <f t="shared" si="214"/>
        <v>33</v>
      </c>
      <c r="AG65" s="454">
        <f t="shared" si="214"/>
        <v>34</v>
      </c>
      <c r="AH65" s="454">
        <f t="shared" si="214"/>
        <v>32</v>
      </c>
      <c r="AI65" s="455">
        <f t="shared" si="214"/>
        <v>30</v>
      </c>
      <c r="AJ65" s="798"/>
      <c r="AK65" s="797"/>
      <c r="AL65" s="797"/>
      <c r="AM65" s="799"/>
      <c r="AN65" s="797"/>
      <c r="AO65" s="797"/>
      <c r="AP65" s="797"/>
      <c r="AQ65" s="799"/>
      <c r="AR65" s="797"/>
      <c r="AS65" s="797"/>
      <c r="AT65" s="797"/>
      <c r="AU65" s="799"/>
      <c r="AV65" s="797"/>
      <c r="AW65" s="797"/>
      <c r="AX65" s="797"/>
      <c r="AY65" s="799"/>
      <c r="AZ65" s="797"/>
      <c r="BA65" s="797"/>
      <c r="BB65" s="797"/>
      <c r="BC65" s="797"/>
      <c r="BD65" s="798"/>
      <c r="BE65" s="797"/>
      <c r="BF65" s="797"/>
      <c r="BG65" s="799"/>
      <c r="BH65" s="798"/>
      <c r="BI65" s="797"/>
      <c r="BJ65" s="797"/>
      <c r="BK65" s="799"/>
      <c r="BL65" s="798"/>
      <c r="BM65" s="797"/>
      <c r="BN65" s="797"/>
      <c r="BO65" s="799"/>
      <c r="BP65" s="800"/>
      <c r="BQ65" s="449"/>
      <c r="BR65" s="801"/>
      <c r="BS65" s="449"/>
      <c r="BT65" s="691"/>
      <c r="BU65" s="691"/>
      <c r="BV65" s="691">
        <f>SUM(X65:AA65)</f>
        <v>177</v>
      </c>
      <c r="BW65" s="691">
        <f>SUM(AB65:AE65)</f>
        <v>145</v>
      </c>
      <c r="BX65" s="691">
        <f>SUM(AF65:AI65)</f>
        <v>129</v>
      </c>
      <c r="BY65" s="691">
        <f>SUM(AJ65:AM65)</f>
        <v>0</v>
      </c>
      <c r="BZ65" s="691">
        <f>+SUM(AN65:AQ65)</f>
        <v>0</v>
      </c>
      <c r="CA65" s="691">
        <f>+SUM(AR65:AU65)</f>
        <v>0</v>
      </c>
      <c r="CB65" s="691">
        <f>SUM(AV65:AY65)</f>
        <v>0</v>
      </c>
      <c r="CC65" s="691">
        <f>SUM(AZ65:BC65)</f>
        <v>0</v>
      </c>
      <c r="CD65" s="691">
        <f>SUM(BD65:BG65)</f>
        <v>0</v>
      </c>
      <c r="CE65" s="691">
        <f>SUM(BH65:BK65)</f>
        <v>0</v>
      </c>
      <c r="CF65" s="692">
        <f>SUM(BL65:BO65)</f>
        <v>0</v>
      </c>
      <c r="CG65" s="802"/>
      <c r="CH65" s="363"/>
    </row>
    <row r="66" spans="1:88" ht="14.25" customHeight="1" collapsed="1">
      <c r="A66" s="803"/>
      <c r="B66" s="804" t="s">
        <v>543</v>
      </c>
      <c r="C66" s="458"/>
      <c r="D66" s="462"/>
      <c r="E66" s="462"/>
      <c r="F66" s="462"/>
      <c r="G66" s="463"/>
      <c r="H66" s="462"/>
      <c r="I66" s="462"/>
      <c r="J66" s="462"/>
      <c r="K66" s="463"/>
      <c r="L66" s="462"/>
      <c r="M66" s="462"/>
      <c r="N66" s="462"/>
      <c r="O66" s="462"/>
      <c r="P66" s="461"/>
      <c r="Q66" s="462"/>
      <c r="R66" s="462"/>
      <c r="S66" s="463"/>
      <c r="T66" s="462"/>
      <c r="U66" s="462"/>
      <c r="V66" s="462"/>
      <c r="W66" s="463"/>
      <c r="X66" s="805">
        <v>514</v>
      </c>
      <c r="Y66" s="805">
        <v>590</v>
      </c>
      <c r="Z66" s="805">
        <v>647</v>
      </c>
      <c r="AA66" s="805">
        <v>608</v>
      </c>
      <c r="AB66" s="806">
        <v>602</v>
      </c>
      <c r="AC66" s="805">
        <v>667</v>
      </c>
      <c r="AD66" s="805">
        <v>608</v>
      </c>
      <c r="AE66" s="807">
        <v>504</v>
      </c>
      <c r="AF66" s="805">
        <v>540</v>
      </c>
      <c r="AG66" s="805">
        <v>580</v>
      </c>
      <c r="AH66" s="805">
        <v>591</v>
      </c>
      <c r="AI66" s="807">
        <v>546</v>
      </c>
      <c r="AJ66" s="806">
        <v>561</v>
      </c>
      <c r="AK66" s="805">
        <v>618</v>
      </c>
      <c r="AL66" s="805">
        <v>668</v>
      </c>
      <c r="AM66" s="463">
        <v>604</v>
      </c>
      <c r="AN66" s="806">
        <v>656</v>
      </c>
      <c r="AO66" s="805">
        <v>703</v>
      </c>
      <c r="AP66" s="805">
        <v>711</v>
      </c>
      <c r="AQ66" s="463">
        <v>670</v>
      </c>
      <c r="AR66" s="806">
        <v>672</v>
      </c>
      <c r="AS66" s="805">
        <v>690</v>
      </c>
      <c r="AT66" s="1118">
        <v>725</v>
      </c>
      <c r="AU66" s="1119">
        <v>700</v>
      </c>
      <c r="AV66" s="1120">
        <v>729</v>
      </c>
      <c r="AW66" s="1118">
        <v>755</v>
      </c>
      <c r="AX66" s="1118">
        <v>795</v>
      </c>
      <c r="AY66" s="1119">
        <v>744</v>
      </c>
      <c r="AZ66" s="1120">
        <v>803</v>
      </c>
      <c r="BA66" s="1118">
        <v>868</v>
      </c>
      <c r="BB66" s="1118">
        <v>931</v>
      </c>
      <c r="BC66" s="1119">
        <v>896</v>
      </c>
      <c r="BD66" s="1120">
        <v>926</v>
      </c>
      <c r="BE66" s="462">
        <f t="shared" ref="BE66:BG66" si="215">+BD66*(1+BE67)</f>
        <v>948.22400000000005</v>
      </c>
      <c r="BF66" s="462">
        <f t="shared" si="215"/>
        <v>967.18848000000003</v>
      </c>
      <c r="BG66" s="463">
        <f t="shared" si="215"/>
        <v>918.82905600000004</v>
      </c>
      <c r="BH66" s="461">
        <f t="shared" ref="BH66" si="216">+BG66*(1+BH67)</f>
        <v>937.20563712000001</v>
      </c>
      <c r="BI66" s="462">
        <f t="shared" ref="BI66" si="217">+BH66*(1+BI67)</f>
        <v>1012.1820880896</v>
      </c>
      <c r="BJ66" s="462">
        <f t="shared" ref="BJ66" si="218">+BI66*(1+BJ67)</f>
        <v>1022.3039089704961</v>
      </c>
      <c r="BK66" s="463">
        <f t="shared" ref="BK66" si="219">+BJ66*(1+BK67)</f>
        <v>971.18871352197118</v>
      </c>
      <c r="BL66" s="461">
        <f t="shared" ref="BL66" si="220">+BK66*(1+BL67)</f>
        <v>990.61248779241066</v>
      </c>
      <c r="BM66" s="462">
        <f t="shared" ref="BM66" si="221">+BL66*(1+BM67)</f>
        <v>1069.8614868158036</v>
      </c>
      <c r="BN66" s="462">
        <f t="shared" ref="BN66" si="222">+BM66*(1+BN67)</f>
        <v>1080.5601016839616</v>
      </c>
      <c r="BO66" s="463">
        <f t="shared" ref="BO66" si="223">+BN66*(1+BO67)</f>
        <v>1026.5320965997635</v>
      </c>
      <c r="BP66" s="808"/>
      <c r="BQ66" s="458"/>
      <c r="BR66" s="458"/>
      <c r="BS66" s="458"/>
      <c r="BT66" s="691"/>
      <c r="BU66" s="691"/>
      <c r="BV66" s="691">
        <f>SUM(X66:AA66)</f>
        <v>2359</v>
      </c>
      <c r="BW66" s="691">
        <f>SUM(AB66:AE66)</f>
        <v>2381</v>
      </c>
      <c r="BX66" s="691">
        <f>SUM(AF66:AI66)</f>
        <v>2257</v>
      </c>
      <c r="BY66" s="691">
        <f>SUM(AJ66:AM66)</f>
        <v>2451</v>
      </c>
      <c r="BZ66" s="691">
        <f>+SUM(AN66:AQ66)</f>
        <v>2740</v>
      </c>
      <c r="CA66" s="691">
        <f>+SUM(AR66:AU66)</f>
        <v>2787</v>
      </c>
      <c r="CB66" s="691">
        <f>SUM(AV66:AY66)</f>
        <v>3023</v>
      </c>
      <c r="CC66" s="691">
        <f>SUM(AZ66:BC66)</f>
        <v>3498</v>
      </c>
      <c r="CD66" s="691">
        <f>SUM(BD66:BG66)</f>
        <v>3760.241536</v>
      </c>
      <c r="CE66" s="691">
        <f>SUM(BH66:BK66)</f>
        <v>3942.8803477020674</v>
      </c>
      <c r="CF66" s="692">
        <f>SUM(BL66:BO66)</f>
        <v>4167.5661728919395</v>
      </c>
      <c r="CG66" s="1174"/>
      <c r="CH66" s="363"/>
    </row>
    <row r="67" spans="1:88" ht="14.25" customHeight="1">
      <c r="A67" s="672"/>
      <c r="B67" s="651" t="s">
        <v>268</v>
      </c>
      <c r="C67" s="274"/>
      <c r="D67" s="247"/>
      <c r="E67" s="247"/>
      <c r="F67" s="247"/>
      <c r="G67" s="77"/>
      <c r="H67" s="247"/>
      <c r="I67" s="247"/>
      <c r="J67" s="247"/>
      <c r="K67" s="77"/>
      <c r="L67" s="247"/>
      <c r="M67" s="247">
        <f>M63/L63-1</f>
        <v>2.9100529100529071E-2</v>
      </c>
      <c r="N67" s="247">
        <f>N63/M63-1</f>
        <v>2.5706940874035134E-3</v>
      </c>
      <c r="O67" s="76">
        <f>O63/N63-1</f>
        <v>0.1051282051282052</v>
      </c>
      <c r="P67" s="760">
        <f t="shared" ref="P67:AI67" si="224">IF(ISERROR(P63/O63-1),"NA",P63/O63-1)</f>
        <v>-1.3921113689095099E-2</v>
      </c>
      <c r="Q67" s="46">
        <f t="shared" si="224"/>
        <v>3.2941176470588251E-2</v>
      </c>
      <c r="R67" s="46">
        <f t="shared" si="224"/>
        <v>-2.7334851936218652E-2</v>
      </c>
      <c r="S67" s="749">
        <f t="shared" si="224"/>
        <v>-0.20374707259953162</v>
      </c>
      <c r="T67" s="46">
        <f t="shared" si="224"/>
        <v>-7.0588235294117618E-2</v>
      </c>
      <c r="U67" s="46">
        <f t="shared" si="224"/>
        <v>0.10759493670886067</v>
      </c>
      <c r="V67" s="46">
        <f t="shared" si="224"/>
        <v>0.12285714285714278</v>
      </c>
      <c r="W67" s="749">
        <f t="shared" si="224"/>
        <v>4.8346055979643809E-2</v>
      </c>
      <c r="X67" s="765">
        <f t="shared" si="224"/>
        <v>6.7961165048543659E-2</v>
      </c>
      <c r="Y67" s="765">
        <f t="shared" si="224"/>
        <v>0.17272727272727262</v>
      </c>
      <c r="Z67" s="765">
        <f t="shared" si="224"/>
        <v>0.12209302325581395</v>
      </c>
      <c r="AA67" s="46">
        <f t="shared" si="224"/>
        <v>-7.0811744386873876E-2</v>
      </c>
      <c r="AB67" s="760">
        <f t="shared" si="224"/>
        <v>-9.2936802973977439E-3</v>
      </c>
      <c r="AC67" s="46">
        <f t="shared" si="224"/>
        <v>0.11819887429643527</v>
      </c>
      <c r="AD67" s="46">
        <f t="shared" si="224"/>
        <v>-9.563758389261745E-2</v>
      </c>
      <c r="AE67" s="749">
        <f t="shared" si="224"/>
        <v>-0.17996289424860856</v>
      </c>
      <c r="AF67" s="46">
        <f t="shared" si="224"/>
        <v>7.0135746606334815E-2</v>
      </c>
      <c r="AG67" s="46">
        <f t="shared" si="224"/>
        <v>7.6109936575052828E-2</v>
      </c>
      <c r="AH67" s="46">
        <f t="shared" si="224"/>
        <v>2.16110019646365E-2</v>
      </c>
      <c r="AI67" s="749">
        <f t="shared" si="224"/>
        <v>-9.8076923076923062E-2</v>
      </c>
      <c r="AJ67" s="760">
        <f t="shared" ref="AJ67:BD67" si="225">IF(ISERROR(AJ66/AI66-1),"NA",AJ66/AI66-1)</f>
        <v>2.7472527472527375E-2</v>
      </c>
      <c r="AK67" s="46">
        <f t="shared" si="225"/>
        <v>0.10160427807486627</v>
      </c>
      <c r="AL67" s="46">
        <f t="shared" si="225"/>
        <v>8.0906148867313954E-2</v>
      </c>
      <c r="AM67" s="46">
        <f t="shared" si="225"/>
        <v>-9.5808383233532912E-2</v>
      </c>
      <c r="AN67" s="760">
        <f t="shared" si="225"/>
        <v>8.6092715231788075E-2</v>
      </c>
      <c r="AO67" s="46">
        <f t="shared" si="225"/>
        <v>7.1646341463414531E-2</v>
      </c>
      <c r="AP67" s="46">
        <f t="shared" si="225"/>
        <v>1.1379800853485111E-2</v>
      </c>
      <c r="AQ67" s="46">
        <f t="shared" si="225"/>
        <v>-5.7665260196905765E-2</v>
      </c>
      <c r="AR67" s="760">
        <f t="shared" si="225"/>
        <v>2.9850746268655914E-3</v>
      </c>
      <c r="AS67" s="46">
        <f t="shared" si="225"/>
        <v>2.6785714285714191E-2</v>
      </c>
      <c r="AT67" s="46">
        <f t="shared" si="225"/>
        <v>5.0724637681159424E-2</v>
      </c>
      <c r="AU67" s="46">
        <f t="shared" si="225"/>
        <v>-3.4482758620689613E-2</v>
      </c>
      <c r="AV67" s="760">
        <f t="shared" si="225"/>
        <v>4.142857142857137E-2</v>
      </c>
      <c r="AW67" s="46">
        <f t="shared" si="225"/>
        <v>3.5665294924554169E-2</v>
      </c>
      <c r="AX67" s="46">
        <f t="shared" si="225"/>
        <v>5.2980132450331174E-2</v>
      </c>
      <c r="AY67" s="46">
        <f t="shared" si="225"/>
        <v>-6.4150943396226401E-2</v>
      </c>
      <c r="AZ67" s="760">
        <f t="shared" si="225"/>
        <v>7.9301075268817245E-2</v>
      </c>
      <c r="BA67" s="46">
        <f t="shared" si="225"/>
        <v>8.094645080946461E-2</v>
      </c>
      <c r="BB67" s="46">
        <f t="shared" si="225"/>
        <v>7.2580645161290258E-2</v>
      </c>
      <c r="BC67" s="46">
        <f t="shared" si="225"/>
        <v>-3.7593984962406068E-2</v>
      </c>
      <c r="BD67" s="760">
        <f t="shared" si="225"/>
        <v>3.3482142857142794E-2</v>
      </c>
      <c r="BE67" s="748">
        <v>2.4E-2</v>
      </c>
      <c r="BF67" s="748">
        <v>0.02</v>
      </c>
      <c r="BG67" s="747">
        <v>-0.05</v>
      </c>
      <c r="BH67" s="763">
        <v>0.02</v>
      </c>
      <c r="BI67" s="748">
        <v>0.08</v>
      </c>
      <c r="BJ67" s="748">
        <v>0.01</v>
      </c>
      <c r="BK67" s="747">
        <v>-0.05</v>
      </c>
      <c r="BL67" s="763">
        <v>0.02</v>
      </c>
      <c r="BM67" s="748">
        <v>0.08</v>
      </c>
      <c r="BN67" s="748">
        <v>0.01</v>
      </c>
      <c r="BO67" s="747">
        <v>-0.05</v>
      </c>
      <c r="BP67" s="657"/>
      <c r="BQ67" s="275"/>
      <c r="BR67" s="275"/>
      <c r="BS67" s="275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365"/>
      <c r="CG67" s="658"/>
      <c r="CH67" s="363"/>
    </row>
    <row r="68" spans="1:88" s="283" customFormat="1" ht="14.25" customHeight="1">
      <c r="A68" s="672"/>
      <c r="B68" s="651" t="s">
        <v>499</v>
      </c>
      <c r="C68" s="274"/>
      <c r="D68" s="247"/>
      <c r="E68" s="247"/>
      <c r="F68" s="247"/>
      <c r="G68" s="77"/>
      <c r="H68" s="247"/>
      <c r="I68" s="247"/>
      <c r="J68" s="247"/>
      <c r="K68" s="77"/>
      <c r="L68" s="247"/>
      <c r="M68" s="247"/>
      <c r="N68" s="247"/>
      <c r="O68" s="76"/>
      <c r="P68" s="522"/>
      <c r="Q68" s="76"/>
      <c r="R68" s="76"/>
      <c r="S68" s="77"/>
      <c r="T68" s="76"/>
      <c r="U68" s="76"/>
      <c r="V68" s="76"/>
      <c r="W68" s="77"/>
      <c r="X68" s="247"/>
      <c r="Y68" s="247"/>
      <c r="Z68" s="247"/>
      <c r="AA68" s="76"/>
      <c r="AB68" s="522"/>
      <c r="AC68" s="76"/>
      <c r="AD68" s="231"/>
      <c r="AE68" s="77"/>
      <c r="AF68" s="76">
        <f t="shared" ref="AF68:AM68" si="226">AVERAGE(AB67,X67,T67,P67,L67)</f>
        <v>-6.4604660580167006E-3</v>
      </c>
      <c r="AG68" s="231">
        <f t="shared" si="226"/>
        <v>9.2112557860737174E-2</v>
      </c>
      <c r="AH68" s="231">
        <f t="shared" si="226"/>
        <v>2.4909684874304828E-2</v>
      </c>
      <c r="AI68" s="276">
        <f t="shared" si="226"/>
        <v>-6.0209490025433007E-2</v>
      </c>
      <c r="AJ68" s="734">
        <f t="shared" si="226"/>
        <v>8.8587764748536031E-3</v>
      </c>
      <c r="AK68" s="231">
        <f t="shared" si="226"/>
        <v>0.10151443935564193</v>
      </c>
      <c r="AL68" s="231">
        <f t="shared" si="226"/>
        <v>2.8717746449751426E-2</v>
      </c>
      <c r="AM68" s="749">
        <f t="shared" si="226"/>
        <v>-0.10085051566645867</v>
      </c>
      <c r="AN68" s="247">
        <f>AVERAGE(AJ67,AF67,AB67,X67,T67)</f>
        <v>1.7137504707178099E-2</v>
      </c>
      <c r="AO68" s="247">
        <f t="shared" ref="AO68:BG68" si="227">AVERAGE(AK67,AG67,AC67,Y67,U67)</f>
        <v>0.11524705967649754</v>
      </c>
      <c r="AP68" s="247">
        <f t="shared" si="227"/>
        <v>5.0365946610457943E-2</v>
      </c>
      <c r="AQ68" s="749">
        <f t="shared" si="227"/>
        <v>-7.9262777793258923E-2</v>
      </c>
      <c r="AR68" s="247">
        <f t="shared" si="227"/>
        <v>4.8473694812359233E-2</v>
      </c>
      <c r="AS68" s="247">
        <f t="shared" si="227"/>
        <v>0.10805734062740831</v>
      </c>
      <c r="AT68" s="247">
        <f t="shared" si="227"/>
        <v>2.8070478209726413E-2</v>
      </c>
      <c r="AU68" s="749">
        <f t="shared" si="227"/>
        <v>-0.10046504102856883</v>
      </c>
      <c r="AV68" s="247">
        <f t="shared" si="227"/>
        <v>3.5478476728023622E-2</v>
      </c>
      <c r="AW68" s="247">
        <f t="shared" si="227"/>
        <v>7.8869028939096614E-2</v>
      </c>
      <c r="AX68" s="247">
        <f t="shared" si="227"/>
        <v>1.3796801094795507E-2</v>
      </c>
      <c r="AY68" s="749">
        <f t="shared" si="227"/>
        <v>-9.3199243875331989E-2</v>
      </c>
      <c r="AZ68" s="247">
        <f t="shared" si="227"/>
        <v>4.5622927073217447E-2</v>
      </c>
      <c r="BA68" s="247">
        <f t="shared" si="227"/>
        <v>6.2362313064720398E-2</v>
      </c>
      <c r="BB68" s="247">
        <f t="shared" si="227"/>
        <v>4.3520344363385234E-2</v>
      </c>
      <c r="BC68" s="749">
        <f t="shared" si="227"/>
        <v>-7.0036853704855545E-2</v>
      </c>
      <c r="BD68" s="247">
        <f t="shared" si="227"/>
        <v>4.7455992805713929E-2</v>
      </c>
      <c r="BE68" s="76">
        <f t="shared" si="227"/>
        <v>6.3329615911602757E-2</v>
      </c>
      <c r="BF68" s="76">
        <f t="shared" si="227"/>
        <v>5.3714273002715987E-2</v>
      </c>
      <c r="BG68" s="77">
        <f t="shared" si="227"/>
        <v>-5.7940266081952151E-2</v>
      </c>
      <c r="BH68" s="522">
        <f t="shared" ref="BH68" si="228">AVERAGE(BD67,AZ67,AV67,AR67,AN67)</f>
        <v>4.8657915882637015E-2</v>
      </c>
      <c r="BI68" s="76">
        <f t="shared" ref="BI68" si="229">AVERAGE(BE67,BA67,AW67,AS67,AO67)</f>
        <v>4.7808760296629497E-2</v>
      </c>
      <c r="BJ68" s="76">
        <f t="shared" ref="BJ68" si="230">AVERAGE(BF67,BB67,AX67,AT67,AP67)</f>
        <v>4.1533043229253198E-2</v>
      </c>
      <c r="BK68" s="77">
        <f t="shared" ref="BK68" si="231">AVERAGE(BG67,BC67,AY67,AU67,AQ67)</f>
        <v>-4.8778589435245566E-2</v>
      </c>
      <c r="BL68" s="522">
        <f t="shared" ref="BL68" si="232">AVERAGE(BH67,BD67,AZ67,AV67,AR67)</f>
        <v>3.5439372836279404E-2</v>
      </c>
      <c r="BM68" s="76">
        <f t="shared" ref="BM68" si="233">AVERAGE(BI67,BE67,BA67,AW67,AS67)</f>
        <v>4.9479492003946593E-2</v>
      </c>
      <c r="BN68" s="76">
        <f t="shared" ref="BN68" si="234">AVERAGE(BJ67,BF67,BB67,AX67,AT67)</f>
        <v>4.1257083058556174E-2</v>
      </c>
      <c r="BO68" s="77">
        <f t="shared" ref="BO68" si="235">AVERAGE(BK67,BG67,BC67,AY67,AU67)</f>
        <v>-4.7245537395864415E-2</v>
      </c>
      <c r="BP68" s="657"/>
      <c r="BQ68" s="275"/>
      <c r="BR68" s="275"/>
      <c r="BS68" s="275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76"/>
      <c r="CG68" s="658"/>
      <c r="CH68" s="363"/>
    </row>
    <row r="69" spans="1:88" ht="14.25" customHeight="1">
      <c r="A69" s="672"/>
      <c r="B69" s="750" t="s">
        <v>269</v>
      </c>
      <c r="C69" s="277"/>
      <c r="D69" s="247"/>
      <c r="E69" s="247"/>
      <c r="F69" s="247"/>
      <c r="G69" s="77"/>
      <c r="H69" s="247"/>
      <c r="I69" s="247"/>
      <c r="J69" s="247"/>
      <c r="K69" s="77"/>
      <c r="L69" s="247"/>
      <c r="M69" s="247"/>
      <c r="N69" s="247"/>
      <c r="O69" s="76"/>
      <c r="P69" s="760">
        <f t="shared" ref="P69:AM69" si="236">IF(ISERROR(P63/L63-1),"NA",P63/L63-1)</f>
        <v>0.12433862433862441</v>
      </c>
      <c r="Q69" s="46">
        <f t="shared" si="236"/>
        <v>0.12853470437017989</v>
      </c>
      <c r="R69" s="46">
        <f t="shared" si="236"/>
        <v>9.4871794871794979E-2</v>
      </c>
      <c r="S69" s="749">
        <f t="shared" si="236"/>
        <v>-0.21113689095127608</v>
      </c>
      <c r="T69" s="46">
        <f t="shared" si="236"/>
        <v>-0.25647058823529412</v>
      </c>
      <c r="U69" s="46">
        <f t="shared" si="236"/>
        <v>-0.20273348519362189</v>
      </c>
      <c r="V69" s="46">
        <f t="shared" si="236"/>
        <v>-7.9625292740046816E-2</v>
      </c>
      <c r="W69" s="749">
        <f t="shared" si="236"/>
        <v>0.21176470588235285</v>
      </c>
      <c r="X69" s="765">
        <f t="shared" si="236"/>
        <v>0.39240506329113933</v>
      </c>
      <c r="Y69" s="765">
        <f t="shared" si="236"/>
        <v>0.4742857142857142</v>
      </c>
      <c r="Z69" s="765">
        <f t="shared" si="236"/>
        <v>0.4732824427480915</v>
      </c>
      <c r="AA69" s="46">
        <f t="shared" si="236"/>
        <v>0.30582524271844669</v>
      </c>
      <c r="AB69" s="760">
        <f t="shared" si="236"/>
        <v>0.21136363636363642</v>
      </c>
      <c r="AC69" s="46">
        <f t="shared" si="236"/>
        <v>0.15503875968992253</v>
      </c>
      <c r="AD69" s="46">
        <f t="shared" si="236"/>
        <v>-6.9084628670120884E-2</v>
      </c>
      <c r="AE69" s="749">
        <f t="shared" si="236"/>
        <v>-0.17843866171003719</v>
      </c>
      <c r="AF69" s="46">
        <f t="shared" si="236"/>
        <v>-0.11257035647279545</v>
      </c>
      <c r="AG69" s="46">
        <f t="shared" si="236"/>
        <v>-0.14597315436241609</v>
      </c>
      <c r="AH69" s="46">
        <f t="shared" si="236"/>
        <v>-3.5250463821892342E-2</v>
      </c>
      <c r="AI69" s="749">
        <f t="shared" si="236"/>
        <v>6.1085972850678738E-2</v>
      </c>
      <c r="AJ69" s="760">
        <f t="shared" si="236"/>
        <v>-1</v>
      </c>
      <c r="AK69" s="46">
        <f t="shared" si="236"/>
        <v>-1</v>
      </c>
      <c r="AL69" s="46">
        <f t="shared" si="236"/>
        <v>-1</v>
      </c>
      <c r="AM69" s="46">
        <f t="shared" si="236"/>
        <v>-1</v>
      </c>
      <c r="AN69" s="760">
        <f t="shared" ref="AN69:BD69" si="237">IF(ISERROR(AN66/AJ66-1),"NA",AN66/AJ66-1)</f>
        <v>0.1693404634581106</v>
      </c>
      <c r="AO69" s="46">
        <f t="shared" si="237"/>
        <v>0.13754045307443374</v>
      </c>
      <c r="AP69" s="46">
        <f t="shared" si="237"/>
        <v>6.437125748502992E-2</v>
      </c>
      <c r="AQ69" s="46">
        <f t="shared" si="237"/>
        <v>0.10927152317880795</v>
      </c>
      <c r="AR69" s="760">
        <f t="shared" si="237"/>
        <v>2.4390243902439046E-2</v>
      </c>
      <c r="AS69" s="46">
        <f t="shared" si="237"/>
        <v>-1.849217638691325E-2</v>
      </c>
      <c r="AT69" s="46">
        <f t="shared" si="237"/>
        <v>1.9690576652601877E-2</v>
      </c>
      <c r="AU69" s="46">
        <f t="shared" si="237"/>
        <v>4.4776119402984982E-2</v>
      </c>
      <c r="AV69" s="760">
        <f t="shared" si="237"/>
        <v>8.4821428571428603E-2</v>
      </c>
      <c r="AW69" s="46">
        <f t="shared" si="237"/>
        <v>9.4202898550724612E-2</v>
      </c>
      <c r="AX69" s="46">
        <f t="shared" si="237"/>
        <v>9.6551724137931005E-2</v>
      </c>
      <c r="AY69" s="46">
        <f t="shared" si="237"/>
        <v>6.2857142857142945E-2</v>
      </c>
      <c r="AZ69" s="760">
        <f t="shared" si="237"/>
        <v>0.10150891632373105</v>
      </c>
      <c r="BA69" s="46">
        <f t="shared" si="237"/>
        <v>0.14966887417218544</v>
      </c>
      <c r="BB69" s="46">
        <f t="shared" si="237"/>
        <v>0.17106918238993707</v>
      </c>
      <c r="BC69" s="46">
        <f t="shared" si="237"/>
        <v>0.20430107526881724</v>
      </c>
      <c r="BD69" s="760">
        <f t="shared" si="237"/>
        <v>0.15317559153175586</v>
      </c>
      <c r="BE69" s="46">
        <f t="shared" ref="BE69" si="238">IF(ISERROR(BE66/BA66-1),"NA",BE66/BA66-1)</f>
        <v>9.2423963133640541E-2</v>
      </c>
      <c r="BF69" s="46">
        <f t="shared" ref="BF69" si="239">IF(ISERROR(BF66/BB66-1),"NA",BF66/BB66-1)</f>
        <v>3.8870547798066646E-2</v>
      </c>
      <c r="BG69" s="749">
        <f t="shared" ref="BG69" si="240">IF(ISERROR(BG66/BC66-1),"NA",BG66/BC66-1)</f>
        <v>2.5478857142857247E-2</v>
      </c>
      <c r="BH69" s="760">
        <f t="shared" ref="BH69" si="241">IF(ISERROR(BH66/BD66-1),"NA",BH66/BD66-1)</f>
        <v>1.2101120000000076E-2</v>
      </c>
      <c r="BI69" s="46">
        <f t="shared" ref="BI69" si="242">IF(ISERROR(BI66/BE66-1),"NA",BI66/BE66-1)</f>
        <v>6.7450400000000021E-2</v>
      </c>
      <c r="BJ69" s="46">
        <f t="shared" ref="BJ69" si="243">IF(ISERROR(BJ66/BF66-1),"NA",BJ66/BF66-1)</f>
        <v>5.6985199999999958E-2</v>
      </c>
      <c r="BK69" s="749">
        <f t="shared" ref="BK69" si="244">IF(ISERROR(BK66/BG66-1),"NA",BK66/BG66-1)</f>
        <v>5.6985199999999958E-2</v>
      </c>
      <c r="BL69" s="760">
        <f t="shared" ref="BL69" si="245">IF(ISERROR(BL66/BH66-1),"NA",BL66/BH66-1)</f>
        <v>5.6985199999999958E-2</v>
      </c>
      <c r="BM69" s="46">
        <f t="shared" ref="BM69" si="246">IF(ISERROR(BM66/BI66-1),"NA",BM66/BI66-1)</f>
        <v>5.6985199999999958E-2</v>
      </c>
      <c r="BN69" s="46">
        <f t="shared" ref="BN69" si="247">IF(ISERROR(BN66/BJ66-1),"NA",BN66/BJ66-1)</f>
        <v>5.6985199999999958E-2</v>
      </c>
      <c r="BO69" s="749">
        <f t="shared" ref="BO69" si="248">IF(ISERROR(BO66/BK66-1),"NA",BO66/BK66-1)</f>
        <v>5.6985199999999958E-2</v>
      </c>
      <c r="BP69" s="657"/>
      <c r="BQ69" s="275"/>
      <c r="BR69" s="751"/>
      <c r="BS69" s="751">
        <f t="shared" ref="BS69:BX69" si="249">IF(ISERROR(BS63/BR63-1),"NA",BS63/BR63-1)</f>
        <v>2.1879021879021909E-2</v>
      </c>
      <c r="BT69" s="752">
        <f t="shared" si="249"/>
        <v>2.7078085642317395E-2</v>
      </c>
      <c r="BU69" s="752">
        <f t="shared" si="249"/>
        <v>-9.8099325567136741E-2</v>
      </c>
      <c r="BV69" s="752">
        <f t="shared" si="249"/>
        <v>0.40924541128484027</v>
      </c>
      <c r="BW69" s="752">
        <f t="shared" si="249"/>
        <v>1.7848528702363753E-2</v>
      </c>
      <c r="BX69" s="752">
        <f t="shared" si="249"/>
        <v>-6.5876777251184793E-2</v>
      </c>
      <c r="BY69" s="752">
        <f t="shared" ref="BY69:CE69" si="250">IF(ISERROR(BY66/BX66-1),"NA",BY66/BX66-1)</f>
        <v>8.5954807266282574E-2</v>
      </c>
      <c r="BZ69" s="752">
        <f t="shared" si="250"/>
        <v>0.11791105671154622</v>
      </c>
      <c r="CA69" s="752">
        <f t="shared" si="250"/>
        <v>1.7153284671532765E-2</v>
      </c>
      <c r="CB69" s="752">
        <f t="shared" si="250"/>
        <v>8.467886616433451E-2</v>
      </c>
      <c r="CC69" s="752">
        <f t="shared" si="250"/>
        <v>0.15712868011908698</v>
      </c>
      <c r="CD69" s="752">
        <f t="shared" si="250"/>
        <v>7.4968992567181258E-2</v>
      </c>
      <c r="CE69" s="752">
        <f t="shared" si="250"/>
        <v>4.857103192800527E-2</v>
      </c>
      <c r="CF69" s="753">
        <f>IF(ISERROR(CF66/CE66-1),"NA",CF66/CE66-1)</f>
        <v>5.6985199999999958E-2</v>
      </c>
      <c r="CG69" s="658"/>
      <c r="CH69" s="363"/>
    </row>
    <row r="70" spans="1:88" ht="14.25" customHeight="1">
      <c r="A70" s="672"/>
      <c r="B70" s="651" t="s">
        <v>270</v>
      </c>
      <c r="C70" s="274"/>
      <c r="D70" s="754"/>
      <c r="E70" s="754"/>
      <c r="F70" s="754"/>
      <c r="G70" s="79"/>
      <c r="H70" s="754"/>
      <c r="I70" s="754"/>
      <c r="J70" s="754"/>
      <c r="K70" s="79"/>
      <c r="L70" s="247"/>
      <c r="M70" s="247"/>
      <c r="N70" s="247"/>
      <c r="O70" s="76"/>
      <c r="P70" s="522"/>
      <c r="Q70" s="46"/>
      <c r="R70" s="46"/>
      <c r="S70" s="749"/>
      <c r="T70" s="76"/>
      <c r="U70" s="46"/>
      <c r="V70" s="46"/>
      <c r="W70" s="749"/>
      <c r="X70" s="247"/>
      <c r="Y70" s="765"/>
      <c r="Z70" s="765"/>
      <c r="AA70" s="46"/>
      <c r="AB70" s="522"/>
      <c r="AC70" s="46"/>
      <c r="AD70" s="46"/>
      <c r="AE70" s="749"/>
      <c r="AF70" s="76"/>
      <c r="AG70" s="46">
        <f t="shared" ref="AG70:AV70" si="251">AG63/AG14</f>
        <v>0.15262368815592203</v>
      </c>
      <c r="AH70" s="46">
        <f t="shared" si="251"/>
        <v>0.15339233038348082</v>
      </c>
      <c r="AI70" s="749">
        <f t="shared" si="251"/>
        <v>0.15743538100033569</v>
      </c>
      <c r="AJ70" s="760">
        <f t="shared" si="251"/>
        <v>0</v>
      </c>
      <c r="AK70" s="46">
        <f t="shared" si="251"/>
        <v>0</v>
      </c>
      <c r="AL70" s="46">
        <f t="shared" si="251"/>
        <v>0</v>
      </c>
      <c r="AM70" s="46">
        <f t="shared" si="251"/>
        <v>0</v>
      </c>
      <c r="AN70" s="760">
        <f t="shared" si="251"/>
        <v>0</v>
      </c>
      <c r="AO70" s="46">
        <f t="shared" si="251"/>
        <v>0</v>
      </c>
      <c r="AP70" s="765">
        <f t="shared" si="251"/>
        <v>0</v>
      </c>
      <c r="AQ70" s="46">
        <f t="shared" si="251"/>
        <v>0</v>
      </c>
      <c r="AR70" s="760">
        <f t="shared" si="251"/>
        <v>0</v>
      </c>
      <c r="AS70" s="46">
        <f t="shared" si="251"/>
        <v>0</v>
      </c>
      <c r="AT70" s="765">
        <f t="shared" si="251"/>
        <v>0</v>
      </c>
      <c r="AU70" s="46">
        <f>AU63/AU14</f>
        <v>0</v>
      </c>
      <c r="AV70" s="760">
        <f t="shared" si="251"/>
        <v>0</v>
      </c>
      <c r="AW70" s="46">
        <f>AW63/AW14</f>
        <v>0</v>
      </c>
      <c r="AX70" s="765">
        <f>AX63/AX14</f>
        <v>0</v>
      </c>
      <c r="AY70" s="46">
        <f>AY63/AY14</f>
        <v>0</v>
      </c>
      <c r="AZ70" s="760">
        <f t="shared" ref="AZ70" si="252">AZ63/AZ14</f>
        <v>0</v>
      </c>
      <c r="BA70" s="46">
        <f>BA63/BA14</f>
        <v>0</v>
      </c>
      <c r="BB70" s="765">
        <f>BB63/BB14</f>
        <v>0</v>
      </c>
      <c r="BC70" s="46">
        <f>BC63/BC14</f>
        <v>0</v>
      </c>
      <c r="BD70" s="760">
        <f t="shared" ref="BD70" si="253">BD63/BD14</f>
        <v>0</v>
      </c>
      <c r="BE70" s="46">
        <f t="shared" ref="BE70:BG70" si="254">BE63/BE14</f>
        <v>0</v>
      </c>
      <c r="BF70" s="46">
        <f t="shared" si="254"/>
        <v>0</v>
      </c>
      <c r="BG70" s="749">
        <f t="shared" si="254"/>
        <v>0</v>
      </c>
      <c r="BH70" s="760">
        <f t="shared" ref="BH70:BK70" si="255">BH63/BH14</f>
        <v>0</v>
      </c>
      <c r="BI70" s="46">
        <f t="shared" si="255"/>
        <v>0</v>
      </c>
      <c r="BJ70" s="46">
        <f t="shared" si="255"/>
        <v>0</v>
      </c>
      <c r="BK70" s="749">
        <f t="shared" si="255"/>
        <v>0</v>
      </c>
      <c r="BL70" s="760">
        <f t="shared" ref="BL70:BO70" si="256">BL63/BL14</f>
        <v>0</v>
      </c>
      <c r="BM70" s="46">
        <f t="shared" si="256"/>
        <v>0</v>
      </c>
      <c r="BN70" s="46">
        <f t="shared" si="256"/>
        <v>0</v>
      </c>
      <c r="BO70" s="749">
        <f t="shared" si="256"/>
        <v>0</v>
      </c>
      <c r="BP70" s="657"/>
      <c r="BQ70" s="275"/>
      <c r="BR70" s="751" t="e">
        <f t="shared" ref="BR70:CC70" si="257">BR63/BR14</f>
        <v>#DIV/0!</v>
      </c>
      <c r="BS70" s="751">
        <f t="shared" si="257"/>
        <v>0.11478964869162932</v>
      </c>
      <c r="BT70" s="752">
        <f t="shared" si="257"/>
        <v>0.13046956243500521</v>
      </c>
      <c r="BU70" s="752">
        <f t="shared" si="257"/>
        <v>0.14106252397391639</v>
      </c>
      <c r="BV70" s="752">
        <f t="shared" si="257"/>
        <v>0.14843190605756837</v>
      </c>
      <c r="BW70" s="752">
        <f t="shared" si="257"/>
        <v>0.15361094933022715</v>
      </c>
      <c r="BX70" s="752">
        <f t="shared" si="257"/>
        <v>0.15368421052631578</v>
      </c>
      <c r="BY70" s="752">
        <f t="shared" si="257"/>
        <v>0</v>
      </c>
      <c r="BZ70" s="752">
        <f t="shared" si="257"/>
        <v>0</v>
      </c>
      <c r="CA70" s="752">
        <f t="shared" si="257"/>
        <v>0</v>
      </c>
      <c r="CB70" s="752">
        <f t="shared" si="257"/>
        <v>0</v>
      </c>
      <c r="CC70" s="752">
        <f t="shared" si="257"/>
        <v>0</v>
      </c>
      <c r="CD70" s="752">
        <f t="shared" ref="CD70:CE70" si="258">CD63/CD14</f>
        <v>0</v>
      </c>
      <c r="CE70" s="752">
        <f t="shared" si="258"/>
        <v>0</v>
      </c>
      <c r="CF70" s="753">
        <f>CF63/CF14</f>
        <v>0</v>
      </c>
      <c r="CG70" s="658"/>
      <c r="CH70" s="363"/>
    </row>
    <row r="71" spans="1:88" ht="14.25" customHeight="1">
      <c r="A71" s="672"/>
      <c r="B71" s="651"/>
      <c r="C71" s="274"/>
      <c r="D71" s="754"/>
      <c r="E71" s="754"/>
      <c r="F71" s="754"/>
      <c r="G71" s="79"/>
      <c r="H71" s="754"/>
      <c r="I71" s="754"/>
      <c r="J71" s="754"/>
      <c r="K71" s="79"/>
      <c r="L71" s="754"/>
      <c r="M71" s="754"/>
      <c r="N71" s="754"/>
      <c r="O71" s="78"/>
      <c r="P71" s="770"/>
      <c r="Q71" s="78"/>
      <c r="R71" s="78"/>
      <c r="S71" s="79"/>
      <c r="T71" s="78"/>
      <c r="U71" s="78"/>
      <c r="V71" s="78"/>
      <c r="W71" s="79"/>
      <c r="X71" s="754"/>
      <c r="Y71" s="754"/>
      <c r="Z71" s="754"/>
      <c r="AA71" s="78"/>
      <c r="AB71" s="770"/>
      <c r="AC71" s="78"/>
      <c r="AD71" s="278"/>
      <c r="AE71" s="79"/>
      <c r="AF71" s="78"/>
      <c r="AG71" s="809"/>
      <c r="AH71" s="278"/>
      <c r="AI71" s="279"/>
      <c r="AJ71" s="297"/>
      <c r="AK71" s="14"/>
      <c r="AL71" s="14"/>
      <c r="AM71" s="278"/>
      <c r="AN71" s="297"/>
      <c r="AO71" s="14"/>
      <c r="AP71" s="8"/>
      <c r="AQ71" s="278"/>
      <c r="AR71" s="297"/>
      <c r="AS71" s="14"/>
      <c r="AT71" s="8"/>
      <c r="AU71" s="278"/>
      <c r="AV71" s="297"/>
      <c r="AW71" s="14"/>
      <c r="AX71" s="8"/>
      <c r="AY71" s="278"/>
      <c r="AZ71" s="297"/>
      <c r="BA71" s="8"/>
      <c r="BB71" s="8"/>
      <c r="BC71" s="278"/>
      <c r="BD71" s="297"/>
      <c r="BE71" s="14"/>
      <c r="BF71" s="14"/>
      <c r="BG71" s="279"/>
      <c r="BH71" s="297"/>
      <c r="BI71" s="14"/>
      <c r="BJ71" s="14"/>
      <c r="BK71" s="279"/>
      <c r="BL71" s="297"/>
      <c r="BM71" s="14"/>
      <c r="BN71" s="14"/>
      <c r="BO71" s="279"/>
      <c r="BP71" s="657"/>
      <c r="BQ71" s="8"/>
      <c r="BR71" s="8"/>
      <c r="BS71" s="8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224"/>
      <c r="CG71" s="658"/>
      <c r="CH71" s="363"/>
    </row>
    <row r="72" spans="1:88" ht="14.25" hidden="1" customHeight="1" outlineLevel="1">
      <c r="A72" s="672"/>
      <c r="B72" s="810" t="s">
        <v>56</v>
      </c>
      <c r="C72" s="274"/>
      <c r="D72" s="754"/>
      <c r="E72" s="754"/>
      <c r="F72" s="754"/>
      <c r="G72" s="79"/>
      <c r="H72" s="754"/>
      <c r="I72" s="754"/>
      <c r="J72" s="754"/>
      <c r="K72" s="79"/>
      <c r="L72" s="687">
        <f t="shared" ref="L72:AI72" si="259">L$596</f>
        <v>56</v>
      </c>
      <c r="M72" s="685">
        <f t="shared" si="259"/>
        <v>60</v>
      </c>
      <c r="N72" s="685">
        <f t="shared" si="259"/>
        <v>72</v>
      </c>
      <c r="O72" s="685">
        <f t="shared" si="259"/>
        <v>103</v>
      </c>
      <c r="P72" s="811">
        <f t="shared" si="259"/>
        <v>96</v>
      </c>
      <c r="Q72" s="685">
        <f t="shared" si="259"/>
        <v>101</v>
      </c>
      <c r="R72" s="685">
        <f t="shared" si="259"/>
        <v>73</v>
      </c>
      <c r="S72" s="686">
        <f t="shared" si="259"/>
        <v>-2</v>
      </c>
      <c r="T72" s="685">
        <f t="shared" si="259"/>
        <v>2</v>
      </c>
      <c r="U72" s="685">
        <f t="shared" si="259"/>
        <v>28</v>
      </c>
      <c r="V72" s="685">
        <f t="shared" si="259"/>
        <v>75</v>
      </c>
      <c r="W72" s="686">
        <f t="shared" si="259"/>
        <v>89</v>
      </c>
      <c r="X72" s="685">
        <f t="shared" si="259"/>
        <v>73</v>
      </c>
      <c r="Y72" s="685">
        <f t="shared" si="259"/>
        <v>115</v>
      </c>
      <c r="Z72" s="685">
        <f t="shared" si="259"/>
        <v>160</v>
      </c>
      <c r="AA72" s="685">
        <f t="shared" si="259"/>
        <v>143</v>
      </c>
      <c r="AB72" s="811">
        <f t="shared" si="259"/>
        <v>102</v>
      </c>
      <c r="AC72" s="685">
        <f t="shared" si="259"/>
        <v>141</v>
      </c>
      <c r="AD72" s="685">
        <f t="shared" si="259"/>
        <v>113</v>
      </c>
      <c r="AE72" s="686">
        <f t="shared" si="259"/>
        <v>12</v>
      </c>
      <c r="AF72" s="685">
        <f t="shared" si="259"/>
        <v>36</v>
      </c>
      <c r="AG72" s="685">
        <f t="shared" si="259"/>
        <v>51</v>
      </c>
      <c r="AH72" s="685">
        <f t="shared" si="259"/>
        <v>63</v>
      </c>
      <c r="AI72" s="686">
        <f t="shared" si="259"/>
        <v>16</v>
      </c>
      <c r="AJ72" s="688"/>
      <c r="AK72" s="687"/>
      <c r="AL72" s="687"/>
      <c r="AM72" s="687"/>
      <c r="AN72" s="688"/>
      <c r="AO72" s="687"/>
      <c r="AP72" s="687"/>
      <c r="AQ72" s="687"/>
      <c r="AR72" s="688"/>
      <c r="AS72" s="687"/>
      <c r="AT72" s="687"/>
      <c r="AU72" s="687"/>
      <c r="AV72" s="688"/>
      <c r="AW72" s="687"/>
      <c r="AX72" s="687"/>
      <c r="AY72" s="687"/>
      <c r="AZ72" s="688"/>
      <c r="BA72" s="687"/>
      <c r="BB72" s="687"/>
      <c r="BC72" s="687"/>
      <c r="BD72" s="688"/>
      <c r="BE72" s="687"/>
      <c r="BF72" s="687"/>
      <c r="BG72" s="689"/>
      <c r="BH72" s="688"/>
      <c r="BI72" s="687"/>
      <c r="BJ72" s="687"/>
      <c r="BK72" s="689"/>
      <c r="BL72" s="688"/>
      <c r="BM72" s="687"/>
      <c r="BN72" s="687"/>
      <c r="BO72" s="689"/>
      <c r="BP72" s="657"/>
      <c r="BQ72" s="8"/>
      <c r="BR72" s="690">
        <v>253</v>
      </c>
      <c r="BS72" s="273">
        <f>SUM(L72:O72)</f>
        <v>291</v>
      </c>
      <c r="BT72" s="691">
        <f>SUM(P72:S72)</f>
        <v>268</v>
      </c>
      <c r="BU72" s="691">
        <f>SUM(T72:W72)</f>
        <v>194</v>
      </c>
      <c r="BV72" s="691">
        <f>SUM(X72:AA72)</f>
        <v>491</v>
      </c>
      <c r="BW72" s="691">
        <f>SUM(AB72:AE72)</f>
        <v>368</v>
      </c>
      <c r="BX72" s="691">
        <f>SUM(AF72:AI72)</f>
        <v>166</v>
      </c>
      <c r="BY72" s="691">
        <f>SUM(AJ72:AM72)</f>
        <v>0</v>
      </c>
      <c r="BZ72" s="691">
        <f>+SUM(AN72:AQ72)</f>
        <v>0</v>
      </c>
      <c r="CA72" s="691">
        <f>+SUM(AR72:AU72)</f>
        <v>0</v>
      </c>
      <c r="CB72" s="691">
        <f>SUM(AV72:AY72)</f>
        <v>0</v>
      </c>
      <c r="CC72" s="691">
        <f>SUM(AZ72:BC72)</f>
        <v>0</v>
      </c>
      <c r="CD72" s="691">
        <f>SUM(BD72:BG72)</f>
        <v>0</v>
      </c>
      <c r="CE72" s="691">
        <f>SUM(BH72:BK72)</f>
        <v>0</v>
      </c>
      <c r="CF72" s="692">
        <f>SUM(BL72:BO72)</f>
        <v>0</v>
      </c>
      <c r="CG72" s="658"/>
      <c r="CH72" s="363"/>
    </row>
    <row r="73" spans="1:88" ht="14.25" hidden="1" customHeight="1" outlineLevel="1">
      <c r="A73" s="672"/>
      <c r="B73" s="812" t="s">
        <v>57</v>
      </c>
      <c r="C73" s="274"/>
      <c r="D73" s="754"/>
      <c r="E73" s="754"/>
      <c r="F73" s="754"/>
      <c r="G73" s="79"/>
      <c r="H73" s="754"/>
      <c r="I73" s="754"/>
      <c r="J73" s="754"/>
      <c r="K73" s="79"/>
      <c r="L73" s="687"/>
      <c r="M73" s="685"/>
      <c r="N73" s="685"/>
      <c r="O73" s="685"/>
      <c r="P73" s="811"/>
      <c r="Q73" s="685"/>
      <c r="R73" s="685"/>
      <c r="S73" s="686"/>
      <c r="T73" s="685"/>
      <c r="U73" s="685"/>
      <c r="V73" s="685"/>
      <c r="W73" s="686"/>
      <c r="X73" s="813">
        <v>86</v>
      </c>
      <c r="Y73" s="813">
        <v>129</v>
      </c>
      <c r="Z73" s="813">
        <v>169</v>
      </c>
      <c r="AA73" s="813">
        <v>151</v>
      </c>
      <c r="AB73" s="814">
        <v>105</v>
      </c>
      <c r="AC73" s="813">
        <v>148</v>
      </c>
      <c r="AD73" s="813">
        <v>119</v>
      </c>
      <c r="AE73" s="815">
        <v>16</v>
      </c>
      <c r="AF73" s="813">
        <v>35</v>
      </c>
      <c r="AG73" s="813">
        <v>52</v>
      </c>
      <c r="AH73" s="813">
        <v>60</v>
      </c>
      <c r="AI73" s="815">
        <v>11</v>
      </c>
      <c r="AJ73" s="813">
        <v>7</v>
      </c>
      <c r="AK73" s="632">
        <v>54</v>
      </c>
      <c r="AL73" s="632">
        <v>83</v>
      </c>
      <c r="AM73" s="743">
        <v>41</v>
      </c>
      <c r="AN73" s="813">
        <v>52</v>
      </c>
      <c r="AO73" s="632">
        <v>104</v>
      </c>
      <c r="AP73" s="632">
        <v>114</v>
      </c>
      <c r="AQ73" s="632">
        <v>114</v>
      </c>
      <c r="AR73" s="816">
        <v>123</v>
      </c>
      <c r="AS73" s="632">
        <v>135</v>
      </c>
      <c r="AT73" s="632">
        <v>174</v>
      </c>
      <c r="AU73" s="632">
        <v>114</v>
      </c>
      <c r="AV73" s="816">
        <v>182</v>
      </c>
      <c r="AW73" s="632">
        <v>189</v>
      </c>
      <c r="AX73" s="632">
        <v>220</v>
      </c>
      <c r="AY73" s="632">
        <v>114</v>
      </c>
      <c r="AZ73" s="1138"/>
      <c r="BA73" s="687">
        <v>189</v>
      </c>
      <c r="BB73" s="687"/>
      <c r="BC73" s="632"/>
      <c r="BD73" s="688"/>
      <c r="BE73" s="687"/>
      <c r="BF73" s="687"/>
      <c r="BG73" s="689"/>
      <c r="BH73" s="688"/>
      <c r="BI73" s="687"/>
      <c r="BJ73" s="687"/>
      <c r="BK73" s="689"/>
      <c r="BL73" s="688"/>
      <c r="BM73" s="687"/>
      <c r="BN73" s="687"/>
      <c r="BO73" s="689"/>
      <c r="BP73" s="657"/>
      <c r="BQ73" s="8"/>
      <c r="BR73" s="690"/>
      <c r="BS73" s="273"/>
      <c r="BT73" s="273"/>
      <c r="BU73" s="273"/>
      <c r="BV73" s="273"/>
      <c r="BW73" s="273"/>
      <c r="BX73" s="273"/>
      <c r="BY73" s="273"/>
      <c r="BZ73" s="273"/>
      <c r="CA73" s="273"/>
      <c r="CB73" s="273"/>
      <c r="CC73" s="273"/>
      <c r="CD73" s="273"/>
      <c r="CE73" s="273"/>
      <c r="CF73" s="717"/>
      <c r="CG73" s="658"/>
      <c r="CH73" s="363"/>
    </row>
    <row r="74" spans="1:88" ht="14.25" hidden="1" customHeight="1" outlineLevel="1">
      <c r="A74" s="672"/>
      <c r="B74" s="817" t="s">
        <v>60</v>
      </c>
      <c r="C74" s="274"/>
      <c r="D74" s="754"/>
      <c r="E74" s="754"/>
      <c r="F74" s="754"/>
      <c r="G74" s="79"/>
      <c r="H74" s="754"/>
      <c r="I74" s="754"/>
      <c r="J74" s="754"/>
      <c r="K74" s="79"/>
      <c r="L74" s="687"/>
      <c r="M74" s="685"/>
      <c r="N74" s="685"/>
      <c r="O74" s="685"/>
      <c r="P74" s="811"/>
      <c r="Q74" s="685"/>
      <c r="R74" s="685"/>
      <c r="S74" s="686"/>
      <c r="T74" s="685"/>
      <c r="U74" s="685"/>
      <c r="V74" s="685"/>
      <c r="W74" s="686"/>
      <c r="X74" s="685">
        <f>+X73-X72</f>
        <v>13</v>
      </c>
      <c r="Y74" s="685">
        <f t="shared" ref="Y74:AI74" si="260">+Y73-Y72</f>
        <v>14</v>
      </c>
      <c r="Z74" s="685">
        <f t="shared" si="260"/>
        <v>9</v>
      </c>
      <c r="AA74" s="685">
        <f t="shared" si="260"/>
        <v>8</v>
      </c>
      <c r="AB74" s="811">
        <f t="shared" si="260"/>
        <v>3</v>
      </c>
      <c r="AC74" s="685">
        <f t="shared" si="260"/>
        <v>7</v>
      </c>
      <c r="AD74" s="685">
        <f t="shared" si="260"/>
        <v>6</v>
      </c>
      <c r="AE74" s="686">
        <f t="shared" si="260"/>
        <v>4</v>
      </c>
      <c r="AF74" s="685">
        <f t="shared" si="260"/>
        <v>-1</v>
      </c>
      <c r="AG74" s="685">
        <f t="shared" si="260"/>
        <v>1</v>
      </c>
      <c r="AH74" s="685">
        <f t="shared" si="260"/>
        <v>-3</v>
      </c>
      <c r="AI74" s="686">
        <f t="shared" si="260"/>
        <v>-5</v>
      </c>
      <c r="AJ74" s="688"/>
      <c r="AK74" s="687"/>
      <c r="AL74" s="687"/>
      <c r="AM74" s="687"/>
      <c r="AN74" s="688"/>
      <c r="AO74" s="687"/>
      <c r="AP74" s="687"/>
      <c r="AQ74" s="687"/>
      <c r="AR74" s="688"/>
      <c r="AS74" s="687"/>
      <c r="AT74" s="687"/>
      <c r="AU74" s="687"/>
      <c r="AV74" s="688"/>
      <c r="AW74" s="687"/>
      <c r="AX74" s="687"/>
      <c r="AY74" s="687"/>
      <c r="AZ74" s="688"/>
      <c r="BA74" s="687"/>
      <c r="BB74" s="687"/>
      <c r="BC74" s="687"/>
      <c r="BD74" s="688"/>
      <c r="BE74" s="687"/>
      <c r="BF74" s="687"/>
      <c r="BG74" s="689"/>
      <c r="BH74" s="688"/>
      <c r="BI74" s="687"/>
      <c r="BJ74" s="687"/>
      <c r="BK74" s="689"/>
      <c r="BL74" s="688"/>
      <c r="BM74" s="687"/>
      <c r="BN74" s="687"/>
      <c r="BO74" s="689"/>
      <c r="BP74" s="657"/>
      <c r="BQ74" s="8"/>
      <c r="BR74" s="690"/>
      <c r="BS74" s="273"/>
      <c r="BT74" s="273"/>
      <c r="BU74" s="273"/>
      <c r="BV74" s="273"/>
      <c r="BW74" s="273"/>
      <c r="BX74" s="273"/>
      <c r="BY74" s="273"/>
      <c r="BZ74" s="273"/>
      <c r="CA74" s="273"/>
      <c r="CB74" s="273"/>
      <c r="CC74" s="273"/>
      <c r="CD74" s="273"/>
      <c r="CE74" s="273"/>
      <c r="CF74" s="717"/>
      <c r="CG74" s="658"/>
      <c r="CH74" s="363"/>
    </row>
    <row r="75" spans="1:88" ht="14.25" hidden="1" customHeight="1" outlineLevel="1">
      <c r="A75" s="672"/>
      <c r="B75" s="651"/>
      <c r="C75" s="274"/>
      <c r="D75" s="754"/>
      <c r="E75" s="754"/>
      <c r="F75" s="754"/>
      <c r="G75" s="79"/>
      <c r="H75" s="754"/>
      <c r="I75" s="754"/>
      <c r="J75" s="754"/>
      <c r="K75" s="79"/>
      <c r="L75" s="78"/>
      <c r="M75" s="247"/>
      <c r="N75" s="247"/>
      <c r="O75" s="76"/>
      <c r="P75" s="760"/>
      <c r="Q75" s="46"/>
      <c r="R75" s="46"/>
      <c r="S75" s="749"/>
      <c r="T75" s="46"/>
      <c r="U75" s="46"/>
      <c r="V75" s="46"/>
      <c r="W75" s="749"/>
      <c r="X75" s="765"/>
      <c r="Y75" s="765"/>
      <c r="Z75" s="765"/>
      <c r="AA75" s="46"/>
      <c r="AB75" s="760"/>
      <c r="AC75" s="46"/>
      <c r="AD75" s="46"/>
      <c r="AE75" s="749"/>
      <c r="AF75" s="46"/>
      <c r="AG75" s="46"/>
      <c r="AH75" s="46"/>
      <c r="AI75" s="749"/>
      <c r="AJ75" s="760"/>
      <c r="AK75" s="46"/>
      <c r="AL75" s="46"/>
      <c r="AM75" s="749"/>
      <c r="AN75" s="765"/>
      <c r="AO75" s="765"/>
      <c r="AP75" s="765"/>
      <c r="AQ75" s="749"/>
      <c r="AR75" s="765"/>
      <c r="AS75" s="765"/>
      <c r="AT75" s="765"/>
      <c r="AU75" s="749"/>
      <c r="AV75" s="765"/>
      <c r="AW75" s="765"/>
      <c r="AX75" s="765"/>
      <c r="AY75" s="749"/>
      <c r="AZ75" s="765"/>
      <c r="BA75" s="765"/>
      <c r="BB75" s="765"/>
      <c r="BC75" s="749"/>
      <c r="BD75" s="760"/>
      <c r="BE75" s="46"/>
      <c r="BF75" s="46"/>
      <c r="BG75" s="749"/>
      <c r="BH75" s="760"/>
      <c r="BI75" s="46"/>
      <c r="BJ75" s="46"/>
      <c r="BK75" s="749"/>
      <c r="BL75" s="760"/>
      <c r="BM75" s="46"/>
      <c r="BN75" s="46"/>
      <c r="BO75" s="749"/>
      <c r="BP75" s="657"/>
      <c r="BQ75" s="8"/>
      <c r="BR75" s="8"/>
      <c r="BS75" s="275"/>
      <c r="BT75" s="231"/>
      <c r="BU75" s="231"/>
      <c r="BV75" s="231"/>
      <c r="BW75" s="231"/>
      <c r="BX75" s="231"/>
      <c r="BY75" s="231"/>
      <c r="BZ75" s="231"/>
      <c r="CA75" s="231"/>
      <c r="CB75" s="231"/>
      <c r="CC75" s="231"/>
      <c r="CD75" s="231"/>
      <c r="CE75" s="231"/>
      <c r="CF75" s="276"/>
      <c r="CG75" s="658"/>
      <c r="CH75" s="363"/>
    </row>
    <row r="76" spans="1:88" s="261" customFormat="1" ht="14.25" hidden="1" customHeight="1" outlineLevel="1">
      <c r="A76" s="672"/>
      <c r="B76" s="818" t="s">
        <v>54</v>
      </c>
      <c r="C76" s="739"/>
      <c r="D76" s="740"/>
      <c r="E76" s="740"/>
      <c r="F76" s="740"/>
      <c r="G76" s="741"/>
      <c r="H76" s="740"/>
      <c r="I76" s="740"/>
      <c r="J76" s="740"/>
      <c r="K76" s="741"/>
      <c r="L76" s="470">
        <f t="shared" ref="L76:AI76" si="261">L72/L63</f>
        <v>0.14814814814814814</v>
      </c>
      <c r="M76" s="470">
        <f t="shared" si="261"/>
        <v>0.15424164524421594</v>
      </c>
      <c r="N76" s="470">
        <f t="shared" si="261"/>
        <v>0.18461538461538463</v>
      </c>
      <c r="O76" s="470">
        <f t="shared" si="261"/>
        <v>0.23897911832946636</v>
      </c>
      <c r="P76" s="471">
        <f t="shared" si="261"/>
        <v>0.22588235294117648</v>
      </c>
      <c r="Q76" s="472">
        <f t="shared" si="261"/>
        <v>0.23006833712984054</v>
      </c>
      <c r="R76" s="472">
        <f t="shared" si="261"/>
        <v>0.17096018735362997</v>
      </c>
      <c r="S76" s="473">
        <f t="shared" si="261"/>
        <v>-5.8823529411764705E-3</v>
      </c>
      <c r="T76" s="472">
        <f t="shared" si="261"/>
        <v>6.3291139240506328E-3</v>
      </c>
      <c r="U76" s="472">
        <f t="shared" si="261"/>
        <v>0.08</v>
      </c>
      <c r="V76" s="472">
        <f t="shared" si="261"/>
        <v>0.19083969465648856</v>
      </c>
      <c r="W76" s="472">
        <f t="shared" si="261"/>
        <v>0.21601941747572814</v>
      </c>
      <c r="X76" s="471">
        <f t="shared" si="261"/>
        <v>0.16590909090909092</v>
      </c>
      <c r="Y76" s="470">
        <f t="shared" si="261"/>
        <v>0.22286821705426357</v>
      </c>
      <c r="Z76" s="470">
        <f t="shared" si="261"/>
        <v>0.27633851468048359</v>
      </c>
      <c r="AA76" s="470">
        <f t="shared" si="261"/>
        <v>0.26579925650557623</v>
      </c>
      <c r="AB76" s="471">
        <f t="shared" si="261"/>
        <v>0.19136960600375236</v>
      </c>
      <c r="AC76" s="472">
        <f t="shared" si="261"/>
        <v>0.23657718120805368</v>
      </c>
      <c r="AD76" s="472">
        <f t="shared" si="261"/>
        <v>0.20964749536178107</v>
      </c>
      <c r="AE76" s="473">
        <f t="shared" si="261"/>
        <v>2.7149321266968326E-2</v>
      </c>
      <c r="AF76" s="472">
        <f t="shared" si="261"/>
        <v>7.6109936575052856E-2</v>
      </c>
      <c r="AG76" s="472">
        <f t="shared" si="261"/>
        <v>0.10019646365422397</v>
      </c>
      <c r="AH76" s="472">
        <f t="shared" si="261"/>
        <v>0.12115384615384615</v>
      </c>
      <c r="AI76" s="473">
        <f t="shared" si="261"/>
        <v>3.4115138592750532E-2</v>
      </c>
      <c r="AJ76" s="819"/>
      <c r="AK76" s="820"/>
      <c r="AL76" s="820"/>
      <c r="AM76" s="821"/>
      <c r="AN76" s="822"/>
      <c r="AO76" s="822"/>
      <c r="AP76" s="822"/>
      <c r="AQ76" s="821"/>
      <c r="AR76" s="822"/>
      <c r="AS76" s="822"/>
      <c r="AT76" s="822"/>
      <c r="AU76" s="821"/>
      <c r="AV76" s="822"/>
      <c r="AW76" s="822"/>
      <c r="AX76" s="822"/>
      <c r="AY76" s="821"/>
      <c r="AZ76" s="822"/>
      <c r="BA76" s="822"/>
      <c r="BB76" s="822"/>
      <c r="BC76" s="821"/>
      <c r="BD76" s="819"/>
      <c r="BE76" s="820"/>
      <c r="BF76" s="820"/>
      <c r="BG76" s="821"/>
      <c r="BH76" s="819"/>
      <c r="BI76" s="820"/>
      <c r="BJ76" s="820"/>
      <c r="BK76" s="821"/>
      <c r="BL76" s="819"/>
      <c r="BM76" s="820"/>
      <c r="BN76" s="820"/>
      <c r="BO76" s="821"/>
      <c r="BP76" s="657"/>
      <c r="BQ76" s="8"/>
      <c r="BR76" s="8"/>
      <c r="BS76" s="464"/>
      <c r="BT76" s="466"/>
      <c r="BU76" s="466"/>
      <c r="BV76" s="466"/>
      <c r="BW76" s="466"/>
      <c r="BX76" s="466"/>
      <c r="BY76" s="466"/>
      <c r="BZ76" s="466"/>
      <c r="CA76" s="466"/>
      <c r="CB76" s="466"/>
      <c r="CC76" s="466"/>
      <c r="CD76" s="466"/>
      <c r="CE76" s="466"/>
      <c r="CF76" s="468"/>
      <c r="CG76" s="1165"/>
      <c r="CH76" s="1166"/>
      <c r="CI76"/>
      <c r="CJ76"/>
    </row>
    <row r="77" spans="1:88" s="261" customFormat="1" ht="14.25" hidden="1" customHeight="1" outlineLevel="1">
      <c r="A77" s="672"/>
      <c r="B77" s="823" t="s">
        <v>55</v>
      </c>
      <c r="C77" s="739"/>
      <c r="D77" s="740"/>
      <c r="E77" s="740"/>
      <c r="F77" s="740"/>
      <c r="G77" s="741"/>
      <c r="H77" s="740"/>
      <c r="I77" s="740"/>
      <c r="J77" s="740"/>
      <c r="K77" s="74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471">
        <f t="shared" ref="X77:AT77" si="262">+X73/X66</f>
        <v>0.16731517509727625</v>
      </c>
      <c r="Y77" s="470">
        <f t="shared" si="262"/>
        <v>0.21864406779661016</v>
      </c>
      <c r="Z77" s="470">
        <f t="shared" si="262"/>
        <v>0.26120556414219476</v>
      </c>
      <c r="AA77" s="470">
        <f t="shared" si="262"/>
        <v>0.24835526315789475</v>
      </c>
      <c r="AB77" s="471">
        <f t="shared" si="262"/>
        <v>0.1744186046511628</v>
      </c>
      <c r="AC77" s="472">
        <f t="shared" si="262"/>
        <v>0.22188905547226387</v>
      </c>
      <c r="AD77" s="472">
        <f t="shared" si="262"/>
        <v>0.19572368421052633</v>
      </c>
      <c r="AE77" s="473">
        <f t="shared" si="262"/>
        <v>3.1746031746031744E-2</v>
      </c>
      <c r="AF77" s="472">
        <f t="shared" si="262"/>
        <v>6.4814814814814811E-2</v>
      </c>
      <c r="AG77" s="472">
        <f t="shared" si="262"/>
        <v>8.9655172413793102E-2</v>
      </c>
      <c r="AH77" s="472">
        <f t="shared" si="262"/>
        <v>0.10152284263959391</v>
      </c>
      <c r="AI77" s="473">
        <f t="shared" si="262"/>
        <v>2.0146520146520148E-2</v>
      </c>
      <c r="AJ77" s="472">
        <f t="shared" si="262"/>
        <v>1.2477718360071301E-2</v>
      </c>
      <c r="AK77" s="472">
        <f t="shared" si="262"/>
        <v>8.7378640776699032E-2</v>
      </c>
      <c r="AL77" s="472">
        <f t="shared" si="262"/>
        <v>0.12425149700598802</v>
      </c>
      <c r="AM77" s="473">
        <f t="shared" si="262"/>
        <v>6.7880794701986755E-2</v>
      </c>
      <c r="AN77" s="472">
        <f t="shared" si="262"/>
        <v>7.926829268292683E-2</v>
      </c>
      <c r="AO77" s="472">
        <f t="shared" si="262"/>
        <v>0.14793741109530584</v>
      </c>
      <c r="AP77" s="472">
        <f t="shared" si="262"/>
        <v>0.16033755274261605</v>
      </c>
      <c r="AQ77" s="473">
        <f t="shared" si="262"/>
        <v>0.17014925373134329</v>
      </c>
      <c r="AR77" s="472">
        <f>+AR73/AR66</f>
        <v>0.18303571428571427</v>
      </c>
      <c r="AS77" s="472">
        <f t="shared" si="262"/>
        <v>0.19565217391304349</v>
      </c>
      <c r="AT77" s="472">
        <f t="shared" si="262"/>
        <v>0.24</v>
      </c>
      <c r="AU77" s="473">
        <f>+AU73/AU66</f>
        <v>0.16285714285714287</v>
      </c>
      <c r="AV77" s="472">
        <f>+AV73/AV66</f>
        <v>0.2496570644718793</v>
      </c>
      <c r="AW77" s="472">
        <f>+AW73/AW66</f>
        <v>0.25033112582781458</v>
      </c>
      <c r="AX77" s="472">
        <f>+AX73/AX66</f>
        <v>0.27672955974842767</v>
      </c>
      <c r="AY77" s="473">
        <f>+AY73/AY66</f>
        <v>0.15322580645161291</v>
      </c>
      <c r="AZ77" s="740"/>
      <c r="BA77" s="740">
        <f>+BA73/BA66</f>
        <v>0.21774193548387097</v>
      </c>
      <c r="BB77" s="740"/>
      <c r="BC77" s="473"/>
      <c r="BD77" s="476"/>
      <c r="BE77" s="577"/>
      <c r="BF77" s="577"/>
      <c r="BG77" s="741"/>
      <c r="BH77" s="476"/>
      <c r="BI77" s="577"/>
      <c r="BJ77" s="577"/>
      <c r="BK77" s="741"/>
      <c r="BL77" s="476"/>
      <c r="BM77" s="577"/>
      <c r="BN77" s="577"/>
      <c r="BO77" s="741"/>
      <c r="BP77" s="657"/>
      <c r="BQ77" s="8"/>
      <c r="BR77" s="470">
        <f t="shared" ref="BR77:BX77" si="263">BR72/BR63</f>
        <v>0.1628056628056628</v>
      </c>
      <c r="BS77" s="470">
        <f t="shared" si="263"/>
        <v>0.18324937027707808</v>
      </c>
      <c r="BT77" s="472">
        <f t="shared" si="263"/>
        <v>0.16431637032495403</v>
      </c>
      <c r="BU77" s="472">
        <f t="shared" si="263"/>
        <v>0.1318830727396329</v>
      </c>
      <c r="BV77" s="472">
        <f t="shared" si="263"/>
        <v>0.23685479980704294</v>
      </c>
      <c r="BW77" s="472">
        <f t="shared" si="263"/>
        <v>0.17440758293838862</v>
      </c>
      <c r="BX77" s="472">
        <f t="shared" si="263"/>
        <v>8.4221207508878737E-2</v>
      </c>
      <c r="BY77" s="472"/>
      <c r="BZ77" s="472"/>
      <c r="CA77" s="472"/>
      <c r="CB77" s="472"/>
      <c r="CC77" s="472"/>
      <c r="CD77" s="472"/>
      <c r="CE77" s="472"/>
      <c r="CF77" s="473"/>
      <c r="CG77" s="1165"/>
      <c r="CH77" s="1166"/>
      <c r="CI77"/>
      <c r="CJ77"/>
    </row>
    <row r="78" spans="1:88" s="261" customFormat="1" ht="14.25" hidden="1" customHeight="1" outlineLevel="1">
      <c r="A78" s="672"/>
      <c r="B78" s="817" t="s">
        <v>60</v>
      </c>
      <c r="C78" s="739"/>
      <c r="D78" s="740"/>
      <c r="E78" s="740"/>
      <c r="F78" s="740"/>
      <c r="G78" s="741"/>
      <c r="H78" s="740"/>
      <c r="I78" s="740"/>
      <c r="J78" s="740"/>
      <c r="K78" s="74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471">
        <f t="shared" ref="X78:AI78" si="264">+X74/SUM(X64:X65)</f>
        <v>0.17567567567567569</v>
      </c>
      <c r="Y78" s="470">
        <f t="shared" si="264"/>
        <v>0.1891891891891892</v>
      </c>
      <c r="Z78" s="470">
        <f t="shared" si="264"/>
        <v>0.13235294117647059</v>
      </c>
      <c r="AA78" s="470">
        <f t="shared" si="264"/>
        <v>0.11428571428571428</v>
      </c>
      <c r="AB78" s="471">
        <f t="shared" si="264"/>
        <v>4.3478260869565216E-2</v>
      </c>
      <c r="AC78" s="472">
        <f t="shared" si="264"/>
        <v>9.8591549295774641E-2</v>
      </c>
      <c r="AD78" s="472">
        <f t="shared" si="264"/>
        <v>8.6956521739130432E-2</v>
      </c>
      <c r="AE78" s="473">
        <f t="shared" si="264"/>
        <v>6.4516129032258063E-2</v>
      </c>
      <c r="AF78" s="472">
        <f t="shared" si="264"/>
        <v>-1.4925373134328358E-2</v>
      </c>
      <c r="AG78" s="472">
        <f t="shared" si="264"/>
        <v>1.4084507042253521E-2</v>
      </c>
      <c r="AH78" s="472">
        <f t="shared" si="264"/>
        <v>-4.2253521126760563E-2</v>
      </c>
      <c r="AI78" s="473">
        <f t="shared" si="264"/>
        <v>-6.4935064935064929E-2</v>
      </c>
      <c r="AJ78" s="476"/>
      <c r="AK78" s="577"/>
      <c r="AL78" s="577"/>
      <c r="AM78" s="741"/>
      <c r="AN78" s="740"/>
      <c r="AO78" s="740"/>
      <c r="AP78" s="740"/>
      <c r="AQ78" s="741"/>
      <c r="AR78" s="740"/>
      <c r="AS78" s="740"/>
      <c r="AT78" s="740"/>
      <c r="AU78" s="741"/>
      <c r="AV78" s="740"/>
      <c r="AW78" s="740"/>
      <c r="AX78" s="740"/>
      <c r="AY78" s="741"/>
      <c r="AZ78" s="740"/>
      <c r="BA78" s="740"/>
      <c r="BB78" s="740"/>
      <c r="BC78" s="741"/>
      <c r="BD78" s="476"/>
      <c r="BE78" s="577"/>
      <c r="BF78" s="577"/>
      <c r="BG78" s="741"/>
      <c r="BH78" s="476"/>
      <c r="BI78" s="577"/>
      <c r="BJ78" s="577"/>
      <c r="BK78" s="741"/>
      <c r="BL78" s="476"/>
      <c r="BM78" s="577"/>
      <c r="BN78" s="577"/>
      <c r="BO78" s="741"/>
      <c r="BP78" s="657"/>
      <c r="BQ78" s="8"/>
      <c r="BR78" s="470"/>
      <c r="BS78" s="470"/>
      <c r="BT78" s="472"/>
      <c r="BU78" s="472"/>
      <c r="BV78" s="472"/>
      <c r="BW78" s="472"/>
      <c r="BX78" s="472"/>
      <c r="BY78" s="472"/>
      <c r="BZ78" s="472"/>
      <c r="CA78" s="472"/>
      <c r="CB78" s="472"/>
      <c r="CC78" s="472"/>
      <c r="CD78" s="472"/>
      <c r="CE78" s="472"/>
      <c r="CF78" s="473"/>
      <c r="CG78" s="1165"/>
      <c r="CH78" s="1166"/>
      <c r="CI78"/>
      <c r="CJ78"/>
    </row>
    <row r="79" spans="1:88" ht="14.25" hidden="1" customHeight="1" outlineLevel="1">
      <c r="A79" s="672"/>
      <c r="B79" s="651"/>
      <c r="C79" s="274"/>
      <c r="D79" s="754"/>
      <c r="E79" s="754"/>
      <c r="F79" s="754"/>
      <c r="G79" s="79"/>
      <c r="H79" s="754"/>
      <c r="I79" s="754"/>
      <c r="J79" s="754"/>
      <c r="K79" s="79"/>
      <c r="L79" s="754"/>
      <c r="M79" s="754"/>
      <c r="N79" s="754"/>
      <c r="O79" s="78"/>
      <c r="P79" s="770"/>
      <c r="Q79" s="78"/>
      <c r="R79" s="78"/>
      <c r="S79" s="79"/>
      <c r="T79" s="78"/>
      <c r="U79" s="78"/>
      <c r="V79" s="78"/>
      <c r="W79" s="78"/>
      <c r="X79" s="770"/>
      <c r="Y79" s="754"/>
      <c r="Z79" s="754"/>
      <c r="AA79" s="78"/>
      <c r="AB79" s="770"/>
      <c r="AC79" s="78"/>
      <c r="AD79" s="278"/>
      <c r="AE79" s="79"/>
      <c r="AF79" s="78"/>
      <c r="AG79" s="278"/>
      <c r="AH79" s="278"/>
      <c r="AI79" s="79"/>
      <c r="AJ79" s="342"/>
      <c r="AK79" s="54"/>
      <c r="AL79" s="54"/>
      <c r="AM79" s="79"/>
      <c r="AN79" s="12"/>
      <c r="AO79" s="12"/>
      <c r="AP79" s="12"/>
      <c r="AQ79" s="79"/>
      <c r="AR79" s="12"/>
      <c r="AS79" s="12"/>
      <c r="AT79" s="12"/>
      <c r="AU79" s="79"/>
      <c r="AV79" s="12"/>
      <c r="AW79" s="12"/>
      <c r="AX79" s="12"/>
      <c r="AY79" s="79"/>
      <c r="AZ79" s="12"/>
      <c r="BA79" s="12"/>
      <c r="BB79" s="12"/>
      <c r="BC79" s="79"/>
      <c r="BD79" s="342"/>
      <c r="BE79" s="54"/>
      <c r="BF79" s="54"/>
      <c r="BG79" s="79"/>
      <c r="BH79" s="342"/>
      <c r="BI79" s="54"/>
      <c r="BJ79" s="54"/>
      <c r="BK79" s="79"/>
      <c r="BL79" s="342"/>
      <c r="BM79" s="54"/>
      <c r="BN79" s="54"/>
      <c r="BO79" s="79"/>
      <c r="BP79" s="657"/>
      <c r="BQ79" s="8"/>
      <c r="BR79" s="8"/>
      <c r="BS79" s="8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224"/>
      <c r="CG79" s="658"/>
      <c r="CH79" s="363"/>
    </row>
    <row r="80" spans="1:88" ht="14.25" hidden="1" customHeight="1" outlineLevel="1">
      <c r="A80" s="672"/>
      <c r="B80" s="810" t="s">
        <v>58</v>
      </c>
      <c r="C80" s="274"/>
      <c r="D80" s="78"/>
      <c r="E80" s="78"/>
      <c r="F80" s="78"/>
      <c r="G80" s="79"/>
      <c r="H80" s="78"/>
      <c r="I80" s="78"/>
      <c r="J80" s="78"/>
      <c r="K80" s="79"/>
      <c r="L80" s="687">
        <f t="shared" ref="L80:AI80" si="265">L$608</f>
        <v>1</v>
      </c>
      <c r="M80" s="687">
        <f t="shared" si="265"/>
        <v>1</v>
      </c>
      <c r="N80" s="687">
        <f t="shared" si="265"/>
        <v>1</v>
      </c>
      <c r="O80" s="687">
        <f t="shared" si="265"/>
        <v>1</v>
      </c>
      <c r="P80" s="688">
        <f t="shared" si="265"/>
        <v>0</v>
      </c>
      <c r="Q80" s="687">
        <f t="shared" si="265"/>
        <v>0</v>
      </c>
      <c r="R80" s="687">
        <f t="shared" si="265"/>
        <v>0</v>
      </c>
      <c r="S80" s="689">
        <f t="shared" si="265"/>
        <v>24</v>
      </c>
      <c r="T80" s="687">
        <f t="shared" si="265"/>
        <v>19</v>
      </c>
      <c r="U80" s="687">
        <f t="shared" si="265"/>
        <v>18</v>
      </c>
      <c r="V80" s="687">
        <f t="shared" si="265"/>
        <v>2</v>
      </c>
      <c r="W80" s="689">
        <f t="shared" si="265"/>
        <v>3</v>
      </c>
      <c r="X80" s="687">
        <f t="shared" si="265"/>
        <v>2</v>
      </c>
      <c r="Y80" s="687">
        <f t="shared" si="265"/>
        <v>3</v>
      </c>
      <c r="Z80" s="687">
        <f t="shared" si="265"/>
        <v>1</v>
      </c>
      <c r="AA80" s="687">
        <f t="shared" si="265"/>
        <v>0</v>
      </c>
      <c r="AB80" s="688">
        <f t="shared" si="265"/>
        <v>0</v>
      </c>
      <c r="AC80" s="687">
        <f t="shared" si="265"/>
        <v>0</v>
      </c>
      <c r="AD80" s="687">
        <f t="shared" si="265"/>
        <v>0</v>
      </c>
      <c r="AE80" s="689">
        <f t="shared" si="265"/>
        <v>0</v>
      </c>
      <c r="AF80" s="687">
        <f t="shared" si="265"/>
        <v>0</v>
      </c>
      <c r="AG80" s="687">
        <f t="shared" si="265"/>
        <v>0</v>
      </c>
      <c r="AH80" s="687">
        <f t="shared" si="265"/>
        <v>0</v>
      </c>
      <c r="AI80" s="689">
        <f t="shared" si="265"/>
        <v>0</v>
      </c>
      <c r="AJ80" s="742"/>
      <c r="AK80" s="632"/>
      <c r="AL80" s="632"/>
      <c r="AM80" s="743"/>
      <c r="AN80" s="632"/>
      <c r="AO80" s="632"/>
      <c r="AP80" s="632"/>
      <c r="AQ80" s="743"/>
      <c r="AR80" s="632"/>
      <c r="AS80" s="632"/>
      <c r="AT80" s="632"/>
      <c r="AU80" s="743"/>
      <c r="AV80" s="632"/>
      <c r="AW80" s="632"/>
      <c r="AX80" s="632"/>
      <c r="AY80" s="743"/>
      <c r="AZ80" s="632"/>
      <c r="BA80" s="632"/>
      <c r="BB80" s="632"/>
      <c r="BC80" s="743"/>
      <c r="BD80" s="742"/>
      <c r="BE80" s="632"/>
      <c r="BF80" s="632"/>
      <c r="BG80" s="743"/>
      <c r="BH80" s="742"/>
      <c r="BI80" s="632"/>
      <c r="BJ80" s="632"/>
      <c r="BK80" s="743"/>
      <c r="BL80" s="742"/>
      <c r="BM80" s="632"/>
      <c r="BN80" s="632"/>
      <c r="BO80" s="743"/>
      <c r="BP80" s="657"/>
      <c r="BQ80" s="8"/>
      <c r="BR80" s="690">
        <v>0</v>
      </c>
      <c r="BS80" s="273">
        <f>SUM(L80:O80)</f>
        <v>4</v>
      </c>
      <c r="BT80" s="691">
        <f>SUM(P80:S80)</f>
        <v>24</v>
      </c>
      <c r="BU80" s="691">
        <f>SUM(T80:W80)</f>
        <v>42</v>
      </c>
      <c r="BV80" s="691">
        <f>SUM(X80:AA80)</f>
        <v>6</v>
      </c>
      <c r="BW80" s="691">
        <f>SUM(AB80:AE80)</f>
        <v>0</v>
      </c>
      <c r="BX80" s="691">
        <f>SUM(AF80:AI80)</f>
        <v>0</v>
      </c>
      <c r="BY80" s="691">
        <f>SUM(AJ80:AM80)</f>
        <v>0</v>
      </c>
      <c r="BZ80" s="691">
        <f>+SUM(AN80:AQ80)</f>
        <v>0</v>
      </c>
      <c r="CA80" s="691">
        <f>+SUM(AR80:AU80)</f>
        <v>0</v>
      </c>
      <c r="CB80" s="691">
        <f>SUM(AV80:AY80)</f>
        <v>0</v>
      </c>
      <c r="CC80" s="691">
        <f>SUM(AZ80:BC80)</f>
        <v>0</v>
      </c>
      <c r="CD80" s="691">
        <f>SUM(BD80:BG80)</f>
        <v>0</v>
      </c>
      <c r="CE80" s="691">
        <f>SUM(BH80:BK80)</f>
        <v>0</v>
      </c>
      <c r="CF80" s="692">
        <f>SUM(BL80:BO80)</f>
        <v>0</v>
      </c>
      <c r="CG80" s="658"/>
      <c r="CH80" s="363"/>
    </row>
    <row r="81" spans="1:88" ht="14.25" hidden="1" customHeight="1" outlineLevel="1">
      <c r="A81" s="672"/>
      <c r="B81" s="812" t="s">
        <v>59</v>
      </c>
      <c r="C81" s="274"/>
      <c r="D81" s="78"/>
      <c r="E81" s="78"/>
      <c r="F81" s="78"/>
      <c r="G81" s="79"/>
      <c r="H81" s="78"/>
      <c r="I81" s="78"/>
      <c r="J81" s="78"/>
      <c r="K81" s="79"/>
      <c r="L81" s="687"/>
      <c r="M81" s="687"/>
      <c r="N81" s="687"/>
      <c r="O81" s="687"/>
      <c r="P81" s="688"/>
      <c r="Q81" s="687"/>
      <c r="R81" s="687"/>
      <c r="S81" s="689"/>
      <c r="T81" s="687"/>
      <c r="U81" s="687"/>
      <c r="V81" s="687"/>
      <c r="W81" s="689"/>
      <c r="X81" s="632">
        <v>2</v>
      </c>
      <c r="Y81" s="632">
        <v>4</v>
      </c>
      <c r="Z81" s="632">
        <v>1</v>
      </c>
      <c r="AA81" s="632">
        <v>0</v>
      </c>
      <c r="AB81" s="742">
        <v>0</v>
      </c>
      <c r="AC81" s="632">
        <v>0</v>
      </c>
      <c r="AD81" s="632">
        <v>0</v>
      </c>
      <c r="AE81" s="743">
        <v>0</v>
      </c>
      <c r="AF81" s="632">
        <v>0</v>
      </c>
      <c r="AG81" s="632">
        <v>0</v>
      </c>
      <c r="AH81" s="632">
        <v>0</v>
      </c>
      <c r="AI81" s="743">
        <v>0</v>
      </c>
      <c r="AJ81" s="742"/>
      <c r="AK81" s="632"/>
      <c r="AL81" s="632"/>
      <c r="AM81" s="743"/>
      <c r="AN81" s="632"/>
      <c r="AO81" s="632"/>
      <c r="AP81" s="632"/>
      <c r="AQ81" s="743"/>
      <c r="AR81" s="632"/>
      <c r="AS81" s="632"/>
      <c r="AT81" s="632"/>
      <c r="AU81" s="743"/>
      <c r="AV81" s="632"/>
      <c r="AW81" s="632"/>
      <c r="AX81" s="632"/>
      <c r="AY81" s="743"/>
      <c r="AZ81" s="632"/>
      <c r="BA81" s="632"/>
      <c r="BB81" s="632"/>
      <c r="BC81" s="743"/>
      <c r="BD81" s="742"/>
      <c r="BE81" s="632"/>
      <c r="BF81" s="632"/>
      <c r="BG81" s="743"/>
      <c r="BH81" s="742"/>
      <c r="BI81" s="632"/>
      <c r="BJ81" s="632"/>
      <c r="BK81" s="743"/>
      <c r="BL81" s="742"/>
      <c r="BM81" s="632"/>
      <c r="BN81" s="632"/>
      <c r="BO81" s="743"/>
      <c r="BP81" s="657"/>
      <c r="BQ81" s="8"/>
      <c r="BR81" s="690"/>
      <c r="BS81" s="273"/>
      <c r="BT81" s="273"/>
      <c r="BU81" s="273"/>
      <c r="BV81" s="273"/>
      <c r="BW81" s="273"/>
      <c r="BX81" s="273"/>
      <c r="BY81" s="273"/>
      <c r="BZ81" s="273"/>
      <c r="CA81" s="273"/>
      <c r="CB81" s="273"/>
      <c r="CC81" s="273"/>
      <c r="CD81" s="273"/>
      <c r="CE81" s="273"/>
      <c r="CF81" s="717"/>
      <c r="CG81" s="658"/>
      <c r="CH81" s="363"/>
    </row>
    <row r="82" spans="1:88" ht="14.25" hidden="1" customHeight="1" outlineLevel="1" collapsed="1">
      <c r="A82" s="672"/>
      <c r="B82" s="769"/>
      <c r="C82" s="274"/>
      <c r="D82" s="78"/>
      <c r="E82" s="78"/>
      <c r="F82" s="78"/>
      <c r="G82" s="79"/>
      <c r="H82" s="78"/>
      <c r="I82" s="78"/>
      <c r="J82" s="78"/>
      <c r="K82" s="79"/>
      <c r="L82" s="632"/>
      <c r="M82" s="632"/>
      <c r="N82" s="632"/>
      <c r="O82" s="632"/>
      <c r="P82" s="742"/>
      <c r="Q82" s="632"/>
      <c r="R82" s="632"/>
      <c r="S82" s="743"/>
      <c r="T82" s="632"/>
      <c r="U82" s="632"/>
      <c r="V82" s="632"/>
      <c r="W82" s="743"/>
      <c r="X82" s="632"/>
      <c r="Y82" s="632"/>
      <c r="Z82" s="632"/>
      <c r="AA82" s="632"/>
      <c r="AB82" s="742"/>
      <c r="AC82" s="632"/>
      <c r="AD82" s="687"/>
      <c r="AE82" s="689"/>
      <c r="AF82" s="632"/>
      <c r="AG82" s="687"/>
      <c r="AH82" s="687"/>
      <c r="AI82" s="689"/>
      <c r="AJ82" s="688"/>
      <c r="AK82" s="687"/>
      <c r="AL82" s="687"/>
      <c r="AM82" s="689"/>
      <c r="AN82" s="687"/>
      <c r="AO82" s="687"/>
      <c r="AP82" s="687"/>
      <c r="AQ82" s="689"/>
      <c r="AR82" s="687"/>
      <c r="AS82" s="687"/>
      <c r="AT82" s="687"/>
      <c r="AU82" s="689"/>
      <c r="AV82" s="687"/>
      <c r="AW82" s="687"/>
      <c r="AX82" s="687"/>
      <c r="AY82" s="689"/>
      <c r="AZ82" s="687"/>
      <c r="BA82" s="687"/>
      <c r="BB82" s="687"/>
      <c r="BC82" s="689"/>
      <c r="BD82" s="688"/>
      <c r="BE82" s="687"/>
      <c r="BF82" s="687"/>
      <c r="BG82" s="689"/>
      <c r="BH82" s="688"/>
      <c r="BI82" s="687"/>
      <c r="BJ82" s="687"/>
      <c r="BK82" s="689"/>
      <c r="BL82" s="688"/>
      <c r="BM82" s="687"/>
      <c r="BN82" s="687"/>
      <c r="BO82" s="689"/>
      <c r="BP82" s="657"/>
      <c r="BQ82" s="8"/>
      <c r="BR82" s="8"/>
      <c r="BS82" s="273"/>
      <c r="BT82" s="273"/>
      <c r="BU82" s="273"/>
      <c r="BV82" s="273"/>
      <c r="BW82" s="273"/>
      <c r="BX82" s="273"/>
      <c r="BY82" s="273"/>
      <c r="BZ82" s="273"/>
      <c r="CA82" s="273"/>
      <c r="CB82" s="273"/>
      <c r="CC82" s="273"/>
      <c r="CD82" s="273"/>
      <c r="CE82" s="273"/>
      <c r="CF82" s="717"/>
      <c r="CG82" s="658"/>
      <c r="CH82" s="363"/>
    </row>
    <row r="83" spans="1:88" ht="14.25" customHeight="1" collapsed="1">
      <c r="A83" s="672"/>
      <c r="B83" s="769" t="s">
        <v>851</v>
      </c>
      <c r="C83" s="274"/>
      <c r="D83" s="78"/>
      <c r="E83" s="78"/>
      <c r="F83" s="78"/>
      <c r="G83" s="79"/>
      <c r="H83" s="78"/>
      <c r="I83" s="78"/>
      <c r="J83" s="78"/>
      <c r="K83" s="79"/>
      <c r="L83" s="687">
        <f t="shared" ref="L83:AG83" si="266">L80+L72</f>
        <v>57</v>
      </c>
      <c r="M83" s="687">
        <f t="shared" si="266"/>
        <v>61</v>
      </c>
      <c r="N83" s="687">
        <f t="shared" si="266"/>
        <v>73</v>
      </c>
      <c r="O83" s="687">
        <f t="shared" si="266"/>
        <v>104</v>
      </c>
      <c r="P83" s="688">
        <f t="shared" si="266"/>
        <v>96</v>
      </c>
      <c r="Q83" s="687">
        <f t="shared" si="266"/>
        <v>101</v>
      </c>
      <c r="R83" s="687">
        <f t="shared" si="266"/>
        <v>73</v>
      </c>
      <c r="S83" s="689">
        <f t="shared" si="266"/>
        <v>22</v>
      </c>
      <c r="T83" s="687">
        <f t="shared" si="266"/>
        <v>21</v>
      </c>
      <c r="U83" s="687">
        <f t="shared" si="266"/>
        <v>46</v>
      </c>
      <c r="V83" s="687">
        <f t="shared" si="266"/>
        <v>77</v>
      </c>
      <c r="W83" s="689">
        <f t="shared" si="266"/>
        <v>92</v>
      </c>
      <c r="X83" s="687">
        <f t="shared" si="266"/>
        <v>75</v>
      </c>
      <c r="Y83" s="687">
        <f>Y80+Y72</f>
        <v>118</v>
      </c>
      <c r="Z83" s="687">
        <f t="shared" si="266"/>
        <v>161</v>
      </c>
      <c r="AA83" s="687">
        <f t="shared" si="266"/>
        <v>143</v>
      </c>
      <c r="AB83" s="688">
        <f t="shared" si="266"/>
        <v>102</v>
      </c>
      <c r="AC83" s="687">
        <f t="shared" si="266"/>
        <v>141</v>
      </c>
      <c r="AD83" s="687">
        <f t="shared" si="266"/>
        <v>113</v>
      </c>
      <c r="AE83" s="689">
        <f t="shared" si="266"/>
        <v>12</v>
      </c>
      <c r="AF83" s="687">
        <f t="shared" si="266"/>
        <v>36</v>
      </c>
      <c r="AG83" s="687">
        <f t="shared" si="266"/>
        <v>51</v>
      </c>
      <c r="AH83" s="687">
        <f>AH80+AH72</f>
        <v>63</v>
      </c>
      <c r="AI83" s="689">
        <f>AI80+AI72</f>
        <v>16</v>
      </c>
      <c r="AJ83" s="687">
        <f>+AJ73</f>
        <v>7</v>
      </c>
      <c r="AK83" s="687">
        <f>+AK73</f>
        <v>54</v>
      </c>
      <c r="AL83" s="687">
        <f>+AL73</f>
        <v>83</v>
      </c>
      <c r="AM83" s="632">
        <v>41</v>
      </c>
      <c r="AN83" s="816">
        <v>52</v>
      </c>
      <c r="AO83" s="632">
        <v>104</v>
      </c>
      <c r="AP83" s="632">
        <v>114</v>
      </c>
      <c r="AQ83" s="632">
        <v>114</v>
      </c>
      <c r="AR83" s="816">
        <v>123</v>
      </c>
      <c r="AS83" s="632">
        <v>135</v>
      </c>
      <c r="AT83" s="632">
        <v>174</v>
      </c>
      <c r="AU83" s="632">
        <v>164</v>
      </c>
      <c r="AV83" s="816">
        <v>182</v>
      </c>
      <c r="AW83" s="632">
        <v>189</v>
      </c>
      <c r="AX83" s="632">
        <v>220</v>
      </c>
      <c r="AY83" s="743">
        <v>210</v>
      </c>
      <c r="AZ83" s="816">
        <v>240</v>
      </c>
      <c r="BA83" s="632">
        <v>271</v>
      </c>
      <c r="BB83" s="632">
        <v>325</v>
      </c>
      <c r="BC83" s="743">
        <v>307</v>
      </c>
      <c r="BD83" s="816">
        <v>328</v>
      </c>
      <c r="BE83" s="687"/>
      <c r="BF83" s="687"/>
      <c r="BG83" s="689"/>
      <c r="BH83" s="688"/>
      <c r="BI83" s="687"/>
      <c r="BJ83" s="687"/>
      <c r="BK83" s="689"/>
      <c r="BL83" s="688"/>
      <c r="BM83" s="687"/>
      <c r="BN83" s="687"/>
      <c r="BO83" s="689"/>
      <c r="BP83" s="657"/>
      <c r="BQ83" s="8"/>
      <c r="BR83" s="273">
        <f>BR80+BR72</f>
        <v>253</v>
      </c>
      <c r="BS83" s="273">
        <f>SUM(L83:O83)</f>
        <v>295</v>
      </c>
      <c r="BT83" s="691">
        <f>SUM(P83:S83)</f>
        <v>292</v>
      </c>
      <c r="BU83" s="691">
        <f>SUM(T83:W83)</f>
        <v>236</v>
      </c>
      <c r="BV83" s="691">
        <f>SUM(X83:AA83)</f>
        <v>497</v>
      </c>
      <c r="BW83" s="691">
        <f>SUM(AB83:AE83)</f>
        <v>368</v>
      </c>
      <c r="BX83" s="691">
        <f>SUM(AF83:AI83)</f>
        <v>166</v>
      </c>
      <c r="BY83" s="691">
        <f>SUM(AJ83:AM83)</f>
        <v>185</v>
      </c>
      <c r="BZ83" s="691">
        <f>+SUM(AN83:AQ83)</f>
        <v>384</v>
      </c>
      <c r="CA83" s="691">
        <f>+SUM(AR83:AU83)</f>
        <v>596</v>
      </c>
      <c r="CB83" s="691">
        <f>SUM(AV83:AY83)</f>
        <v>801</v>
      </c>
      <c r="CC83" s="691">
        <f>SUM(AZ83:BC83)</f>
        <v>1143</v>
      </c>
      <c r="CD83" s="691">
        <f>SUM(BD83:BG83)</f>
        <v>328</v>
      </c>
      <c r="CE83" s="691">
        <f>SUM(BH83:BK83)</f>
        <v>0</v>
      </c>
      <c r="CF83" s="692">
        <f>SUM(BL83:BO83)</f>
        <v>0</v>
      </c>
      <c r="CG83" s="658"/>
      <c r="CH83" s="363"/>
    </row>
    <row r="84" spans="1:88" ht="14.25" customHeight="1">
      <c r="A84" s="672"/>
      <c r="B84" s="651" t="s">
        <v>268</v>
      </c>
      <c r="C84" s="274"/>
      <c r="D84" s="78"/>
      <c r="E84" s="78"/>
      <c r="F84" s="78"/>
      <c r="G84" s="79"/>
      <c r="H84" s="78"/>
      <c r="I84" s="78"/>
      <c r="J84" s="78"/>
      <c r="K84" s="79"/>
      <c r="L84" s="78"/>
      <c r="M84" s="247">
        <f>M83/L83-1</f>
        <v>7.0175438596491224E-2</v>
      </c>
      <c r="N84" s="247">
        <f>N83/M83-1</f>
        <v>0.19672131147540983</v>
      </c>
      <c r="O84" s="76">
        <f>O83/N83-1</f>
        <v>0.42465753424657526</v>
      </c>
      <c r="P84" s="760">
        <f t="shared" ref="P84:AL84" si="267">IF(ISERROR(P83/O83-1),"NA",P83/O83-1)</f>
        <v>-7.6923076923076872E-2</v>
      </c>
      <c r="Q84" s="46">
        <f t="shared" si="267"/>
        <v>5.2083333333333259E-2</v>
      </c>
      <c r="R84" s="46">
        <f t="shared" si="267"/>
        <v>-0.27722772277227725</v>
      </c>
      <c r="S84" s="749">
        <f t="shared" si="267"/>
        <v>-0.69863013698630139</v>
      </c>
      <c r="T84" s="46">
        <f t="shared" si="267"/>
        <v>-4.5454545454545414E-2</v>
      </c>
      <c r="U84" s="46">
        <f t="shared" si="267"/>
        <v>1.1904761904761907</v>
      </c>
      <c r="V84" s="46">
        <f t="shared" si="267"/>
        <v>0.67391304347826098</v>
      </c>
      <c r="W84" s="749">
        <f t="shared" si="267"/>
        <v>0.19480519480519476</v>
      </c>
      <c r="X84" s="765">
        <f t="shared" si="267"/>
        <v>-0.18478260869565222</v>
      </c>
      <c r="Y84" s="765">
        <f t="shared" si="267"/>
        <v>0.57333333333333325</v>
      </c>
      <c r="Z84" s="765">
        <f t="shared" si="267"/>
        <v>0.36440677966101687</v>
      </c>
      <c r="AA84" s="46">
        <f t="shared" si="267"/>
        <v>-0.11180124223602483</v>
      </c>
      <c r="AB84" s="760">
        <f t="shared" si="267"/>
        <v>-0.28671328671328666</v>
      </c>
      <c r="AC84" s="46">
        <f t="shared" si="267"/>
        <v>0.38235294117647056</v>
      </c>
      <c r="AD84" s="46">
        <f t="shared" si="267"/>
        <v>-0.1985815602836879</v>
      </c>
      <c r="AE84" s="749">
        <f t="shared" si="267"/>
        <v>-0.89380530973451333</v>
      </c>
      <c r="AF84" s="46">
        <f t="shared" si="267"/>
        <v>2</v>
      </c>
      <c r="AG84" s="46">
        <f t="shared" si="267"/>
        <v>0.41666666666666674</v>
      </c>
      <c r="AH84" s="46">
        <f t="shared" si="267"/>
        <v>0.23529411764705888</v>
      </c>
      <c r="AI84" s="749">
        <f t="shared" si="267"/>
        <v>-0.74603174603174605</v>
      </c>
      <c r="AJ84" s="46">
        <f t="shared" si="267"/>
        <v>-0.5625</v>
      </c>
      <c r="AK84" s="46">
        <f t="shared" si="267"/>
        <v>6.7142857142857144</v>
      </c>
      <c r="AL84" s="46">
        <f t="shared" si="267"/>
        <v>0.53703703703703698</v>
      </c>
      <c r="AM84" s="276">
        <f t="shared" ref="AM84" si="268">AM83/AL83-1</f>
        <v>-0.50602409638554224</v>
      </c>
      <c r="AN84" s="76">
        <f t="shared" ref="AN84" si="269">AN83/AM83-1</f>
        <v>0.26829268292682928</v>
      </c>
      <c r="AO84" s="76">
        <f t="shared" ref="AO84" si="270">AO83/AN83-1</f>
        <v>1</v>
      </c>
      <c r="AP84" s="76">
        <f t="shared" ref="AP84" si="271">AP83/AO83-1</f>
        <v>9.6153846153846256E-2</v>
      </c>
      <c r="AQ84" s="276">
        <f t="shared" ref="AQ84" si="272">AQ83/AP83-1</f>
        <v>0</v>
      </c>
      <c r="AR84" s="76">
        <f t="shared" ref="AR84" si="273">AR83/AQ83-1</f>
        <v>7.8947368421052655E-2</v>
      </c>
      <c r="AS84" s="76">
        <f t="shared" ref="AS84" si="274">AS83/AR83-1</f>
        <v>9.7560975609756184E-2</v>
      </c>
      <c r="AT84" s="76">
        <f t="shared" ref="AT84" si="275">AT83/AS83-1</f>
        <v>0.28888888888888897</v>
      </c>
      <c r="AU84" s="276">
        <f t="shared" ref="AU84" si="276">AU83/AT83-1</f>
        <v>-5.7471264367816133E-2</v>
      </c>
      <c r="AV84" s="76">
        <f t="shared" ref="AV84" si="277">AV83/AU83-1</f>
        <v>0.10975609756097571</v>
      </c>
      <c r="AW84" s="76">
        <f t="shared" ref="AW84" si="278">AW83/AV83-1</f>
        <v>3.8461538461538547E-2</v>
      </c>
      <c r="AX84" s="76">
        <f t="shared" ref="AX84" si="279">AX83/AW83-1</f>
        <v>0.16402116402116396</v>
      </c>
      <c r="AY84" s="276">
        <f t="shared" ref="AY84:BD84" si="280">AY83/AX83-1</f>
        <v>-4.5454545454545414E-2</v>
      </c>
      <c r="AZ84" s="76">
        <f t="shared" si="280"/>
        <v>0.14285714285714279</v>
      </c>
      <c r="BA84" s="765">
        <f t="shared" si="280"/>
        <v>0.12916666666666665</v>
      </c>
      <c r="BB84" s="76">
        <f t="shared" si="280"/>
        <v>0.19926199261992616</v>
      </c>
      <c r="BC84" s="276">
        <f t="shared" si="280"/>
        <v>-5.5384615384615365E-2</v>
      </c>
      <c r="BD84" s="76">
        <f t="shared" si="280"/>
        <v>6.8403908794788304E-2</v>
      </c>
      <c r="BE84" s="46"/>
      <c r="BF84" s="46"/>
      <c r="BG84" s="749"/>
      <c r="BH84" s="760"/>
      <c r="BI84" s="46"/>
      <c r="BJ84" s="46"/>
      <c r="BK84" s="749"/>
      <c r="BL84" s="760"/>
      <c r="BM84" s="46"/>
      <c r="BN84" s="46"/>
      <c r="BO84" s="749"/>
      <c r="BP84" s="657"/>
      <c r="BQ84" s="8"/>
      <c r="BR84" s="8"/>
      <c r="BS84" s="275"/>
      <c r="BT84" s="231"/>
      <c r="BU84" s="231"/>
      <c r="BV84" s="231"/>
      <c r="BW84" s="231"/>
      <c r="BX84" s="231"/>
      <c r="BY84" s="231"/>
      <c r="BZ84" s="231"/>
      <c r="CA84" s="231"/>
      <c r="CB84" s="231"/>
      <c r="CC84" s="231"/>
      <c r="CD84" s="231"/>
      <c r="CE84" s="231"/>
      <c r="CF84" s="276"/>
      <c r="CG84" s="658"/>
      <c r="CH84" s="363"/>
    </row>
    <row r="85" spans="1:88" ht="14.25" customHeight="1">
      <c r="A85" s="672"/>
      <c r="B85" s="750" t="s">
        <v>269</v>
      </c>
      <c r="C85" s="274"/>
      <c r="D85" s="78"/>
      <c r="E85" s="78"/>
      <c r="F85" s="78"/>
      <c r="G85" s="79"/>
      <c r="H85" s="78"/>
      <c r="I85" s="78"/>
      <c r="J85" s="78"/>
      <c r="K85" s="79"/>
      <c r="L85" s="78"/>
      <c r="M85" s="247"/>
      <c r="N85" s="247"/>
      <c r="O85" s="76"/>
      <c r="P85" s="760">
        <f t="shared" ref="P85:AL85" si="281">IF(ISERROR(P83/L83-1),"NA",P83/L83-1)</f>
        <v>0.68421052631578938</v>
      </c>
      <c r="Q85" s="46">
        <f t="shared" si="281"/>
        <v>0.65573770491803285</v>
      </c>
      <c r="R85" s="46">
        <f t="shared" si="281"/>
        <v>0</v>
      </c>
      <c r="S85" s="749">
        <f t="shared" si="281"/>
        <v>-0.78846153846153844</v>
      </c>
      <c r="T85" s="46">
        <f t="shared" si="281"/>
        <v>-0.78125</v>
      </c>
      <c r="U85" s="46">
        <f t="shared" si="281"/>
        <v>-0.54455445544554459</v>
      </c>
      <c r="V85" s="46">
        <f t="shared" si="281"/>
        <v>5.4794520547945202E-2</v>
      </c>
      <c r="W85" s="749">
        <f t="shared" si="281"/>
        <v>3.1818181818181817</v>
      </c>
      <c r="X85" s="765">
        <f t="shared" si="281"/>
        <v>2.5714285714285716</v>
      </c>
      <c r="Y85" s="765">
        <f>IF(ISERROR(Y83/U83-1),"NA",Y83/U83-1)</f>
        <v>1.5652173913043477</v>
      </c>
      <c r="Z85" s="765">
        <f t="shared" si="281"/>
        <v>1.0909090909090908</v>
      </c>
      <c r="AA85" s="46">
        <f t="shared" si="281"/>
        <v>0.55434782608695654</v>
      </c>
      <c r="AB85" s="760">
        <f t="shared" si="281"/>
        <v>0.3600000000000001</v>
      </c>
      <c r="AC85" s="46">
        <f t="shared" si="281"/>
        <v>0.19491525423728806</v>
      </c>
      <c r="AD85" s="46">
        <f t="shared" si="281"/>
        <v>-0.29813664596273293</v>
      </c>
      <c r="AE85" s="749">
        <f t="shared" si="281"/>
        <v>-0.91608391608391604</v>
      </c>
      <c r="AF85" s="46">
        <f t="shared" si="281"/>
        <v>-0.64705882352941169</v>
      </c>
      <c r="AG85" s="46">
        <f t="shared" si="281"/>
        <v>-0.63829787234042556</v>
      </c>
      <c r="AH85" s="46">
        <f t="shared" si="281"/>
        <v>-0.44247787610619471</v>
      </c>
      <c r="AI85" s="749">
        <f t="shared" si="281"/>
        <v>0.33333333333333326</v>
      </c>
      <c r="AJ85" s="46">
        <f t="shared" si="281"/>
        <v>-0.80555555555555558</v>
      </c>
      <c r="AK85" s="46">
        <f t="shared" si="281"/>
        <v>5.8823529411764719E-2</v>
      </c>
      <c r="AL85" s="46">
        <f t="shared" si="281"/>
        <v>0.31746031746031744</v>
      </c>
      <c r="AM85" s="276">
        <f t="shared" ref="AM85" si="282">AM83/AI83-1</f>
        <v>1.5625</v>
      </c>
      <c r="AN85" s="76">
        <f t="shared" ref="AN85" si="283">AN83/AJ83-1</f>
        <v>6.4285714285714288</v>
      </c>
      <c r="AO85" s="76">
        <f t="shared" ref="AO85" si="284">AO83/AK83-1</f>
        <v>0.92592592592592582</v>
      </c>
      <c r="AP85" s="76">
        <f t="shared" ref="AP85" si="285">AP83/AL83-1</f>
        <v>0.37349397590361444</v>
      </c>
      <c r="AQ85" s="276">
        <f t="shared" ref="AQ85" si="286">AQ83/AM83-1</f>
        <v>1.7804878048780486</v>
      </c>
      <c r="AR85" s="76">
        <f t="shared" ref="AR85" si="287">AR83/AN83-1</f>
        <v>1.3653846153846154</v>
      </c>
      <c r="AS85" s="76">
        <f t="shared" ref="AS85" si="288">AS83/AO83-1</f>
        <v>0.29807692307692313</v>
      </c>
      <c r="AT85" s="76">
        <f t="shared" ref="AT85" si="289">AT83/AP83-1</f>
        <v>0.52631578947368429</v>
      </c>
      <c r="AU85" s="276">
        <f t="shared" ref="AU85" si="290">AU83/AQ83-1</f>
        <v>0.43859649122807021</v>
      </c>
      <c r="AV85" s="76">
        <f t="shared" ref="AV85" si="291">AV83/AR83-1</f>
        <v>0.47967479674796754</v>
      </c>
      <c r="AW85" s="76">
        <f t="shared" ref="AW85" si="292">AW83/AS83-1</f>
        <v>0.39999999999999991</v>
      </c>
      <c r="AX85" s="76">
        <f t="shared" ref="AX85" si="293">AX83/AT83-1</f>
        <v>0.26436781609195403</v>
      </c>
      <c r="AY85" s="276">
        <f t="shared" ref="AY85:BD85" si="294">AY83/AU83-1</f>
        <v>0.28048780487804881</v>
      </c>
      <c r="AZ85" s="76">
        <f t="shared" si="294"/>
        <v>0.31868131868131866</v>
      </c>
      <c r="BA85" s="765">
        <f t="shared" si="294"/>
        <v>0.43386243386243395</v>
      </c>
      <c r="BB85" s="76">
        <f t="shared" si="294"/>
        <v>0.47727272727272729</v>
      </c>
      <c r="BC85" s="276">
        <f t="shared" si="294"/>
        <v>0.46190476190476182</v>
      </c>
      <c r="BD85" s="76">
        <f t="shared" si="294"/>
        <v>0.3666666666666667</v>
      </c>
      <c r="BE85" s="46"/>
      <c r="BF85" s="46"/>
      <c r="BG85" s="749"/>
      <c r="BH85" s="760"/>
      <c r="BI85" s="46"/>
      <c r="BJ85" s="46"/>
      <c r="BK85" s="749"/>
      <c r="BL85" s="760"/>
      <c r="BM85" s="46"/>
      <c r="BN85" s="46"/>
      <c r="BO85" s="749"/>
      <c r="BP85" s="657"/>
      <c r="BQ85" s="8"/>
      <c r="BR85" s="8"/>
      <c r="BS85" s="275">
        <f t="shared" ref="BS85:BY85" si="295">BS83/BR83-1</f>
        <v>0.16600790513833985</v>
      </c>
      <c r="BT85" s="231">
        <f t="shared" si="295"/>
        <v>-1.016949152542368E-2</v>
      </c>
      <c r="BU85" s="231">
        <f t="shared" si="295"/>
        <v>-0.19178082191780821</v>
      </c>
      <c r="BV85" s="231">
        <f t="shared" si="295"/>
        <v>1.1059322033898304</v>
      </c>
      <c r="BW85" s="231">
        <f t="shared" si="295"/>
        <v>-0.25955734406438635</v>
      </c>
      <c r="BX85" s="231">
        <f t="shared" si="295"/>
        <v>-0.54891304347826086</v>
      </c>
      <c r="BY85" s="231">
        <f t="shared" si="295"/>
        <v>0.1144578313253013</v>
      </c>
      <c r="BZ85" s="231"/>
      <c r="CA85" s="231"/>
      <c r="CB85" s="231"/>
      <c r="CC85" s="231"/>
      <c r="CD85" s="231"/>
      <c r="CE85" s="231"/>
      <c r="CF85" s="276"/>
      <c r="CG85" s="658"/>
      <c r="CH85" s="363"/>
    </row>
    <row r="86" spans="1:88" s="261" customFormat="1" ht="14.25" customHeight="1">
      <c r="A86" s="672"/>
      <c r="B86" s="651" t="s">
        <v>334</v>
      </c>
      <c r="C86" s="739"/>
      <c r="D86" s="740"/>
      <c r="E86" s="740"/>
      <c r="F86" s="740"/>
      <c r="G86" s="741"/>
      <c r="H86" s="740"/>
      <c r="I86" s="740"/>
      <c r="J86" s="740"/>
      <c r="K86" s="741"/>
      <c r="L86" s="1">
        <f t="shared" ref="L86:AI86" si="296">L83/L63</f>
        <v>0.15079365079365079</v>
      </c>
      <c r="M86" s="1">
        <f t="shared" si="296"/>
        <v>0.15681233933161953</v>
      </c>
      <c r="N86" s="1">
        <f t="shared" si="296"/>
        <v>0.18717948717948718</v>
      </c>
      <c r="O86" s="1">
        <f t="shared" si="296"/>
        <v>0.24129930394431554</v>
      </c>
      <c r="P86" s="1">
        <f t="shared" si="296"/>
        <v>0.22588235294117648</v>
      </c>
      <c r="Q86" s="1">
        <f t="shared" si="296"/>
        <v>0.23006833712984054</v>
      </c>
      <c r="R86" s="1">
        <f t="shared" si="296"/>
        <v>0.17096018735362997</v>
      </c>
      <c r="S86" s="1">
        <f t="shared" si="296"/>
        <v>6.4705882352941183E-2</v>
      </c>
      <c r="T86" s="1">
        <f t="shared" si="296"/>
        <v>6.6455696202531639E-2</v>
      </c>
      <c r="U86" s="1">
        <f t="shared" si="296"/>
        <v>0.13142857142857142</v>
      </c>
      <c r="V86" s="1">
        <f t="shared" si="296"/>
        <v>0.19592875318066158</v>
      </c>
      <c r="W86" s="1">
        <f t="shared" si="296"/>
        <v>0.22330097087378642</v>
      </c>
      <c r="X86" s="471">
        <f t="shared" si="296"/>
        <v>0.17045454545454544</v>
      </c>
      <c r="Y86" s="470">
        <f t="shared" si="296"/>
        <v>0.22868217054263565</v>
      </c>
      <c r="Z86" s="470">
        <f t="shared" si="296"/>
        <v>0.27806563039723664</v>
      </c>
      <c r="AA86" s="470">
        <f t="shared" si="296"/>
        <v>0.26579925650557623</v>
      </c>
      <c r="AB86" s="471">
        <f t="shared" si="296"/>
        <v>0.19136960600375236</v>
      </c>
      <c r="AC86" s="472">
        <f t="shared" si="296"/>
        <v>0.23657718120805368</v>
      </c>
      <c r="AD86" s="472">
        <f t="shared" si="296"/>
        <v>0.20964749536178107</v>
      </c>
      <c r="AE86" s="473">
        <f t="shared" si="296"/>
        <v>2.7149321266968326E-2</v>
      </c>
      <c r="AF86" s="472">
        <f t="shared" si="296"/>
        <v>7.6109936575052856E-2</v>
      </c>
      <c r="AG86" s="472">
        <f t="shared" si="296"/>
        <v>0.10019646365422397</v>
      </c>
      <c r="AH86" s="472">
        <f t="shared" si="296"/>
        <v>0.12115384615384615</v>
      </c>
      <c r="AI86" s="473">
        <f t="shared" si="296"/>
        <v>3.4115138592750532E-2</v>
      </c>
      <c r="AJ86" s="472">
        <f>+AJ83/AJ66</f>
        <v>1.2477718360071301E-2</v>
      </c>
      <c r="AK86" s="472">
        <f>+AK83/AK66</f>
        <v>8.7378640776699032E-2</v>
      </c>
      <c r="AL86" s="472">
        <f>+AL83/AL66</f>
        <v>0.12425149700598802</v>
      </c>
      <c r="AM86" s="473">
        <f t="shared" ref="AM86:AU86" si="297">+AM83/AM66</f>
        <v>6.7880794701986755E-2</v>
      </c>
      <c r="AN86" s="472">
        <f t="shared" si="297"/>
        <v>7.926829268292683E-2</v>
      </c>
      <c r="AO86" s="472">
        <f t="shared" si="297"/>
        <v>0.14793741109530584</v>
      </c>
      <c r="AP86" s="472">
        <f t="shared" si="297"/>
        <v>0.16033755274261605</v>
      </c>
      <c r="AQ86" s="473">
        <f t="shared" si="297"/>
        <v>0.17014925373134329</v>
      </c>
      <c r="AR86" s="472">
        <f t="shared" si="297"/>
        <v>0.18303571428571427</v>
      </c>
      <c r="AS86" s="472">
        <f t="shared" si="297"/>
        <v>0.19565217391304349</v>
      </c>
      <c r="AT86" s="472">
        <f t="shared" si="297"/>
        <v>0.24</v>
      </c>
      <c r="AU86" s="473">
        <f t="shared" si="297"/>
        <v>0.23428571428571429</v>
      </c>
      <c r="AV86" s="472">
        <f>+AV83/AV66</f>
        <v>0.2496570644718793</v>
      </c>
      <c r="AW86" s="472">
        <f t="shared" ref="AW86:AY86" si="298">+AW83/AW66</f>
        <v>0.25033112582781458</v>
      </c>
      <c r="AX86" s="472">
        <f t="shared" si="298"/>
        <v>0.27672955974842767</v>
      </c>
      <c r="AY86" s="473">
        <f t="shared" si="298"/>
        <v>0.28225806451612906</v>
      </c>
      <c r="AZ86" s="472">
        <f>+AZ83/AZ66</f>
        <v>0.298879202988792</v>
      </c>
      <c r="BA86" s="470">
        <f t="shared" ref="BA86:BC86" si="299">+BA83/BA66</f>
        <v>0.31221198156682028</v>
      </c>
      <c r="BB86" s="472">
        <f t="shared" si="299"/>
        <v>0.34908700322234154</v>
      </c>
      <c r="BC86" s="473">
        <f t="shared" si="299"/>
        <v>0.34263392857142855</v>
      </c>
      <c r="BD86" s="472">
        <f>+BD83/BD66</f>
        <v>0.35421166306695462</v>
      </c>
      <c r="BE86" s="577"/>
      <c r="BF86" s="577"/>
      <c r="BG86" s="741"/>
      <c r="BH86" s="476"/>
      <c r="BI86" s="577"/>
      <c r="BJ86" s="577"/>
      <c r="BK86" s="741"/>
      <c r="BL86" s="476"/>
      <c r="BM86" s="577"/>
      <c r="BN86" s="577"/>
      <c r="BO86" s="741"/>
      <c r="BP86" s="657"/>
      <c r="BQ86" s="8"/>
      <c r="BR86" s="470">
        <f t="shared" ref="BR86:BX86" si="300">BR72/BR63</f>
        <v>0.1628056628056628</v>
      </c>
      <c r="BS86" s="470">
        <f t="shared" si="300"/>
        <v>0.18324937027707808</v>
      </c>
      <c r="BT86" s="472">
        <f t="shared" si="300"/>
        <v>0.16431637032495403</v>
      </c>
      <c r="BU86" s="472">
        <f t="shared" si="300"/>
        <v>0.1318830727396329</v>
      </c>
      <c r="BV86" s="472">
        <f t="shared" si="300"/>
        <v>0.23685479980704294</v>
      </c>
      <c r="BW86" s="472">
        <f t="shared" si="300"/>
        <v>0.17440758293838862</v>
      </c>
      <c r="BX86" s="472">
        <f t="shared" si="300"/>
        <v>8.4221207508878737E-2</v>
      </c>
      <c r="BY86" s="472">
        <f>BY83/BY66</f>
        <v>7.5479396164830681E-2</v>
      </c>
      <c r="BZ86" s="472"/>
      <c r="CA86" s="472"/>
      <c r="CB86" s="472"/>
      <c r="CC86" s="472"/>
      <c r="CD86" s="472"/>
      <c r="CE86" s="472"/>
      <c r="CF86" s="473"/>
      <c r="CG86" s="1165"/>
      <c r="CH86" s="1166"/>
      <c r="CI86"/>
      <c r="CJ86"/>
    </row>
    <row r="87" spans="1:88" s="261" customFormat="1" ht="14.25" customHeight="1">
      <c r="A87" s="672"/>
      <c r="B87" s="651"/>
      <c r="C87" s="739"/>
      <c r="D87" s="740"/>
      <c r="E87" s="740"/>
      <c r="F87" s="740"/>
      <c r="G87" s="741"/>
      <c r="H87" s="740"/>
      <c r="I87" s="740"/>
      <c r="J87" s="740"/>
      <c r="K87" s="74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472"/>
      <c r="Y87" s="470"/>
      <c r="Z87" s="470"/>
      <c r="AA87" s="470"/>
      <c r="AB87" s="471"/>
      <c r="AC87" s="472"/>
      <c r="AD87" s="472"/>
      <c r="AE87" s="473"/>
      <c r="AF87" s="472"/>
      <c r="AG87" s="472"/>
      <c r="AH87" s="472"/>
      <c r="AI87" s="473"/>
      <c r="AJ87" s="472"/>
      <c r="AK87" s="472"/>
      <c r="AL87" s="472"/>
      <c r="AM87" s="473"/>
      <c r="AN87" s="472"/>
      <c r="AO87" s="472"/>
      <c r="AP87" s="472"/>
      <c r="AQ87" s="473"/>
      <c r="AR87" s="472"/>
      <c r="AS87" s="472"/>
      <c r="AT87" s="472"/>
      <c r="AU87" s="473"/>
      <c r="AV87" s="472"/>
      <c r="AW87" s="472"/>
      <c r="AX87" s="472"/>
      <c r="AY87" s="473"/>
      <c r="AZ87" s="740"/>
      <c r="BA87" s="740"/>
      <c r="BB87" s="740"/>
      <c r="BC87" s="577"/>
      <c r="BD87" s="476"/>
      <c r="BE87" s="577"/>
      <c r="BF87" s="577"/>
      <c r="BG87" s="741"/>
      <c r="BH87" s="476"/>
      <c r="BI87" s="577"/>
      <c r="BJ87" s="577"/>
      <c r="BK87" s="741"/>
      <c r="BL87" s="476"/>
      <c r="BM87" s="577"/>
      <c r="BN87" s="577"/>
      <c r="BO87" s="741"/>
      <c r="BP87" s="657"/>
      <c r="BQ87" s="8"/>
      <c r="BR87" s="470"/>
      <c r="BS87" s="470"/>
      <c r="BT87" s="472"/>
      <c r="BU87" s="472"/>
      <c r="BV87" s="472"/>
      <c r="BW87" s="472"/>
      <c r="BX87" s="472"/>
      <c r="BY87" s="472"/>
      <c r="BZ87" s="472"/>
      <c r="CA87" s="472"/>
      <c r="CB87" s="472"/>
      <c r="CC87" s="472"/>
      <c r="CD87" s="472"/>
      <c r="CE87" s="472"/>
      <c r="CF87" s="473"/>
      <c r="CG87" s="1165"/>
      <c r="CH87" s="1166"/>
      <c r="CI87"/>
      <c r="CJ87"/>
    </row>
    <row r="88" spans="1:88" s="261" customFormat="1" ht="14.25" customHeight="1">
      <c r="A88" s="672"/>
      <c r="B88" s="651"/>
      <c r="C88" s="739"/>
      <c r="D88" s="740"/>
      <c r="E88" s="740"/>
      <c r="F88" s="740"/>
      <c r="G88" s="741"/>
      <c r="H88" s="740"/>
      <c r="I88" s="740"/>
      <c r="J88" s="740"/>
      <c r="K88" s="74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472"/>
      <c r="Y88" s="470"/>
      <c r="Z88" s="470"/>
      <c r="AA88" s="470"/>
      <c r="AB88" s="471"/>
      <c r="AC88" s="472"/>
      <c r="AD88" s="472"/>
      <c r="AE88" s="473"/>
      <c r="AF88" s="472"/>
      <c r="AG88" s="472"/>
      <c r="AH88" s="472"/>
      <c r="AI88" s="473"/>
      <c r="AJ88" s="472"/>
      <c r="AK88" s="472"/>
      <c r="AL88" s="472"/>
      <c r="AM88" s="473"/>
      <c r="AN88" s="472"/>
      <c r="AO88" s="472"/>
      <c r="AP88" s="472"/>
      <c r="AQ88" s="473"/>
      <c r="AR88" s="472"/>
      <c r="AS88" s="472"/>
      <c r="AT88" s="472"/>
      <c r="AU88" s="473"/>
      <c r="AV88" s="472"/>
      <c r="AW88" s="472"/>
      <c r="AX88" s="472"/>
      <c r="AY88" s="473"/>
      <c r="AZ88" s="740"/>
      <c r="BA88" s="740"/>
      <c r="BB88" s="740"/>
      <c r="BC88" s="577"/>
      <c r="BD88" s="476"/>
      <c r="BE88" s="577"/>
      <c r="BF88" s="577"/>
      <c r="BG88" s="741"/>
      <c r="BH88" s="476"/>
      <c r="BI88" s="577"/>
      <c r="BJ88" s="577"/>
      <c r="BK88" s="741"/>
      <c r="BL88" s="476"/>
      <c r="BM88" s="577"/>
      <c r="BN88" s="577"/>
      <c r="BO88" s="741"/>
      <c r="BP88" s="657"/>
      <c r="BQ88" s="8"/>
      <c r="BR88" s="470"/>
      <c r="BS88" s="470"/>
      <c r="BT88" s="472"/>
      <c r="BU88" s="472"/>
      <c r="BV88" s="472"/>
      <c r="BW88" s="472"/>
      <c r="BX88" s="472"/>
      <c r="BY88" s="472"/>
      <c r="BZ88" s="472"/>
      <c r="CA88" s="472"/>
      <c r="CB88" s="472"/>
      <c r="CC88" s="472"/>
      <c r="CD88" s="472"/>
      <c r="CE88" s="472"/>
      <c r="CF88" s="473"/>
      <c r="CG88" s="1165"/>
      <c r="CH88" s="1166"/>
      <c r="CI88"/>
      <c r="CJ88"/>
    </row>
    <row r="89" spans="1:88" s="261" customFormat="1" ht="14.25" hidden="1" customHeight="1" outlineLevel="1">
      <c r="A89" s="672"/>
      <c r="B89" s="684" t="s">
        <v>574</v>
      </c>
      <c r="C89" s="739"/>
      <c r="D89" s="740"/>
      <c r="E89" s="740"/>
      <c r="F89" s="740"/>
      <c r="G89" s="741"/>
      <c r="H89" s="740"/>
      <c r="I89" s="740"/>
      <c r="J89" s="740"/>
      <c r="K89" s="74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472"/>
      <c r="Y89" s="470"/>
      <c r="Z89" s="470"/>
      <c r="AA89" s="470"/>
      <c r="AB89" s="471"/>
      <c r="AC89" s="472"/>
      <c r="AD89" s="472"/>
      <c r="AE89" s="473"/>
      <c r="AF89" s="472"/>
      <c r="AG89" s="472"/>
      <c r="AH89" s="472"/>
      <c r="AI89" s="473"/>
      <c r="AJ89" s="472"/>
      <c r="AK89" s="472"/>
      <c r="AL89" s="472"/>
      <c r="AM89" s="473"/>
      <c r="AN89" s="472"/>
      <c r="AO89" s="472"/>
      <c r="AP89" s="472"/>
      <c r="AQ89" s="473"/>
      <c r="AR89" s="472"/>
      <c r="AS89" s="472"/>
      <c r="AT89" s="472"/>
      <c r="AU89" s="473"/>
      <c r="AV89" s="472"/>
      <c r="AW89" s="472"/>
      <c r="AX89" s="472"/>
      <c r="AY89" s="473"/>
      <c r="AZ89" s="740"/>
      <c r="BA89" s="740"/>
      <c r="BB89" s="740"/>
      <c r="BC89" s="577"/>
      <c r="BD89" s="476"/>
      <c r="BE89" s="577"/>
      <c r="BF89" s="577"/>
      <c r="BG89" s="741"/>
      <c r="BH89" s="476"/>
      <c r="BI89" s="577"/>
      <c r="BJ89" s="577"/>
      <c r="BK89" s="741"/>
      <c r="BL89" s="476"/>
      <c r="BM89" s="577"/>
      <c r="BN89" s="577"/>
      <c r="BO89" s="741"/>
      <c r="BP89" s="657"/>
      <c r="BQ89" s="8"/>
      <c r="BR89" s="470"/>
      <c r="BS89" s="470"/>
      <c r="BT89" s="472"/>
      <c r="BU89" s="472"/>
      <c r="BV89" s="472"/>
      <c r="BW89" s="472"/>
      <c r="BX89" s="472"/>
      <c r="BY89" s="472"/>
      <c r="BZ89" s="472"/>
      <c r="CA89" s="472"/>
      <c r="CB89" s="472"/>
      <c r="CC89" s="472"/>
      <c r="CD89" s="472"/>
      <c r="CE89" s="472"/>
      <c r="CF89" s="473"/>
      <c r="CG89" s="1165"/>
      <c r="CH89" s="1166"/>
      <c r="CI89"/>
      <c r="CJ89"/>
    </row>
    <row r="90" spans="1:88" s="261" customFormat="1" ht="14.25" hidden="1" customHeight="1" outlineLevel="1">
      <c r="A90" s="672"/>
      <c r="B90" s="824" t="s">
        <v>575</v>
      </c>
      <c r="C90" s="739"/>
      <c r="D90" s="740"/>
      <c r="E90" s="740"/>
      <c r="F90" s="740"/>
      <c r="G90" s="741"/>
      <c r="H90" s="740"/>
      <c r="I90" s="740"/>
      <c r="J90" s="740"/>
      <c r="K90" s="74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472"/>
      <c r="Y90" s="470"/>
      <c r="Z90" s="470"/>
      <c r="AA90" s="470"/>
      <c r="AB90" s="471"/>
      <c r="AC90" s="472"/>
      <c r="AD90" s="472"/>
      <c r="AE90" s="473"/>
      <c r="AF90" s="472"/>
      <c r="AG90" s="472"/>
      <c r="AH90" s="472"/>
      <c r="AI90" s="473"/>
      <c r="AJ90" s="472"/>
      <c r="AK90" s="472"/>
      <c r="AL90" s="472"/>
      <c r="AM90" s="473"/>
      <c r="AN90" s="472"/>
      <c r="AO90" s="472"/>
      <c r="AP90" s="472"/>
      <c r="AQ90" s="473"/>
      <c r="AR90" s="472"/>
      <c r="AS90" s="472"/>
      <c r="AT90" s="472"/>
      <c r="AU90" s="473"/>
      <c r="AV90" s="472"/>
      <c r="AW90" s="472"/>
      <c r="AX90" s="472"/>
      <c r="AY90" s="473"/>
      <c r="AZ90" s="740"/>
      <c r="BA90" s="740"/>
      <c r="BB90" s="740"/>
      <c r="BC90" s="577"/>
      <c r="BD90" s="476"/>
      <c r="BE90" s="577"/>
      <c r="BF90" s="577"/>
      <c r="BG90" s="741"/>
      <c r="BH90" s="476"/>
      <c r="BI90" s="577"/>
      <c r="BJ90" s="577"/>
      <c r="BK90" s="741"/>
      <c r="BL90" s="476"/>
      <c r="BM90" s="577"/>
      <c r="BN90" s="577"/>
      <c r="BO90" s="741"/>
      <c r="BP90" s="657"/>
      <c r="BQ90" s="8"/>
      <c r="BR90" s="470"/>
      <c r="BS90" s="470"/>
      <c r="BT90" s="472"/>
      <c r="BU90" s="472"/>
      <c r="BV90" s="472"/>
      <c r="BW90" s="472"/>
      <c r="BX90" s="472"/>
      <c r="BY90" s="472"/>
      <c r="BZ90" s="472"/>
      <c r="CA90" s="472"/>
      <c r="CB90" s="472"/>
      <c r="CC90" s="472"/>
      <c r="CD90" s="472"/>
      <c r="CE90" s="472"/>
      <c r="CF90" s="473"/>
      <c r="CG90" s="1165"/>
      <c r="CH90" s="1166"/>
      <c r="CI90"/>
      <c r="CJ90"/>
    </row>
    <row r="91" spans="1:88" s="261" customFormat="1" ht="14.25" hidden="1" customHeight="1" outlineLevel="1">
      <c r="A91" s="672"/>
      <c r="B91" s="825" t="s">
        <v>526</v>
      </c>
      <c r="C91" s="739"/>
      <c r="D91" s="740"/>
      <c r="E91" s="740"/>
      <c r="F91" s="740"/>
      <c r="G91" s="741"/>
      <c r="H91" s="740"/>
      <c r="I91" s="740"/>
      <c r="J91" s="740"/>
      <c r="K91" s="74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471"/>
      <c r="Y91" s="470"/>
      <c r="Z91" s="470"/>
      <c r="AA91" s="470"/>
      <c r="AB91" s="471"/>
      <c r="AC91" s="472"/>
      <c r="AD91" s="472"/>
      <c r="AE91" s="473"/>
      <c r="AF91" s="472"/>
      <c r="AG91" s="472"/>
      <c r="AH91" s="472"/>
      <c r="AI91" s="473"/>
      <c r="AJ91" s="472"/>
      <c r="AK91" s="472"/>
      <c r="AL91" s="472"/>
      <c r="AM91" s="473"/>
      <c r="AN91" s="472">
        <v>0.31</v>
      </c>
      <c r="AO91" s="472"/>
      <c r="AP91" s="472"/>
      <c r="AQ91" s="473">
        <v>0.31</v>
      </c>
      <c r="AR91" s="472">
        <v>0.28999999999999998</v>
      </c>
      <c r="AS91" s="472">
        <v>0.32</v>
      </c>
      <c r="AT91" s="472">
        <v>0.32</v>
      </c>
      <c r="AU91" s="473">
        <v>0.32500000000000001</v>
      </c>
      <c r="AV91" s="472">
        <f>AV100/AV$107</f>
        <v>0.36574125076365688</v>
      </c>
      <c r="AW91" s="472">
        <f>AW100/AW$107</f>
        <v>0.36057059766858174</v>
      </c>
      <c r="AX91" s="472">
        <f>AX100/AX$107</f>
        <v>0.34017255397024332</v>
      </c>
      <c r="AY91" s="473">
        <v>0.32500000000000001</v>
      </c>
      <c r="AZ91" s="740"/>
      <c r="BA91" s="740"/>
      <c r="BB91" s="740"/>
      <c r="BC91" s="577"/>
      <c r="BD91" s="476"/>
      <c r="BE91" s="577"/>
      <c r="BF91" s="577"/>
      <c r="BG91" s="741"/>
      <c r="BH91" s="476"/>
      <c r="BI91" s="577"/>
      <c r="BJ91" s="577"/>
      <c r="BK91" s="741"/>
      <c r="BL91" s="476"/>
      <c r="BM91" s="577"/>
      <c r="BN91" s="577"/>
      <c r="BO91" s="741"/>
      <c r="BP91" s="657"/>
      <c r="BQ91" s="8"/>
      <c r="BR91" s="470"/>
      <c r="BS91" s="470"/>
      <c r="BT91" s="472"/>
      <c r="BU91" s="472"/>
      <c r="BV91" s="472"/>
      <c r="BW91" s="472"/>
      <c r="BX91" s="472"/>
      <c r="BY91" s="472"/>
      <c r="BZ91" s="472"/>
      <c r="CA91" s="472">
        <f t="shared" ref="CA91:CA96" si="301">CA100/CA$14</f>
        <v>0.31400597632984911</v>
      </c>
      <c r="CB91" s="472"/>
      <c r="CC91" s="472"/>
      <c r="CD91" s="472"/>
      <c r="CE91" s="472"/>
      <c r="CF91" s="473"/>
      <c r="CG91" s="1165"/>
      <c r="CH91" s="1166"/>
      <c r="CI91"/>
      <c r="CJ91"/>
    </row>
    <row r="92" spans="1:88" s="261" customFormat="1" ht="14.25" hidden="1" customHeight="1" outlineLevel="1">
      <c r="A92" s="672"/>
      <c r="B92" s="825" t="s">
        <v>527</v>
      </c>
      <c r="C92" s="739"/>
      <c r="D92" s="740"/>
      <c r="E92" s="740"/>
      <c r="F92" s="740"/>
      <c r="G92" s="741"/>
      <c r="H92" s="740"/>
      <c r="I92" s="740"/>
      <c r="J92" s="740"/>
      <c r="K92" s="74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471"/>
      <c r="Y92" s="470"/>
      <c r="Z92" s="470"/>
      <c r="AA92" s="470"/>
      <c r="AB92" s="471"/>
      <c r="AC92" s="472"/>
      <c r="AD92" s="472"/>
      <c r="AE92" s="473"/>
      <c r="AF92" s="472"/>
      <c r="AG92" s="472"/>
      <c r="AH92" s="472"/>
      <c r="AI92" s="473"/>
      <c r="AJ92" s="472"/>
      <c r="AK92" s="472"/>
      <c r="AL92" s="472"/>
      <c r="AM92" s="473"/>
      <c r="AN92" s="472">
        <v>0.13</v>
      </c>
      <c r="AO92" s="472"/>
      <c r="AP92" s="472"/>
      <c r="AQ92" s="473">
        <v>0.15</v>
      </c>
      <c r="AR92" s="472">
        <v>0.15</v>
      </c>
      <c r="AS92" s="472">
        <v>0.16</v>
      </c>
      <c r="AT92" s="472">
        <v>0.14000000000000001</v>
      </c>
      <c r="AU92" s="473">
        <v>0.16</v>
      </c>
      <c r="AV92" s="472">
        <f t="shared" ref="AV92:AX95" si="302">AV101/AV$107</f>
        <v>0.16657851512053828</v>
      </c>
      <c r="AW92" s="472">
        <f t="shared" si="302"/>
        <v>0.16745143010371424</v>
      </c>
      <c r="AX92" s="472">
        <f t="shared" si="302"/>
        <v>0.15511868461043093</v>
      </c>
      <c r="AY92" s="473">
        <v>0.16</v>
      </c>
      <c r="AZ92" s="740"/>
      <c r="BA92" s="740"/>
      <c r="BB92" s="740"/>
      <c r="BC92" s="577"/>
      <c r="BD92" s="476"/>
      <c r="BE92" s="577"/>
      <c r="BF92" s="577"/>
      <c r="BG92" s="741"/>
      <c r="BH92" s="476"/>
      <c r="BI92" s="577"/>
      <c r="BJ92" s="577"/>
      <c r="BK92" s="741"/>
      <c r="BL92" s="476"/>
      <c r="BM92" s="577"/>
      <c r="BN92" s="577"/>
      <c r="BO92" s="741"/>
      <c r="BP92" s="657"/>
      <c r="BQ92" s="8"/>
      <c r="BR92" s="470"/>
      <c r="BS92" s="470"/>
      <c r="BT92" s="472"/>
      <c r="BU92" s="472"/>
      <c r="BV92" s="472"/>
      <c r="BW92" s="472"/>
      <c r="BX92" s="472"/>
      <c r="BY92" s="472"/>
      <c r="BZ92" s="472"/>
      <c r="CA92" s="472">
        <f t="shared" si="301"/>
        <v>0.15235676564178818</v>
      </c>
      <c r="CB92" s="472"/>
      <c r="CC92" s="472"/>
      <c r="CD92" s="472"/>
      <c r="CE92" s="472"/>
      <c r="CF92" s="473"/>
      <c r="CG92" s="1165"/>
      <c r="CH92" s="1166"/>
      <c r="CI92"/>
      <c r="CJ92"/>
    </row>
    <row r="93" spans="1:88" s="261" customFormat="1" ht="14.25" hidden="1" customHeight="1" outlineLevel="1">
      <c r="A93" s="672"/>
      <c r="B93" s="825" t="s">
        <v>214</v>
      </c>
      <c r="C93" s="739"/>
      <c r="D93" s="740"/>
      <c r="E93" s="740"/>
      <c r="F93" s="740"/>
      <c r="G93" s="741"/>
      <c r="H93" s="740"/>
      <c r="I93" s="740"/>
      <c r="J93" s="740"/>
      <c r="K93" s="74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471"/>
      <c r="Y93" s="470"/>
      <c r="Z93" s="470"/>
      <c r="AA93" s="470"/>
      <c r="AB93" s="471"/>
      <c r="AC93" s="472"/>
      <c r="AD93" s="472"/>
      <c r="AE93" s="473"/>
      <c r="AF93" s="472"/>
      <c r="AG93" s="472"/>
      <c r="AH93" s="472"/>
      <c r="AI93" s="473"/>
      <c r="AJ93" s="472"/>
      <c r="AK93" s="472"/>
      <c r="AL93" s="472"/>
      <c r="AM93" s="473"/>
      <c r="AN93" s="472">
        <v>0.28999999999999998</v>
      </c>
      <c r="AO93" s="472"/>
      <c r="AP93" s="472"/>
      <c r="AQ93" s="473">
        <v>0.3</v>
      </c>
      <c r="AR93" s="472">
        <v>0.3</v>
      </c>
      <c r="AS93" s="472">
        <v>0.3</v>
      </c>
      <c r="AT93" s="472">
        <v>0.32</v>
      </c>
      <c r="AU93" s="473">
        <v>0.28000000000000003</v>
      </c>
      <c r="AV93" s="472">
        <f t="shared" si="302"/>
        <v>0.22941951184265752</v>
      </c>
      <c r="AW93" s="472">
        <f t="shared" si="302"/>
        <v>0.2490381670338086</v>
      </c>
      <c r="AX93" s="472">
        <f t="shared" si="302"/>
        <v>0.2993518474938141</v>
      </c>
      <c r="AY93" s="473">
        <v>0.28000000000000003</v>
      </c>
      <c r="AZ93" s="740"/>
      <c r="BA93" s="740"/>
      <c r="BB93" s="740"/>
      <c r="BC93" s="577"/>
      <c r="BD93" s="476"/>
      <c r="BE93" s="577"/>
      <c r="BF93" s="577"/>
      <c r="BG93" s="741"/>
      <c r="BH93" s="476"/>
      <c r="BI93" s="577"/>
      <c r="BJ93" s="577"/>
      <c r="BK93" s="741"/>
      <c r="BL93" s="476"/>
      <c r="BM93" s="577"/>
      <c r="BN93" s="577"/>
      <c r="BO93" s="741"/>
      <c r="BP93" s="657"/>
      <c r="BQ93" s="8"/>
      <c r="BR93" s="470"/>
      <c r="BS93" s="470"/>
      <c r="BT93" s="472"/>
      <c r="BU93" s="472"/>
      <c r="BV93" s="472"/>
      <c r="BW93" s="472"/>
      <c r="BX93" s="472"/>
      <c r="BY93" s="472"/>
      <c r="BZ93" s="472"/>
      <c r="CA93" s="472">
        <f t="shared" si="301"/>
        <v>0.30037281035498137</v>
      </c>
      <c r="CB93" s="472"/>
      <c r="CC93" s="472"/>
      <c r="CD93" s="472"/>
      <c r="CE93" s="472"/>
      <c r="CF93" s="473"/>
      <c r="CG93" s="1165"/>
      <c r="CH93" s="1166"/>
      <c r="CI93"/>
      <c r="CJ93"/>
    </row>
    <row r="94" spans="1:88" s="261" customFormat="1" ht="14.25" hidden="1" customHeight="1" outlineLevel="1">
      <c r="A94" s="672"/>
      <c r="B94" s="825" t="s">
        <v>43</v>
      </c>
      <c r="C94" s="739"/>
      <c r="D94" s="740"/>
      <c r="E94" s="740"/>
      <c r="F94" s="740"/>
      <c r="G94" s="741"/>
      <c r="H94" s="740"/>
      <c r="I94" s="740"/>
      <c r="J94" s="740"/>
      <c r="K94" s="74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471"/>
      <c r="Y94" s="470"/>
      <c r="Z94" s="470"/>
      <c r="AA94" s="470"/>
      <c r="AB94" s="471"/>
      <c r="AC94" s="472"/>
      <c r="AD94" s="472"/>
      <c r="AE94" s="473"/>
      <c r="AF94" s="472"/>
      <c r="AG94" s="472"/>
      <c r="AH94" s="472"/>
      <c r="AI94" s="473"/>
      <c r="AJ94" s="472"/>
      <c r="AK94" s="472"/>
      <c r="AL94" s="472"/>
      <c r="AM94" s="473"/>
      <c r="AN94" s="472">
        <v>0.17</v>
      </c>
      <c r="AO94" s="472"/>
      <c r="AP94" s="472"/>
      <c r="AQ94" s="473">
        <v>0.13</v>
      </c>
      <c r="AR94" s="472">
        <v>0.13500000000000001</v>
      </c>
      <c r="AS94" s="472">
        <v>0.12</v>
      </c>
      <c r="AT94" s="472">
        <v>0.12</v>
      </c>
      <c r="AU94" s="473">
        <v>0.13</v>
      </c>
      <c r="AV94" s="472">
        <f t="shared" si="302"/>
        <v>0.14130911961323106</v>
      </c>
      <c r="AW94" s="472">
        <f t="shared" si="302"/>
        <v>0.12681084579022156</v>
      </c>
      <c r="AX94" s="472">
        <f t="shared" si="302"/>
        <v>0.11293728791812077</v>
      </c>
      <c r="AY94" s="473">
        <v>0.13</v>
      </c>
      <c r="AZ94" s="740"/>
      <c r="BA94" s="740"/>
      <c r="BB94" s="740"/>
      <c r="BC94" s="577"/>
      <c r="BD94" s="476"/>
      <c r="BE94" s="577"/>
      <c r="BF94" s="577"/>
      <c r="BG94" s="741"/>
      <c r="BH94" s="476"/>
      <c r="BI94" s="577"/>
      <c r="BJ94" s="577"/>
      <c r="BK94" s="741"/>
      <c r="BL94" s="476"/>
      <c r="BM94" s="577"/>
      <c r="BN94" s="577"/>
      <c r="BO94" s="741"/>
      <c r="BP94" s="657"/>
      <c r="BQ94" s="8"/>
      <c r="BR94" s="470"/>
      <c r="BS94" s="470"/>
      <c r="BT94" s="472"/>
      <c r="BU94" s="472"/>
      <c r="BV94" s="472"/>
      <c r="BW94" s="472"/>
      <c r="BX94" s="472"/>
      <c r="BY94" s="472"/>
      <c r="BZ94" s="472"/>
      <c r="CA94" s="472">
        <f t="shared" si="301"/>
        <v>0.12603879036191018</v>
      </c>
      <c r="CB94" s="472"/>
      <c r="CC94" s="472"/>
      <c r="CD94" s="472"/>
      <c r="CE94" s="472"/>
      <c r="CF94" s="473"/>
      <c r="CG94" s="1165"/>
      <c r="CH94" s="1166"/>
      <c r="CI94"/>
      <c r="CJ94"/>
    </row>
    <row r="95" spans="1:88" s="261" customFormat="1" ht="14.25" hidden="1" customHeight="1" outlineLevel="1">
      <c r="A95" s="672"/>
      <c r="B95" s="825" t="s">
        <v>41</v>
      </c>
      <c r="C95" s="739"/>
      <c r="D95" s="740"/>
      <c r="E95" s="740"/>
      <c r="F95" s="740"/>
      <c r="G95" s="741"/>
      <c r="H95" s="740"/>
      <c r="I95" s="740"/>
      <c r="J95" s="740"/>
      <c r="K95" s="74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471"/>
      <c r="Y95" s="470"/>
      <c r="Z95" s="470"/>
      <c r="AA95" s="470"/>
      <c r="AB95" s="471"/>
      <c r="AC95" s="472"/>
      <c r="AD95" s="472"/>
      <c r="AE95" s="473"/>
      <c r="AF95" s="472"/>
      <c r="AG95" s="472"/>
      <c r="AH95" s="472"/>
      <c r="AI95" s="473"/>
      <c r="AJ95" s="472"/>
      <c r="AK95" s="472"/>
      <c r="AL95" s="472"/>
      <c r="AM95" s="473"/>
      <c r="AN95" s="472">
        <v>0.06</v>
      </c>
      <c r="AO95" s="472"/>
      <c r="AP95" s="472"/>
      <c r="AQ95" s="473">
        <v>0.06</v>
      </c>
      <c r="AR95" s="472">
        <v>0.06</v>
      </c>
      <c r="AS95" s="472">
        <v>5.2999999999999999E-2</v>
      </c>
      <c r="AT95" s="472">
        <v>5.1999999999999998E-2</v>
      </c>
      <c r="AU95" s="473">
        <v>5.5E-2</v>
      </c>
      <c r="AV95" s="472">
        <f t="shared" si="302"/>
        <v>5.6191155799143647E-2</v>
      </c>
      <c r="AW95" s="472">
        <f>AW104/AW$107</f>
        <v>5.5002294559614168E-2</v>
      </c>
      <c r="AX95" s="472">
        <f t="shared" si="302"/>
        <v>4.8984847771715037E-2</v>
      </c>
      <c r="AY95" s="473">
        <v>5.5E-2</v>
      </c>
      <c r="AZ95" s="740"/>
      <c r="BA95" s="740"/>
      <c r="BB95" s="740"/>
      <c r="BC95" s="577"/>
      <c r="BD95" s="476"/>
      <c r="BE95" s="577"/>
      <c r="BF95" s="577"/>
      <c r="BG95" s="741"/>
      <c r="BH95" s="476"/>
      <c r="BI95" s="577"/>
      <c r="BJ95" s="577"/>
      <c r="BK95" s="741"/>
      <c r="BL95" s="476"/>
      <c r="BM95" s="577"/>
      <c r="BN95" s="577"/>
      <c r="BO95" s="741"/>
      <c r="BP95" s="657"/>
      <c r="BQ95" s="8"/>
      <c r="BR95" s="470"/>
      <c r="BS95" s="470"/>
      <c r="BT95" s="472"/>
      <c r="BU95" s="472"/>
      <c r="BV95" s="472"/>
      <c r="BW95" s="472"/>
      <c r="BX95" s="472"/>
      <c r="BY95" s="472"/>
      <c r="BZ95" s="472"/>
      <c r="CA95" s="472">
        <f t="shared" si="301"/>
        <v>5.4907206616604157E-2</v>
      </c>
      <c r="CB95" s="472"/>
      <c r="CC95" s="472"/>
      <c r="CD95" s="472"/>
      <c r="CE95" s="472"/>
      <c r="CF95" s="473"/>
      <c r="CG95" s="1165"/>
      <c r="CH95" s="1166"/>
      <c r="CI95"/>
      <c r="CJ95"/>
    </row>
    <row r="96" spans="1:88" s="261" customFormat="1" ht="14.25" hidden="1" customHeight="1" outlineLevel="1">
      <c r="A96" s="672"/>
      <c r="B96" s="825" t="s">
        <v>544</v>
      </c>
      <c r="C96" s="739"/>
      <c r="D96" s="740"/>
      <c r="E96" s="740"/>
      <c r="F96" s="740"/>
      <c r="G96" s="741"/>
      <c r="H96" s="740"/>
      <c r="I96" s="740"/>
      <c r="J96" s="740"/>
      <c r="K96" s="74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471"/>
      <c r="Y96" s="470"/>
      <c r="Z96" s="470"/>
      <c r="AA96" s="470"/>
      <c r="AB96" s="471"/>
      <c r="AC96" s="472"/>
      <c r="AD96" s="472"/>
      <c r="AE96" s="473"/>
      <c r="AF96" s="472"/>
      <c r="AG96" s="472"/>
      <c r="AH96" s="472"/>
      <c r="AI96" s="473"/>
      <c r="AJ96" s="472"/>
      <c r="AK96" s="472"/>
      <c r="AL96" s="472"/>
      <c r="AM96" s="473"/>
      <c r="AN96" s="472">
        <v>0.04</v>
      </c>
      <c r="AO96" s="472"/>
      <c r="AP96" s="472"/>
      <c r="AQ96" s="473">
        <v>0.05</v>
      </c>
      <c r="AR96" s="472">
        <f>1-SUM(AR91:AR95)</f>
        <v>6.4999999999999947E-2</v>
      </c>
      <c r="AS96" s="472">
        <f t="shared" ref="AS96:AX96" si="303">1-SUM(AS91:AS95)</f>
        <v>4.6999999999999931E-2</v>
      </c>
      <c r="AT96" s="472">
        <f t="shared" si="303"/>
        <v>4.7999999999999932E-2</v>
      </c>
      <c r="AU96" s="473">
        <f t="shared" si="303"/>
        <v>4.9999999999999933E-2</v>
      </c>
      <c r="AV96" s="472">
        <f t="shared" si="303"/>
        <v>4.0760446860772515E-2</v>
      </c>
      <c r="AW96" s="472">
        <f t="shared" si="303"/>
        <v>4.112666484405969E-2</v>
      </c>
      <c r="AX96" s="472">
        <f t="shared" si="303"/>
        <v>4.3434778235675764E-2</v>
      </c>
      <c r="AY96" s="473">
        <f t="shared" ref="AY96" si="304">1-SUM(AY91:AY95)</f>
        <v>4.9999999999999933E-2</v>
      </c>
      <c r="AZ96" s="740"/>
      <c r="BA96" s="740"/>
      <c r="BB96" s="740"/>
      <c r="BC96" s="577"/>
      <c r="BD96" s="476"/>
      <c r="BE96" s="577"/>
      <c r="BF96" s="577"/>
      <c r="BG96" s="741"/>
      <c r="BH96" s="476"/>
      <c r="BI96" s="577"/>
      <c r="BJ96" s="577"/>
      <c r="BK96" s="741"/>
      <c r="BL96" s="476"/>
      <c r="BM96" s="577"/>
      <c r="BN96" s="577"/>
      <c r="BO96" s="741"/>
      <c r="BP96" s="657"/>
      <c r="BQ96" s="8"/>
      <c r="BR96" s="470"/>
      <c r="BS96" s="470"/>
      <c r="BT96" s="472"/>
      <c r="BU96" s="472"/>
      <c r="BV96" s="472"/>
      <c r="BW96" s="472"/>
      <c r="BX96" s="472"/>
      <c r="BY96" s="472"/>
      <c r="BZ96" s="472"/>
      <c r="CA96" s="472">
        <f t="shared" si="301"/>
        <v>5.2318450694867055E-2</v>
      </c>
      <c r="CB96" s="472"/>
      <c r="CC96" s="472"/>
      <c r="CD96" s="472"/>
      <c r="CE96" s="472"/>
      <c r="CF96" s="473"/>
      <c r="CG96" s="1165"/>
      <c r="CH96" s="1166"/>
      <c r="CI96"/>
      <c r="CJ96"/>
    </row>
    <row r="97" spans="1:88" s="261" customFormat="1" ht="14.25" hidden="1" customHeight="1" outlineLevel="1">
      <c r="A97" s="672"/>
      <c r="B97" s="651" t="s">
        <v>577</v>
      </c>
      <c r="C97" s="739"/>
      <c r="D97" s="740"/>
      <c r="E97" s="740"/>
      <c r="F97" s="740"/>
      <c r="G97" s="741"/>
      <c r="H97" s="740"/>
      <c r="I97" s="740"/>
      <c r="J97" s="740"/>
      <c r="K97" s="74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471"/>
      <c r="Y97" s="470"/>
      <c r="Z97" s="470"/>
      <c r="AA97" s="470"/>
      <c r="AB97" s="471"/>
      <c r="AC97" s="472"/>
      <c r="AD97" s="472"/>
      <c r="AE97" s="473"/>
      <c r="AF97" s="472"/>
      <c r="AG97" s="472"/>
      <c r="AH97" s="472"/>
      <c r="AI97" s="473"/>
      <c r="AJ97" s="472"/>
      <c r="AK97" s="472"/>
      <c r="AL97" s="472"/>
      <c r="AM97" s="473"/>
      <c r="AN97" s="472"/>
      <c r="AO97" s="472"/>
      <c r="AP97" s="472"/>
      <c r="AQ97" s="473"/>
      <c r="AR97" s="472">
        <f t="shared" ref="AR97:AX97" si="305">SUM(AR91:AR96)</f>
        <v>1</v>
      </c>
      <c r="AS97" s="472">
        <f t="shared" si="305"/>
        <v>1</v>
      </c>
      <c r="AT97" s="472">
        <f t="shared" si="305"/>
        <v>1</v>
      </c>
      <c r="AU97" s="473">
        <f t="shared" si="305"/>
        <v>1</v>
      </c>
      <c r="AV97" s="472">
        <f t="shared" si="305"/>
        <v>1</v>
      </c>
      <c r="AW97" s="472">
        <f t="shared" si="305"/>
        <v>1</v>
      </c>
      <c r="AX97" s="472">
        <f t="shared" si="305"/>
        <v>1</v>
      </c>
      <c r="AY97" s="473">
        <f t="shared" ref="AY97" si="306">SUM(AY91:AY96)</f>
        <v>1</v>
      </c>
      <c r="AZ97" s="740"/>
      <c r="BA97" s="740"/>
      <c r="BB97" s="740"/>
      <c r="BC97" s="577"/>
      <c r="BD97" s="476"/>
      <c r="BE97" s="577"/>
      <c r="BF97" s="577"/>
      <c r="BG97" s="741"/>
      <c r="BH97" s="476"/>
      <c r="BI97" s="577"/>
      <c r="BJ97" s="577"/>
      <c r="BK97" s="741"/>
      <c r="BL97" s="476"/>
      <c r="BM97" s="577"/>
      <c r="BN97" s="577"/>
      <c r="BO97" s="741"/>
      <c r="BP97" s="657"/>
      <c r="BQ97" s="8"/>
      <c r="BR97" s="470"/>
      <c r="BS97" s="470"/>
      <c r="BT97" s="472"/>
      <c r="BU97" s="472"/>
      <c r="BV97" s="472"/>
      <c r="BW97" s="472"/>
      <c r="BX97" s="472"/>
      <c r="BY97" s="472"/>
      <c r="BZ97" s="472"/>
      <c r="CA97" s="472"/>
      <c r="CB97" s="472"/>
      <c r="CC97" s="472"/>
      <c r="CD97" s="472"/>
      <c r="CE97" s="472"/>
      <c r="CF97" s="473"/>
      <c r="CG97" s="1165"/>
      <c r="CH97" s="1166"/>
      <c r="CI97"/>
      <c r="CJ97"/>
    </row>
    <row r="98" spans="1:88" s="261" customFormat="1" ht="14.25" hidden="1" customHeight="1" outlineLevel="1">
      <c r="A98" s="672"/>
      <c r="B98" s="651"/>
      <c r="C98" s="739"/>
      <c r="D98" s="740"/>
      <c r="E98" s="740"/>
      <c r="F98" s="740"/>
      <c r="G98" s="741"/>
      <c r="H98" s="740"/>
      <c r="I98" s="740"/>
      <c r="J98" s="740"/>
      <c r="K98" s="74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472"/>
      <c r="Y98" s="470"/>
      <c r="Z98" s="470"/>
      <c r="AA98" s="470"/>
      <c r="AB98" s="471"/>
      <c r="AC98" s="472"/>
      <c r="AD98" s="472"/>
      <c r="AE98" s="473"/>
      <c r="AF98" s="472"/>
      <c r="AG98" s="472"/>
      <c r="AH98" s="472"/>
      <c r="AI98" s="473"/>
      <c r="AJ98" s="472"/>
      <c r="AK98" s="472"/>
      <c r="AL98" s="472"/>
      <c r="AM98" s="473"/>
      <c r="AN98" s="472"/>
      <c r="AO98" s="472"/>
      <c r="AP98" s="472"/>
      <c r="AQ98" s="473"/>
      <c r="AR98" s="472"/>
      <c r="AS98" s="472"/>
      <c r="AT98" s="472"/>
      <c r="AU98" s="473"/>
      <c r="AV98" s="472"/>
      <c r="AW98" s="472"/>
      <c r="AX98" s="472"/>
      <c r="AY98" s="473"/>
      <c r="AZ98" s="740"/>
      <c r="BA98" s="740"/>
      <c r="BB98" s="740"/>
      <c r="BC98" s="577"/>
      <c r="BD98" s="476"/>
      <c r="BE98" s="577"/>
      <c r="BF98" s="577"/>
      <c r="BG98" s="741"/>
      <c r="BH98" s="476"/>
      <c r="BI98" s="577"/>
      <c r="BJ98" s="577"/>
      <c r="BK98" s="741"/>
      <c r="BL98" s="476"/>
      <c r="BM98" s="577"/>
      <c r="BN98" s="577"/>
      <c r="BO98" s="741"/>
      <c r="BP98" s="657"/>
      <c r="BQ98" s="8"/>
      <c r="BR98" s="470"/>
      <c r="BS98" s="470"/>
      <c r="BT98" s="472"/>
      <c r="BU98" s="472"/>
      <c r="BV98" s="472"/>
      <c r="BW98" s="472"/>
      <c r="BX98" s="472"/>
      <c r="BY98" s="472"/>
      <c r="BZ98" s="472"/>
      <c r="CA98" s="472"/>
      <c r="CB98" s="472"/>
      <c r="CC98" s="472"/>
      <c r="CD98" s="472"/>
      <c r="CE98" s="472"/>
      <c r="CF98" s="473"/>
      <c r="CG98" s="1165"/>
      <c r="CH98" s="1166"/>
      <c r="CI98"/>
      <c r="CJ98"/>
    </row>
    <row r="99" spans="1:88" s="261" customFormat="1" ht="14.25" hidden="1" customHeight="1" outlineLevel="1">
      <c r="A99" s="672"/>
      <c r="B99" s="824" t="s">
        <v>576</v>
      </c>
      <c r="C99" s="739"/>
      <c r="D99" s="740"/>
      <c r="E99" s="740"/>
      <c r="F99" s="740"/>
      <c r="G99" s="741"/>
      <c r="H99" s="740"/>
      <c r="I99" s="740"/>
      <c r="J99" s="740"/>
      <c r="K99" s="74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472"/>
      <c r="Y99" s="470"/>
      <c r="Z99" s="470"/>
      <c r="AA99" s="470"/>
      <c r="AB99" s="471"/>
      <c r="AC99" s="472"/>
      <c r="AD99" s="472"/>
      <c r="AE99" s="473"/>
      <c r="AF99" s="472"/>
      <c r="AG99" s="472"/>
      <c r="AH99" s="472"/>
      <c r="AI99" s="473"/>
      <c r="AJ99" s="472"/>
      <c r="AK99" s="472"/>
      <c r="AL99" s="472"/>
      <c r="AM99" s="473"/>
      <c r="AN99" s="472"/>
      <c r="AO99" s="472"/>
      <c r="AP99" s="472"/>
      <c r="AQ99" s="473"/>
      <c r="AR99" s="472"/>
      <c r="AS99" s="472"/>
      <c r="AT99" s="472"/>
      <c r="AU99" s="473"/>
      <c r="AV99" s="472"/>
      <c r="AW99" s="472"/>
      <c r="AX99" s="472"/>
      <c r="AY99" s="473"/>
      <c r="AZ99" s="740"/>
      <c r="BA99" s="740"/>
      <c r="BB99" s="740"/>
      <c r="BC99" s="577"/>
      <c r="BD99" s="476"/>
      <c r="BE99" s="577"/>
      <c r="BF99" s="577"/>
      <c r="BG99" s="741"/>
      <c r="BH99" s="476"/>
      <c r="BI99" s="577"/>
      <c r="BJ99" s="577"/>
      <c r="BK99" s="741"/>
      <c r="BL99" s="476"/>
      <c r="BM99" s="577"/>
      <c r="BN99" s="577"/>
      <c r="BO99" s="741"/>
      <c r="BP99" s="657"/>
      <c r="BQ99" s="8"/>
      <c r="BR99" s="470"/>
      <c r="BS99" s="470"/>
      <c r="BT99" s="472"/>
      <c r="BU99" s="472"/>
      <c r="BV99" s="472"/>
      <c r="BW99" s="472"/>
      <c r="BX99" s="472"/>
      <c r="BY99" s="472"/>
      <c r="BZ99" s="472"/>
      <c r="CA99" s="472"/>
      <c r="CB99" s="472"/>
      <c r="CC99" s="472"/>
      <c r="CD99" s="472"/>
      <c r="CE99" s="472"/>
      <c r="CF99" s="473"/>
      <c r="CG99" s="1165"/>
      <c r="CH99" s="1166"/>
      <c r="CI99"/>
      <c r="CJ99"/>
    </row>
    <row r="100" spans="1:88" s="261" customFormat="1" ht="14.25" hidden="1" customHeight="1" outlineLevel="1">
      <c r="A100" s="672"/>
      <c r="B100" s="826" t="s">
        <v>526</v>
      </c>
      <c r="C100" s="739"/>
      <c r="D100" s="740"/>
      <c r="E100" s="740"/>
      <c r="F100" s="740"/>
      <c r="G100" s="741"/>
      <c r="H100" s="740"/>
      <c r="I100" s="740"/>
      <c r="J100" s="740"/>
      <c r="K100" s="741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472"/>
      <c r="Y100" s="470"/>
      <c r="Z100" s="470"/>
      <c r="AA100" s="470"/>
      <c r="AB100" s="471"/>
      <c r="AC100" s="472"/>
      <c r="AD100" s="472"/>
      <c r="AE100" s="473"/>
      <c r="AF100" s="472"/>
      <c r="AG100" s="472"/>
      <c r="AH100" s="472"/>
      <c r="AI100" s="473"/>
      <c r="AJ100" s="472"/>
      <c r="AK100" s="472"/>
      <c r="AL100" s="472"/>
      <c r="AM100" s="473"/>
      <c r="AN100" s="472"/>
      <c r="AO100" s="472"/>
      <c r="AP100" s="472"/>
      <c r="AQ100" s="473" t="s">
        <v>494</v>
      </c>
      <c r="AR100" s="827">
        <f t="shared" ref="AR100:AU104" si="307">AR91*AR$14</f>
        <v>913.49999999999989</v>
      </c>
      <c r="AS100" s="827">
        <f t="shared" si="307"/>
        <v>1066.5415482932367</v>
      </c>
      <c r="AT100" s="827">
        <f t="shared" si="307"/>
        <v>1098.6896314984672</v>
      </c>
      <c r="AU100" s="828">
        <f t="shared" si="307"/>
        <v>1036.461575220693</v>
      </c>
      <c r="AV100" s="827">
        <v>1100</v>
      </c>
      <c r="AW100" s="827">
        <v>1180</v>
      </c>
      <c r="AX100" s="827">
        <v>1250</v>
      </c>
      <c r="AY100" s="828">
        <f t="shared" ref="AY100" si="308">AY91*AY$14</f>
        <v>1109.5287713741232</v>
      </c>
      <c r="AZ100" s="740"/>
      <c r="BA100" s="740"/>
      <c r="BB100" s="740"/>
      <c r="BC100" s="577"/>
      <c r="BD100" s="476"/>
      <c r="BE100" s="577"/>
      <c r="BF100" s="577"/>
      <c r="BG100" s="741"/>
      <c r="BH100" s="476"/>
      <c r="BI100" s="577"/>
      <c r="BJ100" s="577"/>
      <c r="BK100" s="741"/>
      <c r="BL100" s="476"/>
      <c r="BM100" s="577"/>
      <c r="BN100" s="577"/>
      <c r="BO100" s="741"/>
      <c r="BP100" s="657"/>
      <c r="BQ100" s="8"/>
      <c r="BR100" s="470"/>
      <c r="BS100" s="470"/>
      <c r="BT100" s="830"/>
      <c r="BU100" s="830"/>
      <c r="BV100" s="830"/>
      <c r="BW100" s="830"/>
      <c r="BX100" s="830"/>
      <c r="BY100" s="830"/>
      <c r="BZ100" s="830"/>
      <c r="CA100" s="830">
        <f t="shared" ref="CA100:CA105" si="309">SUM(AR100:AU100)</f>
        <v>4115.1927550123964</v>
      </c>
      <c r="CB100" s="830"/>
      <c r="CC100" s="830"/>
      <c r="CD100" s="830"/>
      <c r="CE100" s="830"/>
      <c r="CF100" s="831"/>
      <c r="CG100" s="1165"/>
      <c r="CH100" s="1166"/>
      <c r="CI100"/>
      <c r="CJ100"/>
    </row>
    <row r="101" spans="1:88" s="261" customFormat="1" ht="14.25" hidden="1" customHeight="1" outlineLevel="1">
      <c r="A101" s="672"/>
      <c r="B101" s="826" t="s">
        <v>527</v>
      </c>
      <c r="C101" s="739"/>
      <c r="D101" s="740"/>
      <c r="E101" s="740"/>
      <c r="F101" s="740"/>
      <c r="G101" s="741"/>
      <c r="H101" s="740"/>
      <c r="I101" s="740"/>
      <c r="J101" s="740"/>
      <c r="K101" s="741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472"/>
      <c r="Y101" s="470"/>
      <c r="Z101" s="470"/>
      <c r="AA101" s="470"/>
      <c r="AB101" s="471"/>
      <c r="AC101" s="472"/>
      <c r="AD101" s="472"/>
      <c r="AE101" s="473"/>
      <c r="AF101" s="472"/>
      <c r="AG101" s="472"/>
      <c r="AH101" s="472"/>
      <c r="AI101" s="473"/>
      <c r="AJ101" s="472"/>
      <c r="AK101" s="472"/>
      <c r="AL101" s="472"/>
      <c r="AM101" s="473"/>
      <c r="AN101" s="472"/>
      <c r="AO101" s="472"/>
      <c r="AP101" s="472"/>
      <c r="AQ101" s="473"/>
      <c r="AR101" s="827">
        <f t="shared" si="307"/>
        <v>472.5</v>
      </c>
      <c r="AS101" s="827">
        <f t="shared" si="307"/>
        <v>533.27077414661835</v>
      </c>
      <c r="AT101" s="827">
        <f t="shared" si="307"/>
        <v>480.67671378057946</v>
      </c>
      <c r="AU101" s="828">
        <f t="shared" si="307"/>
        <v>510.25800626249503</v>
      </c>
      <c r="AV101" s="827">
        <v>501</v>
      </c>
      <c r="AW101" s="827">
        <v>548</v>
      </c>
      <c r="AX101" s="827">
        <v>570</v>
      </c>
      <c r="AY101" s="828">
        <f t="shared" ref="AY101" si="310">AY92*AY$14</f>
        <v>546.22954898418368</v>
      </c>
      <c r="AZ101" s="740"/>
      <c r="BA101" s="740"/>
      <c r="BB101" s="740"/>
      <c r="BC101" s="577"/>
      <c r="BD101" s="476"/>
      <c r="BE101" s="577"/>
      <c r="BF101" s="577"/>
      <c r="BG101" s="741"/>
      <c r="BH101" s="476"/>
      <c r="BI101" s="577"/>
      <c r="BJ101" s="577"/>
      <c r="BK101" s="741"/>
      <c r="BL101" s="476"/>
      <c r="BM101" s="577"/>
      <c r="BN101" s="577"/>
      <c r="BO101" s="741"/>
      <c r="BP101" s="657"/>
      <c r="BQ101" s="8"/>
      <c r="BR101" s="470"/>
      <c r="BS101" s="470"/>
      <c r="BT101" s="830"/>
      <c r="BU101" s="830"/>
      <c r="BV101" s="830"/>
      <c r="BW101" s="830"/>
      <c r="BX101" s="830"/>
      <c r="BY101" s="830"/>
      <c r="BZ101" s="830"/>
      <c r="CA101" s="830">
        <f t="shared" si="309"/>
        <v>1996.7054941896929</v>
      </c>
      <c r="CB101" s="830"/>
      <c r="CC101" s="830"/>
      <c r="CD101" s="830"/>
      <c r="CE101" s="830"/>
      <c r="CF101" s="473"/>
      <c r="CG101" s="1165"/>
      <c r="CH101" s="1166"/>
      <c r="CI101"/>
      <c r="CJ101"/>
    </row>
    <row r="102" spans="1:88" s="261" customFormat="1" ht="14.25" hidden="1" customHeight="1" outlineLevel="1">
      <c r="A102" s="672"/>
      <c r="B102" s="826" t="s">
        <v>214</v>
      </c>
      <c r="C102" s="739"/>
      <c r="D102" s="740"/>
      <c r="E102" s="740"/>
      <c r="F102" s="740"/>
      <c r="G102" s="741"/>
      <c r="H102" s="740"/>
      <c r="I102" s="740"/>
      <c r="J102" s="740"/>
      <c r="K102" s="741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472"/>
      <c r="Y102" s="470"/>
      <c r="Z102" s="470"/>
      <c r="AA102" s="470"/>
      <c r="AB102" s="471"/>
      <c r="AC102" s="472"/>
      <c r="AD102" s="472"/>
      <c r="AE102" s="473"/>
      <c r="AF102" s="472"/>
      <c r="AG102" s="472"/>
      <c r="AH102" s="472"/>
      <c r="AI102" s="473"/>
      <c r="AJ102" s="472"/>
      <c r="AK102" s="472"/>
      <c r="AL102" s="472"/>
      <c r="AM102" s="473"/>
      <c r="AN102" s="472"/>
      <c r="AO102" s="472"/>
      <c r="AP102" s="472"/>
      <c r="AQ102" s="473"/>
      <c r="AR102" s="827">
        <f t="shared" si="307"/>
        <v>945</v>
      </c>
      <c r="AS102" s="827">
        <f t="shared" si="307"/>
        <v>999.88270152490941</v>
      </c>
      <c r="AT102" s="827">
        <f t="shared" si="307"/>
        <v>1098.6896314984672</v>
      </c>
      <c r="AU102" s="828">
        <f t="shared" si="307"/>
        <v>892.95151095936637</v>
      </c>
      <c r="AV102" s="827">
        <v>690</v>
      </c>
      <c r="AW102" s="827">
        <v>815</v>
      </c>
      <c r="AX102" s="827">
        <v>1100</v>
      </c>
      <c r="AY102" s="828">
        <f t="shared" ref="AY102" si="311">AY93*AY$14</f>
        <v>955.90171072232147</v>
      </c>
      <c r="AZ102" s="740"/>
      <c r="BA102" s="740"/>
      <c r="BB102" s="740"/>
      <c r="BC102" s="577"/>
      <c r="BD102" s="476"/>
      <c r="BE102" s="577"/>
      <c r="BF102" s="577"/>
      <c r="BG102" s="741"/>
      <c r="BH102" s="476"/>
      <c r="BI102" s="577"/>
      <c r="BJ102" s="577"/>
      <c r="BK102" s="741"/>
      <c r="BL102" s="476"/>
      <c r="BM102" s="577"/>
      <c r="BN102" s="577"/>
      <c r="BO102" s="741"/>
      <c r="BP102" s="657"/>
      <c r="BQ102" s="8"/>
      <c r="BR102" s="470"/>
      <c r="BS102" s="470"/>
      <c r="BT102" s="829"/>
      <c r="BU102" s="829"/>
      <c r="BV102" s="829"/>
      <c r="BW102" s="829"/>
      <c r="BX102" s="829"/>
      <c r="BY102" s="829"/>
      <c r="BZ102" s="829"/>
      <c r="CA102" s="829">
        <f t="shared" si="309"/>
        <v>3936.5238439827431</v>
      </c>
      <c r="CB102" s="829"/>
      <c r="CC102" s="829"/>
      <c r="CD102" s="829"/>
      <c r="CE102" s="829"/>
      <c r="CF102" s="831"/>
      <c r="CG102" s="1165"/>
      <c r="CH102" s="1166"/>
      <c r="CI102"/>
      <c r="CJ102"/>
    </row>
    <row r="103" spans="1:88" s="261" customFormat="1" ht="14.25" hidden="1" customHeight="1" outlineLevel="1">
      <c r="A103" s="672"/>
      <c r="B103" s="826" t="s">
        <v>43</v>
      </c>
      <c r="C103" s="739"/>
      <c r="D103" s="740"/>
      <c r="E103" s="740"/>
      <c r="F103" s="740"/>
      <c r="G103" s="741"/>
      <c r="H103" s="740"/>
      <c r="I103" s="740"/>
      <c r="J103" s="740"/>
      <c r="K103" s="741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472"/>
      <c r="Y103" s="470"/>
      <c r="Z103" s="470"/>
      <c r="AA103" s="470"/>
      <c r="AB103" s="471"/>
      <c r="AC103" s="472"/>
      <c r="AD103" s="472"/>
      <c r="AE103" s="473"/>
      <c r="AF103" s="472"/>
      <c r="AG103" s="472"/>
      <c r="AH103" s="472"/>
      <c r="AI103" s="473"/>
      <c r="AJ103" s="472"/>
      <c r="AK103" s="472"/>
      <c r="AL103" s="472"/>
      <c r="AM103" s="473"/>
      <c r="AN103" s="472"/>
      <c r="AO103" s="472"/>
      <c r="AP103" s="472"/>
      <c r="AQ103" s="473"/>
      <c r="AR103" s="827">
        <f t="shared" si="307"/>
        <v>425.25</v>
      </c>
      <c r="AS103" s="827">
        <f t="shared" si="307"/>
        <v>399.95308060996376</v>
      </c>
      <c r="AT103" s="827">
        <f t="shared" si="307"/>
        <v>412.00861181192516</v>
      </c>
      <c r="AU103" s="828">
        <f t="shared" si="307"/>
        <v>414.58463008827721</v>
      </c>
      <c r="AV103" s="827">
        <v>425</v>
      </c>
      <c r="AW103" s="827">
        <v>415</v>
      </c>
      <c r="AX103" s="827">
        <v>415</v>
      </c>
      <c r="AY103" s="828">
        <f t="shared" ref="AY103" si="312">AY94*AY$14</f>
        <v>443.8115085496492</v>
      </c>
      <c r="AZ103" s="740"/>
      <c r="BA103" s="740"/>
      <c r="BB103" s="740"/>
      <c r="BC103" s="577"/>
      <c r="BD103" s="476"/>
      <c r="BE103" s="577"/>
      <c r="BF103" s="577"/>
      <c r="BG103" s="741"/>
      <c r="BH103" s="476"/>
      <c r="BI103" s="577"/>
      <c r="BJ103" s="577"/>
      <c r="BK103" s="741"/>
      <c r="BL103" s="476"/>
      <c r="BM103" s="577"/>
      <c r="BN103" s="577"/>
      <c r="BO103" s="741"/>
      <c r="BP103" s="657"/>
      <c r="BQ103" s="8"/>
      <c r="BR103" s="470"/>
      <c r="BS103" s="470"/>
      <c r="BT103" s="830"/>
      <c r="BU103" s="830"/>
      <c r="BV103" s="830"/>
      <c r="BW103" s="830"/>
      <c r="BX103" s="830"/>
      <c r="BY103" s="830"/>
      <c r="BZ103" s="830"/>
      <c r="CA103" s="830">
        <f t="shared" si="309"/>
        <v>1651.7963225101662</v>
      </c>
      <c r="CB103" s="830"/>
      <c r="CC103" s="830"/>
      <c r="CD103" s="830"/>
      <c r="CE103" s="830"/>
      <c r="CF103" s="473"/>
      <c r="CG103" s="1165"/>
      <c r="CH103" s="1166"/>
      <c r="CI103"/>
      <c r="CJ103"/>
    </row>
    <row r="104" spans="1:88" s="261" customFormat="1" ht="14.25" hidden="1" customHeight="1" outlineLevel="1">
      <c r="A104" s="672"/>
      <c r="B104" s="826" t="s">
        <v>41</v>
      </c>
      <c r="C104" s="739"/>
      <c r="D104" s="740"/>
      <c r="E104" s="740"/>
      <c r="F104" s="740"/>
      <c r="G104" s="741"/>
      <c r="H104" s="740"/>
      <c r="I104" s="740"/>
      <c r="J104" s="740"/>
      <c r="K104" s="741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472"/>
      <c r="Y104" s="470"/>
      <c r="Z104" s="470"/>
      <c r="AA104" s="470"/>
      <c r="AB104" s="471"/>
      <c r="AC104" s="472"/>
      <c r="AD104" s="472"/>
      <c r="AE104" s="473"/>
      <c r="AF104" s="472"/>
      <c r="AG104" s="472"/>
      <c r="AH104" s="472"/>
      <c r="AI104" s="473"/>
      <c r="AJ104" s="472"/>
      <c r="AK104" s="472"/>
      <c r="AL104" s="472"/>
      <c r="AM104" s="473"/>
      <c r="AN104" s="472"/>
      <c r="AO104" s="472"/>
      <c r="AP104" s="472"/>
      <c r="AQ104" s="473"/>
      <c r="AR104" s="827">
        <f t="shared" si="307"/>
        <v>189</v>
      </c>
      <c r="AS104" s="827">
        <f t="shared" si="307"/>
        <v>176.64594393606731</v>
      </c>
      <c r="AT104" s="827">
        <f t="shared" si="307"/>
        <v>178.53706511850092</v>
      </c>
      <c r="AU104" s="828">
        <f t="shared" si="307"/>
        <v>175.40118965273268</v>
      </c>
      <c r="AV104" s="827">
        <v>169</v>
      </c>
      <c r="AW104" s="827">
        <v>180</v>
      </c>
      <c r="AX104" s="827">
        <f>AW104</f>
        <v>180</v>
      </c>
      <c r="AY104" s="828">
        <f t="shared" ref="AY104" si="313">AY95*AY$14</f>
        <v>187.76640746331313</v>
      </c>
      <c r="AZ104" s="740"/>
      <c r="BA104" s="740"/>
      <c r="BB104" s="740"/>
      <c r="BC104" s="577"/>
      <c r="BD104" s="476"/>
      <c r="BE104" s="577"/>
      <c r="BF104" s="577"/>
      <c r="BG104" s="741"/>
      <c r="BH104" s="476"/>
      <c r="BI104" s="577"/>
      <c r="BJ104" s="577"/>
      <c r="BK104" s="741"/>
      <c r="BL104" s="476"/>
      <c r="BM104" s="577"/>
      <c r="BN104" s="577"/>
      <c r="BO104" s="741"/>
      <c r="BP104" s="657"/>
      <c r="BQ104" s="8"/>
      <c r="BR104" s="470"/>
      <c r="BS104" s="470"/>
      <c r="BT104" s="830"/>
      <c r="BU104" s="830"/>
      <c r="BV104" s="830"/>
      <c r="BW104" s="830"/>
      <c r="BX104" s="830"/>
      <c r="BY104" s="830"/>
      <c r="BZ104" s="830"/>
      <c r="CA104" s="830">
        <f t="shared" si="309"/>
        <v>719.58419870730086</v>
      </c>
      <c r="CB104" s="830"/>
      <c r="CC104" s="830"/>
      <c r="CD104" s="830"/>
      <c r="CE104" s="830"/>
      <c r="CF104" s="831"/>
      <c r="CG104" s="1165"/>
      <c r="CH104" s="1166"/>
      <c r="CI104"/>
      <c r="CJ104"/>
    </row>
    <row r="105" spans="1:88" s="261" customFormat="1" ht="14.25" hidden="1" customHeight="1" outlineLevel="1">
      <c r="A105" s="672"/>
      <c r="B105" s="826" t="s">
        <v>544</v>
      </c>
      <c r="C105" s="739"/>
      <c r="D105" s="740"/>
      <c r="E105" s="740"/>
      <c r="F105" s="740"/>
      <c r="G105" s="741"/>
      <c r="H105" s="740"/>
      <c r="I105" s="740"/>
      <c r="J105" s="740"/>
      <c r="K105" s="741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472"/>
      <c r="Y105" s="470"/>
      <c r="Z105" s="470"/>
      <c r="AA105" s="470"/>
      <c r="AB105" s="471"/>
      <c r="AC105" s="472"/>
      <c r="AD105" s="472"/>
      <c r="AE105" s="473"/>
      <c r="AF105" s="472"/>
      <c r="AG105" s="472"/>
      <c r="AH105" s="472"/>
      <c r="AI105" s="473"/>
      <c r="AJ105" s="472"/>
      <c r="AK105" s="472"/>
      <c r="AL105" s="472"/>
      <c r="AM105" s="473"/>
      <c r="AN105" s="472"/>
      <c r="AO105" s="472"/>
      <c r="AP105" s="472"/>
      <c r="AQ105" s="473"/>
      <c r="AR105" s="827">
        <f t="shared" ref="AR105:AX105" si="314">AR107-SUM(AR100:AR104)</f>
        <v>204.75</v>
      </c>
      <c r="AS105" s="827">
        <f t="shared" si="314"/>
        <v>156.64828990556907</v>
      </c>
      <c r="AT105" s="827">
        <f t="shared" si="314"/>
        <v>164.80344472477009</v>
      </c>
      <c r="AU105" s="828">
        <f t="shared" si="314"/>
        <v>159.45562695702984</v>
      </c>
      <c r="AV105" s="827">
        <f t="shared" si="314"/>
        <v>122.59074264451328</v>
      </c>
      <c r="AW105" s="827">
        <f t="shared" si="314"/>
        <v>134.59074264451328</v>
      </c>
      <c r="AX105" s="827">
        <f t="shared" si="314"/>
        <v>159.60568294214636</v>
      </c>
      <c r="AY105" s="828">
        <f t="shared" ref="AY105" si="315">AY107-SUM(AY100:AY104)</f>
        <v>170.69673405755748</v>
      </c>
      <c r="AZ105" s="740"/>
      <c r="BA105" s="740"/>
      <c r="BB105" s="740"/>
      <c r="BC105" s="577"/>
      <c r="BD105" s="476"/>
      <c r="BE105" s="577"/>
      <c r="BF105" s="577"/>
      <c r="BG105" s="741"/>
      <c r="BH105" s="476"/>
      <c r="BI105" s="577"/>
      <c r="BJ105" s="577"/>
      <c r="BK105" s="741"/>
      <c r="BL105" s="476"/>
      <c r="BM105" s="577"/>
      <c r="BN105" s="577"/>
      <c r="BO105" s="741"/>
      <c r="BP105" s="657"/>
      <c r="BQ105" s="8"/>
      <c r="BR105" s="470"/>
      <c r="BS105" s="470"/>
      <c r="BT105" s="830"/>
      <c r="BU105" s="830"/>
      <c r="BV105" s="830"/>
      <c r="BW105" s="830"/>
      <c r="BX105" s="830"/>
      <c r="BY105" s="830"/>
      <c r="BZ105" s="830"/>
      <c r="CA105" s="830">
        <f t="shared" si="309"/>
        <v>685.657361587369</v>
      </c>
      <c r="CB105" s="830"/>
      <c r="CC105" s="830"/>
      <c r="CD105" s="830"/>
      <c r="CE105" s="830"/>
      <c r="CF105" s="831"/>
      <c r="CG105" s="1165"/>
      <c r="CH105" s="1166"/>
      <c r="CI105"/>
      <c r="CJ105"/>
    </row>
    <row r="106" spans="1:88" s="261" customFormat="1" ht="14.25" hidden="1" customHeight="1" outlineLevel="1">
      <c r="A106" s="672"/>
      <c r="B106" s="651" t="s">
        <v>578</v>
      </c>
      <c r="C106" s="739"/>
      <c r="D106" s="740"/>
      <c r="E106" s="740"/>
      <c r="F106" s="740"/>
      <c r="G106" s="741"/>
      <c r="H106" s="740"/>
      <c r="I106" s="740"/>
      <c r="J106" s="740"/>
      <c r="K106" s="741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472"/>
      <c r="Y106" s="470"/>
      <c r="Z106" s="470"/>
      <c r="AA106" s="470"/>
      <c r="AB106" s="471"/>
      <c r="AC106" s="472"/>
      <c r="AD106" s="472"/>
      <c r="AE106" s="473"/>
      <c r="AF106" s="472"/>
      <c r="AG106" s="472"/>
      <c r="AH106" s="472"/>
      <c r="AI106" s="473"/>
      <c r="AJ106" s="472"/>
      <c r="AK106" s="472"/>
      <c r="AL106" s="472"/>
      <c r="AM106" s="473"/>
      <c r="AN106" s="472"/>
      <c r="AO106" s="472"/>
      <c r="AP106" s="472"/>
      <c r="AQ106" s="473"/>
      <c r="AR106" s="827">
        <f t="shared" ref="AR106:AX106" si="316">SUM(AR100:AR105)</f>
        <v>3150</v>
      </c>
      <c r="AS106" s="827">
        <f t="shared" si="316"/>
        <v>3332.9423384163647</v>
      </c>
      <c r="AT106" s="827">
        <f t="shared" si="316"/>
        <v>3433.40509843271</v>
      </c>
      <c r="AU106" s="828">
        <f t="shared" si="316"/>
        <v>3189.112539140594</v>
      </c>
      <c r="AV106" s="827">
        <f t="shared" si="316"/>
        <v>3007.5907426445133</v>
      </c>
      <c r="AW106" s="827">
        <f t="shared" si="316"/>
        <v>3272.5907426445133</v>
      </c>
      <c r="AX106" s="827">
        <f t="shared" si="316"/>
        <v>3674.6056829421464</v>
      </c>
      <c r="AY106" s="828">
        <f t="shared" ref="AY106" si="317">SUM(AY100:AY105)</f>
        <v>3413.9346811511477</v>
      </c>
      <c r="AZ106" s="740"/>
      <c r="BA106" s="740"/>
      <c r="BB106" s="740"/>
      <c r="BC106" s="577"/>
      <c r="BD106" s="476"/>
      <c r="BE106" s="577"/>
      <c r="BF106" s="577"/>
      <c r="BG106" s="741"/>
      <c r="BH106" s="476"/>
      <c r="BI106" s="577"/>
      <c r="BJ106" s="577"/>
      <c r="BK106" s="741"/>
      <c r="BL106" s="476"/>
      <c r="BM106" s="577"/>
      <c r="BN106" s="577"/>
      <c r="BO106" s="741"/>
      <c r="BP106" s="657"/>
      <c r="BQ106" s="8"/>
      <c r="BR106" s="470"/>
      <c r="BS106" s="470"/>
      <c r="BT106" s="472"/>
      <c r="BU106" s="472"/>
      <c r="BV106" s="472"/>
      <c r="BW106" s="472"/>
      <c r="BX106" s="472"/>
      <c r="BY106" s="472"/>
      <c r="BZ106" s="472"/>
      <c r="CA106" s="472"/>
      <c r="CB106" s="472"/>
      <c r="CC106" s="472"/>
      <c r="CD106" s="472"/>
      <c r="CE106" s="472"/>
      <c r="CF106" s="473"/>
      <c r="CG106" s="1165"/>
      <c r="CH106" s="1166"/>
      <c r="CI106"/>
      <c r="CJ106"/>
    </row>
    <row r="107" spans="1:88" s="261" customFormat="1" ht="14.25" hidden="1" customHeight="1" outlineLevel="1">
      <c r="A107" s="672"/>
      <c r="B107" s="651" t="s">
        <v>577</v>
      </c>
      <c r="C107" s="739"/>
      <c r="D107" s="740"/>
      <c r="E107" s="740"/>
      <c r="F107" s="740"/>
      <c r="G107" s="741"/>
      <c r="H107" s="740"/>
      <c r="I107" s="740"/>
      <c r="J107" s="740"/>
      <c r="K107" s="741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472"/>
      <c r="Y107" s="470"/>
      <c r="Z107" s="470"/>
      <c r="AA107" s="470"/>
      <c r="AB107" s="471"/>
      <c r="AC107" s="472"/>
      <c r="AD107" s="472"/>
      <c r="AE107" s="473"/>
      <c r="AF107" s="472"/>
      <c r="AG107" s="472"/>
      <c r="AH107" s="472"/>
      <c r="AI107" s="473"/>
      <c r="AJ107" s="472"/>
      <c r="AK107" s="472"/>
      <c r="AL107" s="472"/>
      <c r="AM107" s="473"/>
      <c r="AN107" s="472"/>
      <c r="AO107" s="472"/>
      <c r="AP107" s="472"/>
      <c r="AQ107" s="827">
        <f t="shared" ref="AQ107:AX107" si="318">AQ14</f>
        <v>3269</v>
      </c>
      <c r="AR107" s="827">
        <f t="shared" si="318"/>
        <v>3150</v>
      </c>
      <c r="AS107" s="827">
        <f t="shared" si="318"/>
        <v>3332.9423384163647</v>
      </c>
      <c r="AT107" s="827">
        <f t="shared" si="318"/>
        <v>3433.40509843271</v>
      </c>
      <c r="AU107" s="828">
        <f t="shared" si="318"/>
        <v>3189.112539140594</v>
      </c>
      <c r="AV107" s="827">
        <f t="shared" si="318"/>
        <v>3007.5907426445133</v>
      </c>
      <c r="AW107" s="827">
        <f t="shared" si="318"/>
        <v>3272.5907426445133</v>
      </c>
      <c r="AX107" s="827">
        <f t="shared" si="318"/>
        <v>3674.6056829421464</v>
      </c>
      <c r="AY107" s="828">
        <f t="shared" ref="AY107" si="319">AY14</f>
        <v>3413.9346811511477</v>
      </c>
      <c r="AZ107" s="740"/>
      <c r="BA107" s="740"/>
      <c r="BB107" s="740"/>
      <c r="BC107" s="577"/>
      <c r="BD107" s="476"/>
      <c r="BE107" s="577"/>
      <c r="BF107" s="577"/>
      <c r="BG107" s="741"/>
      <c r="BH107" s="476"/>
      <c r="BI107" s="577"/>
      <c r="BJ107" s="577"/>
      <c r="BK107" s="741"/>
      <c r="BL107" s="476"/>
      <c r="BM107" s="577"/>
      <c r="BN107" s="577"/>
      <c r="BO107" s="741"/>
      <c r="BP107" s="657"/>
      <c r="BQ107" s="8"/>
      <c r="BR107" s="470"/>
      <c r="BS107" s="470"/>
      <c r="BT107" s="472"/>
      <c r="BU107" s="472"/>
      <c r="BV107" s="472"/>
      <c r="BW107" s="472"/>
      <c r="BX107" s="472"/>
      <c r="BY107" s="472"/>
      <c r="BZ107" s="472"/>
      <c r="CA107" s="472"/>
      <c r="CB107" s="472"/>
      <c r="CC107" s="472"/>
      <c r="CD107" s="472"/>
      <c r="CE107" s="472"/>
      <c r="CF107" s="473"/>
      <c r="CG107" s="1165"/>
      <c r="CH107" s="1166"/>
      <c r="CI107"/>
      <c r="CJ107"/>
    </row>
    <row r="108" spans="1:88" s="261" customFormat="1" ht="14.25" hidden="1" customHeight="1" outlineLevel="1">
      <c r="A108" s="672"/>
      <c r="B108" s="651"/>
      <c r="C108" s="739"/>
      <c r="D108" s="740"/>
      <c r="E108" s="740"/>
      <c r="F108" s="740"/>
      <c r="G108" s="741"/>
      <c r="H108" s="740"/>
      <c r="I108" s="740"/>
      <c r="J108" s="740"/>
      <c r="K108" s="741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472"/>
      <c r="Y108" s="470"/>
      <c r="Z108" s="470"/>
      <c r="AA108" s="470"/>
      <c r="AB108" s="471"/>
      <c r="AC108" s="472"/>
      <c r="AD108" s="472"/>
      <c r="AE108" s="473"/>
      <c r="AF108" s="472"/>
      <c r="AG108" s="472"/>
      <c r="AH108" s="472"/>
      <c r="AI108" s="473"/>
      <c r="AJ108" s="472"/>
      <c r="AK108" s="472"/>
      <c r="AL108" s="472"/>
      <c r="AM108" s="473"/>
      <c r="AN108" s="472"/>
      <c r="AO108" s="472"/>
      <c r="AP108" s="472"/>
      <c r="AQ108" s="473"/>
      <c r="AR108" s="827"/>
      <c r="AS108" s="827"/>
      <c r="AT108" s="827"/>
      <c r="AU108" s="828"/>
      <c r="AV108" s="827"/>
      <c r="AW108" s="827"/>
      <c r="AX108" s="827"/>
      <c r="AY108" s="828"/>
      <c r="AZ108" s="740"/>
      <c r="BA108" s="740"/>
      <c r="BB108" s="740"/>
      <c r="BC108" s="577"/>
      <c r="BD108" s="476"/>
      <c r="BE108" s="577"/>
      <c r="BF108" s="577"/>
      <c r="BG108" s="741"/>
      <c r="BH108" s="476"/>
      <c r="BI108" s="577"/>
      <c r="BJ108" s="577"/>
      <c r="BK108" s="741"/>
      <c r="BL108" s="476"/>
      <c r="BM108" s="577"/>
      <c r="BN108" s="577"/>
      <c r="BO108" s="741"/>
      <c r="BP108" s="657"/>
      <c r="BQ108" s="8"/>
      <c r="BR108" s="470"/>
      <c r="BS108" s="470"/>
      <c r="BT108" s="472"/>
      <c r="BU108" s="472"/>
      <c r="BV108" s="472"/>
      <c r="BW108" s="472"/>
      <c r="BX108" s="472"/>
      <c r="BY108" s="472"/>
      <c r="BZ108" s="472"/>
      <c r="CA108" s="472"/>
      <c r="CB108" s="472"/>
      <c r="CC108" s="472"/>
      <c r="CD108" s="472"/>
      <c r="CE108" s="472"/>
      <c r="CF108" s="473"/>
      <c r="CG108" s="1165"/>
      <c r="CH108" s="1166"/>
      <c r="CI108"/>
      <c r="CJ108"/>
    </row>
    <row r="109" spans="1:88" s="261" customFormat="1" ht="14.25" hidden="1" customHeight="1" outlineLevel="1">
      <c r="A109" s="672"/>
      <c r="B109" s="824" t="s">
        <v>579</v>
      </c>
      <c r="C109" s="739"/>
      <c r="D109" s="740"/>
      <c r="E109" s="740"/>
      <c r="F109" s="740"/>
      <c r="G109" s="741"/>
      <c r="H109" s="740"/>
      <c r="I109" s="740"/>
      <c r="J109" s="740"/>
      <c r="K109" s="741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472"/>
      <c r="Y109" s="470"/>
      <c r="Z109" s="470"/>
      <c r="AA109" s="470"/>
      <c r="AB109" s="471"/>
      <c r="AC109" s="472"/>
      <c r="AD109" s="472"/>
      <c r="AE109" s="473"/>
      <c r="AF109" s="472"/>
      <c r="AG109" s="472"/>
      <c r="AH109" s="472"/>
      <c r="AI109" s="473"/>
      <c r="AJ109" s="472"/>
      <c r="AK109" s="472"/>
      <c r="AL109" s="472"/>
      <c r="AM109" s="473"/>
      <c r="AN109" s="472"/>
      <c r="AO109" s="472"/>
      <c r="AP109" s="472"/>
      <c r="AQ109" s="473"/>
      <c r="AR109" s="827"/>
      <c r="AS109" s="827"/>
      <c r="AT109" s="827"/>
      <c r="AU109" s="828"/>
      <c r="AV109" s="827"/>
      <c r="AW109" s="827"/>
      <c r="AX109" s="827"/>
      <c r="AY109" s="828"/>
      <c r="AZ109" s="740"/>
      <c r="BA109" s="740"/>
      <c r="BB109" s="740"/>
      <c r="BC109" s="577"/>
      <c r="BD109" s="476"/>
      <c r="BE109" s="577"/>
      <c r="BF109" s="577"/>
      <c r="BG109" s="741"/>
      <c r="BH109" s="476"/>
      <c r="BI109" s="577"/>
      <c r="BJ109" s="577"/>
      <c r="BK109" s="741"/>
      <c r="BL109" s="476"/>
      <c r="BM109" s="577"/>
      <c r="BN109" s="577"/>
      <c r="BO109" s="741"/>
      <c r="BP109" s="657"/>
      <c r="BQ109" s="8"/>
      <c r="BR109" s="470"/>
      <c r="BS109" s="470"/>
      <c r="BT109" s="472"/>
      <c r="BU109" s="472"/>
      <c r="BV109" s="472"/>
      <c r="BW109" s="472"/>
      <c r="BX109" s="472"/>
      <c r="BY109" s="472"/>
      <c r="BZ109" s="472"/>
      <c r="CA109" s="472"/>
      <c r="CB109" s="472"/>
      <c r="CC109" s="472"/>
      <c r="CD109" s="472"/>
      <c r="CE109" s="472"/>
      <c r="CF109" s="473"/>
      <c r="CG109" s="1165"/>
      <c r="CH109" s="1166"/>
      <c r="CI109"/>
      <c r="CJ109"/>
    </row>
    <row r="110" spans="1:88" s="261" customFormat="1" ht="14.25" hidden="1" customHeight="1" outlineLevel="1">
      <c r="A110" s="672"/>
      <c r="B110" s="825" t="s">
        <v>526</v>
      </c>
      <c r="C110" s="739"/>
      <c r="D110" s="740"/>
      <c r="E110" s="740"/>
      <c r="F110" s="740"/>
      <c r="G110" s="741"/>
      <c r="H110" s="740"/>
      <c r="I110" s="740"/>
      <c r="J110" s="740"/>
      <c r="K110" s="74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471"/>
      <c r="Y110" s="470"/>
      <c r="Z110" s="470"/>
      <c r="AA110" s="470"/>
      <c r="AB110" s="471"/>
      <c r="AC110" s="472"/>
      <c r="AD110" s="472"/>
      <c r="AE110" s="473"/>
      <c r="AF110" s="472"/>
      <c r="AG110" s="472"/>
      <c r="AH110" s="472"/>
      <c r="AI110" s="473"/>
      <c r="AJ110" s="472"/>
      <c r="AK110" s="472"/>
      <c r="AL110" s="472"/>
      <c r="AM110" s="473"/>
      <c r="AN110" s="472"/>
      <c r="AO110" s="472"/>
      <c r="AP110" s="472"/>
      <c r="AQ110" s="473"/>
      <c r="AR110" s="472"/>
      <c r="AS110" s="472"/>
      <c r="AT110" s="472"/>
      <c r="AU110" s="473"/>
      <c r="AV110" s="472">
        <f t="shared" ref="AV110:AW116" si="320">AV100/AR100-1</f>
        <v>0.20415982484948025</v>
      </c>
      <c r="AW110" s="472">
        <f t="shared" si="320"/>
        <v>0.10637977666067333</v>
      </c>
      <c r="AX110" s="472">
        <f>AX100/AT100-1</f>
        <v>0.13771893732642715</v>
      </c>
      <c r="AY110" s="473"/>
      <c r="AZ110" s="740"/>
      <c r="BA110" s="740"/>
      <c r="BB110" s="740"/>
      <c r="BC110" s="577"/>
      <c r="BD110" s="476"/>
      <c r="BE110" s="577"/>
      <c r="BF110" s="577"/>
      <c r="BG110" s="741"/>
      <c r="BH110" s="476"/>
      <c r="BI110" s="577"/>
      <c r="BJ110" s="577"/>
      <c r="BK110" s="741"/>
      <c r="BL110" s="476"/>
      <c r="BM110" s="577"/>
      <c r="BN110" s="577"/>
      <c r="BO110" s="741"/>
      <c r="BP110" s="657"/>
      <c r="BQ110" s="8"/>
      <c r="BR110" s="470"/>
      <c r="BS110" s="470"/>
      <c r="BT110" s="472"/>
      <c r="BU110" s="472"/>
      <c r="BV110" s="472"/>
      <c r="BW110" s="472"/>
      <c r="BX110" s="472"/>
      <c r="BY110" s="472"/>
      <c r="BZ110" s="472"/>
      <c r="CA110" s="472"/>
      <c r="CB110" s="472"/>
      <c r="CC110" s="472"/>
      <c r="CD110" s="472"/>
      <c r="CE110" s="472"/>
      <c r="CF110" s="473"/>
      <c r="CG110" s="1165"/>
      <c r="CH110" s="1166"/>
      <c r="CI110"/>
      <c r="CJ110"/>
    </row>
    <row r="111" spans="1:88" s="261" customFormat="1" ht="14.25" hidden="1" customHeight="1" outlineLevel="1">
      <c r="A111" s="672"/>
      <c r="B111" s="825" t="s">
        <v>527</v>
      </c>
      <c r="C111" s="739"/>
      <c r="D111" s="740"/>
      <c r="E111" s="740"/>
      <c r="F111" s="740"/>
      <c r="G111" s="741"/>
      <c r="H111" s="740"/>
      <c r="I111" s="740"/>
      <c r="J111" s="740"/>
      <c r="K111" s="74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471"/>
      <c r="Y111" s="470"/>
      <c r="Z111" s="470"/>
      <c r="AA111" s="470"/>
      <c r="AB111" s="471"/>
      <c r="AC111" s="472"/>
      <c r="AD111" s="472"/>
      <c r="AE111" s="473"/>
      <c r="AF111" s="472"/>
      <c r="AG111" s="472"/>
      <c r="AH111" s="472"/>
      <c r="AI111" s="473"/>
      <c r="AJ111" s="472"/>
      <c r="AK111" s="472"/>
      <c r="AL111" s="472"/>
      <c r="AM111" s="473"/>
      <c r="AN111" s="472"/>
      <c r="AO111" s="472"/>
      <c r="AP111" s="472"/>
      <c r="AQ111" s="473"/>
      <c r="AR111" s="472"/>
      <c r="AS111" s="472"/>
      <c r="AT111" s="472"/>
      <c r="AU111" s="473"/>
      <c r="AV111" s="472">
        <f t="shared" si="320"/>
        <v>6.0317460317460325E-2</v>
      </c>
      <c r="AW111" s="472">
        <f t="shared" si="320"/>
        <v>2.7620538322116861E-2</v>
      </c>
      <c r="AX111" s="472">
        <f t="shared" ref="AX111:AX116" si="321">AX101/AT101-1</f>
        <v>0.18582819524765881</v>
      </c>
      <c r="AY111" s="473"/>
      <c r="AZ111" s="740"/>
      <c r="BA111" s="740"/>
      <c r="BB111" s="740"/>
      <c r="BC111" s="577"/>
      <c r="BD111" s="476"/>
      <c r="BE111" s="577"/>
      <c r="BF111" s="577"/>
      <c r="BG111" s="741"/>
      <c r="BH111" s="476"/>
      <c r="BI111" s="577"/>
      <c r="BJ111" s="577"/>
      <c r="BK111" s="741"/>
      <c r="BL111" s="476"/>
      <c r="BM111" s="577"/>
      <c r="BN111" s="577"/>
      <c r="BO111" s="741"/>
      <c r="BP111" s="657"/>
      <c r="BQ111" s="8"/>
      <c r="BR111" s="470"/>
      <c r="BS111" s="470"/>
      <c r="BT111" s="472"/>
      <c r="BU111" s="472"/>
      <c r="BV111" s="472"/>
      <c r="BW111" s="472"/>
      <c r="BX111" s="472"/>
      <c r="BY111" s="472"/>
      <c r="BZ111" s="472"/>
      <c r="CA111" s="472"/>
      <c r="CB111" s="472"/>
      <c r="CC111" s="472"/>
      <c r="CD111" s="472"/>
      <c r="CE111" s="472"/>
      <c r="CF111" s="473"/>
      <c r="CG111" s="1165"/>
      <c r="CH111" s="1166"/>
      <c r="CI111"/>
      <c r="CJ111"/>
    </row>
    <row r="112" spans="1:88" s="261" customFormat="1" ht="14.25" hidden="1" customHeight="1" outlineLevel="1">
      <c r="A112" s="672"/>
      <c r="B112" s="825" t="s">
        <v>214</v>
      </c>
      <c r="C112" s="739"/>
      <c r="D112" s="740"/>
      <c r="E112" s="740"/>
      <c r="F112" s="740"/>
      <c r="G112" s="741"/>
      <c r="H112" s="740"/>
      <c r="I112" s="740"/>
      <c r="J112" s="740"/>
      <c r="K112" s="74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471"/>
      <c r="Y112" s="470"/>
      <c r="Z112" s="470"/>
      <c r="AA112" s="470"/>
      <c r="AB112" s="471"/>
      <c r="AC112" s="472"/>
      <c r="AD112" s="472"/>
      <c r="AE112" s="473"/>
      <c r="AF112" s="472"/>
      <c r="AG112" s="472"/>
      <c r="AH112" s="472"/>
      <c r="AI112" s="473"/>
      <c r="AJ112" s="472"/>
      <c r="AK112" s="472"/>
      <c r="AL112" s="472"/>
      <c r="AM112" s="473"/>
      <c r="AN112" s="472"/>
      <c r="AO112" s="472"/>
      <c r="AP112" s="472"/>
      <c r="AQ112" s="473"/>
      <c r="AR112" s="472"/>
      <c r="AS112" s="472"/>
      <c r="AT112" s="472"/>
      <c r="AU112" s="473"/>
      <c r="AV112" s="472">
        <f t="shared" si="320"/>
        <v>-0.26984126984126988</v>
      </c>
      <c r="AW112" s="472">
        <f t="shared" si="320"/>
        <v>-0.18490439052795593</v>
      </c>
      <c r="AX112" s="472">
        <f t="shared" si="321"/>
        <v>1.1926648472559975E-3</v>
      </c>
      <c r="AY112" s="473"/>
      <c r="AZ112" s="740"/>
      <c r="BA112" s="740"/>
      <c r="BB112" s="740"/>
      <c r="BC112" s="577"/>
      <c r="BD112" s="476"/>
      <c r="BE112" s="577"/>
      <c r="BF112" s="577"/>
      <c r="BG112" s="741"/>
      <c r="BH112" s="476"/>
      <c r="BI112" s="577"/>
      <c r="BJ112" s="577"/>
      <c r="BK112" s="741"/>
      <c r="BL112" s="476"/>
      <c r="BM112" s="577"/>
      <c r="BN112" s="577"/>
      <c r="BO112" s="741"/>
      <c r="BP112" s="657"/>
      <c r="BQ112" s="8"/>
      <c r="BR112" s="470"/>
      <c r="BS112" s="470"/>
      <c r="BT112" s="472"/>
      <c r="BU112" s="472"/>
      <c r="BV112" s="472"/>
      <c r="BW112" s="472"/>
      <c r="BX112" s="472"/>
      <c r="BY112" s="472"/>
      <c r="BZ112" s="472"/>
      <c r="CA112" s="472"/>
      <c r="CB112" s="472"/>
      <c r="CC112" s="472"/>
      <c r="CD112" s="472"/>
      <c r="CE112" s="472"/>
      <c r="CF112" s="473"/>
      <c r="CG112" s="1165"/>
      <c r="CH112" s="1166"/>
      <c r="CI112"/>
      <c r="CJ112"/>
    </row>
    <row r="113" spans="1:88" s="261" customFormat="1" ht="14.25" hidden="1" customHeight="1" outlineLevel="1">
      <c r="A113" s="672"/>
      <c r="B113" s="825" t="s">
        <v>43</v>
      </c>
      <c r="C113" s="739"/>
      <c r="D113" s="740"/>
      <c r="E113" s="740"/>
      <c r="F113" s="740"/>
      <c r="G113" s="741"/>
      <c r="H113" s="740"/>
      <c r="I113" s="740"/>
      <c r="J113" s="740"/>
      <c r="K113" s="74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471"/>
      <c r="Y113" s="470"/>
      <c r="Z113" s="470"/>
      <c r="AA113" s="470"/>
      <c r="AB113" s="471"/>
      <c r="AC113" s="472"/>
      <c r="AD113" s="472"/>
      <c r="AE113" s="473"/>
      <c r="AF113" s="472"/>
      <c r="AG113" s="472"/>
      <c r="AH113" s="472"/>
      <c r="AI113" s="473"/>
      <c r="AJ113" s="472"/>
      <c r="AK113" s="472"/>
      <c r="AL113" s="472"/>
      <c r="AM113" s="473"/>
      <c r="AN113" s="472"/>
      <c r="AO113" s="472"/>
      <c r="AP113" s="472"/>
      <c r="AQ113" s="473"/>
      <c r="AR113" s="472"/>
      <c r="AS113" s="472"/>
      <c r="AT113" s="472"/>
      <c r="AU113" s="473"/>
      <c r="AV113" s="472">
        <f t="shared" si="320"/>
        <v>-5.8788947677834713E-4</v>
      </c>
      <c r="AW113" s="472">
        <f t="shared" si="320"/>
        <v>3.7621711444473238E-2</v>
      </c>
      <c r="AX113" s="472">
        <f t="shared" si="321"/>
        <v>7.2604991796636487E-3</v>
      </c>
      <c r="AY113" s="473"/>
      <c r="AZ113" s="740"/>
      <c r="BA113" s="740"/>
      <c r="BB113" s="740"/>
      <c r="BC113" s="577"/>
      <c r="BD113" s="476"/>
      <c r="BE113" s="577"/>
      <c r="BF113" s="577"/>
      <c r="BG113" s="741"/>
      <c r="BH113" s="476"/>
      <c r="BI113" s="577"/>
      <c r="BJ113" s="577"/>
      <c r="BK113" s="741"/>
      <c r="BL113" s="476"/>
      <c r="BM113" s="577"/>
      <c r="BN113" s="577"/>
      <c r="BO113" s="741"/>
      <c r="BP113" s="657"/>
      <c r="BQ113" s="8"/>
      <c r="BR113" s="470"/>
      <c r="BS113" s="470"/>
      <c r="BT113" s="472"/>
      <c r="BU113" s="472"/>
      <c r="BV113" s="472"/>
      <c r="BW113" s="472"/>
      <c r="BX113" s="472"/>
      <c r="BY113" s="472"/>
      <c r="BZ113" s="472"/>
      <c r="CA113" s="472"/>
      <c r="CB113" s="472"/>
      <c r="CC113" s="472"/>
      <c r="CD113" s="472"/>
      <c r="CE113" s="472"/>
      <c r="CF113" s="473"/>
      <c r="CG113" s="1165"/>
      <c r="CH113" s="1166"/>
      <c r="CI113"/>
      <c r="CJ113"/>
    </row>
    <row r="114" spans="1:88" s="261" customFormat="1" ht="14.25" hidden="1" customHeight="1" outlineLevel="1">
      <c r="A114" s="672"/>
      <c r="B114" s="825" t="s">
        <v>41</v>
      </c>
      <c r="C114" s="739"/>
      <c r="D114" s="740"/>
      <c r="E114" s="740"/>
      <c r="F114" s="740"/>
      <c r="G114" s="741"/>
      <c r="H114" s="740"/>
      <c r="I114" s="740"/>
      <c r="J114" s="740"/>
      <c r="K114" s="74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471"/>
      <c r="Y114" s="470"/>
      <c r="Z114" s="470"/>
      <c r="AA114" s="470"/>
      <c r="AB114" s="471"/>
      <c r="AC114" s="472"/>
      <c r="AD114" s="472"/>
      <c r="AE114" s="473"/>
      <c r="AF114" s="472"/>
      <c r="AG114" s="472"/>
      <c r="AH114" s="472"/>
      <c r="AI114" s="473"/>
      <c r="AJ114" s="472"/>
      <c r="AK114" s="472"/>
      <c r="AL114" s="472"/>
      <c r="AM114" s="473"/>
      <c r="AN114" s="472"/>
      <c r="AO114" s="472"/>
      <c r="AP114" s="472"/>
      <c r="AQ114" s="473"/>
      <c r="AR114" s="472"/>
      <c r="AS114" s="472"/>
      <c r="AT114" s="472"/>
      <c r="AU114" s="473"/>
      <c r="AV114" s="472">
        <f t="shared" si="320"/>
        <v>-0.10582010582010581</v>
      </c>
      <c r="AW114" s="472">
        <f t="shared" si="320"/>
        <v>1.8987450202347267E-2</v>
      </c>
      <c r="AX114" s="472">
        <f t="shared" si="321"/>
        <v>8.1940121538801591E-3</v>
      </c>
      <c r="AY114" s="473"/>
      <c r="AZ114" s="740"/>
      <c r="BA114" s="740"/>
      <c r="BB114" s="740"/>
      <c r="BC114" s="577"/>
      <c r="BD114" s="476"/>
      <c r="BE114" s="577"/>
      <c r="BF114" s="577"/>
      <c r="BG114" s="741"/>
      <c r="BH114" s="476"/>
      <c r="BI114" s="577"/>
      <c r="BJ114" s="577"/>
      <c r="BK114" s="741"/>
      <c r="BL114" s="476"/>
      <c r="BM114" s="577"/>
      <c r="BN114" s="577"/>
      <c r="BO114" s="741"/>
      <c r="BP114" s="657"/>
      <c r="BQ114" s="8"/>
      <c r="BR114" s="470"/>
      <c r="BS114" s="470"/>
      <c r="BT114" s="472"/>
      <c r="BU114" s="472"/>
      <c r="BV114" s="472"/>
      <c r="BW114" s="472"/>
      <c r="BX114" s="472"/>
      <c r="BY114" s="472"/>
      <c r="BZ114" s="472"/>
      <c r="CA114" s="472"/>
      <c r="CB114" s="472"/>
      <c r="CC114" s="472"/>
      <c r="CD114" s="472"/>
      <c r="CE114" s="472"/>
      <c r="CF114" s="473"/>
      <c r="CG114" s="1165"/>
      <c r="CH114" s="1166"/>
      <c r="CI114"/>
      <c r="CJ114"/>
    </row>
    <row r="115" spans="1:88" s="261" customFormat="1" ht="14.25" hidden="1" customHeight="1" outlineLevel="1">
      <c r="A115" s="672"/>
      <c r="B115" s="825" t="s">
        <v>544</v>
      </c>
      <c r="C115" s="739"/>
      <c r="D115" s="740"/>
      <c r="E115" s="740"/>
      <c r="F115" s="740"/>
      <c r="G115" s="741"/>
      <c r="H115" s="740"/>
      <c r="I115" s="740"/>
      <c r="J115" s="740"/>
      <c r="K115" s="74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471"/>
      <c r="Y115" s="470"/>
      <c r="Z115" s="470"/>
      <c r="AA115" s="470"/>
      <c r="AB115" s="471"/>
      <c r="AC115" s="472"/>
      <c r="AD115" s="472"/>
      <c r="AE115" s="473"/>
      <c r="AF115" s="472"/>
      <c r="AG115" s="472"/>
      <c r="AH115" s="472"/>
      <c r="AI115" s="473"/>
      <c r="AJ115" s="472"/>
      <c r="AK115" s="472"/>
      <c r="AL115" s="472"/>
      <c r="AM115" s="473"/>
      <c r="AN115" s="472"/>
      <c r="AO115" s="472"/>
      <c r="AP115" s="472"/>
      <c r="AQ115" s="473"/>
      <c r="AR115" s="472"/>
      <c r="AS115" s="472"/>
      <c r="AT115" s="472"/>
      <c r="AU115" s="473"/>
      <c r="AV115" s="472">
        <f t="shared" si="320"/>
        <v>-0.40126621419041131</v>
      </c>
      <c r="AW115" s="472">
        <f t="shared" si="320"/>
        <v>-0.14080937158236806</v>
      </c>
      <c r="AX115" s="472">
        <f t="shared" si="321"/>
        <v>-3.1539157396280437E-2</v>
      </c>
      <c r="AY115" s="473"/>
      <c r="AZ115" s="740"/>
      <c r="BA115" s="740"/>
      <c r="BB115" s="740"/>
      <c r="BC115" s="577"/>
      <c r="BD115" s="476"/>
      <c r="BE115" s="577"/>
      <c r="BF115" s="577"/>
      <c r="BG115" s="741"/>
      <c r="BH115" s="476"/>
      <c r="BI115" s="577"/>
      <c r="BJ115" s="577"/>
      <c r="BK115" s="741"/>
      <c r="BL115" s="476"/>
      <c r="BM115" s="577"/>
      <c r="BN115" s="577"/>
      <c r="BO115" s="741"/>
      <c r="BP115" s="657"/>
      <c r="BQ115" s="8"/>
      <c r="BR115" s="470"/>
      <c r="BS115" s="470"/>
      <c r="BT115" s="472"/>
      <c r="BU115" s="472"/>
      <c r="BV115" s="472"/>
      <c r="BW115" s="472"/>
      <c r="BX115" s="472"/>
      <c r="BY115" s="472"/>
      <c r="BZ115" s="472"/>
      <c r="CA115" s="472"/>
      <c r="CB115" s="472"/>
      <c r="CC115" s="472"/>
      <c r="CD115" s="472"/>
      <c r="CE115" s="472"/>
      <c r="CF115" s="473"/>
      <c r="CG115" s="1165"/>
      <c r="CH115" s="1166"/>
      <c r="CI115"/>
      <c r="CJ115"/>
    </row>
    <row r="116" spans="1:88" ht="14.25" hidden="1" customHeight="1" outlineLevel="1">
      <c r="A116" s="718"/>
      <c r="B116" s="651" t="s">
        <v>578</v>
      </c>
      <c r="C116" s="274"/>
      <c r="D116" s="754"/>
      <c r="E116" s="754"/>
      <c r="F116" s="754"/>
      <c r="G116" s="79"/>
      <c r="H116" s="754"/>
      <c r="I116" s="754"/>
      <c r="J116" s="754"/>
      <c r="K116" s="79"/>
      <c r="L116" s="491"/>
      <c r="M116" s="491"/>
      <c r="N116" s="491"/>
      <c r="O116" s="491"/>
      <c r="P116" s="491"/>
      <c r="Q116" s="491"/>
      <c r="R116" s="491"/>
      <c r="S116" s="491"/>
      <c r="T116" s="491"/>
      <c r="U116" s="491"/>
      <c r="V116" s="491"/>
      <c r="W116" s="491"/>
      <c r="X116" s="522"/>
      <c r="Y116" s="247"/>
      <c r="Z116" s="247"/>
      <c r="AA116" s="247"/>
      <c r="AB116" s="522"/>
      <c r="AC116" s="76"/>
      <c r="AD116" s="76"/>
      <c r="AE116" s="77"/>
      <c r="AF116" s="76"/>
      <c r="AG116" s="76"/>
      <c r="AH116" s="76"/>
      <c r="AI116" s="77"/>
      <c r="AJ116" s="76"/>
      <c r="AK116" s="76"/>
      <c r="AL116" s="76"/>
      <c r="AM116" s="77"/>
      <c r="AN116" s="76"/>
      <c r="AO116" s="76"/>
      <c r="AP116" s="76"/>
      <c r="AQ116" s="77"/>
      <c r="AR116" s="76"/>
      <c r="AS116" s="76"/>
      <c r="AT116" s="76"/>
      <c r="AU116" s="77"/>
      <c r="AV116" s="76">
        <f t="shared" si="320"/>
        <v>-4.5209288049360863E-2</v>
      </c>
      <c r="AW116" s="76">
        <f t="shared" si="320"/>
        <v>-1.8107602725742744E-2</v>
      </c>
      <c r="AX116" s="76">
        <f t="shared" si="321"/>
        <v>7.0251129008790825E-2</v>
      </c>
      <c r="AY116" s="77"/>
      <c r="AZ116" s="754"/>
      <c r="BA116" s="754"/>
      <c r="BB116" s="754"/>
      <c r="BC116" s="78"/>
      <c r="BD116" s="770"/>
      <c r="BE116" s="78"/>
      <c r="BF116" s="78"/>
      <c r="BG116" s="79"/>
      <c r="BH116" s="770"/>
      <c r="BI116" s="78"/>
      <c r="BJ116" s="78"/>
      <c r="BK116" s="79"/>
      <c r="BL116" s="770"/>
      <c r="BM116" s="78"/>
      <c r="BN116" s="78"/>
      <c r="BO116" s="79"/>
      <c r="BP116" s="723"/>
      <c r="BQ116" s="832"/>
      <c r="BR116" s="247"/>
      <c r="BS116" s="247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7"/>
      <c r="CG116" s="1169"/>
      <c r="CH116" s="363"/>
    </row>
    <row r="117" spans="1:88" ht="14.25" hidden="1" customHeight="1" outlineLevel="1">
      <c r="A117" s="718"/>
      <c r="B117" s="651" t="s">
        <v>196</v>
      </c>
      <c r="C117" s="274"/>
      <c r="D117" s="754"/>
      <c r="E117" s="754"/>
      <c r="F117" s="754"/>
      <c r="G117" s="79"/>
      <c r="H117" s="754"/>
      <c r="I117" s="754"/>
      <c r="J117" s="754"/>
      <c r="K117" s="79"/>
      <c r="L117" s="491"/>
      <c r="M117" s="491"/>
      <c r="N117" s="491"/>
      <c r="O117" s="491"/>
      <c r="P117" s="491"/>
      <c r="Q117" s="491"/>
      <c r="R117" s="491"/>
      <c r="S117" s="491"/>
      <c r="T117" s="491"/>
      <c r="U117" s="491"/>
      <c r="V117" s="491"/>
      <c r="W117" s="491"/>
      <c r="X117" s="522"/>
      <c r="Y117" s="247"/>
      <c r="Z117" s="247"/>
      <c r="AA117" s="247"/>
      <c r="AB117" s="522"/>
      <c r="AC117" s="76"/>
      <c r="AD117" s="76"/>
      <c r="AE117" s="77"/>
      <c r="AF117" s="76"/>
      <c r="AG117" s="76"/>
      <c r="AH117" s="76"/>
      <c r="AI117" s="77"/>
      <c r="AJ117" s="76"/>
      <c r="AK117" s="76"/>
      <c r="AL117" s="76"/>
      <c r="AM117" s="77"/>
      <c r="AN117" s="76"/>
      <c r="AO117" s="76"/>
      <c r="AP117" s="76"/>
      <c r="AQ117" s="77"/>
      <c r="AR117" s="76">
        <f>IS!AR12</f>
        <v>5.5983908816627626E-2</v>
      </c>
      <c r="AS117" s="76">
        <f>IS!AS12</f>
        <v>-1.8226002430133614E-2</v>
      </c>
      <c r="AT117" s="76">
        <f>IS!AT12</f>
        <v>-2.0565552699228773E-2</v>
      </c>
      <c r="AU117" s="77">
        <f>IS!AU12</f>
        <v>-2.4472315692872448E-2</v>
      </c>
      <c r="AV117" s="76">
        <f>IS!AV12</f>
        <v>-4.5079365079365052E-2</v>
      </c>
      <c r="AW117" s="76">
        <f>IS!AW12</f>
        <v>1.268564356435653E-2</v>
      </c>
      <c r="AX117" s="76">
        <f>IS!AX12</f>
        <v>7.1741032370953528E-2</v>
      </c>
      <c r="AY117" s="77">
        <f>IS!AY12</f>
        <v>7.0555032925682104E-2</v>
      </c>
      <c r="AZ117" s="754"/>
      <c r="BA117" s="754"/>
      <c r="BB117" s="754"/>
      <c r="BC117" s="78"/>
      <c r="BD117" s="770"/>
      <c r="BE117" s="78"/>
      <c r="BF117" s="78"/>
      <c r="BG117" s="79"/>
      <c r="BH117" s="770"/>
      <c r="BI117" s="78"/>
      <c r="BJ117" s="78"/>
      <c r="BK117" s="79"/>
      <c r="BL117" s="770"/>
      <c r="BM117" s="78"/>
      <c r="BN117" s="78"/>
      <c r="BO117" s="79"/>
      <c r="BP117" s="723"/>
      <c r="BQ117" s="832"/>
      <c r="BR117" s="247"/>
      <c r="BS117" s="247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7"/>
      <c r="CG117" s="1169"/>
      <c r="CH117" s="363"/>
    </row>
    <row r="118" spans="1:88" ht="14.25" hidden="1" customHeight="1" outlineLevel="1">
      <c r="A118" s="672"/>
      <c r="B118" s="651"/>
      <c r="C118" s="274"/>
      <c r="D118" s="754"/>
      <c r="E118" s="754"/>
      <c r="F118" s="754"/>
      <c r="G118" s="79"/>
      <c r="H118" s="754"/>
      <c r="I118" s="754"/>
      <c r="J118" s="754"/>
      <c r="K118" s="79"/>
      <c r="L118" s="754"/>
      <c r="M118" s="754"/>
      <c r="N118" s="754"/>
      <c r="O118" s="78"/>
      <c r="P118" s="770"/>
      <c r="Q118" s="78"/>
      <c r="R118" s="78"/>
      <c r="S118" s="79"/>
      <c r="T118" s="78"/>
      <c r="U118" s="78"/>
      <c r="V118" s="78"/>
      <c r="W118" s="79"/>
      <c r="X118" s="754"/>
      <c r="Y118" s="754"/>
      <c r="Z118" s="754"/>
      <c r="AA118" s="78"/>
      <c r="AB118" s="770"/>
      <c r="AC118" s="78"/>
      <c r="AD118" s="278"/>
      <c r="AE118" s="279"/>
      <c r="AF118" s="78"/>
      <c r="AG118" s="278"/>
      <c r="AH118" s="278"/>
      <c r="AI118" s="279"/>
      <c r="AJ118" s="297"/>
      <c r="AK118" s="14"/>
      <c r="AL118" s="14"/>
      <c r="AM118" s="279"/>
      <c r="AN118" s="8"/>
      <c r="AO118" s="8"/>
      <c r="AP118" s="8"/>
      <c r="AQ118" s="279"/>
      <c r="AR118" s="472"/>
      <c r="AS118" s="472"/>
      <c r="AT118" s="472"/>
      <c r="AU118" s="473"/>
      <c r="AV118" s="472"/>
      <c r="AW118" s="472"/>
      <c r="AX118" s="472"/>
      <c r="AY118" s="473"/>
      <c r="AZ118" s="8"/>
      <c r="BA118" s="8"/>
      <c r="BB118" s="8"/>
      <c r="BC118" s="278"/>
      <c r="BD118" s="297"/>
      <c r="BE118" s="14"/>
      <c r="BF118" s="14"/>
      <c r="BG118" s="279"/>
      <c r="BH118" s="297"/>
      <c r="BI118" s="14"/>
      <c r="BJ118" s="14"/>
      <c r="BK118" s="279"/>
      <c r="BL118" s="297"/>
      <c r="BM118" s="14"/>
      <c r="BN118" s="14"/>
      <c r="BO118" s="279"/>
      <c r="BP118" s="657"/>
      <c r="BQ118" s="8"/>
      <c r="BR118" s="8"/>
      <c r="BS118" s="8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224"/>
      <c r="CG118" s="658"/>
      <c r="CH118" s="363"/>
    </row>
    <row r="119" spans="1:88" ht="14.25" hidden="1" customHeight="1" outlineLevel="3">
      <c r="A119" s="672"/>
      <c r="B119" s="833" t="s">
        <v>61</v>
      </c>
      <c r="C119" s="771"/>
      <c r="D119" s="834"/>
      <c r="E119" s="834"/>
      <c r="F119" s="834"/>
      <c r="G119" s="773"/>
      <c r="H119" s="834"/>
      <c r="I119" s="834"/>
      <c r="J119" s="834"/>
      <c r="K119" s="773"/>
      <c r="L119" s="834"/>
      <c r="M119" s="834"/>
      <c r="N119" s="834"/>
      <c r="O119" s="772"/>
      <c r="P119" s="774"/>
      <c r="Q119" s="772"/>
      <c r="R119" s="772"/>
      <c r="S119" s="773"/>
      <c r="T119" s="834"/>
      <c r="U119" s="834"/>
      <c r="V119" s="834"/>
      <c r="W119" s="773"/>
      <c r="X119" s="834"/>
      <c r="Y119" s="834"/>
      <c r="Z119" s="834"/>
      <c r="AA119" s="772"/>
      <c r="AB119" s="774"/>
      <c r="AC119" s="772"/>
      <c r="AD119" s="772"/>
      <c r="AE119" s="773"/>
      <c r="AF119" s="772"/>
      <c r="AG119" s="772"/>
      <c r="AH119" s="772"/>
      <c r="AI119" s="835"/>
      <c r="AJ119" s="836"/>
      <c r="AK119" s="781"/>
      <c r="AL119" s="781"/>
      <c r="AM119" s="773"/>
      <c r="AN119" s="779"/>
      <c r="AO119" s="779"/>
      <c r="AP119" s="779"/>
      <c r="AQ119" s="773"/>
      <c r="AR119" s="779"/>
      <c r="AS119" s="779"/>
      <c r="AT119" s="779"/>
      <c r="AU119" s="773"/>
      <c r="AV119" s="779"/>
      <c r="AW119" s="779"/>
      <c r="AX119" s="779"/>
      <c r="AY119" s="773"/>
      <c r="AZ119" s="779"/>
      <c r="BA119" s="779"/>
      <c r="BB119" s="779"/>
      <c r="BC119" s="772"/>
      <c r="BD119" s="780"/>
      <c r="BE119" s="781"/>
      <c r="BF119" s="781"/>
      <c r="BG119" s="773"/>
      <c r="BH119" s="780"/>
      <c r="BI119" s="781"/>
      <c r="BJ119" s="781"/>
      <c r="BK119" s="773"/>
      <c r="BL119" s="780"/>
      <c r="BM119" s="781"/>
      <c r="BN119" s="781"/>
      <c r="BO119" s="773"/>
      <c r="BP119" s="657"/>
      <c r="BQ119" s="779"/>
      <c r="BR119" s="779"/>
      <c r="BS119" s="779"/>
      <c r="BT119" s="781"/>
      <c r="BU119" s="781"/>
      <c r="BV119" s="781"/>
      <c r="BW119" s="781"/>
      <c r="BX119" s="781"/>
      <c r="BY119" s="781"/>
      <c r="BZ119" s="781"/>
      <c r="CA119" s="781"/>
      <c r="CB119" s="781"/>
      <c r="CC119" s="781"/>
      <c r="CD119" s="781"/>
      <c r="CE119" s="781"/>
      <c r="CF119" s="782"/>
      <c r="CG119" s="658"/>
      <c r="CH119" s="363"/>
    </row>
    <row r="120" spans="1:88" s="261" customFormat="1" ht="14.25" hidden="1" customHeight="1" outlineLevel="3">
      <c r="A120" s="672"/>
      <c r="B120" s="705" t="s">
        <v>497</v>
      </c>
      <c r="C120" s="14"/>
      <c r="D120" s="685"/>
      <c r="E120" s="685"/>
      <c r="F120" s="685"/>
      <c r="G120" s="686"/>
      <c r="H120" s="685"/>
      <c r="I120" s="685"/>
      <c r="J120" s="685"/>
      <c r="K120" s="686"/>
      <c r="L120" s="632">
        <v>968</v>
      </c>
      <c r="M120" s="632">
        <v>1036</v>
      </c>
      <c r="N120" s="632">
        <v>1114</v>
      </c>
      <c r="O120" s="632">
        <v>1138</v>
      </c>
      <c r="P120" s="742">
        <v>937</v>
      </c>
      <c r="Q120" s="632">
        <v>920</v>
      </c>
      <c r="R120" s="632">
        <v>934</v>
      </c>
      <c r="S120" s="743">
        <v>659</v>
      </c>
      <c r="T120" s="632">
        <v>563</v>
      </c>
      <c r="U120" s="632">
        <v>614</v>
      </c>
      <c r="V120" s="632">
        <v>691</v>
      </c>
      <c r="W120" s="743">
        <v>758</v>
      </c>
      <c r="X120" s="632">
        <v>717</v>
      </c>
      <c r="Y120" s="632">
        <v>727</v>
      </c>
      <c r="Z120" s="632">
        <v>767</v>
      </c>
      <c r="AA120" s="632">
        <v>767</v>
      </c>
      <c r="AB120" s="742">
        <v>658</v>
      </c>
      <c r="AC120" s="632">
        <v>558</v>
      </c>
      <c r="AD120" s="632">
        <v>580</v>
      </c>
      <c r="AE120" s="743">
        <v>722</v>
      </c>
      <c r="AF120" s="632">
        <v>373</v>
      </c>
      <c r="AG120" s="632">
        <v>342</v>
      </c>
      <c r="AH120" s="632">
        <v>325</v>
      </c>
      <c r="AI120" s="743">
        <v>317</v>
      </c>
      <c r="AJ120" s="688">
        <f t="shared" ref="AJ120:AQ120" si="322">+AJ267+AJ262+AJ130</f>
        <v>183.6</v>
      </c>
      <c r="AK120" s="687">
        <f t="shared" si="322"/>
        <v>91.8</v>
      </c>
      <c r="AL120" s="687">
        <f t="shared" si="322"/>
        <v>52.073999999999991</v>
      </c>
      <c r="AM120" s="689">
        <f t="shared" si="322"/>
        <v>28.109699999999993</v>
      </c>
      <c r="AN120" s="687">
        <f t="shared" si="322"/>
        <v>21.327893999999997</v>
      </c>
      <c r="AO120" s="687">
        <f t="shared" si="322"/>
        <v>21.754451879999998</v>
      </c>
      <c r="AP120" s="687">
        <f t="shared" si="322"/>
        <v>22.189540917599999</v>
      </c>
      <c r="AQ120" s="689">
        <f t="shared" si="322"/>
        <v>22.633331735951998</v>
      </c>
      <c r="AR120" s="687">
        <f t="shared" ref="AR120:AV120" si="323">+AR267+AR262+AR130</f>
        <v>23.085998370671042</v>
      </c>
      <c r="AS120" s="687">
        <f t="shared" si="323"/>
        <v>23.547718338084465</v>
      </c>
      <c r="AT120" s="687">
        <f t="shared" si="323"/>
        <v>23.547718338084465</v>
      </c>
      <c r="AU120" s="689">
        <f t="shared" si="323"/>
        <v>24.018672704846153</v>
      </c>
      <c r="AV120" s="687">
        <f t="shared" si="323"/>
        <v>24.499046158943074</v>
      </c>
      <c r="AW120" s="687">
        <f>+AW267+AW262+AW130</f>
        <v>24.989027082121936</v>
      </c>
      <c r="AX120" s="687">
        <f>+AX267+AX262+AX130</f>
        <v>24.989027082121936</v>
      </c>
      <c r="AY120" s="689">
        <f t="shared" ref="AY120" si="324">+AY267+AY262+AY130</f>
        <v>25.488807623764373</v>
      </c>
      <c r="AZ120" s="687">
        <f t="shared" ref="AZ120:BG120" si="325">+AZ267+AZ262+AZ130</f>
        <v>25.998583776239656</v>
      </c>
      <c r="BA120" s="687">
        <f t="shared" si="325"/>
        <v>26.518555451764456</v>
      </c>
      <c r="BB120" s="687">
        <f t="shared" si="325"/>
        <v>27.048926560799742</v>
      </c>
      <c r="BC120" s="687">
        <f t="shared" si="325"/>
        <v>27.589905092015734</v>
      </c>
      <c r="BD120" s="688">
        <f t="shared" si="325"/>
        <v>28.141703193856053</v>
      </c>
      <c r="BE120" s="687">
        <f t="shared" si="325"/>
        <v>28.704537257733172</v>
      </c>
      <c r="BF120" s="687">
        <f t="shared" si="325"/>
        <v>29.278628002887835</v>
      </c>
      <c r="BG120" s="689">
        <f t="shared" si="325"/>
        <v>29.864200562945591</v>
      </c>
      <c r="BH120" s="688">
        <f t="shared" ref="BH120:BK120" si="326">+BH267+BH262+BH130</f>
        <v>30.461484574204498</v>
      </c>
      <c r="BI120" s="687">
        <f t="shared" si="326"/>
        <v>31.070714265688594</v>
      </c>
      <c r="BJ120" s="687">
        <f t="shared" si="326"/>
        <v>31.692128551002369</v>
      </c>
      <c r="BK120" s="689">
        <f t="shared" si="326"/>
        <v>32.325971122022416</v>
      </c>
      <c r="BL120" s="688">
        <f t="shared" ref="BL120:BO120" si="327">+BL267+BL262+BL130</f>
        <v>32.972490544462865</v>
      </c>
      <c r="BM120" s="687">
        <f t="shared" si="327"/>
        <v>33.631940355352114</v>
      </c>
      <c r="BN120" s="687">
        <f t="shared" si="327"/>
        <v>34.304579162459163</v>
      </c>
      <c r="BO120" s="689">
        <f t="shared" si="327"/>
        <v>34.990670745708343</v>
      </c>
      <c r="BP120" s="657"/>
      <c r="BQ120" s="273"/>
      <c r="BR120" s="690">
        <v>4356</v>
      </c>
      <c r="BS120" s="273">
        <f>SUM(L120:O120)</f>
        <v>4256</v>
      </c>
      <c r="BT120" s="691">
        <f>SUM(P120:S120)</f>
        <v>3450</v>
      </c>
      <c r="BU120" s="691">
        <f>SUM(T120:W120)</f>
        <v>2626</v>
      </c>
      <c r="BV120" s="691">
        <f>SUM(X120:AA120)</f>
        <v>2978</v>
      </c>
      <c r="BW120" s="691">
        <f>SUM(AB120:AE120)</f>
        <v>2518</v>
      </c>
      <c r="BX120" s="691">
        <f>SUM(AF120:AI120)</f>
        <v>1357</v>
      </c>
      <c r="BY120" s="691">
        <f>SUM(AJ120:AM120)</f>
        <v>355.58369999999996</v>
      </c>
      <c r="BZ120" s="691">
        <f>+SUM(AN120:AQ120)</f>
        <v>87.905218533551988</v>
      </c>
      <c r="CA120" s="691">
        <f>+SUM(AR120:AU120)</f>
        <v>94.200107751686119</v>
      </c>
      <c r="CB120" s="691">
        <f>SUM(AV120:AY120)</f>
        <v>99.965907946951319</v>
      </c>
      <c r="CC120" s="691">
        <f>SUM(AZ120:BC120)</f>
        <v>107.15597088081958</v>
      </c>
      <c r="CD120" s="691">
        <f>SUM(BD120:BG120)</f>
        <v>115.98906901742265</v>
      </c>
      <c r="CE120" s="691">
        <f>SUM(BH120:BK120)</f>
        <v>125.55029851291789</v>
      </c>
      <c r="CF120" s="692">
        <f>SUM(BL120:BO120)</f>
        <v>135.89968080798249</v>
      </c>
      <c r="CG120" s="1165"/>
      <c r="CH120" s="1166"/>
      <c r="CI120"/>
      <c r="CJ120"/>
    </row>
    <row r="121" spans="1:88" ht="14.25" hidden="1" customHeight="1" outlineLevel="3">
      <c r="A121" s="672"/>
      <c r="B121" s="651" t="s">
        <v>268</v>
      </c>
      <c r="C121" s="274"/>
      <c r="D121" s="247"/>
      <c r="E121" s="247"/>
      <c r="F121" s="247"/>
      <c r="G121" s="77"/>
      <c r="H121" s="247"/>
      <c r="I121" s="247"/>
      <c r="J121" s="247"/>
      <c r="K121" s="77"/>
      <c r="L121" s="247"/>
      <c r="M121" s="247">
        <f>M120/L120-1</f>
        <v>7.024793388429762E-2</v>
      </c>
      <c r="N121" s="247">
        <f>N120/M120-1</f>
        <v>7.528957528957525E-2</v>
      </c>
      <c r="O121" s="76">
        <f>O120/N120-1</f>
        <v>2.1543985637342944E-2</v>
      </c>
      <c r="P121" s="760">
        <f>IF(ISERROR(P120/O120-1),"NA",P120/O120-1)</f>
        <v>-0.17662565905096661</v>
      </c>
      <c r="Q121" s="46">
        <f>IF(ISERROR(Q120/P120-1),"NA",Q120/P120-1)</f>
        <v>-1.8143009605122717E-2</v>
      </c>
      <c r="R121" s="46">
        <f>IF(ISERROR(R120/Q120-1),"NA",R120/Q120-1)</f>
        <v>1.5217391304347849E-2</v>
      </c>
      <c r="S121" s="749">
        <f>IF(ISERROR(S120/R120-1),"NA",S120/R120-1)</f>
        <v>-0.29443254817987152</v>
      </c>
      <c r="T121" s="247">
        <f t="shared" ref="T121:AQ121" si="328">T120/S120-1</f>
        <v>-0.14567526555386945</v>
      </c>
      <c r="U121" s="247">
        <f t="shared" si="328"/>
        <v>9.0586145648312577E-2</v>
      </c>
      <c r="V121" s="247">
        <f t="shared" si="328"/>
        <v>0.12540716612377856</v>
      </c>
      <c r="W121" s="77">
        <f t="shared" si="328"/>
        <v>9.6960926193921937E-2</v>
      </c>
      <c r="X121" s="247">
        <f t="shared" si="328"/>
        <v>-5.4089709762533023E-2</v>
      </c>
      <c r="Y121" s="247">
        <f t="shared" si="328"/>
        <v>1.3947001394700065E-2</v>
      </c>
      <c r="Z121" s="247">
        <f t="shared" si="328"/>
        <v>5.502063273727642E-2</v>
      </c>
      <c r="AA121" s="76">
        <f t="shared" si="328"/>
        <v>0</v>
      </c>
      <c r="AB121" s="522">
        <f t="shared" si="328"/>
        <v>-0.14211212516297267</v>
      </c>
      <c r="AC121" s="76">
        <f t="shared" si="328"/>
        <v>-0.15197568389057747</v>
      </c>
      <c r="AD121" s="231">
        <f t="shared" si="328"/>
        <v>3.9426523297491078E-2</v>
      </c>
      <c r="AE121" s="77">
        <f t="shared" si="328"/>
        <v>0.24482758620689649</v>
      </c>
      <c r="AF121" s="76">
        <f t="shared" si="328"/>
        <v>-0.4833795013850416</v>
      </c>
      <c r="AG121" s="231">
        <f t="shared" si="328"/>
        <v>-8.3109919571045632E-2</v>
      </c>
      <c r="AH121" s="231">
        <f t="shared" si="328"/>
        <v>-4.9707602339181256E-2</v>
      </c>
      <c r="AI121" s="276">
        <f t="shared" si="328"/>
        <v>-2.4615384615384595E-2</v>
      </c>
      <c r="AJ121" s="734">
        <f t="shared" si="328"/>
        <v>-0.42082018927444798</v>
      </c>
      <c r="AK121" s="231">
        <f t="shared" si="328"/>
        <v>-0.5</v>
      </c>
      <c r="AL121" s="231">
        <f t="shared" si="328"/>
        <v>-0.43274509803921579</v>
      </c>
      <c r="AM121" s="276">
        <f t="shared" si="328"/>
        <v>-0.4601970273072935</v>
      </c>
      <c r="AN121" s="247">
        <f t="shared" si="328"/>
        <v>-0.24126212659686863</v>
      </c>
      <c r="AO121" s="247">
        <f t="shared" si="328"/>
        <v>2.0000000000000018E-2</v>
      </c>
      <c r="AP121" s="247">
        <f t="shared" si="328"/>
        <v>2.0000000000000018E-2</v>
      </c>
      <c r="AQ121" s="276">
        <f t="shared" si="328"/>
        <v>2.0000000000000018E-2</v>
      </c>
      <c r="AR121" s="247">
        <f t="shared" ref="AR121:AY121" si="329">AR120/AQ120-1</f>
        <v>2.000000000000024E-2</v>
      </c>
      <c r="AS121" s="247">
        <f t="shared" si="329"/>
        <v>2.0000000000000018E-2</v>
      </c>
      <c r="AT121" s="247">
        <f t="shared" si="329"/>
        <v>0</v>
      </c>
      <c r="AU121" s="276">
        <f t="shared" si="329"/>
        <v>2.0000000000000018E-2</v>
      </c>
      <c r="AV121" s="247">
        <f t="shared" si="329"/>
        <v>1.9999999999999796E-2</v>
      </c>
      <c r="AW121" s="247">
        <f t="shared" si="329"/>
        <v>2.0000000000000018E-2</v>
      </c>
      <c r="AX121" s="247">
        <f t="shared" si="329"/>
        <v>0</v>
      </c>
      <c r="AY121" s="276">
        <f t="shared" si="329"/>
        <v>2.0000000000000018E-2</v>
      </c>
      <c r="AZ121" s="247">
        <f t="shared" ref="AZ121:BG121" si="330">AZ120/AY120-1</f>
        <v>1.9999999999999796E-2</v>
      </c>
      <c r="BA121" s="247">
        <f t="shared" si="330"/>
        <v>2.000000000000024E-2</v>
      </c>
      <c r="BB121" s="247">
        <f t="shared" si="330"/>
        <v>1.9999999999999796E-2</v>
      </c>
      <c r="BC121" s="231">
        <f t="shared" si="330"/>
        <v>1.9999999999999796E-2</v>
      </c>
      <c r="BD121" s="522">
        <f t="shared" si="330"/>
        <v>2.000000000000024E-2</v>
      </c>
      <c r="BE121" s="76">
        <f t="shared" si="330"/>
        <v>2.0000000000000018E-2</v>
      </c>
      <c r="BF121" s="76">
        <f t="shared" si="330"/>
        <v>2.0000000000000018E-2</v>
      </c>
      <c r="BG121" s="276">
        <f t="shared" si="330"/>
        <v>2.0000000000000018E-2</v>
      </c>
      <c r="BH121" s="522">
        <f t="shared" ref="BH121" si="331">BH120/BG120-1</f>
        <v>1.9999999999999796E-2</v>
      </c>
      <c r="BI121" s="76">
        <f t="shared" ref="BI121" si="332">BI120/BH120-1</f>
        <v>2.000000000000024E-2</v>
      </c>
      <c r="BJ121" s="76">
        <f t="shared" ref="BJ121" si="333">BJ120/BI120-1</f>
        <v>2.0000000000000018E-2</v>
      </c>
      <c r="BK121" s="276">
        <f t="shared" ref="BK121" si="334">BK120/BJ120-1</f>
        <v>2.0000000000000018E-2</v>
      </c>
      <c r="BL121" s="522">
        <f t="shared" ref="BL121" si="335">BL120/BK120-1</f>
        <v>2.0000000000000018E-2</v>
      </c>
      <c r="BM121" s="76">
        <f t="shared" ref="BM121" si="336">BM120/BL120-1</f>
        <v>1.9999999999999796E-2</v>
      </c>
      <c r="BN121" s="76">
        <f t="shared" ref="BN121" si="337">BN120/BM120-1</f>
        <v>2.000000000000024E-2</v>
      </c>
      <c r="BO121" s="276">
        <f t="shared" ref="BO121" si="338">BO120/BN120-1</f>
        <v>1.9999999999999796E-2</v>
      </c>
      <c r="BP121" s="657"/>
      <c r="BQ121" s="275"/>
      <c r="BR121" s="275"/>
      <c r="BS121" s="275"/>
      <c r="BT121" s="231"/>
      <c r="BU121" s="231"/>
      <c r="BV121" s="231"/>
      <c r="BW121" s="231"/>
      <c r="BX121" s="231"/>
      <c r="BY121" s="231"/>
      <c r="BZ121" s="231"/>
      <c r="CA121" s="231"/>
      <c r="CB121" s="231"/>
      <c r="CC121" s="231"/>
      <c r="CD121" s="231"/>
      <c r="CE121" s="231"/>
      <c r="CF121" s="276"/>
      <c r="CG121" s="658"/>
      <c r="CH121" s="363"/>
    </row>
    <row r="122" spans="1:88" ht="14.25" hidden="1" customHeight="1" outlineLevel="3">
      <c r="A122" s="672"/>
      <c r="B122" s="750" t="s">
        <v>269</v>
      </c>
      <c r="C122" s="277"/>
      <c r="D122" s="247"/>
      <c r="E122" s="247"/>
      <c r="F122" s="247"/>
      <c r="G122" s="77"/>
      <c r="H122" s="247"/>
      <c r="I122" s="247"/>
      <c r="J122" s="247"/>
      <c r="K122" s="77"/>
      <c r="L122" s="247"/>
      <c r="M122" s="247"/>
      <c r="N122" s="247"/>
      <c r="O122" s="76"/>
      <c r="P122" s="760">
        <f>IF(ISERROR(P120/L120-1),"NA",P120/L120-1)</f>
        <v>-3.2024793388429784E-2</v>
      </c>
      <c r="Q122" s="46">
        <f>IF(ISERROR(Q120/M120-1),"NA",Q120/M120-1)</f>
        <v>-0.11196911196911197</v>
      </c>
      <c r="R122" s="46">
        <f>IF(ISERROR(R120/N120-1),"NA",R120/N120-1)</f>
        <v>-0.16157989228007186</v>
      </c>
      <c r="S122" s="749">
        <f>IF(ISERROR(S120/O120-1),"NA",S120/O120-1)</f>
        <v>-0.42091388400702989</v>
      </c>
      <c r="T122" s="247">
        <f t="shared" ref="T122:AQ122" si="339">T120/P120-1</f>
        <v>-0.39914621131270012</v>
      </c>
      <c r="U122" s="247">
        <f t="shared" si="339"/>
        <v>-0.33260869565217388</v>
      </c>
      <c r="V122" s="247">
        <f t="shared" si="339"/>
        <v>-0.26017130620985007</v>
      </c>
      <c r="W122" s="77">
        <f t="shared" si="339"/>
        <v>0.15022761760242798</v>
      </c>
      <c r="X122" s="247">
        <f t="shared" si="339"/>
        <v>0.27353463587921856</v>
      </c>
      <c r="Y122" s="247">
        <f t="shared" si="339"/>
        <v>0.18403908794788282</v>
      </c>
      <c r="Z122" s="247">
        <f t="shared" si="339"/>
        <v>0.1099855282199711</v>
      </c>
      <c r="AA122" s="76">
        <f t="shared" si="339"/>
        <v>1.1873350923482739E-2</v>
      </c>
      <c r="AB122" s="522">
        <f t="shared" si="339"/>
        <v>-8.2287308228730871E-2</v>
      </c>
      <c r="AC122" s="76">
        <f t="shared" si="339"/>
        <v>-0.23246217331499308</v>
      </c>
      <c r="AD122" s="231">
        <f t="shared" si="339"/>
        <v>-0.24380704041720991</v>
      </c>
      <c r="AE122" s="77">
        <f t="shared" si="339"/>
        <v>-5.8670143415906151E-2</v>
      </c>
      <c r="AF122" s="76">
        <f t="shared" si="339"/>
        <v>-0.43313069908814594</v>
      </c>
      <c r="AG122" s="231">
        <f t="shared" si="339"/>
        <v>-0.38709677419354838</v>
      </c>
      <c r="AH122" s="231">
        <f t="shared" si="339"/>
        <v>-0.43965517241379315</v>
      </c>
      <c r="AI122" s="276">
        <f t="shared" si="339"/>
        <v>-0.56094182825484762</v>
      </c>
      <c r="AJ122" s="231">
        <f t="shared" si="339"/>
        <v>-0.50777479892761401</v>
      </c>
      <c r="AK122" s="231">
        <f t="shared" si="339"/>
        <v>-0.73157894736842111</v>
      </c>
      <c r="AL122" s="231">
        <f t="shared" si="339"/>
        <v>-0.83977230769230771</v>
      </c>
      <c r="AM122" s="276">
        <f t="shared" si="339"/>
        <v>-0.91132586750788647</v>
      </c>
      <c r="AN122" s="275">
        <f t="shared" si="339"/>
        <v>-0.88383500000000004</v>
      </c>
      <c r="AO122" s="275">
        <f t="shared" si="339"/>
        <v>-0.76302340000000002</v>
      </c>
      <c r="AP122" s="275">
        <f t="shared" si="339"/>
        <v>-0.57388445447632208</v>
      </c>
      <c r="AQ122" s="276">
        <f t="shared" si="339"/>
        <v>-0.1948212988416097</v>
      </c>
      <c r="AR122" s="275">
        <f t="shared" ref="AR122:AY122" si="340">AR120/AN120-1</f>
        <v>8.2432160000000199E-2</v>
      </c>
      <c r="AS122" s="275">
        <f t="shared" si="340"/>
        <v>8.2432160000000199E-2</v>
      </c>
      <c r="AT122" s="275">
        <f t="shared" si="340"/>
        <v>6.1208000000000151E-2</v>
      </c>
      <c r="AU122" s="276">
        <f t="shared" si="340"/>
        <v>6.1208000000000151E-2</v>
      </c>
      <c r="AV122" s="275">
        <f t="shared" si="340"/>
        <v>6.1207999999999929E-2</v>
      </c>
      <c r="AW122" s="275">
        <f t="shared" si="340"/>
        <v>6.1207999999999929E-2</v>
      </c>
      <c r="AX122" s="275">
        <f t="shared" si="340"/>
        <v>6.1207999999999929E-2</v>
      </c>
      <c r="AY122" s="276">
        <f t="shared" si="340"/>
        <v>6.1207999999999929E-2</v>
      </c>
      <c r="AZ122" s="275">
        <f t="shared" ref="AZ122:BG122" si="341">AZ120/AV120-1</f>
        <v>6.1207999999999707E-2</v>
      </c>
      <c r="BA122" s="275">
        <f t="shared" si="341"/>
        <v>6.1207999999999929E-2</v>
      </c>
      <c r="BB122" s="275">
        <f t="shared" si="341"/>
        <v>8.2432159999999977E-2</v>
      </c>
      <c r="BC122" s="231">
        <f t="shared" si="341"/>
        <v>8.2432159999999755E-2</v>
      </c>
      <c r="BD122" s="734">
        <f t="shared" si="341"/>
        <v>8.2432160000000199E-2</v>
      </c>
      <c r="BE122" s="231">
        <f t="shared" si="341"/>
        <v>8.2432159999999755E-2</v>
      </c>
      <c r="BF122" s="231">
        <f t="shared" si="341"/>
        <v>8.2432159999999977E-2</v>
      </c>
      <c r="BG122" s="276">
        <f t="shared" si="341"/>
        <v>8.2432159999999977E-2</v>
      </c>
      <c r="BH122" s="734">
        <f t="shared" ref="BH122" si="342">BH120/BD120-1</f>
        <v>8.2432159999999755E-2</v>
      </c>
      <c r="BI122" s="231">
        <f t="shared" ref="BI122" si="343">BI120/BE120-1</f>
        <v>8.2432159999999977E-2</v>
      </c>
      <c r="BJ122" s="231">
        <f t="shared" ref="BJ122" si="344">BJ120/BF120-1</f>
        <v>8.2432160000000199E-2</v>
      </c>
      <c r="BK122" s="276">
        <f t="shared" ref="BK122" si="345">BK120/BG120-1</f>
        <v>8.2432160000000199E-2</v>
      </c>
      <c r="BL122" s="734">
        <f t="shared" ref="BL122" si="346">BL120/BH120-1</f>
        <v>8.2432160000000421E-2</v>
      </c>
      <c r="BM122" s="231">
        <f t="shared" ref="BM122" si="347">BM120/BI120-1</f>
        <v>8.2432159999999977E-2</v>
      </c>
      <c r="BN122" s="231">
        <f t="shared" ref="BN122" si="348">BN120/BJ120-1</f>
        <v>8.2432159999999977E-2</v>
      </c>
      <c r="BO122" s="276">
        <f t="shared" ref="BO122" si="349">BO120/BK120-1</f>
        <v>8.2432159999999755E-2</v>
      </c>
      <c r="BP122" s="657"/>
      <c r="BQ122" s="275"/>
      <c r="BR122" s="275"/>
      <c r="BS122" s="275">
        <f t="shared" ref="BS122:BZ122" si="350">IF(ISERROR(BS120/BR120-1),"NA",BS120/BR120-1)</f>
        <v>-2.2956841138659367E-2</v>
      </c>
      <c r="BT122" s="231">
        <f t="shared" si="350"/>
        <v>-0.18937969924812026</v>
      </c>
      <c r="BU122" s="231">
        <f t="shared" si="350"/>
        <v>-0.23884057971014494</v>
      </c>
      <c r="BV122" s="231">
        <f t="shared" si="350"/>
        <v>0.13404417364813415</v>
      </c>
      <c r="BW122" s="231">
        <f t="shared" si="350"/>
        <v>-0.15446608462055067</v>
      </c>
      <c r="BX122" s="231">
        <f t="shared" si="350"/>
        <v>-0.46108022239872914</v>
      </c>
      <c r="BY122" s="231">
        <f t="shared" si="350"/>
        <v>-0.73796337509211496</v>
      </c>
      <c r="BZ122" s="231">
        <f t="shared" si="350"/>
        <v>-0.75278614139638012</v>
      </c>
      <c r="CA122" s="231">
        <f t="shared" ref="CA122:CF122" si="351">IF(ISERROR(CA120/BZ120-1),"NA",CA120/BZ120-1)</f>
        <v>7.1609960399921846E-2</v>
      </c>
      <c r="CB122" s="231">
        <f t="shared" si="351"/>
        <v>6.1207999999999929E-2</v>
      </c>
      <c r="CC122" s="231">
        <f t="shared" si="351"/>
        <v>7.1925150099009683E-2</v>
      </c>
      <c r="CD122" s="231">
        <f t="shared" si="351"/>
        <v>8.2432159999999977E-2</v>
      </c>
      <c r="CE122" s="231">
        <f t="shared" si="351"/>
        <v>8.2432160000000199E-2</v>
      </c>
      <c r="CF122" s="276">
        <f t="shared" si="351"/>
        <v>8.2432159999999977E-2</v>
      </c>
      <c r="CG122" s="658"/>
      <c r="CH122" s="363"/>
    </row>
    <row r="123" spans="1:88" ht="14.25" hidden="1" customHeight="1" outlineLevel="3">
      <c r="A123" s="672"/>
      <c r="B123" s="651" t="s">
        <v>270</v>
      </c>
      <c r="C123" s="274"/>
      <c r="D123" s="754"/>
      <c r="E123" s="754"/>
      <c r="F123" s="754"/>
      <c r="G123" s="79"/>
      <c r="H123" s="754"/>
      <c r="I123" s="754"/>
      <c r="J123" s="754"/>
      <c r="K123" s="79"/>
      <c r="L123" s="247">
        <f>L120/L$14</f>
        <v>0.30335318082105922</v>
      </c>
      <c r="M123" s="247">
        <f t="shared" ref="M123:AQ123" si="352">M120/M$14</f>
        <v>0.30257009345794394</v>
      </c>
      <c r="N123" s="247">
        <f t="shared" si="352"/>
        <v>0.30412230412230412</v>
      </c>
      <c r="O123" s="76">
        <f t="shared" si="352"/>
        <v>0.32002249718785153</v>
      </c>
      <c r="P123" s="522">
        <f t="shared" si="352"/>
        <v>0.28636919315403425</v>
      </c>
      <c r="Q123" s="46">
        <f t="shared" si="352"/>
        <v>0.27454491196657715</v>
      </c>
      <c r="R123" s="46">
        <f t="shared" si="352"/>
        <v>0.27576025981694713</v>
      </c>
      <c r="S123" s="749">
        <f t="shared" si="352"/>
        <v>0.26455238859895625</v>
      </c>
      <c r="T123" s="247">
        <f t="shared" si="352"/>
        <v>0.26989453499520616</v>
      </c>
      <c r="U123" s="247">
        <f t="shared" si="352"/>
        <v>0.24989824989824991</v>
      </c>
      <c r="V123" s="247">
        <f t="shared" si="352"/>
        <v>0.23993055555555556</v>
      </c>
      <c r="W123" s="77">
        <f t="shared" si="352"/>
        <v>0.25224625623960067</v>
      </c>
      <c r="X123" s="247">
        <f t="shared" si="352"/>
        <v>0.22371294851794071</v>
      </c>
      <c r="Y123" s="247">
        <f t="shared" si="352"/>
        <v>0.20795194508009154</v>
      </c>
      <c r="Z123" s="247">
        <f t="shared" si="352"/>
        <v>0.20508021390374331</v>
      </c>
      <c r="AA123" s="76">
        <f t="shared" si="352"/>
        <v>0.2175886524822695</v>
      </c>
      <c r="AB123" s="522">
        <f t="shared" si="352"/>
        <v>0.19398584905660377</v>
      </c>
      <c r="AC123" s="76">
        <f t="shared" si="352"/>
        <v>0.16136495083863506</v>
      </c>
      <c r="AD123" s="76">
        <f t="shared" si="352"/>
        <v>0.16733987305251011</v>
      </c>
      <c r="AE123" s="77">
        <f t="shared" si="352"/>
        <v>0.21111111111111111</v>
      </c>
      <c r="AF123" s="76">
        <f t="shared" si="352"/>
        <v>0.11951297661006088</v>
      </c>
      <c r="AG123" s="76">
        <f t="shared" si="352"/>
        <v>0.10254872563718141</v>
      </c>
      <c r="AH123" s="247">
        <f t="shared" si="352"/>
        <v>9.5870206489675522E-2</v>
      </c>
      <c r="AI123" s="77">
        <f t="shared" si="352"/>
        <v>0.10641154749916079</v>
      </c>
      <c r="AJ123" s="247">
        <f t="shared" si="352"/>
        <v>6.3639514731369154E-2</v>
      </c>
      <c r="AK123" s="247">
        <f t="shared" si="352"/>
        <v>3.0127994748933375E-2</v>
      </c>
      <c r="AL123" s="247">
        <f t="shared" si="352"/>
        <v>1.6052404438964239E-2</v>
      </c>
      <c r="AM123" s="77">
        <f t="shared" si="352"/>
        <v>9.282869389637783E-3</v>
      </c>
      <c r="AN123" s="275">
        <f t="shared" si="352"/>
        <v>7.1510168342785929E-3</v>
      </c>
      <c r="AO123" s="275">
        <f t="shared" si="352"/>
        <v>6.6088397120335875E-3</v>
      </c>
      <c r="AP123" s="275">
        <f t="shared" si="352"/>
        <v>6.3373506393588457E-3</v>
      </c>
      <c r="AQ123" s="77">
        <f t="shared" si="352"/>
        <v>6.9236254927965736E-3</v>
      </c>
      <c r="AR123" s="275">
        <f t="shared" ref="AR123:AV123" si="353">AR120/AR$14</f>
        <v>7.3288883716416007E-3</v>
      </c>
      <c r="AS123" s="275">
        <f t="shared" si="353"/>
        <v>7.0651442320700565E-3</v>
      </c>
      <c r="AT123" s="275">
        <f t="shared" si="353"/>
        <v>6.8584153815212752E-3</v>
      </c>
      <c r="AU123" s="77">
        <f t="shared" si="353"/>
        <v>7.5314597431292707E-3</v>
      </c>
      <c r="AV123" s="275">
        <f t="shared" si="353"/>
        <v>8.1457379860803668E-3</v>
      </c>
      <c r="AW123" s="275">
        <f>AW120/AW$14</f>
        <v>7.6358546018280354E-3</v>
      </c>
      <c r="AX123" s="275">
        <f>AX120/AX$14</f>
        <v>6.8004649310055964E-3</v>
      </c>
      <c r="AY123" s="77">
        <f t="shared" ref="AY123" si="354">AY120/AY$14</f>
        <v>7.4661087584633511E-3</v>
      </c>
      <c r="AZ123" s="275">
        <f t="shared" ref="AZ123:BG123" si="355">AZ120/AZ$14</f>
        <v>7.6418620879941789E-3</v>
      </c>
      <c r="BA123" s="275">
        <f t="shared" si="355"/>
        <v>7.1805015037563211E-3</v>
      </c>
      <c r="BB123" s="275">
        <f t="shared" si="355"/>
        <v>6.5716536833818617E-3</v>
      </c>
      <c r="BC123" s="231">
        <f t="shared" si="355"/>
        <v>7.3568982994854596E-3</v>
      </c>
      <c r="BD123" s="734">
        <f t="shared" si="355"/>
        <v>7.4275394120445308E-3</v>
      </c>
      <c r="BE123" s="231">
        <f t="shared" si="355"/>
        <v>7.277331865469124E-3</v>
      </c>
      <c r="BF123" s="231">
        <f t="shared" si="355"/>
        <v>6.9760642170592201E-3</v>
      </c>
      <c r="BG123" s="276">
        <f t="shared" si="355"/>
        <v>7.5516849060161114E-3</v>
      </c>
      <c r="BH123" s="734">
        <f t="shared" ref="BH123:BK123" si="356">BH120/BH$14</f>
        <v>7.9108243258437065E-3</v>
      </c>
      <c r="BI123" s="231">
        <f t="shared" si="356"/>
        <v>7.5978903362004238E-3</v>
      </c>
      <c r="BJ123" s="231">
        <f t="shared" si="356"/>
        <v>7.3010993364483216E-3</v>
      </c>
      <c r="BK123" s="276">
        <f t="shared" si="356"/>
        <v>7.9292222680496134E-3</v>
      </c>
      <c r="BL123" s="734">
        <f t="shared" ref="BL123:BO123" si="357">BL120/BL$14</f>
        <v>8.2969372413765029E-3</v>
      </c>
      <c r="BM123" s="231">
        <f t="shared" si="357"/>
        <v>7.9710900536454042E-3</v>
      </c>
      <c r="BN123" s="231">
        <f t="shared" si="357"/>
        <v>7.6641247532767583E-3</v>
      </c>
      <c r="BO123" s="276">
        <f t="shared" si="357"/>
        <v>8.3187880200644177E-3</v>
      </c>
      <c r="BP123" s="657"/>
      <c r="BQ123" s="275"/>
      <c r="BR123" s="275" t="e">
        <f t="shared" ref="BR123:BZ123" si="358">BR120/BR$14</f>
        <v>#DIV/0!</v>
      </c>
      <c r="BS123" s="275">
        <f t="shared" si="358"/>
        <v>0.30764782420124331</v>
      </c>
      <c r="BT123" s="231">
        <f t="shared" si="358"/>
        <v>0.27597792176625868</v>
      </c>
      <c r="BU123" s="231">
        <f t="shared" si="358"/>
        <v>0.25182201764480244</v>
      </c>
      <c r="BV123" s="231">
        <f t="shared" si="358"/>
        <v>0.21323213518545037</v>
      </c>
      <c r="BW123" s="231">
        <f t="shared" si="358"/>
        <v>0.18331391962725685</v>
      </c>
      <c r="BX123" s="231">
        <f t="shared" si="358"/>
        <v>0.10580896686159844</v>
      </c>
      <c r="BY123" s="231">
        <f t="shared" si="358"/>
        <v>2.9136350624692772E-2</v>
      </c>
      <c r="BZ123" s="231">
        <f t="shared" si="358"/>
        <v>6.7388158269636378E-3</v>
      </c>
      <c r="CA123" s="231">
        <f t="shared" ref="CA123:CF123" si="359">CA120/CA$14</f>
        <v>7.1878520802985037E-3</v>
      </c>
      <c r="CB123" s="231">
        <f t="shared" si="359"/>
        <v>7.477596517693281E-3</v>
      </c>
      <c r="CC123" s="231">
        <f t="shared" si="359"/>
        <v>7.1621286030881396E-3</v>
      </c>
      <c r="CD123" s="231">
        <f t="shared" si="359"/>
        <v>7.301861816436819E-3</v>
      </c>
      <c r="CE123" s="231">
        <f t="shared" si="359"/>
        <v>7.675375954137296E-3</v>
      </c>
      <c r="CF123" s="276">
        <f t="shared" si="359"/>
        <v>1.0694071447006643E-2</v>
      </c>
      <c r="CG123" s="658"/>
      <c r="CH123" s="363"/>
    </row>
    <row r="124" spans="1:88" ht="14.25" hidden="1" customHeight="1" outlineLevel="3">
      <c r="A124" s="672"/>
      <c r="B124" s="651"/>
      <c r="C124" s="274"/>
      <c r="D124" s="754"/>
      <c r="E124" s="754"/>
      <c r="F124" s="754"/>
      <c r="G124" s="79"/>
      <c r="H124" s="754"/>
      <c r="I124" s="754"/>
      <c r="J124" s="754"/>
      <c r="K124" s="79"/>
      <c r="L124" s="247"/>
      <c r="M124" s="247"/>
      <c r="N124" s="247"/>
      <c r="O124" s="76"/>
      <c r="P124" s="522"/>
      <c r="Q124" s="46"/>
      <c r="R124" s="46"/>
      <c r="S124" s="749"/>
      <c r="T124" s="247"/>
      <c r="U124" s="247"/>
      <c r="V124" s="247"/>
      <c r="W124" s="77"/>
      <c r="X124" s="247"/>
      <c r="Y124" s="247"/>
      <c r="Z124" s="247"/>
      <c r="AA124" s="76"/>
      <c r="AB124" s="522"/>
      <c r="AC124" s="76"/>
      <c r="AD124" s="76"/>
      <c r="AE124" s="77"/>
      <c r="AF124" s="76"/>
      <c r="AG124" s="76"/>
      <c r="AH124" s="247"/>
      <c r="AI124" s="77"/>
      <c r="AJ124" s="247"/>
      <c r="AK124" s="247"/>
      <c r="AL124" s="247"/>
      <c r="AM124" s="77"/>
      <c r="AN124" s="275"/>
      <c r="AO124" s="275"/>
      <c r="AP124" s="275"/>
      <c r="AQ124" s="77"/>
      <c r="AR124" s="275"/>
      <c r="AS124" s="275"/>
      <c r="AT124" s="275"/>
      <c r="AU124" s="77"/>
      <c r="AV124" s="275"/>
      <c r="AW124" s="275"/>
      <c r="AX124" s="275"/>
      <c r="AY124" s="77"/>
      <c r="AZ124" s="275"/>
      <c r="BA124" s="275"/>
      <c r="BB124" s="275"/>
      <c r="BC124" s="231"/>
      <c r="BD124" s="734"/>
      <c r="BE124" s="231"/>
      <c r="BF124" s="231"/>
      <c r="BG124" s="276"/>
      <c r="BH124" s="734"/>
      <c r="BI124" s="231"/>
      <c r="BJ124" s="231"/>
      <c r="BK124" s="276"/>
      <c r="BL124" s="734"/>
      <c r="BM124" s="231"/>
      <c r="BN124" s="231"/>
      <c r="BO124" s="276"/>
      <c r="BP124" s="657"/>
      <c r="BQ124" s="275"/>
      <c r="BR124" s="275"/>
      <c r="BS124" s="275"/>
      <c r="BT124" s="231"/>
      <c r="BU124" s="231"/>
      <c r="BV124" s="231"/>
      <c r="BW124" s="231"/>
      <c r="BX124" s="231"/>
      <c r="BY124" s="231"/>
      <c r="BZ124" s="231"/>
      <c r="CA124" s="231"/>
      <c r="CB124" s="231"/>
      <c r="CC124" s="231"/>
      <c r="CD124" s="231"/>
      <c r="CE124" s="231"/>
      <c r="CF124" s="276"/>
      <c r="CG124" s="658"/>
      <c r="CH124" s="363"/>
    </row>
    <row r="125" spans="1:88" ht="14.25" hidden="1" customHeight="1" outlineLevel="3">
      <c r="A125" s="672"/>
      <c r="B125" s="651" t="s">
        <v>51</v>
      </c>
      <c r="C125" s="274"/>
      <c r="D125" s="754"/>
      <c r="E125" s="754"/>
      <c r="F125" s="754"/>
      <c r="G125" s="79"/>
      <c r="H125" s="754"/>
      <c r="I125" s="754"/>
      <c r="J125" s="754"/>
      <c r="K125" s="79"/>
      <c r="L125" s="247"/>
      <c r="M125" s="247"/>
      <c r="N125" s="247"/>
      <c r="O125" s="76"/>
      <c r="P125" s="522"/>
      <c r="Q125" s="46"/>
      <c r="R125" s="46"/>
      <c r="S125" s="749"/>
      <c r="T125" s="247"/>
      <c r="U125" s="247"/>
      <c r="V125" s="247"/>
      <c r="W125" s="77"/>
      <c r="X125" s="837">
        <v>683</v>
      </c>
      <c r="Y125" s="837">
        <v>700</v>
      </c>
      <c r="Z125" s="837">
        <v>744</v>
      </c>
      <c r="AA125" s="788">
        <v>742</v>
      </c>
      <c r="AB125" s="789">
        <v>631</v>
      </c>
      <c r="AC125" s="788">
        <v>524</v>
      </c>
      <c r="AD125" s="788">
        <v>547</v>
      </c>
      <c r="AE125" s="790">
        <v>690</v>
      </c>
      <c r="AF125" s="788">
        <v>339</v>
      </c>
      <c r="AG125" s="788">
        <v>305</v>
      </c>
      <c r="AH125" s="792">
        <v>286</v>
      </c>
      <c r="AI125" s="838">
        <v>270</v>
      </c>
      <c r="AJ125" s="247"/>
      <c r="AK125" s="247"/>
      <c r="AL125" s="247"/>
      <c r="AM125" s="77"/>
      <c r="AN125" s="275"/>
      <c r="AO125" s="275"/>
      <c r="AP125" s="275"/>
      <c r="AQ125" s="77"/>
      <c r="AR125" s="275"/>
      <c r="AS125" s="275"/>
      <c r="AT125" s="275"/>
      <c r="AU125" s="77"/>
      <c r="AV125" s="275"/>
      <c r="AW125" s="275"/>
      <c r="AX125" s="275"/>
      <c r="AY125" s="77"/>
      <c r="AZ125" s="275"/>
      <c r="BA125" s="275"/>
      <c r="BB125" s="275"/>
      <c r="BC125" s="231"/>
      <c r="BD125" s="734"/>
      <c r="BE125" s="231"/>
      <c r="BF125" s="231"/>
      <c r="BG125" s="276"/>
      <c r="BH125" s="734"/>
      <c r="BI125" s="231"/>
      <c r="BJ125" s="231"/>
      <c r="BK125" s="276"/>
      <c r="BL125" s="734"/>
      <c r="BM125" s="231"/>
      <c r="BN125" s="231"/>
      <c r="BO125" s="276"/>
      <c r="BP125" s="657"/>
      <c r="BQ125" s="275"/>
      <c r="BR125" s="275"/>
      <c r="BS125" s="275"/>
      <c r="BT125" s="231"/>
      <c r="BU125" s="231"/>
      <c r="BV125" s="231">
        <f>SUM(X125:AA125)</f>
        <v>2869</v>
      </c>
      <c r="BW125" s="231">
        <f>SUM(AB125:AE125)</f>
        <v>2392</v>
      </c>
      <c r="BX125" s="231">
        <f>SUM(AF125:AI125)</f>
        <v>1200</v>
      </c>
      <c r="BY125" s="231"/>
      <c r="BZ125" s="231"/>
      <c r="CA125" s="231"/>
      <c r="CB125" s="231"/>
      <c r="CC125" s="231"/>
      <c r="CD125" s="231"/>
      <c r="CE125" s="231"/>
      <c r="CF125" s="276"/>
      <c r="CG125" s="658"/>
      <c r="CH125" s="363"/>
    </row>
    <row r="126" spans="1:88" ht="14.25" hidden="1" customHeight="1" outlineLevel="3">
      <c r="A126" s="672"/>
      <c r="B126" s="651" t="s">
        <v>52</v>
      </c>
      <c r="C126" s="274"/>
      <c r="D126" s="754"/>
      <c r="E126" s="754"/>
      <c r="F126" s="754"/>
      <c r="G126" s="79"/>
      <c r="H126" s="754"/>
      <c r="I126" s="754"/>
      <c r="J126" s="754"/>
      <c r="K126" s="79"/>
      <c r="L126" s="247"/>
      <c r="M126" s="247"/>
      <c r="N126" s="247"/>
      <c r="O126" s="76"/>
      <c r="P126" s="522"/>
      <c r="Q126" s="46"/>
      <c r="R126" s="46"/>
      <c r="S126" s="749"/>
      <c r="T126" s="247"/>
      <c r="U126" s="247"/>
      <c r="V126" s="247"/>
      <c r="W126" s="77"/>
      <c r="X126" s="788">
        <v>34</v>
      </c>
      <c r="Y126" s="788">
        <v>27</v>
      </c>
      <c r="Z126" s="837">
        <v>23</v>
      </c>
      <c r="AA126" s="788">
        <v>25</v>
      </c>
      <c r="AB126" s="789">
        <v>27</v>
      </c>
      <c r="AC126" s="788">
        <v>34</v>
      </c>
      <c r="AD126" s="788">
        <v>33</v>
      </c>
      <c r="AE126" s="838">
        <v>32</v>
      </c>
      <c r="AF126" s="788">
        <v>34</v>
      </c>
      <c r="AG126" s="792">
        <v>37</v>
      </c>
      <c r="AH126" s="792">
        <v>39</v>
      </c>
      <c r="AI126" s="838">
        <v>47</v>
      </c>
      <c r="AJ126" s="247"/>
      <c r="AK126" s="247"/>
      <c r="AL126" s="247"/>
      <c r="AM126" s="77"/>
      <c r="AN126" s="275"/>
      <c r="AO126" s="275"/>
      <c r="AP126" s="275"/>
      <c r="AQ126" s="77"/>
      <c r="AR126" s="275"/>
      <c r="AS126" s="275"/>
      <c r="AT126" s="275"/>
      <c r="AU126" s="77"/>
      <c r="AV126" s="275"/>
      <c r="AW126" s="275"/>
      <c r="AX126" s="275"/>
      <c r="AY126" s="77"/>
      <c r="AZ126" s="275"/>
      <c r="BA126" s="275"/>
      <c r="BB126" s="275"/>
      <c r="BC126" s="231"/>
      <c r="BD126" s="734"/>
      <c r="BE126" s="231"/>
      <c r="BF126" s="231"/>
      <c r="BG126" s="276"/>
      <c r="BH126" s="734"/>
      <c r="BI126" s="231"/>
      <c r="BJ126" s="231"/>
      <c r="BK126" s="276"/>
      <c r="BL126" s="734"/>
      <c r="BM126" s="231"/>
      <c r="BN126" s="231"/>
      <c r="BO126" s="276"/>
      <c r="BP126" s="657"/>
      <c r="BQ126" s="275"/>
      <c r="BR126" s="275"/>
      <c r="BS126" s="275"/>
      <c r="BT126" s="231"/>
      <c r="BU126" s="231"/>
      <c r="BV126" s="231">
        <f>SUM(X126:AA126)</f>
        <v>109</v>
      </c>
      <c r="BW126" s="231">
        <f>SUM(AB126:AE126)</f>
        <v>126</v>
      </c>
      <c r="BX126" s="231">
        <f>SUM(AF126:AI126)</f>
        <v>157</v>
      </c>
      <c r="BY126" s="231"/>
      <c r="BZ126" s="231"/>
      <c r="CA126" s="231"/>
      <c r="CB126" s="231"/>
      <c r="CC126" s="231"/>
      <c r="CD126" s="231"/>
      <c r="CE126" s="231"/>
      <c r="CF126" s="276"/>
      <c r="CG126" s="658"/>
      <c r="CH126" s="363"/>
    </row>
    <row r="127" spans="1:88" ht="14.25" hidden="1" customHeight="1" outlineLevel="3">
      <c r="A127" s="672"/>
      <c r="B127" s="651"/>
      <c r="C127" s="274"/>
      <c r="D127" s="754"/>
      <c r="E127" s="754"/>
      <c r="F127" s="754"/>
      <c r="G127" s="79"/>
      <c r="H127" s="754"/>
      <c r="I127" s="754"/>
      <c r="J127" s="754"/>
      <c r="K127" s="79"/>
      <c r="L127" s="754"/>
      <c r="M127" s="754"/>
      <c r="N127" s="754"/>
      <c r="O127" s="78"/>
      <c r="P127" s="522"/>
      <c r="Q127" s="78"/>
      <c r="R127" s="78"/>
      <c r="S127" s="79"/>
      <c r="T127" s="754"/>
      <c r="U127" s="754"/>
      <c r="V127" s="754"/>
      <c r="W127" s="79"/>
      <c r="X127" s="754"/>
      <c r="Y127" s="754"/>
      <c r="Z127" s="754"/>
      <c r="AA127" s="78"/>
      <c r="AB127" s="770"/>
      <c r="AC127" s="78"/>
      <c r="AD127" s="813"/>
      <c r="AE127" s="79"/>
      <c r="AF127" s="78"/>
      <c r="AG127" s="813"/>
      <c r="AH127" s="278"/>
      <c r="AI127" s="279"/>
      <c r="AJ127" s="14"/>
      <c r="AK127" s="14"/>
      <c r="AL127" s="14"/>
      <c r="AM127" s="279"/>
      <c r="AN127" s="8"/>
      <c r="AO127" s="8"/>
      <c r="AP127" s="8"/>
      <c r="AQ127" s="279"/>
      <c r="AR127" s="8"/>
      <c r="AS127" s="8"/>
      <c r="AT127" s="8"/>
      <c r="AU127" s="279"/>
      <c r="AV127" s="8"/>
      <c r="AW127" s="8"/>
      <c r="AX127" s="8"/>
      <c r="AY127" s="279"/>
      <c r="AZ127" s="8"/>
      <c r="BA127" s="8"/>
      <c r="BB127" s="8"/>
      <c r="BC127" s="278"/>
      <c r="BD127" s="297"/>
      <c r="BE127" s="14"/>
      <c r="BF127" s="14"/>
      <c r="BG127" s="279"/>
      <c r="BH127" s="297"/>
      <c r="BI127" s="14"/>
      <c r="BJ127" s="14"/>
      <c r="BK127" s="279"/>
      <c r="BL127" s="297"/>
      <c r="BM127" s="14"/>
      <c r="BN127" s="14"/>
      <c r="BO127" s="279"/>
      <c r="BP127" s="657"/>
      <c r="BQ127" s="8"/>
      <c r="BR127" s="8"/>
      <c r="BS127" s="8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224"/>
      <c r="CG127" s="658"/>
      <c r="CH127" s="363"/>
    </row>
    <row r="128" spans="1:88" ht="14.25" hidden="1" customHeight="1" outlineLevel="3">
      <c r="A128" s="672"/>
      <c r="B128" s="824" t="s">
        <v>531</v>
      </c>
      <c r="C128" s="274"/>
      <c r="D128" s="754"/>
      <c r="E128" s="754"/>
      <c r="F128" s="754"/>
      <c r="G128" s="79"/>
      <c r="H128" s="754"/>
      <c r="I128" s="754"/>
      <c r="J128" s="754"/>
      <c r="K128" s="79"/>
      <c r="L128" s="754"/>
      <c r="M128" s="754"/>
      <c r="N128" s="754"/>
      <c r="O128" s="78"/>
      <c r="P128" s="522"/>
      <c r="Q128" s="78"/>
      <c r="R128" s="78"/>
      <c r="S128" s="79"/>
      <c r="T128" s="754"/>
      <c r="U128" s="754"/>
      <c r="V128" s="754"/>
      <c r="W128" s="79"/>
      <c r="X128" s="837"/>
      <c r="Y128" s="837"/>
      <c r="Z128" s="837"/>
      <c r="AA128" s="788"/>
      <c r="AB128" s="789"/>
      <c r="AC128" s="788"/>
      <c r="AD128" s="788"/>
      <c r="AE128" s="790"/>
      <c r="AF128" s="445"/>
      <c r="AG128" s="445"/>
      <c r="AH128" s="440"/>
      <c r="AI128" s="442"/>
      <c r="AJ128" s="839"/>
      <c r="AK128" s="839"/>
      <c r="AL128" s="839"/>
      <c r="AM128" s="279"/>
      <c r="AN128" s="8"/>
      <c r="AO128" s="8"/>
      <c r="AP128" s="8"/>
      <c r="AQ128" s="279"/>
      <c r="AR128" s="8"/>
      <c r="AS128" s="8"/>
      <c r="AT128" s="8"/>
      <c r="AU128" s="279"/>
      <c r="AV128" s="8"/>
      <c r="AW128" s="8"/>
      <c r="AX128" s="8"/>
      <c r="AY128" s="279"/>
      <c r="AZ128" s="8"/>
      <c r="BA128" s="8"/>
      <c r="BB128" s="8"/>
      <c r="BC128" s="278"/>
      <c r="BD128" s="297"/>
      <c r="BE128" s="14"/>
      <c r="BF128" s="14"/>
      <c r="BG128" s="279"/>
      <c r="BH128" s="297"/>
      <c r="BI128" s="14"/>
      <c r="BJ128" s="14"/>
      <c r="BK128" s="279"/>
      <c r="BL128" s="297"/>
      <c r="BM128" s="14"/>
      <c r="BN128" s="14"/>
      <c r="BO128" s="279"/>
      <c r="BP128" s="657"/>
      <c r="BQ128" s="8"/>
      <c r="BR128" s="8"/>
      <c r="BS128" s="8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224"/>
      <c r="CG128" s="658"/>
      <c r="CH128" s="363"/>
    </row>
    <row r="129" spans="1:88" ht="14.25" hidden="1" customHeight="1" outlineLevel="3">
      <c r="A129" s="672"/>
      <c r="B129" s="705"/>
      <c r="C129" s="274"/>
      <c r="D129" s="754"/>
      <c r="E129" s="754"/>
      <c r="F129" s="754"/>
      <c r="G129" s="79"/>
      <c r="H129" s="840"/>
      <c r="I129" s="840"/>
      <c r="J129" s="840"/>
      <c r="K129" s="841"/>
      <c r="L129" s="840"/>
      <c r="M129" s="840"/>
      <c r="N129" s="840"/>
      <c r="O129" s="756"/>
      <c r="P129" s="744"/>
      <c r="Q129" s="756"/>
      <c r="R129" s="756"/>
      <c r="S129" s="841"/>
      <c r="T129" s="840"/>
      <c r="U129" s="840"/>
      <c r="V129" s="840"/>
      <c r="W129" s="841"/>
      <c r="X129" s="445"/>
      <c r="Y129" s="445"/>
      <c r="Z129" s="443"/>
      <c r="AA129" s="445"/>
      <c r="AB129" s="444"/>
      <c r="AC129" s="445"/>
      <c r="AD129" s="445"/>
      <c r="AE129" s="442"/>
      <c r="AF129" s="445"/>
      <c r="AG129" s="440"/>
      <c r="AH129" s="440"/>
      <c r="AI129" s="442"/>
      <c r="AJ129" s="839"/>
      <c r="AK129" s="14"/>
      <c r="AL129" s="14"/>
      <c r="AM129" s="279"/>
      <c r="AN129" s="8"/>
      <c r="AO129" s="8"/>
      <c r="AP129" s="8"/>
      <c r="AQ129" s="279"/>
      <c r="AR129" s="8"/>
      <c r="AS129" s="8"/>
      <c r="AT129" s="8"/>
      <c r="AU129" s="279"/>
      <c r="AV129" s="8"/>
      <c r="AW129" s="8"/>
      <c r="AX129" s="8"/>
      <c r="AY129" s="279"/>
      <c r="AZ129" s="8"/>
      <c r="BA129" s="8"/>
      <c r="BB129" s="8"/>
      <c r="BC129" s="278"/>
      <c r="BD129" s="297"/>
      <c r="BE129" s="14"/>
      <c r="BF129" s="14"/>
      <c r="BG129" s="279"/>
      <c r="BH129" s="297"/>
      <c r="BI129" s="14"/>
      <c r="BJ129" s="14"/>
      <c r="BK129" s="279"/>
      <c r="BL129" s="297"/>
      <c r="BM129" s="14"/>
      <c r="BN129" s="14"/>
      <c r="BO129" s="279"/>
      <c r="BP129" s="657"/>
      <c r="BQ129" s="8"/>
      <c r="BR129" s="8"/>
      <c r="BS129" s="8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224"/>
      <c r="CG129" s="658"/>
      <c r="CH129" s="363"/>
    </row>
    <row r="130" spans="1:88" ht="14.25" hidden="1" customHeight="1" outlineLevel="3">
      <c r="A130" s="672"/>
      <c r="B130" s="705" t="s">
        <v>339</v>
      </c>
      <c r="C130" s="274"/>
      <c r="D130" s="754"/>
      <c r="E130" s="754"/>
      <c r="F130" s="754"/>
      <c r="G130" s="79"/>
      <c r="H130" s="746">
        <f t="shared" ref="H130:AG130" si="360">H$430</f>
        <v>849</v>
      </c>
      <c r="I130" s="746">
        <f t="shared" si="360"/>
        <v>927</v>
      </c>
      <c r="J130" s="746">
        <f t="shared" si="360"/>
        <v>944</v>
      </c>
      <c r="K130" s="745">
        <f t="shared" si="360"/>
        <v>828</v>
      </c>
      <c r="L130" s="746">
        <f t="shared" si="360"/>
        <v>773</v>
      </c>
      <c r="M130" s="746">
        <f t="shared" si="360"/>
        <v>800</v>
      </c>
      <c r="N130" s="746">
        <f t="shared" si="360"/>
        <v>849</v>
      </c>
      <c r="O130" s="758">
        <f t="shared" si="360"/>
        <v>895</v>
      </c>
      <c r="P130" s="688">
        <f t="shared" si="360"/>
        <v>720</v>
      </c>
      <c r="Q130" s="687">
        <f t="shared" si="360"/>
        <v>681</v>
      </c>
      <c r="R130" s="687">
        <f t="shared" si="360"/>
        <v>673</v>
      </c>
      <c r="S130" s="689">
        <f t="shared" si="360"/>
        <v>464</v>
      </c>
      <c r="T130" s="687">
        <f t="shared" si="360"/>
        <v>400</v>
      </c>
      <c r="U130" s="687">
        <f t="shared" si="360"/>
        <v>410</v>
      </c>
      <c r="V130" s="687">
        <f t="shared" si="360"/>
        <v>450</v>
      </c>
      <c r="W130" s="689">
        <f t="shared" si="360"/>
        <v>465</v>
      </c>
      <c r="X130" s="687">
        <f t="shared" si="360"/>
        <v>424</v>
      </c>
      <c r="Y130" s="687">
        <f t="shared" si="360"/>
        <v>416</v>
      </c>
      <c r="Z130" s="687">
        <f t="shared" si="360"/>
        <v>438</v>
      </c>
      <c r="AA130" s="687">
        <f t="shared" si="360"/>
        <v>435</v>
      </c>
      <c r="AB130" s="688">
        <f t="shared" si="360"/>
        <v>334</v>
      </c>
      <c r="AC130" s="687">
        <f t="shared" si="360"/>
        <v>228</v>
      </c>
      <c r="AD130" s="687">
        <f t="shared" si="360"/>
        <v>263</v>
      </c>
      <c r="AE130" s="689">
        <f t="shared" si="360"/>
        <v>279</v>
      </c>
      <c r="AF130" s="687">
        <f t="shared" si="360"/>
        <v>87</v>
      </c>
      <c r="AG130" s="687">
        <f t="shared" si="360"/>
        <v>90</v>
      </c>
      <c r="AH130" s="632">
        <v>54</v>
      </c>
      <c r="AI130" s="743">
        <v>64</v>
      </c>
      <c r="AJ130" s="688">
        <f t="shared" ref="AJ130:AQ130" si="361">+AI130*(1+AJ131)</f>
        <v>57.6</v>
      </c>
      <c r="AK130" s="687">
        <f t="shared" si="361"/>
        <v>28.8</v>
      </c>
      <c r="AL130" s="687">
        <f t="shared" si="361"/>
        <v>14.4</v>
      </c>
      <c r="AM130" s="689">
        <f t="shared" si="361"/>
        <v>7.2</v>
      </c>
      <c r="AN130" s="687">
        <f t="shared" si="361"/>
        <v>0</v>
      </c>
      <c r="AO130" s="687">
        <f t="shared" si="361"/>
        <v>0</v>
      </c>
      <c r="AP130" s="687">
        <f t="shared" si="361"/>
        <v>0</v>
      </c>
      <c r="AQ130" s="689">
        <f t="shared" si="361"/>
        <v>0</v>
      </c>
      <c r="AR130" s="687">
        <f t="shared" ref="AR130:AY130" si="362">+AQ130*(1+AR131)</f>
        <v>0</v>
      </c>
      <c r="AS130" s="687">
        <f t="shared" si="362"/>
        <v>0</v>
      </c>
      <c r="AT130" s="687">
        <f t="shared" si="362"/>
        <v>0</v>
      </c>
      <c r="AU130" s="689">
        <f t="shared" si="362"/>
        <v>0</v>
      </c>
      <c r="AV130" s="687">
        <f t="shared" si="362"/>
        <v>0</v>
      </c>
      <c r="AW130" s="687">
        <f t="shared" si="362"/>
        <v>0</v>
      </c>
      <c r="AX130" s="687">
        <f t="shared" si="362"/>
        <v>0</v>
      </c>
      <c r="AY130" s="689">
        <f t="shared" si="362"/>
        <v>0</v>
      </c>
      <c r="AZ130" s="687">
        <f t="shared" ref="AZ130:BG130" si="363">+AY130*(1+AZ131)</f>
        <v>0</v>
      </c>
      <c r="BA130" s="687">
        <f t="shared" si="363"/>
        <v>0</v>
      </c>
      <c r="BB130" s="687">
        <f t="shared" si="363"/>
        <v>0</v>
      </c>
      <c r="BC130" s="687">
        <f t="shared" si="363"/>
        <v>0</v>
      </c>
      <c r="BD130" s="688">
        <f t="shared" si="363"/>
        <v>0</v>
      </c>
      <c r="BE130" s="687">
        <f t="shared" si="363"/>
        <v>0</v>
      </c>
      <c r="BF130" s="687">
        <f t="shared" si="363"/>
        <v>0</v>
      </c>
      <c r="BG130" s="689">
        <f t="shared" si="363"/>
        <v>0</v>
      </c>
      <c r="BH130" s="688">
        <f t="shared" ref="BH130" si="364">+BG130*(1+BH131)</f>
        <v>0</v>
      </c>
      <c r="BI130" s="687">
        <f t="shared" ref="BI130" si="365">+BH130*(1+BI131)</f>
        <v>0</v>
      </c>
      <c r="BJ130" s="687">
        <f t="shared" ref="BJ130" si="366">+BI130*(1+BJ131)</f>
        <v>0</v>
      </c>
      <c r="BK130" s="689">
        <f t="shared" ref="BK130" si="367">+BJ130*(1+BK131)</f>
        <v>0</v>
      </c>
      <c r="BL130" s="688">
        <f t="shared" ref="BL130" si="368">+BK130*(1+BL131)</f>
        <v>0</v>
      </c>
      <c r="BM130" s="687">
        <f t="shared" ref="BM130" si="369">+BL130*(1+BM131)</f>
        <v>0</v>
      </c>
      <c r="BN130" s="687">
        <f t="shared" ref="BN130" si="370">+BM130*(1+BN131)</f>
        <v>0</v>
      </c>
      <c r="BO130" s="689">
        <f t="shared" ref="BO130" si="371">+BN130*(1+BO131)</f>
        <v>0</v>
      </c>
      <c r="BP130" s="657"/>
      <c r="BQ130" s="8"/>
      <c r="BR130" s="273">
        <f>BR119+BR83</f>
        <v>253</v>
      </c>
      <c r="BS130" s="273">
        <f>SUM(L130:O130)</f>
        <v>3317</v>
      </c>
      <c r="BT130" s="691">
        <f>SUM(P130:S130)</f>
        <v>2538</v>
      </c>
      <c r="BU130" s="691">
        <f>SUM(T130:W130)</f>
        <v>1725</v>
      </c>
      <c r="BV130" s="691">
        <f>SUM(X130:AA130)</f>
        <v>1713</v>
      </c>
      <c r="BW130" s="691">
        <f>SUM(AB130:AE130)</f>
        <v>1104</v>
      </c>
      <c r="BX130" s="691">
        <f>SUM(AF130:AI130)</f>
        <v>295</v>
      </c>
      <c r="BY130" s="691">
        <f>SUM(AJ130:AM130)</f>
        <v>108.00000000000001</v>
      </c>
      <c r="BZ130" s="691">
        <f>+SUM(AN130:AQ130)</f>
        <v>0</v>
      </c>
      <c r="CA130" s="691">
        <f>+SUM(AR130:AU130)</f>
        <v>0</v>
      </c>
      <c r="CB130" s="691">
        <f>SUM(AV130:AY130)</f>
        <v>0</v>
      </c>
      <c r="CC130" s="691">
        <f>SUM(AZ130:BC130)</f>
        <v>0</v>
      </c>
      <c r="CD130" s="691">
        <f>SUM(BD130:BG130)</f>
        <v>0</v>
      </c>
      <c r="CE130" s="691">
        <f>SUM(BH130:BK130)</f>
        <v>0</v>
      </c>
      <c r="CF130" s="692">
        <f>SUM(BL130:BO130)</f>
        <v>0</v>
      </c>
      <c r="CG130" s="658"/>
      <c r="CH130" s="363"/>
    </row>
    <row r="131" spans="1:88" ht="14.25" hidden="1" customHeight="1" outlineLevel="3">
      <c r="A131" s="672"/>
      <c r="B131" s="651" t="s">
        <v>268</v>
      </c>
      <c r="C131" s="274"/>
      <c r="D131" s="754"/>
      <c r="E131" s="754"/>
      <c r="F131" s="754"/>
      <c r="G131" s="79"/>
      <c r="H131" s="754"/>
      <c r="I131" s="765">
        <f t="shared" ref="I131:AI131" si="372">IF(ISERROR(I130/H130-1),"NA",I130/H130-1)</f>
        <v>9.1872791519434616E-2</v>
      </c>
      <c r="J131" s="765">
        <f t="shared" si="372"/>
        <v>1.8338727076591121E-2</v>
      </c>
      <c r="K131" s="749">
        <f t="shared" si="372"/>
        <v>-0.1228813559322034</v>
      </c>
      <c r="L131" s="765">
        <f t="shared" si="372"/>
        <v>-6.6425120772946822E-2</v>
      </c>
      <c r="M131" s="765">
        <f t="shared" si="372"/>
        <v>3.4928848641655907E-2</v>
      </c>
      <c r="N131" s="765">
        <f t="shared" si="372"/>
        <v>6.1250000000000027E-2</v>
      </c>
      <c r="O131" s="46">
        <f t="shared" si="372"/>
        <v>5.4181389870435748E-2</v>
      </c>
      <c r="P131" s="760">
        <f t="shared" si="372"/>
        <v>-0.1955307262569832</v>
      </c>
      <c r="Q131" s="46">
        <f t="shared" si="372"/>
        <v>-5.4166666666666696E-2</v>
      </c>
      <c r="R131" s="46">
        <f t="shared" si="372"/>
        <v>-1.1747430249632873E-2</v>
      </c>
      <c r="S131" s="749">
        <f t="shared" si="372"/>
        <v>-0.31054977711738485</v>
      </c>
      <c r="T131" s="765">
        <f t="shared" si="372"/>
        <v>-0.13793103448275867</v>
      </c>
      <c r="U131" s="765">
        <f t="shared" si="372"/>
        <v>2.4999999999999911E-2</v>
      </c>
      <c r="V131" s="765">
        <f t="shared" si="372"/>
        <v>9.7560975609756184E-2</v>
      </c>
      <c r="W131" s="749">
        <f t="shared" si="372"/>
        <v>3.3333333333333437E-2</v>
      </c>
      <c r="X131" s="765">
        <f t="shared" si="372"/>
        <v>-8.8172043010752654E-2</v>
      </c>
      <c r="Y131" s="765">
        <f t="shared" si="372"/>
        <v>-1.8867924528301883E-2</v>
      </c>
      <c r="Z131" s="765">
        <f t="shared" si="372"/>
        <v>5.2884615384615419E-2</v>
      </c>
      <c r="AA131" s="46">
        <f t="shared" si="372"/>
        <v>-6.8493150684931781E-3</v>
      </c>
      <c r="AB131" s="760">
        <f t="shared" si="372"/>
        <v>-0.23218390804597699</v>
      </c>
      <c r="AC131" s="46">
        <f t="shared" si="372"/>
        <v>-0.31736526946107779</v>
      </c>
      <c r="AD131" s="46">
        <f t="shared" si="372"/>
        <v>0.15350877192982448</v>
      </c>
      <c r="AE131" s="749">
        <f t="shared" si="372"/>
        <v>6.083650190114076E-2</v>
      </c>
      <c r="AF131" s="46">
        <f t="shared" si="372"/>
        <v>-0.68817204301075274</v>
      </c>
      <c r="AG131" s="46">
        <f t="shared" si="372"/>
        <v>3.4482758620689724E-2</v>
      </c>
      <c r="AH131" s="46">
        <f t="shared" si="372"/>
        <v>-0.4</v>
      </c>
      <c r="AI131" s="46">
        <f t="shared" si="372"/>
        <v>0.18518518518518512</v>
      </c>
      <c r="AJ131" s="763">
        <v>-0.1</v>
      </c>
      <c r="AK131" s="748">
        <v>-0.5</v>
      </c>
      <c r="AL131" s="748">
        <v>-0.5</v>
      </c>
      <c r="AM131" s="747">
        <v>-0.5</v>
      </c>
      <c r="AN131" s="842">
        <v>-1</v>
      </c>
      <c r="AO131" s="842">
        <v>-1</v>
      </c>
      <c r="AP131" s="842">
        <v>-1</v>
      </c>
      <c r="AQ131" s="747">
        <v>-1</v>
      </c>
      <c r="AR131" s="842">
        <v>-1</v>
      </c>
      <c r="AS131" s="842">
        <v>-1</v>
      </c>
      <c r="AT131" s="842">
        <v>-1</v>
      </c>
      <c r="AU131" s="747">
        <v>-1</v>
      </c>
      <c r="AV131" s="842">
        <v>-1</v>
      </c>
      <c r="AW131" s="842">
        <v>-1</v>
      </c>
      <c r="AX131" s="842">
        <v>-1</v>
      </c>
      <c r="AY131" s="747">
        <v>-1</v>
      </c>
      <c r="AZ131" s="842">
        <v>-1</v>
      </c>
      <c r="BA131" s="842">
        <v>-1</v>
      </c>
      <c r="BB131" s="842">
        <v>-1</v>
      </c>
      <c r="BC131" s="748">
        <v>-1</v>
      </c>
      <c r="BD131" s="763">
        <v>-1</v>
      </c>
      <c r="BE131" s="748">
        <v>-1</v>
      </c>
      <c r="BF131" s="748">
        <v>-1</v>
      </c>
      <c r="BG131" s="747">
        <v>-1</v>
      </c>
      <c r="BH131" s="763">
        <v>-1</v>
      </c>
      <c r="BI131" s="748">
        <v>-1</v>
      </c>
      <c r="BJ131" s="748">
        <v>-1</v>
      </c>
      <c r="BK131" s="747">
        <v>-1</v>
      </c>
      <c r="BL131" s="763">
        <v>-1</v>
      </c>
      <c r="BM131" s="748">
        <v>-1</v>
      </c>
      <c r="BN131" s="748">
        <v>-1</v>
      </c>
      <c r="BO131" s="747">
        <v>-1</v>
      </c>
      <c r="BP131" s="657"/>
      <c r="BQ131" s="8"/>
      <c r="BR131" s="8"/>
      <c r="BS131" s="8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224"/>
      <c r="CG131" s="658"/>
      <c r="CH131" s="363"/>
    </row>
    <row r="132" spans="1:88" ht="14.25" hidden="1" customHeight="1" outlineLevel="3">
      <c r="A132" s="672"/>
      <c r="B132" s="750" t="s">
        <v>269</v>
      </c>
      <c r="C132" s="274"/>
      <c r="D132" s="754"/>
      <c r="E132" s="754"/>
      <c r="F132" s="754"/>
      <c r="G132" s="79"/>
      <c r="H132" s="754"/>
      <c r="I132" s="765" t="str">
        <f t="shared" ref="I132:AQ132" si="373">IF(ISERROR(I130/E130-1),"NA",I130/E130-1)</f>
        <v>NA</v>
      </c>
      <c r="J132" s="765" t="str">
        <f t="shared" si="373"/>
        <v>NA</v>
      </c>
      <c r="K132" s="749" t="str">
        <f t="shared" si="373"/>
        <v>NA</v>
      </c>
      <c r="L132" s="765">
        <f t="shared" si="373"/>
        <v>-8.9517078916372173E-2</v>
      </c>
      <c r="M132" s="765">
        <f t="shared" si="373"/>
        <v>-0.13700107874865153</v>
      </c>
      <c r="N132" s="765">
        <f t="shared" si="373"/>
        <v>-0.10063559322033899</v>
      </c>
      <c r="O132" s="46">
        <f t="shared" si="373"/>
        <v>8.0917874396135181E-2</v>
      </c>
      <c r="P132" s="760">
        <f t="shared" si="373"/>
        <v>-6.8564036222509728E-2</v>
      </c>
      <c r="Q132" s="46">
        <f t="shared" si="373"/>
        <v>-0.14875000000000005</v>
      </c>
      <c r="R132" s="46">
        <f t="shared" si="373"/>
        <v>-0.20730270906949355</v>
      </c>
      <c r="S132" s="749">
        <f t="shared" si="373"/>
        <v>-0.48156424581005586</v>
      </c>
      <c r="T132" s="765">
        <f t="shared" si="373"/>
        <v>-0.44444444444444442</v>
      </c>
      <c r="U132" s="765">
        <f t="shared" si="373"/>
        <v>-0.39794419970631423</v>
      </c>
      <c r="V132" s="765">
        <f t="shared" si="373"/>
        <v>-0.33135215453194655</v>
      </c>
      <c r="W132" s="749">
        <f t="shared" si="373"/>
        <v>2.1551724137931494E-3</v>
      </c>
      <c r="X132" s="765">
        <f t="shared" si="373"/>
        <v>6.0000000000000053E-2</v>
      </c>
      <c r="Y132" s="765">
        <f t="shared" si="373"/>
        <v>1.4634146341463428E-2</v>
      </c>
      <c r="Z132" s="765">
        <f t="shared" si="373"/>
        <v>-2.6666666666666616E-2</v>
      </c>
      <c r="AA132" s="46">
        <f t="shared" si="373"/>
        <v>-6.4516129032258118E-2</v>
      </c>
      <c r="AB132" s="760">
        <f t="shared" si="373"/>
        <v>-0.21226415094339623</v>
      </c>
      <c r="AC132" s="46">
        <f t="shared" si="373"/>
        <v>-0.45192307692307687</v>
      </c>
      <c r="AD132" s="46">
        <f t="shared" si="373"/>
        <v>-0.3995433789954338</v>
      </c>
      <c r="AE132" s="749">
        <f t="shared" si="373"/>
        <v>-0.35862068965517246</v>
      </c>
      <c r="AF132" s="46">
        <f t="shared" si="373"/>
        <v>-0.73952095808383234</v>
      </c>
      <c r="AG132" s="46">
        <f t="shared" si="373"/>
        <v>-0.60526315789473684</v>
      </c>
      <c r="AH132" s="46">
        <f t="shared" si="373"/>
        <v>-0.79467680608365021</v>
      </c>
      <c r="AI132" s="749">
        <f t="shared" si="373"/>
        <v>-0.77060931899641583</v>
      </c>
      <c r="AJ132" s="760">
        <f t="shared" si="373"/>
        <v>-0.33793103448275863</v>
      </c>
      <c r="AK132" s="46">
        <f t="shared" si="373"/>
        <v>-0.67999999999999994</v>
      </c>
      <c r="AL132" s="46">
        <f t="shared" si="373"/>
        <v>-0.73333333333333339</v>
      </c>
      <c r="AM132" s="749">
        <f t="shared" si="373"/>
        <v>-0.88749999999999996</v>
      </c>
      <c r="AN132" s="765">
        <f t="shared" si="373"/>
        <v>-1</v>
      </c>
      <c r="AO132" s="765">
        <f t="shared" si="373"/>
        <v>-1</v>
      </c>
      <c r="AP132" s="765">
        <f t="shared" si="373"/>
        <v>-1</v>
      </c>
      <c r="AQ132" s="749">
        <f t="shared" si="373"/>
        <v>-1</v>
      </c>
      <c r="AR132" s="765" t="str">
        <f t="shared" ref="AR132:AY132" si="374">IF(ISERROR(AR130/AN130-1),"NA",AR130/AN130-1)</f>
        <v>NA</v>
      </c>
      <c r="AS132" s="765" t="str">
        <f t="shared" si="374"/>
        <v>NA</v>
      </c>
      <c r="AT132" s="765" t="str">
        <f t="shared" si="374"/>
        <v>NA</v>
      </c>
      <c r="AU132" s="749" t="str">
        <f t="shared" si="374"/>
        <v>NA</v>
      </c>
      <c r="AV132" s="765" t="str">
        <f t="shared" si="374"/>
        <v>NA</v>
      </c>
      <c r="AW132" s="765" t="str">
        <f t="shared" si="374"/>
        <v>NA</v>
      </c>
      <c r="AX132" s="765" t="str">
        <f t="shared" si="374"/>
        <v>NA</v>
      </c>
      <c r="AY132" s="749" t="str">
        <f t="shared" si="374"/>
        <v>NA</v>
      </c>
      <c r="AZ132" s="765" t="str">
        <f t="shared" ref="AZ132:BG132" si="375">IF(ISERROR(AZ130/AV130-1),"NA",AZ130/AV130-1)</f>
        <v>NA</v>
      </c>
      <c r="BA132" s="765" t="str">
        <f t="shared" si="375"/>
        <v>NA</v>
      </c>
      <c r="BB132" s="765" t="str">
        <f t="shared" si="375"/>
        <v>NA</v>
      </c>
      <c r="BC132" s="46" t="str">
        <f t="shared" si="375"/>
        <v>NA</v>
      </c>
      <c r="BD132" s="760" t="str">
        <f t="shared" si="375"/>
        <v>NA</v>
      </c>
      <c r="BE132" s="46" t="str">
        <f t="shared" si="375"/>
        <v>NA</v>
      </c>
      <c r="BF132" s="46" t="str">
        <f t="shared" si="375"/>
        <v>NA</v>
      </c>
      <c r="BG132" s="749" t="str">
        <f t="shared" si="375"/>
        <v>NA</v>
      </c>
      <c r="BH132" s="760" t="str">
        <f t="shared" ref="BH132" si="376">IF(ISERROR(BH130/BD130-1),"NA",BH130/BD130-1)</f>
        <v>NA</v>
      </c>
      <c r="BI132" s="46" t="str">
        <f t="shared" ref="BI132" si="377">IF(ISERROR(BI130/BE130-1),"NA",BI130/BE130-1)</f>
        <v>NA</v>
      </c>
      <c r="BJ132" s="46" t="str">
        <f t="shared" ref="BJ132" si="378">IF(ISERROR(BJ130/BF130-1),"NA",BJ130/BF130-1)</f>
        <v>NA</v>
      </c>
      <c r="BK132" s="749" t="str">
        <f t="shared" ref="BK132" si="379">IF(ISERROR(BK130/BG130-1),"NA",BK130/BG130-1)</f>
        <v>NA</v>
      </c>
      <c r="BL132" s="760" t="str">
        <f t="shared" ref="BL132" si="380">IF(ISERROR(BL130/BH130-1),"NA",BL130/BH130-1)</f>
        <v>NA</v>
      </c>
      <c r="BM132" s="46" t="str">
        <f t="shared" ref="BM132" si="381">IF(ISERROR(BM130/BI130-1),"NA",BM130/BI130-1)</f>
        <v>NA</v>
      </c>
      <c r="BN132" s="46" t="str">
        <f t="shared" ref="BN132" si="382">IF(ISERROR(BN130/BJ130-1),"NA",BN130/BJ130-1)</f>
        <v>NA</v>
      </c>
      <c r="BO132" s="749" t="str">
        <f t="shared" ref="BO132" si="383">IF(ISERROR(BO130/BK130-1),"NA",BO130/BK130-1)</f>
        <v>NA</v>
      </c>
      <c r="BP132" s="657"/>
      <c r="BQ132" s="8"/>
      <c r="BR132" s="751"/>
      <c r="BS132" s="751">
        <f t="shared" ref="BS132:BZ132" si="384">IF(ISERROR(BS130/BR130-1),"NA",BS130/BR130-1)</f>
        <v>12.110671936758893</v>
      </c>
      <c r="BT132" s="752">
        <f t="shared" si="384"/>
        <v>-0.2348507687669581</v>
      </c>
      <c r="BU132" s="752">
        <f t="shared" si="384"/>
        <v>-0.32033096926713944</v>
      </c>
      <c r="BV132" s="752">
        <f t="shared" si="384"/>
        <v>-6.9565217391304168E-3</v>
      </c>
      <c r="BW132" s="752">
        <f t="shared" si="384"/>
        <v>-0.35551663747810858</v>
      </c>
      <c r="BX132" s="752">
        <f t="shared" si="384"/>
        <v>-0.73278985507246375</v>
      </c>
      <c r="BY132" s="752">
        <f t="shared" si="384"/>
        <v>-0.63389830508474576</v>
      </c>
      <c r="BZ132" s="752">
        <f t="shared" si="384"/>
        <v>-1</v>
      </c>
      <c r="CA132" s="752" t="str">
        <f t="shared" ref="CA132:CF132" si="385">IF(ISERROR(CA130/BZ130-1),"NA",CA130/BZ130-1)</f>
        <v>NA</v>
      </c>
      <c r="CB132" s="752" t="str">
        <f t="shared" si="385"/>
        <v>NA</v>
      </c>
      <c r="CC132" s="752" t="str">
        <f t="shared" si="385"/>
        <v>NA</v>
      </c>
      <c r="CD132" s="752" t="str">
        <f t="shared" si="385"/>
        <v>NA</v>
      </c>
      <c r="CE132" s="752" t="str">
        <f t="shared" si="385"/>
        <v>NA</v>
      </c>
      <c r="CF132" s="753" t="str">
        <f t="shared" si="385"/>
        <v>NA</v>
      </c>
      <c r="CG132" s="658"/>
      <c r="CH132" s="363"/>
    </row>
    <row r="133" spans="1:88" ht="14.25" hidden="1" customHeight="1" outlineLevel="3">
      <c r="A133" s="672"/>
      <c r="B133" s="651" t="s">
        <v>270</v>
      </c>
      <c r="C133" s="274"/>
      <c r="D133" s="754"/>
      <c r="E133" s="754"/>
      <c r="F133" s="754"/>
      <c r="G133" s="79"/>
      <c r="H133" s="247" t="e">
        <f>H130/#REF!</f>
        <v>#REF!</v>
      </c>
      <c r="I133" s="765" t="e">
        <f>I130/#REF!</f>
        <v>#REF!</v>
      </c>
      <c r="J133" s="765" t="e">
        <f>J130/#REF!</f>
        <v>#REF!</v>
      </c>
      <c r="K133" s="749" t="e">
        <f>K130/#REF!</f>
        <v>#REF!</v>
      </c>
      <c r="L133" s="247" t="e">
        <f>L130/#REF!</f>
        <v>#REF!</v>
      </c>
      <c r="M133" s="765" t="e">
        <f>M130/#REF!</f>
        <v>#REF!</v>
      </c>
      <c r="N133" s="765" t="e">
        <f>N130/#REF!</f>
        <v>#REF!</v>
      </c>
      <c r="O133" s="46" t="e">
        <f>O130/#REF!</f>
        <v>#REF!</v>
      </c>
      <c r="P133" s="522" t="e">
        <f>P130/#REF!</f>
        <v>#REF!</v>
      </c>
      <c r="Q133" s="46" t="e">
        <f>Q130/#REF!</f>
        <v>#REF!</v>
      </c>
      <c r="R133" s="46" t="e">
        <f>R130/#REF!</f>
        <v>#REF!</v>
      </c>
      <c r="S133" s="749" t="e">
        <f>S130/#REF!</f>
        <v>#REF!</v>
      </c>
      <c r="T133" s="247" t="e">
        <f>T130/#REF!</f>
        <v>#REF!</v>
      </c>
      <c r="U133" s="765" t="e">
        <f>U130/#REF!</f>
        <v>#REF!</v>
      </c>
      <c r="V133" s="765" t="e">
        <f>V130/#REF!</f>
        <v>#REF!</v>
      </c>
      <c r="W133" s="749" t="e">
        <f>W130/#REF!</f>
        <v>#REF!</v>
      </c>
      <c r="X133" s="247" t="e">
        <f>X130/#REF!</f>
        <v>#REF!</v>
      </c>
      <c r="Y133" s="765" t="e">
        <f>Y130/#REF!</f>
        <v>#REF!</v>
      </c>
      <c r="Z133" s="765" t="e">
        <f>Z130/#REF!</f>
        <v>#REF!</v>
      </c>
      <c r="AA133" s="46" t="e">
        <f>AA130/#REF!</f>
        <v>#REF!</v>
      </c>
      <c r="AB133" s="522" t="e">
        <f>AB130/#REF!</f>
        <v>#REF!</v>
      </c>
      <c r="AC133" s="46" t="e">
        <f>AC130/#REF!</f>
        <v>#REF!</v>
      </c>
      <c r="AD133" s="46" t="e">
        <f>AD130/#REF!</f>
        <v>#REF!</v>
      </c>
      <c r="AE133" s="749" t="e">
        <f>AE130/#REF!</f>
        <v>#REF!</v>
      </c>
      <c r="AF133" s="76">
        <f>+AF130/AF$14</f>
        <v>2.787568087151554E-2</v>
      </c>
      <c r="AG133" s="46">
        <f>+AG130/AG$14</f>
        <v>2.6986506746626688E-2</v>
      </c>
      <c r="AH133" s="46">
        <f>+AH130/AH$14</f>
        <v>1.5929203539823009E-2</v>
      </c>
      <c r="AI133" s="77">
        <f>+AI130/AI$14</f>
        <v>2.1483719368915744E-2</v>
      </c>
      <c r="AJ133" s="770"/>
      <c r="AK133" s="78"/>
      <c r="AL133" s="78"/>
      <c r="AM133" s="79"/>
      <c r="AN133" s="754"/>
      <c r="AO133" s="754"/>
      <c r="AP133" s="754"/>
      <c r="AQ133" s="79"/>
      <c r="AR133" s="754"/>
      <c r="AS133" s="754"/>
      <c r="AT133" s="754"/>
      <c r="AU133" s="79"/>
      <c r="AV133" s="754"/>
      <c r="AW133" s="754"/>
      <c r="AX133" s="754"/>
      <c r="AY133" s="79"/>
      <c r="AZ133" s="754"/>
      <c r="BA133" s="754"/>
      <c r="BB133" s="754"/>
      <c r="BC133" s="78"/>
      <c r="BD133" s="770"/>
      <c r="BE133" s="78"/>
      <c r="BF133" s="78"/>
      <c r="BG133" s="79"/>
      <c r="BH133" s="770"/>
      <c r="BI133" s="78"/>
      <c r="BJ133" s="78"/>
      <c r="BK133" s="79"/>
      <c r="BL133" s="770"/>
      <c r="BM133" s="78"/>
      <c r="BN133" s="78"/>
      <c r="BO133" s="79"/>
      <c r="BP133" s="657"/>
      <c r="BQ133" s="8"/>
      <c r="BR133" s="751" t="str">
        <f t="shared" ref="BR133:CE133" si="386">IF(ISERROR(BR130/BR14),"NA",BR130/BR14)</f>
        <v>NA</v>
      </c>
      <c r="BS133" s="751">
        <f t="shared" si="386"/>
        <v>0.23977157727338441</v>
      </c>
      <c r="BT133" s="752">
        <f t="shared" si="386"/>
        <v>0.20302375809935205</v>
      </c>
      <c r="BU133" s="752">
        <f t="shared" si="386"/>
        <v>0.16542002301495973</v>
      </c>
      <c r="BV133" s="752">
        <f t="shared" si="386"/>
        <v>0.12265501933266504</v>
      </c>
      <c r="BW133" s="752">
        <f t="shared" si="386"/>
        <v>8.0372743156668605E-2</v>
      </c>
      <c r="BX133" s="752">
        <f t="shared" si="386"/>
        <v>2.3001949317738791E-2</v>
      </c>
      <c r="BY133" s="752">
        <f t="shared" si="386"/>
        <v>8.8494660117064434E-3</v>
      </c>
      <c r="BZ133" s="752">
        <f t="shared" si="386"/>
        <v>0</v>
      </c>
      <c r="CA133" s="752">
        <f t="shared" si="386"/>
        <v>0</v>
      </c>
      <c r="CB133" s="752">
        <f t="shared" si="386"/>
        <v>0</v>
      </c>
      <c r="CC133" s="752">
        <f t="shared" si="386"/>
        <v>0</v>
      </c>
      <c r="CD133" s="752">
        <f t="shared" si="386"/>
        <v>0</v>
      </c>
      <c r="CE133" s="752">
        <f t="shared" si="386"/>
        <v>0</v>
      </c>
      <c r="CF133" s="753">
        <f>IF(ISERROR(CF130/CF14),"NA",CF130/CF14)</f>
        <v>0</v>
      </c>
      <c r="CG133" s="658"/>
      <c r="CH133" s="363"/>
    </row>
    <row r="134" spans="1:88" ht="14.25" hidden="1" customHeight="1" outlineLevel="3">
      <c r="A134" s="672"/>
      <c r="B134" s="824"/>
      <c r="C134" s="274"/>
      <c r="D134" s="754"/>
      <c r="E134" s="754"/>
      <c r="F134" s="754"/>
      <c r="G134" s="79"/>
      <c r="H134" s="754"/>
      <c r="I134" s="754"/>
      <c r="J134" s="754"/>
      <c r="K134" s="79"/>
      <c r="L134" s="754"/>
      <c r="M134" s="754"/>
      <c r="N134" s="754"/>
      <c r="O134" s="78"/>
      <c r="P134" s="522"/>
      <c r="Q134" s="76"/>
      <c r="R134" s="76"/>
      <c r="S134" s="77"/>
      <c r="T134" s="247"/>
      <c r="U134" s="247"/>
      <c r="V134" s="247"/>
      <c r="W134" s="77"/>
      <c r="X134" s="247"/>
      <c r="Y134" s="247"/>
      <c r="Z134" s="247"/>
      <c r="AA134" s="76"/>
      <c r="AB134" s="522"/>
      <c r="AC134" s="76"/>
      <c r="AD134" s="78"/>
      <c r="AE134" s="79"/>
      <c r="AF134" s="76"/>
      <c r="AG134" s="76"/>
      <c r="AH134" s="78"/>
      <c r="AI134" s="79"/>
      <c r="AJ134" s="770"/>
      <c r="AK134" s="78"/>
      <c r="AL134" s="78"/>
      <c r="AM134" s="79"/>
      <c r="AN134" s="754"/>
      <c r="AO134" s="754"/>
      <c r="AP134" s="754"/>
      <c r="AQ134" s="79"/>
      <c r="AR134" s="754"/>
      <c r="AS134" s="754"/>
      <c r="AT134" s="754"/>
      <c r="AU134" s="79"/>
      <c r="AV134" s="754"/>
      <c r="AW134" s="754"/>
      <c r="AX134" s="754"/>
      <c r="AY134" s="79"/>
      <c r="AZ134" s="754"/>
      <c r="BA134" s="754"/>
      <c r="BB134" s="754"/>
      <c r="BC134" s="78"/>
      <c r="BD134" s="770"/>
      <c r="BE134" s="78"/>
      <c r="BF134" s="78"/>
      <c r="BG134" s="79"/>
      <c r="BH134" s="770"/>
      <c r="BI134" s="78"/>
      <c r="BJ134" s="78"/>
      <c r="BK134" s="79"/>
      <c r="BL134" s="770"/>
      <c r="BM134" s="78"/>
      <c r="BN134" s="78"/>
      <c r="BO134" s="79"/>
      <c r="BP134" s="657"/>
      <c r="BQ134" s="8"/>
      <c r="BR134" s="8"/>
      <c r="BS134" s="8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224"/>
      <c r="CG134" s="658"/>
      <c r="CH134" s="363"/>
    </row>
    <row r="135" spans="1:88" ht="14.25" hidden="1" customHeight="1" outlineLevel="3">
      <c r="A135" s="672"/>
      <c r="B135" s="824" t="s">
        <v>340</v>
      </c>
      <c r="C135" s="274"/>
      <c r="D135" s="754"/>
      <c r="E135" s="754"/>
      <c r="F135" s="754"/>
      <c r="G135" s="79"/>
      <c r="H135" s="754"/>
      <c r="I135" s="754"/>
      <c r="J135" s="754"/>
      <c r="K135" s="79"/>
      <c r="L135" s="754"/>
      <c r="M135" s="754"/>
      <c r="N135" s="754"/>
      <c r="O135" s="78"/>
      <c r="P135" s="658"/>
      <c r="Q135" s="318"/>
      <c r="R135" s="318"/>
      <c r="S135" s="79"/>
      <c r="W135" s="79"/>
      <c r="AA135" s="78"/>
      <c r="AB135" s="658"/>
      <c r="AC135" s="318"/>
      <c r="AD135" s="318"/>
      <c r="AE135" s="79"/>
      <c r="AF135" s="318"/>
      <c r="AG135" s="318"/>
      <c r="AH135" s="318"/>
      <c r="AI135" s="79"/>
      <c r="AJ135" s="658"/>
      <c r="AK135" s="318"/>
      <c r="AL135" s="318"/>
      <c r="AM135" s="79"/>
      <c r="AQ135" s="79"/>
      <c r="AU135" s="79"/>
      <c r="AY135" s="79"/>
      <c r="BC135" s="318"/>
      <c r="BD135" s="364"/>
      <c r="BE135" s="363"/>
      <c r="BF135" s="363"/>
      <c r="BG135" s="843"/>
      <c r="BH135" s="364"/>
      <c r="BI135" s="363"/>
      <c r="BJ135" s="363"/>
      <c r="BK135" s="843"/>
      <c r="BL135" s="364"/>
      <c r="BM135" s="363"/>
      <c r="BN135" s="363"/>
      <c r="BO135" s="843"/>
      <c r="BP135" s="657"/>
      <c r="BQ135" s="8"/>
      <c r="BR135" s="8"/>
      <c r="BS135" s="8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224"/>
      <c r="CG135" s="658"/>
      <c r="CH135" s="363"/>
    </row>
    <row r="136" spans="1:88" ht="14.25" hidden="1" customHeight="1" outlineLevel="3">
      <c r="A136" s="672"/>
      <c r="B136" s="705" t="s">
        <v>352</v>
      </c>
      <c r="C136" s="274"/>
      <c r="D136" s="754"/>
      <c r="E136" s="754"/>
      <c r="F136" s="754"/>
      <c r="G136" s="79"/>
      <c r="H136" s="754"/>
      <c r="I136" s="754"/>
      <c r="J136" s="754"/>
      <c r="K136" s="79"/>
      <c r="L136" s="687">
        <f t="shared" ref="L136:AM136" si="387">L$588</f>
        <v>254.86758900000001</v>
      </c>
      <c r="M136" s="687">
        <f t="shared" si="387"/>
        <v>266.44064700000001</v>
      </c>
      <c r="N136" s="687">
        <f t="shared" si="387"/>
        <v>289.84510899999998</v>
      </c>
      <c r="O136" s="687">
        <f t="shared" si="387"/>
        <v>330.91119299999997</v>
      </c>
      <c r="P136" s="688">
        <f t="shared" si="387"/>
        <v>290.67547965103205</v>
      </c>
      <c r="Q136" s="687">
        <f t="shared" si="387"/>
        <v>302.12644473478537</v>
      </c>
      <c r="R136" s="687">
        <f t="shared" si="387"/>
        <v>305.3219282458806</v>
      </c>
      <c r="S136" s="689">
        <f t="shared" si="387"/>
        <v>292.16773055793749</v>
      </c>
      <c r="T136" s="687">
        <f t="shared" si="387"/>
        <v>248.96655679588864</v>
      </c>
      <c r="U136" s="687">
        <f t="shared" si="387"/>
        <v>281.216454</v>
      </c>
      <c r="V136" s="687">
        <f t="shared" si="387"/>
        <v>301.09908000000001</v>
      </c>
      <c r="W136" s="689">
        <f t="shared" si="387"/>
        <v>340.55178599999999</v>
      </c>
      <c r="X136" s="687">
        <f t="shared" si="387"/>
        <v>310.92998499999999</v>
      </c>
      <c r="Y136" s="687">
        <f t="shared" si="387"/>
        <v>328.67352299999999</v>
      </c>
      <c r="Z136" s="687">
        <f t="shared" si="387"/>
        <v>348.97980200000001</v>
      </c>
      <c r="AA136" s="687">
        <f t="shared" si="387"/>
        <v>402.61337499999996</v>
      </c>
      <c r="AB136" s="688">
        <f t="shared" si="387"/>
        <v>362.84154000000001</v>
      </c>
      <c r="AC136" s="687">
        <f t="shared" si="387"/>
        <v>360.80370900000003</v>
      </c>
      <c r="AD136" s="687">
        <f t="shared" si="387"/>
        <v>385.53671347897961</v>
      </c>
      <c r="AE136" s="689">
        <f t="shared" si="387"/>
        <v>427.48369982000003</v>
      </c>
      <c r="AF136" s="687">
        <f t="shared" si="387"/>
        <v>379.11552345672357</v>
      </c>
      <c r="AG136" s="687">
        <f t="shared" si="387"/>
        <v>389.80798499637706</v>
      </c>
      <c r="AH136" s="687">
        <f t="shared" si="387"/>
        <v>402.81415587017295</v>
      </c>
      <c r="AI136" s="689">
        <f t="shared" si="387"/>
        <v>451.68937129446067</v>
      </c>
      <c r="AJ136" s="688">
        <f t="shared" si="387"/>
        <v>406.34372756554541</v>
      </c>
      <c r="AK136" s="687">
        <f t="shared" si="387"/>
        <v>413.69565466811321</v>
      </c>
      <c r="AL136" s="687">
        <f t="shared" si="387"/>
        <v>429.64710155892413</v>
      </c>
      <c r="AM136" s="689">
        <f t="shared" si="387"/>
        <v>488.55138308920277</v>
      </c>
      <c r="AN136" s="687">
        <f t="shared" ref="AN136:AY136" si="388">AM136*(1+AN137)</f>
        <v>435.23941343233298</v>
      </c>
      <c r="AO136" s="687">
        <f t="shared" si="388"/>
        <v>439.69424974833743</v>
      </c>
      <c r="AP136" s="687">
        <f t="shared" si="388"/>
        <v>469.16987308761333</v>
      </c>
      <c r="AQ136" s="689">
        <f t="shared" si="388"/>
        <v>513.81978227100035</v>
      </c>
      <c r="AR136" s="687">
        <f t="shared" si="388"/>
        <v>457.75046061987433</v>
      </c>
      <c r="AS136" s="687">
        <f t="shared" si="388"/>
        <v>462.4357058267729</v>
      </c>
      <c r="AT136" s="687">
        <f t="shared" si="388"/>
        <v>493.43583987761326</v>
      </c>
      <c r="AU136" s="689">
        <f t="shared" si="388"/>
        <v>540.39509003869398</v>
      </c>
      <c r="AV136" s="687">
        <f t="shared" ref="AV136:BC136" si="389">AU136*(1+AV137)</f>
        <v>481.42580320401925</v>
      </c>
      <c r="AW136" s="687">
        <f t="shared" si="388"/>
        <v>486.35337429566698</v>
      </c>
      <c r="AX136" s="687">
        <f t="shared" si="388"/>
        <v>518.95686837986307</v>
      </c>
      <c r="AY136" s="689">
        <f t="shared" si="388"/>
        <v>568.34490109979174</v>
      </c>
      <c r="AZ136" s="687">
        <f t="shared" si="389"/>
        <v>506.32565978585103</v>
      </c>
      <c r="BA136" s="687">
        <f t="shared" si="389"/>
        <v>511.5080901157495</v>
      </c>
      <c r="BB136" s="687">
        <f t="shared" si="389"/>
        <v>545.79787172620649</v>
      </c>
      <c r="BC136" s="687">
        <f t="shared" si="389"/>
        <v>597.7403062322478</v>
      </c>
      <c r="BD136" s="688">
        <f t="shared" ref="BD136" si="390">BC136*(1+BD137)</f>
        <v>532.51336353679903</v>
      </c>
      <c r="BE136" s="687">
        <f t="shared" ref="BE136" si="391">BD136*(1+BE137)</f>
        <v>537.96383469687521</v>
      </c>
      <c r="BF136" s="687">
        <f t="shared" ref="BF136" si="392">BE136*(1+BF137)</f>
        <v>574.02712042497683</v>
      </c>
      <c r="BG136" s="689">
        <f t="shared" ref="BG136" si="393">BF136*(1+BG137)</f>
        <v>628.65607310495886</v>
      </c>
      <c r="BH136" s="688">
        <f t="shared" ref="BH136" si="394">BG136*(1+BH137)</f>
        <v>560.05552328754266</v>
      </c>
      <c r="BI136" s="687">
        <f t="shared" ref="BI136" si="395">BH136*(1+BI137)</f>
        <v>565.78789863573274</v>
      </c>
      <c r="BJ136" s="687">
        <f t="shared" ref="BJ136" si="396">BI136*(1+BJ137)</f>
        <v>603.71641600809426</v>
      </c>
      <c r="BK136" s="689">
        <f t="shared" ref="BK136" si="397">BJ136*(1+BK137)</f>
        <v>661.17083645049024</v>
      </c>
      <c r="BL136" s="688">
        <f t="shared" ref="BL136" si="398">BK136*(1+BL137)</f>
        <v>589.02219294860527</v>
      </c>
      <c r="BM136" s="687">
        <f t="shared" ref="BM136" si="399">BL136*(1+BM137)</f>
        <v>595.05105287052038</v>
      </c>
      <c r="BN136" s="687">
        <f t="shared" ref="BN136" si="400">BM136*(1+BN137)</f>
        <v>634.94127365937504</v>
      </c>
      <c r="BO136" s="689">
        <f t="shared" ref="BO136" si="401">BN136*(1+BO137)</f>
        <v>695.36729807373695</v>
      </c>
      <c r="BP136" s="657"/>
      <c r="BQ136" s="8"/>
      <c r="BR136" s="273"/>
      <c r="BS136" s="273">
        <f>SUM(L136:O136)</f>
        <v>1142.0645380000001</v>
      </c>
      <c r="BT136" s="691">
        <f>SUM(P136:S136)</f>
        <v>1190.2915831896355</v>
      </c>
      <c r="BU136" s="691">
        <f>SUM(T136:W136)</f>
        <v>1171.8338767958887</v>
      </c>
      <c r="BV136" s="691">
        <f>SUM(X136:AA136)</f>
        <v>1391.1966849999999</v>
      </c>
      <c r="BW136" s="691">
        <f>SUM(AB136:AE136)</f>
        <v>1536.6656622989797</v>
      </c>
      <c r="BX136" s="691">
        <f>SUM(AF136:AI136)</f>
        <v>1623.4270356177342</v>
      </c>
      <c r="BY136" s="691">
        <f>SUM(AJ136:AM136)</f>
        <v>1738.2378668817855</v>
      </c>
      <c r="BZ136" s="691">
        <f>+SUM(AN136:AQ136)</f>
        <v>1857.9233185392841</v>
      </c>
      <c r="CA136" s="691">
        <f>+SUM(AR136:AU136)</f>
        <v>1954.0170963629544</v>
      </c>
      <c r="CB136" s="691">
        <f>SUM(AV136:AY136)</f>
        <v>2055.0809469793412</v>
      </c>
      <c r="CC136" s="691">
        <f>SUM(AZ136:BC136)</f>
        <v>2161.3719278600547</v>
      </c>
      <c r="CD136" s="691">
        <f>SUM(BD136:BG136)</f>
        <v>2273.1603917636098</v>
      </c>
      <c r="CE136" s="691">
        <f>SUM(BH136:BK136)</f>
        <v>2390.7306743818599</v>
      </c>
      <c r="CF136" s="692">
        <f>SUM(BL136:BO136)</f>
        <v>2514.3818175522374</v>
      </c>
      <c r="CG136" s="658"/>
      <c r="CH136" s="363"/>
    </row>
    <row r="137" spans="1:88" ht="14.25" hidden="1" customHeight="1" outlineLevel="3">
      <c r="A137" s="672"/>
      <c r="B137" s="651" t="s">
        <v>268</v>
      </c>
      <c r="C137" s="274"/>
      <c r="D137" s="754"/>
      <c r="E137" s="754"/>
      <c r="F137" s="754"/>
      <c r="G137" s="79"/>
      <c r="H137" s="754"/>
      <c r="I137" s="754"/>
      <c r="J137" s="754"/>
      <c r="K137" s="79"/>
      <c r="L137" s="247"/>
      <c r="M137" s="247">
        <f t="shared" ref="M137:AM137" si="402">IF(ISERROR(M136/L136-1),"NA",M136/L136-1)</f>
        <v>4.5408119743307163E-2</v>
      </c>
      <c r="N137" s="275">
        <f t="shared" si="402"/>
        <v>8.7841184382051019E-2</v>
      </c>
      <c r="O137" s="231">
        <f t="shared" si="402"/>
        <v>0.14168285999954544</v>
      </c>
      <c r="P137" s="760">
        <f t="shared" si="402"/>
        <v>-0.12159066903780413</v>
      </c>
      <c r="Q137" s="46">
        <f t="shared" si="402"/>
        <v>3.9394327645044802E-2</v>
      </c>
      <c r="R137" s="46">
        <f t="shared" si="402"/>
        <v>1.0576642881758636E-2</v>
      </c>
      <c r="S137" s="749">
        <f t="shared" si="402"/>
        <v>-4.3083042752664058E-2</v>
      </c>
      <c r="T137" s="765">
        <f t="shared" si="402"/>
        <v>-0.14786428904913562</v>
      </c>
      <c r="U137" s="765">
        <f t="shared" si="402"/>
        <v>0.12953505731515147</v>
      </c>
      <c r="V137" s="765">
        <f t="shared" si="402"/>
        <v>7.0702214316378464E-2</v>
      </c>
      <c r="W137" s="749">
        <f t="shared" si="402"/>
        <v>0.131028982220736</v>
      </c>
      <c r="X137" s="765">
        <f t="shared" si="402"/>
        <v>-8.6981781384637968E-2</v>
      </c>
      <c r="Y137" s="765">
        <f t="shared" si="402"/>
        <v>5.706602404396599E-2</v>
      </c>
      <c r="Z137" s="765">
        <f t="shared" si="402"/>
        <v>6.1782521496263065E-2</v>
      </c>
      <c r="AA137" s="46">
        <f t="shared" si="402"/>
        <v>0.15368675405460852</v>
      </c>
      <c r="AB137" s="760">
        <f t="shared" si="402"/>
        <v>-9.8784187187025196E-2</v>
      </c>
      <c r="AC137" s="46">
        <f t="shared" si="402"/>
        <v>-5.6163111864203641E-3</v>
      </c>
      <c r="AD137" s="46">
        <f t="shared" si="402"/>
        <v>6.8549751186120833E-2</v>
      </c>
      <c r="AE137" s="749">
        <f t="shared" si="402"/>
        <v>0.10880153529997716</v>
      </c>
      <c r="AF137" s="46">
        <f t="shared" si="402"/>
        <v>-0.11314624717537247</v>
      </c>
      <c r="AG137" s="46">
        <f t="shared" si="402"/>
        <v>2.8203702771548711E-2</v>
      </c>
      <c r="AH137" s="46">
        <f t="shared" si="402"/>
        <v>3.3365583503675023E-2</v>
      </c>
      <c r="AI137" s="749">
        <f t="shared" si="402"/>
        <v>0.12133440374930671</v>
      </c>
      <c r="AJ137" s="760">
        <f t="shared" si="402"/>
        <v>-0.10039121265785556</v>
      </c>
      <c r="AK137" s="46">
        <f t="shared" si="402"/>
        <v>1.8092877049226574E-2</v>
      </c>
      <c r="AL137" s="46">
        <f t="shared" si="402"/>
        <v>3.8558410538800381E-2</v>
      </c>
      <c r="AM137" s="749">
        <f t="shared" si="402"/>
        <v>0.13709921774533407</v>
      </c>
      <c r="AN137" s="844">
        <v>-0.10912254371232788</v>
      </c>
      <c r="AO137" s="844">
        <v>1.0235369726453003E-2</v>
      </c>
      <c r="AP137" s="844">
        <v>6.7036635926320365E-2</v>
      </c>
      <c r="AQ137" s="749">
        <v>9.5167894923741336E-2</v>
      </c>
      <c r="AR137" s="844">
        <v>-0.10912254371232788</v>
      </c>
      <c r="AS137" s="844">
        <v>1.0235369726453003E-2</v>
      </c>
      <c r="AT137" s="844">
        <v>6.7036635926320365E-2</v>
      </c>
      <c r="AU137" s="749">
        <v>9.5167894923741336E-2</v>
      </c>
      <c r="AV137" s="844">
        <v>-0.10912254371232788</v>
      </c>
      <c r="AW137" s="844">
        <v>1.0235369726453003E-2</v>
      </c>
      <c r="AX137" s="844">
        <v>6.7036635926320365E-2</v>
      </c>
      <c r="AY137" s="749">
        <v>9.5167894923741336E-2</v>
      </c>
      <c r="AZ137" s="844">
        <v>-0.10912254371232788</v>
      </c>
      <c r="BA137" s="844">
        <v>1.0235369726453003E-2</v>
      </c>
      <c r="BB137" s="844">
        <v>6.7036635926320365E-2</v>
      </c>
      <c r="BC137" s="129">
        <v>9.5167894923741336E-2</v>
      </c>
      <c r="BD137" s="868">
        <v>-0.10912254371232788</v>
      </c>
      <c r="BE137" s="129">
        <v>1.0235369726453003E-2</v>
      </c>
      <c r="BF137" s="129">
        <v>6.7036635926320365E-2</v>
      </c>
      <c r="BG137" s="130">
        <v>9.5167894923741336E-2</v>
      </c>
      <c r="BH137" s="868">
        <v>-0.10912254371232788</v>
      </c>
      <c r="BI137" s="129">
        <v>1.0235369726453003E-2</v>
      </c>
      <c r="BJ137" s="129">
        <v>6.7036635926320365E-2</v>
      </c>
      <c r="BK137" s="130">
        <v>9.5167894923741336E-2</v>
      </c>
      <c r="BL137" s="868">
        <v>-0.10912254371232788</v>
      </c>
      <c r="BM137" s="129">
        <v>1.0235369726453003E-2</v>
      </c>
      <c r="BN137" s="129">
        <v>6.7036635926320365E-2</v>
      </c>
      <c r="BO137" s="130">
        <v>9.5167894923741336E-2</v>
      </c>
      <c r="BP137" s="657"/>
      <c r="BQ137" s="8"/>
      <c r="BR137" s="8"/>
      <c r="BS137" s="8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224"/>
      <c r="CG137" s="658"/>
      <c r="CH137" s="363"/>
    </row>
    <row r="138" spans="1:88" ht="14.25" hidden="1" customHeight="1" outlineLevel="3">
      <c r="A138" s="672"/>
      <c r="B138" s="705" t="s">
        <v>353</v>
      </c>
      <c r="C138" s="274"/>
      <c r="D138" s="754"/>
      <c r="E138" s="754"/>
      <c r="F138" s="754"/>
      <c r="G138" s="79"/>
      <c r="H138" s="754"/>
      <c r="I138" s="754"/>
      <c r="J138" s="754"/>
      <c r="K138" s="79"/>
      <c r="L138" s="687">
        <f t="shared" ref="L138:AM138" si="403">L$589</f>
        <v>24.682172999999999</v>
      </c>
      <c r="M138" s="687">
        <f t="shared" si="403"/>
        <v>28.490221999999996</v>
      </c>
      <c r="N138" s="687">
        <f t="shared" si="403"/>
        <v>32.171437999999995</v>
      </c>
      <c r="O138" s="687">
        <f t="shared" si="403"/>
        <v>38.584620000000001</v>
      </c>
      <c r="P138" s="688">
        <f t="shared" si="403"/>
        <v>33.587949000000002</v>
      </c>
      <c r="Q138" s="687">
        <f t="shared" si="403"/>
        <v>36.623673999999994</v>
      </c>
      <c r="R138" s="687">
        <f t="shared" si="403"/>
        <v>41.597888999999995</v>
      </c>
      <c r="S138" s="689">
        <f t="shared" si="403"/>
        <v>38.957085999999997</v>
      </c>
      <c r="T138" s="687">
        <f t="shared" si="403"/>
        <v>34.845216000000001</v>
      </c>
      <c r="U138" s="687">
        <f t="shared" si="403"/>
        <v>41.937955930013075</v>
      </c>
      <c r="V138" s="687">
        <f t="shared" si="403"/>
        <v>42.818545</v>
      </c>
      <c r="W138" s="689">
        <f t="shared" si="403"/>
        <v>53.807292712714322</v>
      </c>
      <c r="X138" s="687">
        <f t="shared" si="403"/>
        <v>55.412658999999991</v>
      </c>
      <c r="Y138" s="687">
        <f t="shared" si="403"/>
        <v>64.413454999999999</v>
      </c>
      <c r="Z138" s="687">
        <f t="shared" si="403"/>
        <v>82.821638000000007</v>
      </c>
      <c r="AA138" s="687">
        <f t="shared" si="403"/>
        <v>102.04920800000001</v>
      </c>
      <c r="AB138" s="688">
        <f t="shared" si="403"/>
        <v>101.685351</v>
      </c>
      <c r="AC138" s="687">
        <f t="shared" si="403"/>
        <v>108.25429399999999</v>
      </c>
      <c r="AD138" s="687">
        <f t="shared" si="403"/>
        <v>123.56622900000004</v>
      </c>
      <c r="AE138" s="689">
        <f t="shared" si="403"/>
        <v>157.82802179999999</v>
      </c>
      <c r="AF138" s="687">
        <f t="shared" si="403"/>
        <v>134.19515063960799</v>
      </c>
      <c r="AG138" s="687">
        <f t="shared" si="403"/>
        <v>146.4070471710117</v>
      </c>
      <c r="AH138" s="687">
        <f t="shared" si="403"/>
        <v>168.27606051994167</v>
      </c>
      <c r="AI138" s="689">
        <f t="shared" si="403"/>
        <v>187.97423170204266</v>
      </c>
      <c r="AJ138" s="688">
        <f t="shared" si="403"/>
        <v>164.58462984625697</v>
      </c>
      <c r="AK138" s="687">
        <f t="shared" si="403"/>
        <v>178.98566957891035</v>
      </c>
      <c r="AL138" s="687">
        <f t="shared" si="403"/>
        <v>197.34635124517837</v>
      </c>
      <c r="AM138" s="689">
        <f t="shared" si="403"/>
        <v>225.6008375321388</v>
      </c>
      <c r="AN138" s="687">
        <f t="shared" ref="AN138:AY138" si="404">AM138*(1+AN139)</f>
        <v>199.51690809580558</v>
      </c>
      <c r="AO138" s="687">
        <f t="shared" si="404"/>
        <v>216.6711258410291</v>
      </c>
      <c r="AP138" s="687">
        <f t="shared" si="404"/>
        <v>249.45839497871026</v>
      </c>
      <c r="AQ138" s="689">
        <f t="shared" si="404"/>
        <v>285.61208382758053</v>
      </c>
      <c r="AR138" s="687">
        <f t="shared" si="404"/>
        <v>252.58966457498622</v>
      </c>
      <c r="AS138" s="687">
        <f t="shared" si="404"/>
        <v>274.30701248131822</v>
      </c>
      <c r="AT138" s="687">
        <f t="shared" si="404"/>
        <v>315.81590209301919</v>
      </c>
      <c r="AU138" s="689">
        <f t="shared" si="404"/>
        <v>361.58670030075541</v>
      </c>
      <c r="AV138" s="687">
        <f t="shared" ref="AV138:BC138" si="405">AU138*(1+AV139)</f>
        <v>319.78010915980781</v>
      </c>
      <c r="AW138" s="687">
        <f t="shared" si="404"/>
        <v>347.27440864286001</v>
      </c>
      <c r="AX138" s="687">
        <f t="shared" si="404"/>
        <v>399.82492480695896</v>
      </c>
      <c r="AY138" s="689">
        <f t="shared" si="404"/>
        <v>457.77104414572653</v>
      </c>
      <c r="AZ138" s="687">
        <f t="shared" si="405"/>
        <v>404.84363596714348</v>
      </c>
      <c r="BA138" s="687">
        <f t="shared" si="405"/>
        <v>439.65159259813532</v>
      </c>
      <c r="BB138" s="687">
        <f t="shared" si="405"/>
        <v>506.18087764879516</v>
      </c>
      <c r="BC138" s="687">
        <f t="shared" si="405"/>
        <v>579.54103036413846</v>
      </c>
      <c r="BD138" s="688">
        <f t="shared" ref="BD138" si="406">BC138*(1+BD139)</f>
        <v>512.53459764500224</v>
      </c>
      <c r="BE138" s="687">
        <f t="shared" ref="BE138" si="407">BD138*(1+BE139)</f>
        <v>556.60169037350931</v>
      </c>
      <c r="BF138" s="687">
        <f t="shared" ref="BF138" si="408">BE138*(1+BF139)</f>
        <v>640.8281850387657</v>
      </c>
      <c r="BG138" s="689">
        <f t="shared" ref="BG138" si="409">BF138*(1+BG139)</f>
        <v>733.70260126939638</v>
      </c>
      <c r="BH138" s="688">
        <f t="shared" ref="BH138" si="410">BG138*(1+BH139)</f>
        <v>648.87203464510924</v>
      </c>
      <c r="BI138" s="687">
        <f t="shared" ref="BI138" si="411">BH138*(1+BI139)</f>
        <v>704.66125209701306</v>
      </c>
      <c r="BJ138" s="687">
        <f t="shared" ref="BJ138" si="412">BI138*(1+BJ139)</f>
        <v>811.29252580143566</v>
      </c>
      <c r="BK138" s="689">
        <f t="shared" ref="BK138" si="413">BJ138*(1+BK139)</f>
        <v>928.87212277488061</v>
      </c>
      <c r="BL138" s="688">
        <f t="shared" ref="BL138" si="414">BK138*(1+BL139)</f>
        <v>821.47609015870978</v>
      </c>
      <c r="BM138" s="687">
        <f t="shared" ref="BM138" si="415">BL138*(1+BM139)</f>
        <v>892.10559147551385</v>
      </c>
      <c r="BN138" s="687">
        <f t="shared" ref="BN138" si="416">BM138*(1+BN139)</f>
        <v>1027.1014568147577</v>
      </c>
      <c r="BO138" s="689">
        <f t="shared" ref="BO138" si="417">BN138*(1+BO139)</f>
        <v>1175.9579684950772</v>
      </c>
      <c r="BP138" s="657"/>
      <c r="BQ138" s="8"/>
      <c r="BR138" s="273"/>
      <c r="BS138" s="273">
        <f>SUM(L138:O138)</f>
        <v>123.92845299999999</v>
      </c>
      <c r="BT138" s="691">
        <f>SUM(P138:S138)</f>
        <v>150.76659799999999</v>
      </c>
      <c r="BU138" s="691">
        <f>SUM(T138:W138)</f>
        <v>173.4090096427274</v>
      </c>
      <c r="BV138" s="691">
        <f>SUM(X138:AA138)</f>
        <v>304.69695999999999</v>
      </c>
      <c r="BW138" s="691">
        <f>SUM(AB138:AE138)</f>
        <v>491.33389579999999</v>
      </c>
      <c r="BX138" s="691">
        <f>SUM(AF138:AI138)</f>
        <v>636.85249003260401</v>
      </c>
      <c r="BY138" s="691">
        <f>SUM(AJ138:AM138)</f>
        <v>766.51748820248451</v>
      </c>
      <c r="BZ138" s="691">
        <f>+SUM(AN138:AQ138)</f>
        <v>951.25851274312549</v>
      </c>
      <c r="CA138" s="691">
        <f>+SUM(AR138:AU138)</f>
        <v>1204.2992794500792</v>
      </c>
      <c r="CB138" s="691">
        <f>SUM(AV138:AY138)</f>
        <v>1524.6504867553533</v>
      </c>
      <c r="CC138" s="691">
        <f>SUM(AZ138:BC138)</f>
        <v>1930.2171365782124</v>
      </c>
      <c r="CD138" s="691">
        <f>SUM(BD138:BG138)</f>
        <v>2443.6670743266736</v>
      </c>
      <c r="CE138" s="691">
        <f>SUM(BH138:BK138)</f>
        <v>3093.6979353184383</v>
      </c>
      <c r="CF138" s="692">
        <f>SUM(BL138:BO138)</f>
        <v>3916.6411069440587</v>
      </c>
      <c r="CG138" s="658"/>
      <c r="CH138" s="363"/>
    </row>
    <row r="139" spans="1:88" ht="14.25" hidden="1" customHeight="1" outlineLevel="3">
      <c r="A139" s="672"/>
      <c r="B139" s="651" t="s">
        <v>268</v>
      </c>
      <c r="C139" s="274"/>
      <c r="D139" s="754"/>
      <c r="E139" s="754"/>
      <c r="F139" s="754"/>
      <c r="G139" s="79"/>
      <c r="H139" s="754"/>
      <c r="I139" s="754"/>
      <c r="J139" s="754"/>
      <c r="K139" s="79"/>
      <c r="L139" s="247"/>
      <c r="M139" s="247">
        <f t="shared" ref="M139:AM139" si="418">IF(ISERROR(M138/L138-1),"NA",M138/L138-1)</f>
        <v>0.1542833769133698</v>
      </c>
      <c r="N139" s="275">
        <f t="shared" si="418"/>
        <v>0.12920980398116932</v>
      </c>
      <c r="O139" s="231">
        <f t="shared" si="418"/>
        <v>0.19934396466828774</v>
      </c>
      <c r="P139" s="760">
        <f t="shared" si="418"/>
        <v>-0.12949903355274717</v>
      </c>
      <c r="Q139" s="46">
        <f t="shared" si="418"/>
        <v>9.0381374581698593E-2</v>
      </c>
      <c r="R139" s="46">
        <f t="shared" si="418"/>
        <v>0.13581966134801227</v>
      </c>
      <c r="S139" s="749">
        <f t="shared" si="418"/>
        <v>-6.3484062857131929E-2</v>
      </c>
      <c r="T139" s="765">
        <f t="shared" si="418"/>
        <v>-0.10554870556796769</v>
      </c>
      <c r="U139" s="765">
        <f t="shared" si="418"/>
        <v>0.20354989132548562</v>
      </c>
      <c r="V139" s="765">
        <f t="shared" si="418"/>
        <v>2.0997424658857344E-2</v>
      </c>
      <c r="W139" s="749">
        <f t="shared" si="418"/>
        <v>0.25663524327401421</v>
      </c>
      <c r="X139" s="765">
        <f t="shared" si="418"/>
        <v>2.9835477801438026E-2</v>
      </c>
      <c r="Y139" s="765">
        <f t="shared" si="418"/>
        <v>0.16243212584330258</v>
      </c>
      <c r="Z139" s="765">
        <f t="shared" si="418"/>
        <v>0.28578164298126851</v>
      </c>
      <c r="AA139" s="46">
        <f t="shared" si="418"/>
        <v>0.23215635991164518</v>
      </c>
      <c r="AB139" s="760">
        <f t="shared" si="418"/>
        <v>-3.5655053785426105E-3</v>
      </c>
      <c r="AC139" s="46">
        <f t="shared" si="418"/>
        <v>6.4600681763885337E-2</v>
      </c>
      <c r="AD139" s="46">
        <f t="shared" si="418"/>
        <v>0.14144413523217891</v>
      </c>
      <c r="AE139" s="749">
        <f t="shared" si="418"/>
        <v>0.27727473013682347</v>
      </c>
      <c r="AF139" s="46">
        <f t="shared" si="418"/>
        <v>-0.14973811932040582</v>
      </c>
      <c r="AG139" s="46">
        <f t="shared" si="418"/>
        <v>9.100102703561741E-2</v>
      </c>
      <c r="AH139" s="46">
        <f t="shared" si="418"/>
        <v>0.14937131628223965</v>
      </c>
      <c r="AI139" s="749">
        <f t="shared" si="418"/>
        <v>0.11705866610638083</v>
      </c>
      <c r="AJ139" s="760">
        <f t="shared" si="418"/>
        <v>-0.12442983085501036</v>
      </c>
      <c r="AK139" s="46">
        <f t="shared" si="418"/>
        <v>8.7499298969203831E-2</v>
      </c>
      <c r="AL139" s="46">
        <f t="shared" si="418"/>
        <v>0.10258185311407431</v>
      </c>
      <c r="AM139" s="749">
        <f t="shared" si="418"/>
        <v>0.14317207340640281</v>
      </c>
      <c r="AN139" s="844">
        <v>-0.11561982535910287</v>
      </c>
      <c r="AO139" s="844">
        <v>8.5978766957366171E-2</v>
      </c>
      <c r="AP139" s="844">
        <v>0.15132274321469619</v>
      </c>
      <c r="AQ139" s="749">
        <v>0.14492873191121025</v>
      </c>
      <c r="AR139" s="844">
        <v>-0.11561982535910287</v>
      </c>
      <c r="AS139" s="844">
        <v>8.5978766957366171E-2</v>
      </c>
      <c r="AT139" s="844">
        <v>0.15132274321469619</v>
      </c>
      <c r="AU139" s="749">
        <v>0.14492873191121025</v>
      </c>
      <c r="AV139" s="844">
        <v>-0.11561982535910287</v>
      </c>
      <c r="AW139" s="844">
        <v>8.5978766957366171E-2</v>
      </c>
      <c r="AX139" s="844">
        <v>0.15132274321469619</v>
      </c>
      <c r="AY139" s="749">
        <v>0.14492873191121025</v>
      </c>
      <c r="AZ139" s="844">
        <v>-0.11561982535910287</v>
      </c>
      <c r="BA139" s="844">
        <v>8.5978766957366171E-2</v>
      </c>
      <c r="BB139" s="844">
        <v>0.15132274321469619</v>
      </c>
      <c r="BC139" s="129">
        <v>0.14492873191121025</v>
      </c>
      <c r="BD139" s="868">
        <v>-0.11561982535910287</v>
      </c>
      <c r="BE139" s="129">
        <v>8.5978766957366171E-2</v>
      </c>
      <c r="BF139" s="129">
        <v>0.15132274321469619</v>
      </c>
      <c r="BG139" s="130">
        <v>0.14492873191121025</v>
      </c>
      <c r="BH139" s="868">
        <v>-0.11561982535910287</v>
      </c>
      <c r="BI139" s="129">
        <v>8.5978766957366171E-2</v>
      </c>
      <c r="BJ139" s="129">
        <v>0.15132274321469619</v>
      </c>
      <c r="BK139" s="130">
        <v>0.14492873191121025</v>
      </c>
      <c r="BL139" s="868">
        <v>-0.11561982535910287</v>
      </c>
      <c r="BM139" s="129">
        <v>8.5978766957366171E-2</v>
      </c>
      <c r="BN139" s="129">
        <v>0.15132274321469619</v>
      </c>
      <c r="BO139" s="130">
        <v>0.14492873191121025</v>
      </c>
      <c r="BP139" s="657"/>
      <c r="BQ139" s="8"/>
      <c r="BR139" s="8"/>
      <c r="BS139" s="8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224"/>
      <c r="CG139" s="658"/>
      <c r="CH139" s="363"/>
    </row>
    <row r="140" spans="1:88" ht="14.25" hidden="1" customHeight="1" outlineLevel="3">
      <c r="A140" s="672"/>
      <c r="B140" s="705" t="s">
        <v>354</v>
      </c>
      <c r="C140" s="274"/>
      <c r="D140" s="754"/>
      <c r="E140" s="754"/>
      <c r="F140" s="754"/>
      <c r="G140" s="79"/>
      <c r="H140" s="754"/>
      <c r="I140" s="754"/>
      <c r="J140" s="754"/>
      <c r="K140" s="79"/>
      <c r="L140" s="687">
        <f t="shared" ref="L140:AM140" si="419">L$591</f>
        <v>0</v>
      </c>
      <c r="M140" s="687">
        <f t="shared" si="419"/>
        <v>0</v>
      </c>
      <c r="N140" s="687">
        <f t="shared" si="419"/>
        <v>0</v>
      </c>
      <c r="O140" s="687">
        <f t="shared" si="419"/>
        <v>0</v>
      </c>
      <c r="P140" s="688">
        <f t="shared" si="419"/>
        <v>0</v>
      </c>
      <c r="Q140" s="687">
        <f t="shared" si="419"/>
        <v>0</v>
      </c>
      <c r="R140" s="687">
        <f t="shared" si="419"/>
        <v>0</v>
      </c>
      <c r="S140" s="689">
        <f t="shared" si="419"/>
        <v>0</v>
      </c>
      <c r="T140" s="687">
        <f t="shared" si="419"/>
        <v>0</v>
      </c>
      <c r="U140" s="687">
        <f t="shared" si="419"/>
        <v>0</v>
      </c>
      <c r="V140" s="687">
        <f t="shared" si="419"/>
        <v>0</v>
      </c>
      <c r="W140" s="689">
        <f t="shared" si="419"/>
        <v>0</v>
      </c>
      <c r="X140" s="687">
        <f t="shared" si="419"/>
        <v>1.299E-3</v>
      </c>
      <c r="Y140" s="687">
        <f t="shared" si="419"/>
        <v>3.4058409999999988</v>
      </c>
      <c r="Z140" s="687">
        <f t="shared" si="419"/>
        <v>4.9638</v>
      </c>
      <c r="AA140" s="687">
        <f t="shared" si="419"/>
        <v>11.135983000000008</v>
      </c>
      <c r="AB140" s="688">
        <f t="shared" si="419"/>
        <v>8.155303</v>
      </c>
      <c r="AC140" s="687">
        <f t="shared" si="419"/>
        <v>14.602788000000007</v>
      </c>
      <c r="AD140" s="687">
        <f t="shared" si="419"/>
        <v>18.094753999999991</v>
      </c>
      <c r="AE140" s="689">
        <f t="shared" si="419"/>
        <v>21.222568400000011</v>
      </c>
      <c r="AF140" s="687">
        <f t="shared" si="419"/>
        <v>21.963208000000002</v>
      </c>
      <c r="AG140" s="687">
        <f t="shared" si="419"/>
        <v>21.742804100000015</v>
      </c>
      <c r="AH140" s="687">
        <f t="shared" si="419"/>
        <v>24.968514999999986</v>
      </c>
      <c r="AI140" s="689">
        <f t="shared" si="419"/>
        <v>26.475062210000015</v>
      </c>
      <c r="AJ140" s="688">
        <f t="shared" si="419"/>
        <v>27.756765730000001</v>
      </c>
      <c r="AK140" s="687">
        <f t="shared" si="419"/>
        <v>27.109071980000017</v>
      </c>
      <c r="AL140" s="687">
        <f t="shared" si="419"/>
        <v>29.495926499999985</v>
      </c>
      <c r="AM140" s="689">
        <f t="shared" si="419"/>
        <v>29.858363845500016</v>
      </c>
      <c r="AN140" s="687">
        <f t="shared" ref="AN140:AY140" si="420">AM140*(1+AN141)</f>
        <v>30.623732037475424</v>
      </c>
      <c r="AO140" s="687">
        <f t="shared" si="420"/>
        <v>32.017555670852886</v>
      </c>
      <c r="AP140" s="687">
        <f t="shared" si="420"/>
        <v>31.671590249843284</v>
      </c>
      <c r="AQ140" s="689">
        <f t="shared" si="420"/>
        <v>33.935759051036904</v>
      </c>
      <c r="AR140" s="687">
        <f t="shared" si="420"/>
        <v>34.805644309405459</v>
      </c>
      <c r="AS140" s="687">
        <f t="shared" si="420"/>
        <v>36.389805559053677</v>
      </c>
      <c r="AT140" s="687">
        <f t="shared" si="420"/>
        <v>35.996595829675222</v>
      </c>
      <c r="AU140" s="689">
        <f t="shared" si="420"/>
        <v>38.569954747992568</v>
      </c>
      <c r="AV140" s="687">
        <f t="shared" ref="AV140:BC140" si="421">AU140*(1+AV141)</f>
        <v>39.55862970294973</v>
      </c>
      <c r="AW140" s="687">
        <f t="shared" si="420"/>
        <v>41.35912067238889</v>
      </c>
      <c r="AX140" s="687">
        <f t="shared" si="420"/>
        <v>40.91221505151303</v>
      </c>
      <c r="AY140" s="689">
        <f t="shared" si="420"/>
        <v>43.836986437370996</v>
      </c>
      <c r="AZ140" s="687">
        <f t="shared" si="421"/>
        <v>44.960672759395557</v>
      </c>
      <c r="BA140" s="687">
        <f t="shared" si="421"/>
        <v>47.007034978993993</v>
      </c>
      <c r="BB140" s="687">
        <f t="shared" si="421"/>
        <v>46.499100868904335</v>
      </c>
      <c r="BC140" s="687">
        <f t="shared" si="421"/>
        <v>49.823272867860062</v>
      </c>
      <c r="BD140" s="688">
        <f t="shared" ref="BD140" si="422">BC140*(1+BD141)</f>
        <v>51.100407424545374</v>
      </c>
      <c r="BE140" s="687">
        <f t="shared" ref="BE140" si="423">BD140*(1+BE141)</f>
        <v>53.426216553765414</v>
      </c>
      <c r="BF140" s="687">
        <f t="shared" ref="BF140" si="424">BE140*(1+BF141)</f>
        <v>52.848920032663393</v>
      </c>
      <c r="BG140" s="689">
        <f t="shared" ref="BG140" si="425">BF140*(1+BG141)</f>
        <v>56.627033950240516</v>
      </c>
      <c r="BH140" s="688">
        <f t="shared" ref="BH140" si="426">BG140*(1+BH141)</f>
        <v>58.078571308941349</v>
      </c>
      <c r="BI140" s="687">
        <f t="shared" ref="BI140" si="427">BH140*(1+BI141)</f>
        <v>60.721988028501777</v>
      </c>
      <c r="BJ140" s="687">
        <f t="shared" ref="BJ140" si="428">BI140*(1+BJ141)</f>
        <v>60.065857111801442</v>
      </c>
      <c r="BK140" s="689">
        <f t="shared" ref="BK140" si="429">BJ140*(1+BK141)</f>
        <v>64.359902299196719</v>
      </c>
      <c r="BL140" s="688">
        <f t="shared" ref="BL140" si="430">BK140*(1+BL141)</f>
        <v>66.009658538799712</v>
      </c>
      <c r="BM140" s="687">
        <f t="shared" ref="BM140" si="431">BL140*(1+BM141)</f>
        <v>69.014054671510266</v>
      </c>
      <c r="BN140" s="687">
        <f t="shared" ref="BN140" si="432">BM140*(1+BN141)</f>
        <v>68.268323900383834</v>
      </c>
      <c r="BO140" s="689">
        <f t="shared" ref="BO140" si="433">BN140*(1+BO141)</f>
        <v>73.148754843878834</v>
      </c>
      <c r="BP140" s="657"/>
      <c r="BQ140" s="8"/>
      <c r="BR140" s="273"/>
      <c r="BS140" s="273">
        <f>SUM(L140:O140)</f>
        <v>0</v>
      </c>
      <c r="BT140" s="691">
        <f>SUM(P140:S140)</f>
        <v>0</v>
      </c>
      <c r="BU140" s="691">
        <f>SUM(T140:W140)</f>
        <v>0</v>
      </c>
      <c r="BV140" s="691">
        <f>SUM(X140:AA140)</f>
        <v>19.506923000000008</v>
      </c>
      <c r="BW140" s="691">
        <f>SUM(AB140:AE140)</f>
        <v>62.075413400000016</v>
      </c>
      <c r="BX140" s="691">
        <f>SUM(AF140:AI140)</f>
        <v>95.149589310000025</v>
      </c>
      <c r="BY140" s="691">
        <f>SUM(AJ140:AM140)</f>
        <v>114.22012805550003</v>
      </c>
      <c r="BZ140" s="691">
        <f>+SUM(AN140:AQ140)</f>
        <v>128.24863700920849</v>
      </c>
      <c r="CA140" s="691">
        <f>+SUM(AR140:AU140)</f>
        <v>145.76200044612693</v>
      </c>
      <c r="CB140" s="691">
        <f>SUM(AV140:AY140)</f>
        <v>165.66695186422265</v>
      </c>
      <c r="CC140" s="691">
        <f>SUM(AZ140:BC140)</f>
        <v>188.29008147515395</v>
      </c>
      <c r="CD140" s="691">
        <f>SUM(BD140:BG140)</f>
        <v>214.00257796121468</v>
      </c>
      <c r="CE140" s="691">
        <f>SUM(BH140:BK140)</f>
        <v>243.22631874844132</v>
      </c>
      <c r="CF140" s="692">
        <f>SUM(BL140:BO140)</f>
        <v>276.44079195457266</v>
      </c>
      <c r="CG140" s="658"/>
      <c r="CH140" s="363"/>
    </row>
    <row r="141" spans="1:88" ht="14.25" hidden="1" customHeight="1" outlineLevel="3">
      <c r="A141" s="672"/>
      <c r="B141" s="651" t="s">
        <v>268</v>
      </c>
      <c r="C141" s="274"/>
      <c r="D141" s="754"/>
      <c r="E141" s="754"/>
      <c r="F141" s="754"/>
      <c r="G141" s="79"/>
      <c r="H141" s="754"/>
      <c r="I141" s="754"/>
      <c r="J141" s="754"/>
      <c r="K141" s="79"/>
      <c r="L141" s="247"/>
      <c r="M141" s="765" t="str">
        <f t="shared" ref="M141:AM141" si="434">IF(ISERROR(M140/L140-1),"NA",M140/L140-1)</f>
        <v>NA</v>
      </c>
      <c r="N141" s="751" t="str">
        <f t="shared" si="434"/>
        <v>NA</v>
      </c>
      <c r="O141" s="752" t="str">
        <f t="shared" si="434"/>
        <v>NA</v>
      </c>
      <c r="P141" s="760" t="str">
        <f t="shared" si="434"/>
        <v>NA</v>
      </c>
      <c r="Q141" s="46" t="str">
        <f t="shared" si="434"/>
        <v>NA</v>
      </c>
      <c r="R141" s="46" t="str">
        <f t="shared" si="434"/>
        <v>NA</v>
      </c>
      <c r="S141" s="749" t="str">
        <f t="shared" si="434"/>
        <v>NA</v>
      </c>
      <c r="T141" s="765" t="str">
        <f t="shared" si="434"/>
        <v>NA</v>
      </c>
      <c r="U141" s="765" t="str">
        <f t="shared" si="434"/>
        <v>NA</v>
      </c>
      <c r="V141" s="765" t="str">
        <f t="shared" si="434"/>
        <v>NA</v>
      </c>
      <c r="W141" s="749" t="str">
        <f t="shared" si="434"/>
        <v>NA</v>
      </c>
      <c r="X141" s="765" t="str">
        <f t="shared" si="434"/>
        <v>NA</v>
      </c>
      <c r="Y141" s="765">
        <f t="shared" si="434"/>
        <v>2620.8945342571201</v>
      </c>
      <c r="Z141" s="765">
        <f t="shared" si="434"/>
        <v>0.45743738477515583</v>
      </c>
      <c r="AA141" s="46">
        <f t="shared" si="434"/>
        <v>1.2434390990773214</v>
      </c>
      <c r="AB141" s="760">
        <f t="shared" si="434"/>
        <v>-0.26766204653868508</v>
      </c>
      <c r="AC141" s="46">
        <f t="shared" si="434"/>
        <v>0.7905880382372068</v>
      </c>
      <c r="AD141" s="46">
        <f t="shared" si="434"/>
        <v>0.23913008940484382</v>
      </c>
      <c r="AE141" s="749">
        <f t="shared" si="434"/>
        <v>0.17285752544632671</v>
      </c>
      <c r="AF141" s="46">
        <f t="shared" si="434"/>
        <v>3.4898678898826807E-2</v>
      </c>
      <c r="AG141" s="46">
        <f t="shared" si="434"/>
        <v>-1.0035141496633204E-2</v>
      </c>
      <c r="AH141" s="46">
        <f t="shared" si="434"/>
        <v>0.14835763065169538</v>
      </c>
      <c r="AI141" s="749">
        <f t="shared" si="434"/>
        <v>6.0337877923458016E-2</v>
      </c>
      <c r="AJ141" s="760">
        <f t="shared" si="434"/>
        <v>4.8411728359069484E-2</v>
      </c>
      <c r="AK141" s="46">
        <f t="shared" si="434"/>
        <v>-2.3334626098023614E-2</v>
      </c>
      <c r="AL141" s="46">
        <f t="shared" si="434"/>
        <v>8.8046338205929553E-2</v>
      </c>
      <c r="AM141" s="749">
        <f t="shared" si="434"/>
        <v>1.2287708456963697E-2</v>
      </c>
      <c r="AN141" s="844">
        <v>2.5633293101247956E-2</v>
      </c>
      <c r="AO141" s="844">
        <v>4.5514492866897793E-2</v>
      </c>
      <c r="AP141" s="844">
        <v>-1.0805491354999086E-2</v>
      </c>
      <c r="AQ141" s="749">
        <v>7.1488952191304023E-2</v>
      </c>
      <c r="AR141" s="844">
        <v>2.5633293101247956E-2</v>
      </c>
      <c r="AS141" s="844">
        <v>4.5514492866897793E-2</v>
      </c>
      <c r="AT141" s="844">
        <v>-1.0805491354999086E-2</v>
      </c>
      <c r="AU141" s="749">
        <v>7.1488952191304023E-2</v>
      </c>
      <c r="AV141" s="844">
        <v>2.5633293101247956E-2</v>
      </c>
      <c r="AW141" s="844">
        <v>4.5514492866897793E-2</v>
      </c>
      <c r="AX141" s="844">
        <v>-1.0805491354999086E-2</v>
      </c>
      <c r="AY141" s="749">
        <v>7.1488952191304023E-2</v>
      </c>
      <c r="AZ141" s="844">
        <v>2.5633293101247956E-2</v>
      </c>
      <c r="BA141" s="844">
        <v>4.5514492866897793E-2</v>
      </c>
      <c r="BB141" s="844">
        <v>-1.0805491354999086E-2</v>
      </c>
      <c r="BC141" s="129">
        <v>7.1488952191304023E-2</v>
      </c>
      <c r="BD141" s="868">
        <v>2.5633293101247956E-2</v>
      </c>
      <c r="BE141" s="129">
        <v>4.5514492866897793E-2</v>
      </c>
      <c r="BF141" s="129">
        <v>-1.0805491354999086E-2</v>
      </c>
      <c r="BG141" s="130">
        <v>7.1488952191304023E-2</v>
      </c>
      <c r="BH141" s="868">
        <v>2.5633293101247956E-2</v>
      </c>
      <c r="BI141" s="129">
        <v>4.5514492866897793E-2</v>
      </c>
      <c r="BJ141" s="129">
        <v>-1.0805491354999086E-2</v>
      </c>
      <c r="BK141" s="130">
        <v>7.1488952191304023E-2</v>
      </c>
      <c r="BL141" s="868">
        <v>2.5633293101247956E-2</v>
      </c>
      <c r="BM141" s="129">
        <v>4.5514492866897793E-2</v>
      </c>
      <c r="BN141" s="129">
        <v>-1.0805491354999086E-2</v>
      </c>
      <c r="BO141" s="130">
        <v>7.1488952191304023E-2</v>
      </c>
      <c r="BP141" s="657"/>
      <c r="BQ141" s="8"/>
      <c r="BR141" s="8"/>
      <c r="BS141" s="8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224"/>
      <c r="CG141" s="658"/>
      <c r="CH141" s="363"/>
    </row>
    <row r="142" spans="1:88" ht="14.25" hidden="1" customHeight="1" outlineLevel="3">
      <c r="A142" s="672"/>
      <c r="B142" s="651"/>
      <c r="C142" s="274"/>
      <c r="D142" s="754"/>
      <c r="E142" s="754"/>
      <c r="F142" s="754"/>
      <c r="G142" s="79"/>
      <c r="H142" s="754"/>
      <c r="I142" s="754"/>
      <c r="J142" s="754"/>
      <c r="K142" s="79"/>
      <c r="L142" s="247"/>
      <c r="M142" s="247"/>
      <c r="N142" s="275"/>
      <c r="O142" s="231"/>
      <c r="P142" s="522"/>
      <c r="Q142" s="76"/>
      <c r="R142" s="231"/>
      <c r="S142" s="276"/>
      <c r="T142" s="247"/>
      <c r="U142" s="247"/>
      <c r="V142" s="275"/>
      <c r="W142" s="276"/>
      <c r="X142" s="247"/>
      <c r="Y142" s="247"/>
      <c r="Z142" s="275"/>
      <c r="AA142" s="231"/>
      <c r="AB142" s="522"/>
      <c r="AC142" s="76"/>
      <c r="AD142" s="231"/>
      <c r="AE142" s="276"/>
      <c r="AF142" s="76"/>
      <c r="AG142" s="76"/>
      <c r="AH142" s="231"/>
      <c r="AI142" s="276"/>
      <c r="AJ142" s="734"/>
      <c r="AK142" s="231"/>
      <c r="AL142" s="231"/>
      <c r="AM142" s="276"/>
      <c r="AQ142" s="276"/>
      <c r="AU142" s="276"/>
      <c r="AY142" s="276"/>
      <c r="BC142" s="318"/>
      <c r="BD142" s="364"/>
      <c r="BE142" s="363"/>
      <c r="BF142" s="363"/>
      <c r="BG142" s="843"/>
      <c r="BH142" s="364"/>
      <c r="BI142" s="363"/>
      <c r="BJ142" s="363"/>
      <c r="BK142" s="843"/>
      <c r="BL142" s="364"/>
      <c r="BM142" s="363"/>
      <c r="BN142" s="363"/>
      <c r="BO142" s="843"/>
      <c r="BP142" s="657"/>
      <c r="BQ142" s="8"/>
      <c r="BR142" s="8"/>
      <c r="BS142" s="8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224"/>
      <c r="CG142" s="658"/>
      <c r="CH142" s="363"/>
    </row>
    <row r="143" spans="1:88" ht="14.25" hidden="1" customHeight="1" outlineLevel="3">
      <c r="A143" s="672"/>
      <c r="B143" s="705" t="s">
        <v>469</v>
      </c>
      <c r="C143" s="274"/>
      <c r="D143" s="754"/>
      <c r="E143" s="754"/>
      <c r="F143" s="754"/>
      <c r="G143" s="79"/>
      <c r="H143" s="754"/>
      <c r="I143" s="754"/>
      <c r="J143" s="754"/>
      <c r="K143" s="79"/>
      <c r="L143" s="754"/>
      <c r="M143" s="754"/>
      <c r="N143" s="754"/>
      <c r="O143" s="78"/>
      <c r="P143" s="658"/>
      <c r="Q143" s="318"/>
      <c r="R143" s="318"/>
      <c r="S143" s="79"/>
      <c r="W143" s="79"/>
      <c r="AA143" s="78"/>
      <c r="AB143" s="658"/>
      <c r="AC143" s="318"/>
      <c r="AD143" s="318"/>
      <c r="AE143" s="79"/>
      <c r="AF143" s="318"/>
      <c r="AG143" s="318"/>
      <c r="AH143" s="318"/>
      <c r="AI143" s="79"/>
      <c r="AJ143" s="658"/>
      <c r="AK143" s="318"/>
      <c r="AL143" s="318"/>
      <c r="AM143" s="79"/>
      <c r="AQ143" s="79"/>
      <c r="AU143" s="79"/>
      <c r="AY143" s="79"/>
      <c r="BC143" s="318"/>
      <c r="BD143" s="364"/>
      <c r="BE143" s="363"/>
      <c r="BF143" s="363"/>
      <c r="BG143" s="843"/>
      <c r="BH143" s="364"/>
      <c r="BI143" s="363"/>
      <c r="BJ143" s="363"/>
      <c r="BK143" s="843"/>
      <c r="BL143" s="364"/>
      <c r="BM143" s="363"/>
      <c r="BN143" s="363"/>
      <c r="BO143" s="843"/>
      <c r="BP143" s="657"/>
      <c r="BQ143" s="8"/>
      <c r="BR143" s="8"/>
      <c r="BS143" s="8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224"/>
      <c r="CG143" s="658"/>
      <c r="CH143" s="363"/>
    </row>
    <row r="144" spans="1:88" s="8" customFormat="1" ht="14.25" hidden="1" customHeight="1" outlineLevel="3">
      <c r="A144" s="672"/>
      <c r="B144" s="651" t="s">
        <v>470</v>
      </c>
      <c r="C144" s="274"/>
      <c r="D144" s="754"/>
      <c r="E144" s="754"/>
      <c r="F144" s="754"/>
      <c r="G144" s="79"/>
      <c r="H144" s="754"/>
      <c r="I144" s="754"/>
      <c r="J144" s="754"/>
      <c r="K144" s="79"/>
      <c r="L144" s="845">
        <v>0.5</v>
      </c>
      <c r="M144" s="845">
        <f t="shared" ref="M144:T146" si="435">L144+1%</f>
        <v>0.51</v>
      </c>
      <c r="N144" s="845">
        <f t="shared" si="435"/>
        <v>0.52</v>
      </c>
      <c r="O144" s="846">
        <f t="shared" si="435"/>
        <v>0.53</v>
      </c>
      <c r="P144" s="847">
        <f t="shared" si="435"/>
        <v>0.54</v>
      </c>
      <c r="Q144" s="846">
        <f t="shared" si="435"/>
        <v>0.55000000000000004</v>
      </c>
      <c r="R144" s="846">
        <f t="shared" si="435"/>
        <v>0.56000000000000005</v>
      </c>
      <c r="S144" s="79">
        <f t="shared" si="435"/>
        <v>0.57000000000000006</v>
      </c>
      <c r="T144" s="845">
        <f t="shared" si="435"/>
        <v>0.58000000000000007</v>
      </c>
      <c r="U144" s="845">
        <f>T144+10%</f>
        <v>0.68</v>
      </c>
      <c r="V144" s="845">
        <f>U144+5%</f>
        <v>0.73000000000000009</v>
      </c>
      <c r="W144" s="79">
        <f>V144</f>
        <v>0.73000000000000009</v>
      </c>
      <c r="X144" s="845">
        <v>0.8</v>
      </c>
      <c r="Y144" s="845">
        <v>0.82499999999999996</v>
      </c>
      <c r="Z144" s="845">
        <v>0.82499999999999996</v>
      </c>
      <c r="AA144" s="78">
        <v>0.81</v>
      </c>
      <c r="AB144" s="847">
        <v>0.9</v>
      </c>
      <c r="AC144" s="846">
        <v>0.9</v>
      </c>
      <c r="AD144" s="846">
        <v>0.9</v>
      </c>
      <c r="AE144" s="79">
        <v>0.9</v>
      </c>
      <c r="AF144" s="846">
        <v>0.9</v>
      </c>
      <c r="AG144" s="846">
        <v>0.9</v>
      </c>
      <c r="AH144" s="846">
        <v>0.9</v>
      </c>
      <c r="AI144" s="79">
        <v>0.9</v>
      </c>
      <c r="AJ144" s="847">
        <v>0.9</v>
      </c>
      <c r="AK144" s="846">
        <v>0.9</v>
      </c>
      <c r="AL144" s="846">
        <v>0.9</v>
      </c>
      <c r="AM144" s="79">
        <v>0.9</v>
      </c>
      <c r="AN144" s="845">
        <v>0.9</v>
      </c>
      <c r="AO144" s="845">
        <v>0.9</v>
      </c>
      <c r="AP144" s="845">
        <v>0.9</v>
      </c>
      <c r="AQ144" s="79">
        <v>0.9</v>
      </c>
      <c r="AR144" s="845">
        <v>0.9</v>
      </c>
      <c r="AS144" s="845">
        <v>0.9</v>
      </c>
      <c r="AT144" s="845">
        <v>0.9</v>
      </c>
      <c r="AU144" s="79">
        <v>0.9</v>
      </c>
      <c r="AV144" s="845">
        <v>0.9</v>
      </c>
      <c r="AW144" s="845">
        <v>0.9</v>
      </c>
      <c r="AX144" s="845">
        <v>0.9</v>
      </c>
      <c r="AY144" s="79">
        <v>0.9</v>
      </c>
      <c r="AZ144" s="845">
        <v>0.9</v>
      </c>
      <c r="BA144" s="845">
        <v>0.9</v>
      </c>
      <c r="BB144" s="845">
        <v>0.9</v>
      </c>
      <c r="BC144" s="78">
        <v>0.9</v>
      </c>
      <c r="BD144" s="847">
        <v>0.9</v>
      </c>
      <c r="BE144" s="846">
        <v>0.9</v>
      </c>
      <c r="BF144" s="846">
        <v>0.9</v>
      </c>
      <c r="BG144" s="79">
        <v>0.9</v>
      </c>
      <c r="BH144" s="847">
        <v>0.9</v>
      </c>
      <c r="BI144" s="846">
        <v>0.9</v>
      </c>
      <c r="BJ144" s="846">
        <v>0.9</v>
      </c>
      <c r="BK144" s="79">
        <v>0.9</v>
      </c>
      <c r="BL144" s="847">
        <v>0.9</v>
      </c>
      <c r="BM144" s="846">
        <v>0.9</v>
      </c>
      <c r="BN144" s="846">
        <v>0.9</v>
      </c>
      <c r="BO144" s="79">
        <v>0.9</v>
      </c>
      <c r="BP144" s="657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224"/>
      <c r="CG144" s="297"/>
      <c r="CH144" s="14"/>
      <c r="CI144"/>
      <c r="CJ144"/>
    </row>
    <row r="145" spans="1:88" s="8" customFormat="1" ht="14.25" hidden="1" customHeight="1" outlineLevel="3">
      <c r="A145" s="672"/>
      <c r="B145" s="651" t="s">
        <v>471</v>
      </c>
      <c r="C145" s="274"/>
      <c r="D145" s="754"/>
      <c r="E145" s="754"/>
      <c r="F145" s="754"/>
      <c r="G145" s="79"/>
      <c r="H145" s="754"/>
      <c r="I145" s="754"/>
      <c r="J145" s="754"/>
      <c r="K145" s="79"/>
      <c r="L145" s="845">
        <v>0.5</v>
      </c>
      <c r="M145" s="845">
        <f t="shared" si="435"/>
        <v>0.51</v>
      </c>
      <c r="N145" s="845">
        <f t="shared" si="435"/>
        <v>0.52</v>
      </c>
      <c r="O145" s="846">
        <f t="shared" si="435"/>
        <v>0.53</v>
      </c>
      <c r="P145" s="847">
        <f t="shared" si="435"/>
        <v>0.54</v>
      </c>
      <c r="Q145" s="846">
        <f t="shared" si="435"/>
        <v>0.55000000000000004</v>
      </c>
      <c r="R145" s="846">
        <f t="shared" si="435"/>
        <v>0.56000000000000005</v>
      </c>
      <c r="S145" s="79">
        <f t="shared" si="435"/>
        <v>0.57000000000000006</v>
      </c>
      <c r="T145" s="845">
        <f t="shared" si="435"/>
        <v>0.58000000000000007</v>
      </c>
      <c r="U145" s="845">
        <f>T145+10%</f>
        <v>0.68</v>
      </c>
      <c r="V145" s="845">
        <f>U145+5%</f>
        <v>0.73000000000000009</v>
      </c>
      <c r="W145" s="79">
        <f>V145</f>
        <v>0.73000000000000009</v>
      </c>
      <c r="X145" s="845">
        <v>0.8</v>
      </c>
      <c r="Y145" s="845">
        <v>0.82499999999999996</v>
      </c>
      <c r="Z145" s="845">
        <v>0.82499999999999996</v>
      </c>
      <c r="AA145" s="78">
        <v>0.81</v>
      </c>
      <c r="AB145" s="847">
        <v>0.9</v>
      </c>
      <c r="AC145" s="846">
        <v>0.9</v>
      </c>
      <c r="AD145" s="846">
        <v>0.9</v>
      </c>
      <c r="AE145" s="79">
        <v>0.9</v>
      </c>
      <c r="AF145" s="846">
        <v>0.9</v>
      </c>
      <c r="AG145" s="846">
        <v>0.9</v>
      </c>
      <c r="AH145" s="846">
        <v>0.9</v>
      </c>
      <c r="AI145" s="79">
        <v>0.9</v>
      </c>
      <c r="AJ145" s="847">
        <v>0.9</v>
      </c>
      <c r="AK145" s="846">
        <v>0.9</v>
      </c>
      <c r="AL145" s="846">
        <v>0.9</v>
      </c>
      <c r="AM145" s="79">
        <v>0.9</v>
      </c>
      <c r="AN145" s="845">
        <v>0.9</v>
      </c>
      <c r="AO145" s="845">
        <v>0.9</v>
      </c>
      <c r="AP145" s="845">
        <v>0.9</v>
      </c>
      <c r="AQ145" s="79">
        <v>0.9</v>
      </c>
      <c r="AR145" s="845">
        <v>0.9</v>
      </c>
      <c r="AS145" s="845">
        <v>0.9</v>
      </c>
      <c r="AT145" s="845">
        <v>0.9</v>
      </c>
      <c r="AU145" s="79">
        <v>0.9</v>
      </c>
      <c r="AV145" s="845">
        <v>0.9</v>
      </c>
      <c r="AW145" s="845">
        <v>0.9</v>
      </c>
      <c r="AX145" s="845">
        <v>0.9</v>
      </c>
      <c r="AY145" s="79">
        <v>0.9</v>
      </c>
      <c r="AZ145" s="845">
        <v>0.9</v>
      </c>
      <c r="BA145" s="845">
        <v>0.9</v>
      </c>
      <c r="BB145" s="845">
        <v>0.9</v>
      </c>
      <c r="BC145" s="78">
        <v>0.9</v>
      </c>
      <c r="BD145" s="847">
        <v>0.9</v>
      </c>
      <c r="BE145" s="846">
        <v>0.9</v>
      </c>
      <c r="BF145" s="846">
        <v>0.9</v>
      </c>
      <c r="BG145" s="79">
        <v>0.9</v>
      </c>
      <c r="BH145" s="847">
        <v>0.9</v>
      </c>
      <c r="BI145" s="846">
        <v>0.9</v>
      </c>
      <c r="BJ145" s="846">
        <v>0.9</v>
      </c>
      <c r="BK145" s="79">
        <v>0.9</v>
      </c>
      <c r="BL145" s="847">
        <v>0.9</v>
      </c>
      <c r="BM145" s="846">
        <v>0.9</v>
      </c>
      <c r="BN145" s="846">
        <v>0.9</v>
      </c>
      <c r="BO145" s="79">
        <v>0.9</v>
      </c>
      <c r="BP145" s="657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224"/>
      <c r="CG145" s="297"/>
      <c r="CH145" s="14"/>
      <c r="CI145"/>
      <c r="CJ145"/>
    </row>
    <row r="146" spans="1:88" s="8" customFormat="1" ht="14.25" hidden="1" customHeight="1" outlineLevel="3">
      <c r="A146" s="672"/>
      <c r="B146" s="651" t="s">
        <v>472</v>
      </c>
      <c r="C146" s="274"/>
      <c r="D146" s="754"/>
      <c r="E146" s="754"/>
      <c r="F146" s="754"/>
      <c r="G146" s="79"/>
      <c r="H146" s="754"/>
      <c r="I146" s="754"/>
      <c r="J146" s="754"/>
      <c r="K146" s="79"/>
      <c r="L146" s="845">
        <v>0.5</v>
      </c>
      <c r="M146" s="845">
        <f t="shared" si="435"/>
        <v>0.51</v>
      </c>
      <c r="N146" s="845">
        <f t="shared" si="435"/>
        <v>0.52</v>
      </c>
      <c r="O146" s="846">
        <f t="shared" si="435"/>
        <v>0.53</v>
      </c>
      <c r="P146" s="847">
        <f t="shared" si="435"/>
        <v>0.54</v>
      </c>
      <c r="Q146" s="846">
        <f t="shared" si="435"/>
        <v>0.55000000000000004</v>
      </c>
      <c r="R146" s="846">
        <f t="shared" si="435"/>
        <v>0.56000000000000005</v>
      </c>
      <c r="S146" s="79">
        <f t="shared" si="435"/>
        <v>0.57000000000000006</v>
      </c>
      <c r="T146" s="845">
        <f t="shared" si="435"/>
        <v>0.58000000000000007</v>
      </c>
      <c r="U146" s="845">
        <f>T146+10%</f>
        <v>0.68</v>
      </c>
      <c r="V146" s="845">
        <f>U146+5%</f>
        <v>0.73000000000000009</v>
      </c>
      <c r="W146" s="79">
        <f>V146</f>
        <v>0.73000000000000009</v>
      </c>
      <c r="X146" s="845">
        <v>0.8</v>
      </c>
      <c r="Y146" s="845">
        <v>0.82499999999999996</v>
      </c>
      <c r="Z146" s="845">
        <v>0.82499999999999996</v>
      </c>
      <c r="AA146" s="78">
        <v>0.81</v>
      </c>
      <c r="AB146" s="847">
        <v>0.9</v>
      </c>
      <c r="AC146" s="846">
        <v>0.9</v>
      </c>
      <c r="AD146" s="846">
        <v>0.9</v>
      </c>
      <c r="AE146" s="79">
        <v>0.9</v>
      </c>
      <c r="AF146" s="846">
        <v>0.9</v>
      </c>
      <c r="AG146" s="846">
        <v>0.9</v>
      </c>
      <c r="AH146" s="846">
        <v>0.9</v>
      </c>
      <c r="AI146" s="79">
        <v>0.9</v>
      </c>
      <c r="AJ146" s="847">
        <v>0.9</v>
      </c>
      <c r="AK146" s="846">
        <v>0.9</v>
      </c>
      <c r="AL146" s="846">
        <v>0.9</v>
      </c>
      <c r="AM146" s="79">
        <v>0.9</v>
      </c>
      <c r="AN146" s="845">
        <v>0.9</v>
      </c>
      <c r="AO146" s="845">
        <v>0.9</v>
      </c>
      <c r="AP146" s="845">
        <v>0.9</v>
      </c>
      <c r="AQ146" s="79">
        <v>0.9</v>
      </c>
      <c r="AR146" s="845">
        <v>0.9</v>
      </c>
      <c r="AS146" s="845">
        <v>0.9</v>
      </c>
      <c r="AT146" s="845">
        <v>0.9</v>
      </c>
      <c r="AU146" s="79">
        <v>0.9</v>
      </c>
      <c r="AV146" s="845">
        <v>0.9</v>
      </c>
      <c r="AW146" s="845">
        <v>0.9</v>
      </c>
      <c r="AX146" s="845">
        <v>0.9</v>
      </c>
      <c r="AY146" s="79">
        <v>0.9</v>
      </c>
      <c r="AZ146" s="845">
        <v>0.9</v>
      </c>
      <c r="BA146" s="845">
        <v>0.9</v>
      </c>
      <c r="BB146" s="845">
        <v>0.9</v>
      </c>
      <c r="BC146" s="78">
        <v>0.9</v>
      </c>
      <c r="BD146" s="847">
        <v>0.9</v>
      </c>
      <c r="BE146" s="846">
        <v>0.9</v>
      </c>
      <c r="BF146" s="846">
        <v>0.9</v>
      </c>
      <c r="BG146" s="79">
        <v>0.9</v>
      </c>
      <c r="BH146" s="847">
        <v>0.9</v>
      </c>
      <c r="BI146" s="846">
        <v>0.9</v>
      </c>
      <c r="BJ146" s="846">
        <v>0.9</v>
      </c>
      <c r="BK146" s="79">
        <v>0.9</v>
      </c>
      <c r="BL146" s="847">
        <v>0.9</v>
      </c>
      <c r="BM146" s="846">
        <v>0.9</v>
      </c>
      <c r="BN146" s="846">
        <v>0.9</v>
      </c>
      <c r="BO146" s="79">
        <v>0.9</v>
      </c>
      <c r="BP146" s="657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224"/>
      <c r="CG146" s="297"/>
      <c r="CH146" s="14"/>
      <c r="CI146"/>
      <c r="CJ146"/>
    </row>
    <row r="147" spans="1:88" ht="14.25" hidden="1" customHeight="1" outlineLevel="3">
      <c r="A147" s="672"/>
      <c r="B147" s="824"/>
      <c r="C147" s="274"/>
      <c r="D147" s="754"/>
      <c r="E147" s="754"/>
      <c r="F147" s="754"/>
      <c r="G147" s="79"/>
      <c r="H147" s="754"/>
      <c r="I147" s="754"/>
      <c r="J147" s="754"/>
      <c r="K147" s="79"/>
      <c r="L147" s="754"/>
      <c r="M147" s="754"/>
      <c r="N147" s="754"/>
      <c r="O147" s="78"/>
      <c r="P147" s="658"/>
      <c r="Q147" s="318"/>
      <c r="R147" s="318"/>
      <c r="S147" s="79"/>
      <c r="W147" s="79"/>
      <c r="AA147" s="78"/>
      <c r="AB147" s="658"/>
      <c r="AC147" s="318"/>
      <c r="AD147" s="318"/>
      <c r="AE147" s="79"/>
      <c r="AF147" s="318"/>
      <c r="AG147" s="318"/>
      <c r="AH147" s="318"/>
      <c r="AI147" s="79"/>
      <c r="AJ147" s="658"/>
      <c r="AK147" s="318"/>
      <c r="AL147" s="318"/>
      <c r="AM147" s="79"/>
      <c r="AQ147" s="79"/>
      <c r="AU147" s="79"/>
      <c r="AY147" s="79"/>
      <c r="BC147" s="318"/>
      <c r="BD147" s="364"/>
      <c r="BE147" s="363"/>
      <c r="BF147" s="363"/>
      <c r="BG147" s="843"/>
      <c r="BH147" s="364"/>
      <c r="BI147" s="363"/>
      <c r="BJ147" s="363"/>
      <c r="BK147" s="843"/>
      <c r="BL147" s="364"/>
      <c r="BM147" s="363"/>
      <c r="BN147" s="363"/>
      <c r="BO147" s="843"/>
      <c r="BP147" s="657"/>
      <c r="BQ147" s="8"/>
      <c r="BR147" s="8"/>
      <c r="BS147" s="8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224"/>
      <c r="CG147" s="658"/>
      <c r="CH147" s="363"/>
    </row>
    <row r="148" spans="1:88" ht="14.25" hidden="1" customHeight="1" outlineLevel="3">
      <c r="A148" s="672"/>
      <c r="B148" s="684" t="s">
        <v>479</v>
      </c>
      <c r="C148" s="274"/>
      <c r="D148" s="754"/>
      <c r="E148" s="754"/>
      <c r="F148" s="754"/>
      <c r="G148" s="79"/>
      <c r="H148" s="754"/>
      <c r="I148" s="754"/>
      <c r="J148" s="754"/>
      <c r="K148" s="79"/>
      <c r="L148" s="687">
        <f t="shared" ref="L148:AQ148" si="436">L144*(L$136-L$138)</f>
        <v>115.092708</v>
      </c>
      <c r="M148" s="687">
        <f t="shared" si="436"/>
        <v>121.35471675000001</v>
      </c>
      <c r="N148" s="687">
        <f t="shared" si="436"/>
        <v>133.99030892000002</v>
      </c>
      <c r="O148" s="687">
        <f t="shared" si="436"/>
        <v>154.93308368999999</v>
      </c>
      <c r="P148" s="688">
        <f t="shared" si="436"/>
        <v>138.82726655155733</v>
      </c>
      <c r="Q148" s="687">
        <f t="shared" si="436"/>
        <v>146.02652390413198</v>
      </c>
      <c r="R148" s="687">
        <f t="shared" si="436"/>
        <v>147.68546197769314</v>
      </c>
      <c r="S148" s="689">
        <f t="shared" si="436"/>
        <v>144.33006739802437</v>
      </c>
      <c r="T148" s="687">
        <f t="shared" si="436"/>
        <v>124.19037766161543</v>
      </c>
      <c r="U148" s="687">
        <f t="shared" si="436"/>
        <v>162.70937868759114</v>
      </c>
      <c r="V148" s="687">
        <f t="shared" si="436"/>
        <v>188.54479055000002</v>
      </c>
      <c r="W148" s="689">
        <f t="shared" si="436"/>
        <v>209.32348009971855</v>
      </c>
      <c r="X148" s="687">
        <f t="shared" si="436"/>
        <v>204.41386080000001</v>
      </c>
      <c r="Y148" s="687">
        <f t="shared" si="436"/>
        <v>218.01455609999999</v>
      </c>
      <c r="Z148" s="687">
        <f t="shared" si="436"/>
        <v>219.58048529999999</v>
      </c>
      <c r="AA148" s="687">
        <f t="shared" si="436"/>
        <v>243.45697526999996</v>
      </c>
      <c r="AB148" s="688">
        <f t="shared" si="436"/>
        <v>235.04057010000005</v>
      </c>
      <c r="AC148" s="687">
        <f t="shared" si="436"/>
        <v>227.29447350000004</v>
      </c>
      <c r="AD148" s="687">
        <f t="shared" si="436"/>
        <v>235.77343603108164</v>
      </c>
      <c r="AE148" s="689">
        <f t="shared" si="436"/>
        <v>242.69011021800003</v>
      </c>
      <c r="AF148" s="687">
        <f t="shared" si="436"/>
        <v>220.42833553540402</v>
      </c>
      <c r="AG148" s="687">
        <f t="shared" si="436"/>
        <v>219.06084404282882</v>
      </c>
      <c r="AH148" s="687">
        <f t="shared" si="436"/>
        <v>211.08428581520818</v>
      </c>
      <c r="AI148" s="689">
        <f t="shared" si="436"/>
        <v>237.34362563317623</v>
      </c>
      <c r="AJ148" s="688">
        <f t="shared" si="436"/>
        <v>217.58318794735959</v>
      </c>
      <c r="AK148" s="687">
        <f t="shared" si="436"/>
        <v>211.23898658028259</v>
      </c>
      <c r="AL148" s="687">
        <f t="shared" si="436"/>
        <v>209.07067528237118</v>
      </c>
      <c r="AM148" s="689">
        <f t="shared" si="436"/>
        <v>236.65549100135755</v>
      </c>
      <c r="AN148" s="687">
        <f t="shared" si="436"/>
        <v>212.15025480287466</v>
      </c>
      <c r="AO148" s="687">
        <f t="shared" si="436"/>
        <v>200.7208115165775</v>
      </c>
      <c r="AP148" s="687">
        <f t="shared" si="436"/>
        <v>197.74033029801276</v>
      </c>
      <c r="AQ148" s="689">
        <f t="shared" si="436"/>
        <v>205.38692859907783</v>
      </c>
      <c r="AR148" s="687">
        <f t="shared" ref="AR148:AV148" si="437">AR144*(AR$136-AR$138)</f>
        <v>184.64471644039932</v>
      </c>
      <c r="AS148" s="687">
        <f t="shared" si="437"/>
        <v>169.31582401090921</v>
      </c>
      <c r="AT148" s="687">
        <f t="shared" si="437"/>
        <v>159.85794400613466</v>
      </c>
      <c r="AU148" s="689">
        <f t="shared" si="437"/>
        <v>160.92755076414471</v>
      </c>
      <c r="AV148" s="687">
        <f t="shared" si="437"/>
        <v>145.48112463979029</v>
      </c>
      <c r="AW148" s="687">
        <f>AW144*(AW$136-AW$138)</f>
        <v>125.17106908752628</v>
      </c>
      <c r="AX148" s="687">
        <f>AX144*(AX$136-AX$138)</f>
        <v>107.2187492156137</v>
      </c>
      <c r="AY148" s="689">
        <f t="shared" ref="AY148" si="438">AY144*(AY$136-AY$138)</f>
        <v>99.516471258658683</v>
      </c>
      <c r="AZ148" s="687">
        <f t="shared" ref="AZ148:BG148" si="439">AZ144*(AZ$136-AZ$138)</f>
        <v>91.3338214368368</v>
      </c>
      <c r="BA148" s="687">
        <f t="shared" si="439"/>
        <v>64.670847765852756</v>
      </c>
      <c r="BB148" s="687">
        <f t="shared" si="439"/>
        <v>35.655294669670205</v>
      </c>
      <c r="BC148" s="687">
        <f t="shared" si="439"/>
        <v>16.379348281298405</v>
      </c>
      <c r="BD148" s="688">
        <f t="shared" si="439"/>
        <v>17.980889302617118</v>
      </c>
      <c r="BE148" s="687">
        <f t="shared" si="439"/>
        <v>-16.774070108970694</v>
      </c>
      <c r="BF148" s="687">
        <f t="shared" si="439"/>
        <v>-60.120958152409983</v>
      </c>
      <c r="BG148" s="689">
        <f t="shared" si="439"/>
        <v>-94.541875347993766</v>
      </c>
      <c r="BH148" s="688">
        <f t="shared" ref="BH148:BK148" si="440">BH144*(BH$136-BH$138)</f>
        <v>-79.934860221809927</v>
      </c>
      <c r="BI148" s="687">
        <f t="shared" si="440"/>
        <v>-124.98601811515229</v>
      </c>
      <c r="BJ148" s="687">
        <f t="shared" si="440"/>
        <v>-186.81849881400726</v>
      </c>
      <c r="BK148" s="689">
        <f t="shared" si="440"/>
        <v>-240.93115769195134</v>
      </c>
      <c r="BL148" s="688">
        <f t="shared" ref="BL148:BO148" si="441">BL144*(BL$136-BL$138)</f>
        <v>-209.20850748909407</v>
      </c>
      <c r="BM148" s="687">
        <f t="shared" si="441"/>
        <v>-267.34908474449412</v>
      </c>
      <c r="BN148" s="687">
        <f t="shared" si="441"/>
        <v>-352.94416483984446</v>
      </c>
      <c r="BO148" s="689">
        <f t="shared" si="441"/>
        <v>-432.53160337920627</v>
      </c>
      <c r="BP148" s="657"/>
      <c r="BQ148" s="8"/>
      <c r="BR148" s="8"/>
      <c r="BS148" s="273">
        <f>SUM(L148:O148)</f>
        <v>525.37081736000005</v>
      </c>
      <c r="BT148" s="691">
        <f>SUM(P148:S148)</f>
        <v>576.86931983140676</v>
      </c>
      <c r="BU148" s="691">
        <f>SUM(T148:W148)</f>
        <v>684.76802699892505</v>
      </c>
      <c r="BV148" s="691">
        <f>SUM(X148:AA148)</f>
        <v>885.4658774699999</v>
      </c>
      <c r="BW148" s="691">
        <f>SUM(AB148:AE148)</f>
        <v>940.79858984908174</v>
      </c>
      <c r="BX148" s="691">
        <f>SUM(AF148:AI148)</f>
        <v>887.91709102661719</v>
      </c>
      <c r="BY148" s="691">
        <f>SUM(AJ148:AM148)</f>
        <v>874.54834081137085</v>
      </c>
      <c r="BZ148" s="691">
        <f>+SUM(AN148:AQ148)</f>
        <v>815.99832521654275</v>
      </c>
      <c r="CA148" s="691">
        <f>+SUM(AR148:AU148)</f>
        <v>674.74603522158793</v>
      </c>
      <c r="CB148" s="691">
        <f>SUM(AV148:AY148)</f>
        <v>477.38741420158891</v>
      </c>
      <c r="CC148" s="691">
        <f>SUM(AZ148:BC148)</f>
        <v>208.03931215365819</v>
      </c>
      <c r="CD148" s="691">
        <f>SUM(BD148:BG148)</f>
        <v>-153.45601430675731</v>
      </c>
      <c r="CE148" s="691">
        <f>SUM(BH148:BK148)</f>
        <v>-632.67053484292092</v>
      </c>
      <c r="CF148" s="692">
        <f>SUM(BL149:BO149)</f>
        <v>3524.9769962496525</v>
      </c>
      <c r="CG148" s="658"/>
      <c r="CH148" s="363"/>
    </row>
    <row r="149" spans="1:88" ht="14.25" hidden="1" customHeight="1" outlineLevel="3">
      <c r="A149" s="672"/>
      <c r="B149" s="684" t="s">
        <v>480</v>
      </c>
      <c r="C149" s="274"/>
      <c r="D149" s="754"/>
      <c r="E149" s="754"/>
      <c r="F149" s="754"/>
      <c r="G149" s="79"/>
      <c r="H149" s="754"/>
      <c r="I149" s="754"/>
      <c r="J149" s="754"/>
      <c r="K149" s="79"/>
      <c r="L149" s="687">
        <f t="shared" ref="L149:AQ149" si="442">L145*L$138</f>
        <v>12.341086499999999</v>
      </c>
      <c r="M149" s="687">
        <f t="shared" si="442"/>
        <v>14.530013219999999</v>
      </c>
      <c r="N149" s="687">
        <f t="shared" si="442"/>
        <v>16.729147759999996</v>
      </c>
      <c r="O149" s="687">
        <f t="shared" si="442"/>
        <v>20.449848600000003</v>
      </c>
      <c r="P149" s="688">
        <f t="shared" si="442"/>
        <v>18.137492460000001</v>
      </c>
      <c r="Q149" s="687">
        <f t="shared" si="442"/>
        <v>20.143020699999997</v>
      </c>
      <c r="R149" s="687">
        <f t="shared" si="442"/>
        <v>23.29481784</v>
      </c>
      <c r="S149" s="689">
        <f t="shared" si="442"/>
        <v>22.20553902</v>
      </c>
      <c r="T149" s="687">
        <f t="shared" si="442"/>
        <v>20.210225280000003</v>
      </c>
      <c r="U149" s="687">
        <f t="shared" si="442"/>
        <v>28.517810032408892</v>
      </c>
      <c r="V149" s="687">
        <f t="shared" si="442"/>
        <v>31.257537850000006</v>
      </c>
      <c r="W149" s="689">
        <f t="shared" si="442"/>
        <v>39.279323680281458</v>
      </c>
      <c r="X149" s="687">
        <f t="shared" si="442"/>
        <v>44.330127199999993</v>
      </c>
      <c r="Y149" s="687">
        <f t="shared" si="442"/>
        <v>53.141100374999994</v>
      </c>
      <c r="Z149" s="687">
        <f t="shared" si="442"/>
        <v>68.327851350000003</v>
      </c>
      <c r="AA149" s="687">
        <f t="shared" si="442"/>
        <v>82.659858480000011</v>
      </c>
      <c r="AB149" s="688">
        <f t="shared" si="442"/>
        <v>91.516815899999997</v>
      </c>
      <c r="AC149" s="687">
        <f t="shared" si="442"/>
        <v>97.428864599999997</v>
      </c>
      <c r="AD149" s="687">
        <f t="shared" si="442"/>
        <v>111.20960610000003</v>
      </c>
      <c r="AE149" s="689">
        <f t="shared" si="442"/>
        <v>142.04521961999998</v>
      </c>
      <c r="AF149" s="687">
        <f t="shared" si="442"/>
        <v>120.77563557564719</v>
      </c>
      <c r="AG149" s="687">
        <f t="shared" si="442"/>
        <v>131.76634245391054</v>
      </c>
      <c r="AH149" s="687">
        <f t="shared" si="442"/>
        <v>151.4484544679475</v>
      </c>
      <c r="AI149" s="689">
        <f t="shared" si="442"/>
        <v>169.17680853183839</v>
      </c>
      <c r="AJ149" s="688">
        <f t="shared" si="442"/>
        <v>148.12616686163128</v>
      </c>
      <c r="AK149" s="687">
        <f t="shared" si="442"/>
        <v>161.08710262101931</v>
      </c>
      <c r="AL149" s="687">
        <f t="shared" si="442"/>
        <v>177.61171612066053</v>
      </c>
      <c r="AM149" s="689">
        <f t="shared" si="442"/>
        <v>203.04075377892491</v>
      </c>
      <c r="AN149" s="687">
        <f t="shared" si="442"/>
        <v>179.56521728622502</v>
      </c>
      <c r="AO149" s="687">
        <f t="shared" si="442"/>
        <v>195.00401325692619</v>
      </c>
      <c r="AP149" s="687">
        <f t="shared" si="442"/>
        <v>224.51255548083924</v>
      </c>
      <c r="AQ149" s="689">
        <f t="shared" si="442"/>
        <v>257.05087544482251</v>
      </c>
      <c r="AR149" s="687">
        <f t="shared" ref="AR149:AV149" si="443">AR145*AR$138</f>
        <v>227.3306981174876</v>
      </c>
      <c r="AS149" s="687">
        <f t="shared" si="443"/>
        <v>246.87631123318641</v>
      </c>
      <c r="AT149" s="687">
        <f t="shared" si="443"/>
        <v>284.23431188371728</v>
      </c>
      <c r="AU149" s="689">
        <f t="shared" si="443"/>
        <v>325.42803027067987</v>
      </c>
      <c r="AV149" s="687">
        <f t="shared" si="443"/>
        <v>287.80209824382706</v>
      </c>
      <c r="AW149" s="687">
        <f>AW145*AW$138</f>
        <v>312.54696777857401</v>
      </c>
      <c r="AX149" s="687">
        <f>AX145*AX$138</f>
        <v>359.84243232626307</v>
      </c>
      <c r="AY149" s="689">
        <f t="shared" ref="AY149" si="444">AY145*AY$138</f>
        <v>411.99393973115389</v>
      </c>
      <c r="AZ149" s="687">
        <f t="shared" ref="AZ149:BG149" si="445">AZ145*AZ$138</f>
        <v>364.35927237042915</v>
      </c>
      <c r="BA149" s="687">
        <f t="shared" si="445"/>
        <v>395.68643333832182</v>
      </c>
      <c r="BB149" s="687">
        <f t="shared" si="445"/>
        <v>455.56278988391563</v>
      </c>
      <c r="BC149" s="687">
        <f t="shared" si="445"/>
        <v>521.58692732772465</v>
      </c>
      <c r="BD149" s="688">
        <f t="shared" si="445"/>
        <v>461.281137880502</v>
      </c>
      <c r="BE149" s="687">
        <f t="shared" si="445"/>
        <v>500.94152133615842</v>
      </c>
      <c r="BF149" s="687">
        <f t="shared" si="445"/>
        <v>576.74536653488917</v>
      </c>
      <c r="BG149" s="689">
        <f t="shared" si="445"/>
        <v>660.33234114245681</v>
      </c>
      <c r="BH149" s="688">
        <f t="shared" ref="BH149:BK149" si="446">BH145*BH$138</f>
        <v>583.98483118059835</v>
      </c>
      <c r="BI149" s="687">
        <f t="shared" si="446"/>
        <v>634.19512688731174</v>
      </c>
      <c r="BJ149" s="687">
        <f t="shared" si="446"/>
        <v>730.16327322129212</v>
      </c>
      <c r="BK149" s="689">
        <f t="shared" si="446"/>
        <v>835.98491049739255</v>
      </c>
      <c r="BL149" s="688">
        <f t="shared" ref="BL149:BO149" si="447">BL145*BL$138</f>
        <v>739.32848114283877</v>
      </c>
      <c r="BM149" s="687">
        <f t="shared" si="447"/>
        <v>802.89503232796244</v>
      </c>
      <c r="BN149" s="687">
        <f t="shared" si="447"/>
        <v>924.39131113328199</v>
      </c>
      <c r="BO149" s="689">
        <f t="shared" si="447"/>
        <v>1058.3621716455696</v>
      </c>
      <c r="BP149" s="657"/>
      <c r="BQ149" s="8"/>
      <c r="BR149" s="8"/>
      <c r="BS149" s="273">
        <f>SUM(L149:O149)</f>
        <v>64.050096080000003</v>
      </c>
      <c r="BT149" s="691">
        <f>SUM(P149:S149)</f>
        <v>83.780870019999995</v>
      </c>
      <c r="BU149" s="691">
        <f>SUM(T149:W149)</f>
        <v>119.26489684269035</v>
      </c>
      <c r="BV149" s="691">
        <f>SUM(X149:AA149)</f>
        <v>248.45893740500003</v>
      </c>
      <c r="BW149" s="691">
        <f>SUM(AB149:AE149)</f>
        <v>442.20050621999997</v>
      </c>
      <c r="BX149" s="691">
        <f>SUM(AF149:AI149)</f>
        <v>573.16724102934359</v>
      </c>
      <c r="BY149" s="691">
        <f>SUM(AJ149:AM149)</f>
        <v>689.86573938223603</v>
      </c>
      <c r="BZ149" s="691">
        <f>+SUM(AN149:AQ149)</f>
        <v>856.1326614688129</v>
      </c>
      <c r="CA149" s="691">
        <f>+SUM(AR149:AU149)</f>
        <v>1083.8693515050713</v>
      </c>
      <c r="CB149" s="691">
        <f>SUM(AV149:AY149)</f>
        <v>1372.1854380798181</v>
      </c>
      <c r="CC149" s="691">
        <f>SUM(AZ149:BC149)</f>
        <v>1737.1954229203914</v>
      </c>
      <c r="CD149" s="691">
        <f>SUM(BD149:BG149)</f>
        <v>2199.3003668940064</v>
      </c>
      <c r="CE149" s="691">
        <f t="shared" ref="CE149:CE150" si="448">SUM(BH149:BK149)</f>
        <v>2784.3281417865946</v>
      </c>
      <c r="CF149" s="692">
        <f>SUM(BL149:BO149)</f>
        <v>3524.9769962496525</v>
      </c>
      <c r="CG149" s="658"/>
      <c r="CH149" s="363"/>
    </row>
    <row r="150" spans="1:88" ht="14.25" hidden="1" customHeight="1" outlineLevel="3">
      <c r="A150" s="672"/>
      <c r="B150" s="684" t="s">
        <v>481</v>
      </c>
      <c r="C150" s="274"/>
      <c r="D150" s="754"/>
      <c r="E150" s="754"/>
      <c r="F150" s="754"/>
      <c r="G150" s="79"/>
      <c r="H150" s="754"/>
      <c r="I150" s="754"/>
      <c r="J150" s="754"/>
      <c r="K150" s="79"/>
      <c r="L150" s="687">
        <f t="shared" ref="L150:AQ150" si="449">L146*L$140</f>
        <v>0</v>
      </c>
      <c r="M150" s="687">
        <f t="shared" si="449"/>
        <v>0</v>
      </c>
      <c r="N150" s="687">
        <f t="shared" si="449"/>
        <v>0</v>
      </c>
      <c r="O150" s="687">
        <f t="shared" si="449"/>
        <v>0</v>
      </c>
      <c r="P150" s="688">
        <f t="shared" si="449"/>
        <v>0</v>
      </c>
      <c r="Q150" s="687">
        <f t="shared" si="449"/>
        <v>0</v>
      </c>
      <c r="R150" s="687">
        <f t="shared" si="449"/>
        <v>0</v>
      </c>
      <c r="S150" s="689">
        <f t="shared" si="449"/>
        <v>0</v>
      </c>
      <c r="T150" s="687">
        <f t="shared" si="449"/>
        <v>0</v>
      </c>
      <c r="U150" s="687">
        <f t="shared" si="449"/>
        <v>0</v>
      </c>
      <c r="V150" s="687">
        <f t="shared" si="449"/>
        <v>0</v>
      </c>
      <c r="W150" s="689">
        <f t="shared" si="449"/>
        <v>0</v>
      </c>
      <c r="X150" s="687">
        <f t="shared" si="449"/>
        <v>1.0392000000000001E-3</v>
      </c>
      <c r="Y150" s="687">
        <f t="shared" si="449"/>
        <v>2.8098188249999989</v>
      </c>
      <c r="Z150" s="687">
        <f t="shared" si="449"/>
        <v>4.095135</v>
      </c>
      <c r="AA150" s="687">
        <f t="shared" si="449"/>
        <v>9.020146230000007</v>
      </c>
      <c r="AB150" s="688">
        <f t="shared" si="449"/>
        <v>7.3397727000000001</v>
      </c>
      <c r="AC150" s="687">
        <f t="shared" si="449"/>
        <v>13.142509200000006</v>
      </c>
      <c r="AD150" s="687">
        <f t="shared" si="449"/>
        <v>16.285278599999991</v>
      </c>
      <c r="AE150" s="689">
        <f t="shared" si="449"/>
        <v>19.100311560000009</v>
      </c>
      <c r="AF150" s="687">
        <f t="shared" si="449"/>
        <v>19.766887200000003</v>
      </c>
      <c r="AG150" s="687">
        <f t="shared" si="449"/>
        <v>19.568523690000013</v>
      </c>
      <c r="AH150" s="687">
        <f t="shared" si="449"/>
        <v>22.471663499999988</v>
      </c>
      <c r="AI150" s="689">
        <f t="shared" si="449"/>
        <v>23.827555989000015</v>
      </c>
      <c r="AJ150" s="688">
        <f t="shared" si="449"/>
        <v>24.981089157000003</v>
      </c>
      <c r="AK150" s="687">
        <f t="shared" si="449"/>
        <v>24.398164782000016</v>
      </c>
      <c r="AL150" s="687">
        <f t="shared" si="449"/>
        <v>26.546333849999986</v>
      </c>
      <c r="AM150" s="689">
        <f t="shared" si="449"/>
        <v>26.872527460950014</v>
      </c>
      <c r="AN150" s="687">
        <f t="shared" si="449"/>
        <v>27.561358833727883</v>
      </c>
      <c r="AO150" s="687">
        <f t="shared" si="449"/>
        <v>28.815800103767597</v>
      </c>
      <c r="AP150" s="687">
        <f t="shared" si="449"/>
        <v>28.504431224858955</v>
      </c>
      <c r="AQ150" s="689">
        <f t="shared" si="449"/>
        <v>30.542183145933215</v>
      </c>
      <c r="AR150" s="687">
        <f t="shared" ref="AR150:AV150" si="450">AR146*AR$140</f>
        <v>31.325079878464912</v>
      </c>
      <c r="AS150" s="687">
        <f t="shared" si="450"/>
        <v>32.750825003148307</v>
      </c>
      <c r="AT150" s="687">
        <f t="shared" si="450"/>
        <v>32.396936246707703</v>
      </c>
      <c r="AU150" s="689">
        <f t="shared" si="450"/>
        <v>34.712959273193313</v>
      </c>
      <c r="AV150" s="687">
        <f t="shared" si="450"/>
        <v>35.602766732654757</v>
      </c>
      <c r="AW150" s="687">
        <f>AW146*AW$140</f>
        <v>37.223208605149999</v>
      </c>
      <c r="AX150" s="687">
        <f>AX146*AX$140</f>
        <v>36.820993546361727</v>
      </c>
      <c r="AY150" s="689">
        <f t="shared" ref="AY150" si="451">AY146*AY$140</f>
        <v>39.453287793633898</v>
      </c>
      <c r="AZ150" s="687">
        <f t="shared" ref="AZ150:BG150" si="452">AZ146*AZ$140</f>
        <v>40.464605483456005</v>
      </c>
      <c r="BA150" s="687">
        <f t="shared" si="452"/>
        <v>42.306331481094595</v>
      </c>
      <c r="BB150" s="687">
        <f t="shared" si="452"/>
        <v>41.849190782013906</v>
      </c>
      <c r="BC150" s="687">
        <f t="shared" si="452"/>
        <v>44.84094558107406</v>
      </c>
      <c r="BD150" s="688">
        <f t="shared" si="452"/>
        <v>45.990366682090837</v>
      </c>
      <c r="BE150" s="687">
        <f t="shared" si="452"/>
        <v>48.083594898388874</v>
      </c>
      <c r="BF150" s="687">
        <f t="shared" si="452"/>
        <v>47.564028029397058</v>
      </c>
      <c r="BG150" s="689">
        <f t="shared" si="452"/>
        <v>50.964330555216463</v>
      </c>
      <c r="BH150" s="688">
        <f t="shared" ref="BH150:BK150" si="453">BH146*BH$140</f>
        <v>52.270714178047214</v>
      </c>
      <c r="BI150" s="687">
        <f t="shared" si="453"/>
        <v>54.649789225651602</v>
      </c>
      <c r="BJ150" s="687">
        <f t="shared" si="453"/>
        <v>54.059271400621299</v>
      </c>
      <c r="BK150" s="689">
        <f t="shared" si="453"/>
        <v>57.923912069277051</v>
      </c>
      <c r="BL150" s="688">
        <f t="shared" ref="BL150:BO150" si="454">BL146*BL$140</f>
        <v>59.408692684919743</v>
      </c>
      <c r="BM150" s="687">
        <f t="shared" si="454"/>
        <v>62.112649204359244</v>
      </c>
      <c r="BN150" s="687">
        <f t="shared" si="454"/>
        <v>61.44149151034545</v>
      </c>
      <c r="BO150" s="689">
        <f t="shared" si="454"/>
        <v>65.83387935949095</v>
      </c>
      <c r="BP150" s="657"/>
      <c r="BQ150" s="8"/>
      <c r="BR150" s="8"/>
      <c r="BS150" s="273">
        <f>SUM(L150:O150)</f>
        <v>0</v>
      </c>
      <c r="BT150" s="691">
        <f>SUM(P150:S150)</f>
        <v>0</v>
      </c>
      <c r="BU150" s="691">
        <f>SUM(T150:W150)</f>
        <v>0</v>
      </c>
      <c r="BV150" s="691">
        <f>SUM(X150:AA150)</f>
        <v>15.926139255000006</v>
      </c>
      <c r="BW150" s="691">
        <f>SUM(AB150:AE150)</f>
        <v>55.86787206000001</v>
      </c>
      <c r="BX150" s="691">
        <f>SUM(AF150:AI150)</f>
        <v>85.634630379000029</v>
      </c>
      <c r="BY150" s="691">
        <f>SUM(AJ150:AM150)</f>
        <v>102.79811524995002</v>
      </c>
      <c r="BZ150" s="691">
        <f>+SUM(AN150:AQ150)</f>
        <v>115.42377330828765</v>
      </c>
      <c r="CA150" s="691">
        <f>+SUM(AR150:AU150)</f>
        <v>131.18580040151423</v>
      </c>
      <c r="CB150" s="691">
        <f>SUM(AV150:AY150)</f>
        <v>149.10025667780039</v>
      </c>
      <c r="CC150" s="691">
        <f>SUM(AZ150:BC150)</f>
        <v>169.46107332763856</v>
      </c>
      <c r="CD150" s="691">
        <f>SUM(BD150:BG150)</f>
        <v>192.60232016509323</v>
      </c>
      <c r="CE150" s="691">
        <f t="shared" si="448"/>
        <v>218.90368687359717</v>
      </c>
      <c r="CF150" s="692">
        <f>SUM(BL150:BO150)</f>
        <v>248.79671275911539</v>
      </c>
      <c r="CG150" s="658"/>
      <c r="CH150" s="363"/>
    </row>
    <row r="151" spans="1:88" ht="14.25" hidden="1" customHeight="1" outlineLevel="3">
      <c r="A151" s="672"/>
      <c r="B151" s="684"/>
      <c r="C151" s="274"/>
      <c r="D151" s="754"/>
      <c r="E151" s="754"/>
      <c r="F151" s="754"/>
      <c r="G151" s="79"/>
      <c r="H151" s="754"/>
      <c r="I151" s="754"/>
      <c r="J151" s="754"/>
      <c r="K151" s="79"/>
      <c r="L151" s="687"/>
      <c r="M151" s="687"/>
      <c r="N151" s="687"/>
      <c r="O151" s="687"/>
      <c r="P151" s="688"/>
      <c r="Q151" s="687"/>
      <c r="R151" s="687"/>
      <c r="S151" s="689"/>
      <c r="T151" s="687"/>
      <c r="U151" s="687"/>
      <c r="V151" s="687"/>
      <c r="W151" s="689"/>
      <c r="X151" s="687"/>
      <c r="Y151" s="687"/>
      <c r="Z151" s="687"/>
      <c r="AA151" s="687"/>
      <c r="AB151" s="688"/>
      <c r="AC151" s="687"/>
      <c r="AD151" s="687"/>
      <c r="AE151" s="689"/>
      <c r="AF151" s="687"/>
      <c r="AG151" s="687"/>
      <c r="AH151" s="687"/>
      <c r="AI151" s="689"/>
      <c r="AJ151" s="688"/>
      <c r="AK151" s="687"/>
      <c r="AL151" s="687"/>
      <c r="AM151" s="689"/>
      <c r="AN151" s="687"/>
      <c r="AO151" s="687"/>
      <c r="AP151" s="687"/>
      <c r="AQ151" s="689"/>
      <c r="AR151" s="687"/>
      <c r="AS151" s="687"/>
      <c r="AT151" s="687"/>
      <c r="AU151" s="689"/>
      <c r="AV151" s="687"/>
      <c r="AW151" s="687"/>
      <c r="AX151" s="687"/>
      <c r="AY151" s="689"/>
      <c r="AZ151" s="687"/>
      <c r="BA151" s="687"/>
      <c r="BB151" s="687"/>
      <c r="BC151" s="687"/>
      <c r="BD151" s="688"/>
      <c r="BE151" s="687"/>
      <c r="BF151" s="687"/>
      <c r="BG151" s="689"/>
      <c r="BH151" s="688"/>
      <c r="BI151" s="687"/>
      <c r="BJ151" s="687"/>
      <c r="BK151" s="689"/>
      <c r="BL151" s="688"/>
      <c r="BM151" s="687"/>
      <c r="BN151" s="687"/>
      <c r="BO151" s="689"/>
      <c r="BP151" s="657"/>
      <c r="BQ151" s="8"/>
      <c r="BR151" s="8"/>
      <c r="BS151" s="8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224"/>
      <c r="CG151" s="658"/>
      <c r="CH151" s="363"/>
    </row>
    <row r="152" spans="1:88" s="8" customFormat="1" ht="14.25" hidden="1" customHeight="1" outlineLevel="3">
      <c r="A152" s="672"/>
      <c r="B152" s="651" t="s">
        <v>473</v>
      </c>
      <c r="C152" s="274"/>
      <c r="D152" s="754"/>
      <c r="E152" s="754"/>
      <c r="F152" s="754"/>
      <c r="G152" s="79"/>
      <c r="H152" s="754"/>
      <c r="I152" s="754"/>
      <c r="J152" s="754"/>
      <c r="K152" s="79"/>
      <c r="L152" s="754">
        <v>7.6271186440677971E-2</v>
      </c>
      <c r="M152" s="754">
        <v>8.8176352705410826E-2</v>
      </c>
      <c r="N152" s="754">
        <v>7.2310405643738973E-2</v>
      </c>
      <c r="O152" s="78">
        <v>6.2184873949579833E-2</v>
      </c>
      <c r="P152" s="847">
        <v>8.2148499210110582E-2</v>
      </c>
      <c r="Q152" s="846">
        <v>7.5801749271137031E-2</v>
      </c>
      <c r="R152" s="846">
        <v>7.6281403606102999E-2</v>
      </c>
      <c r="S152" s="79">
        <v>7.3253833049403749E-2</v>
      </c>
      <c r="T152" s="845">
        <v>8.3333333333333329E-2</v>
      </c>
      <c r="U152" s="845">
        <v>9.5238095238095233E-2</v>
      </c>
      <c r="V152" s="845">
        <v>9.8086124401913874E-2</v>
      </c>
      <c r="W152" s="79">
        <v>0.10416666666666667</v>
      </c>
      <c r="X152" s="845">
        <v>9.7683786505538772E-2</v>
      </c>
      <c r="Y152" s="845">
        <v>9.7142857142857142E-2</v>
      </c>
      <c r="Z152" s="845">
        <v>9.8260869565217387E-2</v>
      </c>
      <c r="AA152" s="78">
        <v>9.0690208667736763E-2</v>
      </c>
      <c r="AB152" s="847">
        <v>9.7683786505538772E-2</v>
      </c>
      <c r="AC152" s="846">
        <v>9.7142857142857142E-2</v>
      </c>
      <c r="AD152" s="846">
        <v>9.8260869565217387E-2</v>
      </c>
      <c r="AE152" s="79">
        <v>9.0690208667736763E-2</v>
      </c>
      <c r="AF152" s="846">
        <v>9.7683786505538772E-2</v>
      </c>
      <c r="AG152" s="846">
        <v>9.7142857142857142E-2</v>
      </c>
      <c r="AH152" s="848">
        <v>9.8260869565217387E-2</v>
      </c>
      <c r="AI152" s="130">
        <v>9.0690208667736763E-2</v>
      </c>
      <c r="AJ152" s="849">
        <v>9.7683786505538772E-2</v>
      </c>
      <c r="AK152" s="848">
        <v>9.7142857142857142E-2</v>
      </c>
      <c r="AL152" s="848">
        <v>9.8260869565217387E-2</v>
      </c>
      <c r="AM152" s="130">
        <v>9.0690208667736763E-2</v>
      </c>
      <c r="AN152" s="850">
        <v>9.7683786505538772E-2</v>
      </c>
      <c r="AO152" s="850">
        <v>9.7142857142857142E-2</v>
      </c>
      <c r="AP152" s="850">
        <v>9.8260869565217387E-2</v>
      </c>
      <c r="AQ152" s="130">
        <v>9.0690208667736763E-2</v>
      </c>
      <c r="AR152" s="850">
        <v>9.7683786505538772E-2</v>
      </c>
      <c r="AS152" s="850">
        <v>9.7142857142857142E-2</v>
      </c>
      <c r="AT152" s="850">
        <v>9.8260869565217387E-2</v>
      </c>
      <c r="AU152" s="130">
        <v>9.0690208667736763E-2</v>
      </c>
      <c r="AV152" s="850">
        <v>9.7683786505538772E-2</v>
      </c>
      <c r="AW152" s="850">
        <v>9.7142857142857142E-2</v>
      </c>
      <c r="AX152" s="850">
        <v>9.8260869565217387E-2</v>
      </c>
      <c r="AY152" s="130">
        <v>9.0690208667736763E-2</v>
      </c>
      <c r="AZ152" s="850">
        <v>9.7683786505538772E-2</v>
      </c>
      <c r="BA152" s="850">
        <v>9.7142857142857142E-2</v>
      </c>
      <c r="BB152" s="850">
        <v>9.8260869565217387E-2</v>
      </c>
      <c r="BC152" s="129">
        <v>9.0690208667736763E-2</v>
      </c>
      <c r="BD152" s="849">
        <v>9.7683786505538772E-2</v>
      </c>
      <c r="BE152" s="848">
        <v>9.7142857142857142E-2</v>
      </c>
      <c r="BF152" s="848">
        <v>9.8260869565217387E-2</v>
      </c>
      <c r="BG152" s="130">
        <v>9.0690208667736763E-2</v>
      </c>
      <c r="BH152" s="849">
        <v>9.7683786505538772E-2</v>
      </c>
      <c r="BI152" s="848">
        <v>9.7142857142857142E-2</v>
      </c>
      <c r="BJ152" s="848">
        <v>9.8260869565217387E-2</v>
      </c>
      <c r="BK152" s="130">
        <v>9.0690208667736763E-2</v>
      </c>
      <c r="BL152" s="849">
        <v>9.7683786505538772E-2</v>
      </c>
      <c r="BM152" s="848">
        <v>9.7142857142857142E-2</v>
      </c>
      <c r="BN152" s="848">
        <v>9.8260869565217387E-2</v>
      </c>
      <c r="BO152" s="130">
        <v>9.0690208667736763E-2</v>
      </c>
      <c r="BP152" s="657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224"/>
      <c r="CG152" s="297"/>
      <c r="CH152" s="14"/>
      <c r="CI152"/>
      <c r="CJ152"/>
    </row>
    <row r="153" spans="1:88" s="8" customFormat="1" ht="14.25" hidden="1" customHeight="1" outlineLevel="3">
      <c r="A153" s="672"/>
      <c r="B153" s="651" t="s">
        <v>474</v>
      </c>
      <c r="C153" s="274"/>
      <c r="D153" s="754"/>
      <c r="E153" s="754"/>
      <c r="F153" s="754"/>
      <c r="G153" s="79"/>
      <c r="H153" s="754"/>
      <c r="I153" s="754"/>
      <c r="J153" s="754"/>
      <c r="K153" s="79"/>
      <c r="L153" s="754">
        <v>7.6271186440677971E-2</v>
      </c>
      <c r="M153" s="754">
        <v>8.8176352705410826E-2</v>
      </c>
      <c r="N153" s="754">
        <v>7.2310405643738973E-2</v>
      </c>
      <c r="O153" s="78">
        <v>6.2184873949579833E-2</v>
      </c>
      <c r="P153" s="847">
        <v>8.2148499210110582E-2</v>
      </c>
      <c r="Q153" s="846">
        <v>7.5801749271137031E-2</v>
      </c>
      <c r="R153" s="846">
        <v>7.6281403606102999E-2</v>
      </c>
      <c r="S153" s="79">
        <v>7.3253833049403749E-2</v>
      </c>
      <c r="T153" s="845">
        <v>8.3333333333333329E-2</v>
      </c>
      <c r="U153" s="845">
        <v>9.5238095238095233E-2</v>
      </c>
      <c r="V153" s="845">
        <v>9.8086124401913874E-2</v>
      </c>
      <c r="W153" s="79">
        <v>0.10416666666666667</v>
      </c>
      <c r="X153" s="845">
        <v>9.7683786505538772E-2</v>
      </c>
      <c r="Y153" s="845">
        <v>9.7142857142857142E-2</v>
      </c>
      <c r="Z153" s="845">
        <v>9.8260869565217387E-2</v>
      </c>
      <c r="AA153" s="78">
        <v>9.0690208667736763E-2</v>
      </c>
      <c r="AB153" s="847">
        <v>9.7683786505538772E-2</v>
      </c>
      <c r="AC153" s="846">
        <v>9.7142857142857142E-2</v>
      </c>
      <c r="AD153" s="846">
        <v>9.8260869565217387E-2</v>
      </c>
      <c r="AE153" s="79">
        <v>9.0690208667736763E-2</v>
      </c>
      <c r="AF153" s="846">
        <v>9.7683786505538772E-2</v>
      </c>
      <c r="AG153" s="846">
        <v>9.7142857142857142E-2</v>
      </c>
      <c r="AH153" s="848">
        <v>9.8260869565217387E-2</v>
      </c>
      <c r="AI153" s="130">
        <v>9.0690208667736763E-2</v>
      </c>
      <c r="AJ153" s="849">
        <v>9.7683786505538772E-2</v>
      </c>
      <c r="AK153" s="848">
        <v>9.7142857142857142E-2</v>
      </c>
      <c r="AL153" s="848">
        <v>9.8260869565217387E-2</v>
      </c>
      <c r="AM153" s="130">
        <v>9.0690208667736763E-2</v>
      </c>
      <c r="AN153" s="850">
        <v>9.7683786505538772E-2</v>
      </c>
      <c r="AO153" s="850">
        <v>9.7142857142857142E-2</v>
      </c>
      <c r="AP153" s="850">
        <v>9.8260869565217387E-2</v>
      </c>
      <c r="AQ153" s="130">
        <v>9.0690208667736763E-2</v>
      </c>
      <c r="AR153" s="850">
        <v>9.7683786505538772E-2</v>
      </c>
      <c r="AS153" s="850">
        <v>9.7142857142857142E-2</v>
      </c>
      <c r="AT153" s="850">
        <v>9.8260869565217387E-2</v>
      </c>
      <c r="AU153" s="130">
        <v>9.0690208667736763E-2</v>
      </c>
      <c r="AV153" s="850">
        <v>9.7683786505538772E-2</v>
      </c>
      <c r="AW153" s="850">
        <v>9.7142857142857142E-2</v>
      </c>
      <c r="AX153" s="850">
        <v>9.8260869565217387E-2</v>
      </c>
      <c r="AY153" s="130">
        <v>9.0690208667736763E-2</v>
      </c>
      <c r="AZ153" s="850">
        <v>9.7683786505538772E-2</v>
      </c>
      <c r="BA153" s="850">
        <v>9.7142857142857142E-2</v>
      </c>
      <c r="BB153" s="850">
        <v>9.8260869565217387E-2</v>
      </c>
      <c r="BC153" s="129">
        <v>9.0690208667736763E-2</v>
      </c>
      <c r="BD153" s="849">
        <v>9.7683786505538772E-2</v>
      </c>
      <c r="BE153" s="848">
        <v>9.7142857142857142E-2</v>
      </c>
      <c r="BF153" s="848">
        <v>9.8260869565217387E-2</v>
      </c>
      <c r="BG153" s="130">
        <v>9.0690208667736763E-2</v>
      </c>
      <c r="BH153" s="849">
        <v>9.7683786505538772E-2</v>
      </c>
      <c r="BI153" s="848">
        <v>9.7142857142857142E-2</v>
      </c>
      <c r="BJ153" s="848">
        <v>9.8260869565217387E-2</v>
      </c>
      <c r="BK153" s="130">
        <v>9.0690208667736763E-2</v>
      </c>
      <c r="BL153" s="849">
        <v>9.7683786505538772E-2</v>
      </c>
      <c r="BM153" s="848">
        <v>9.7142857142857142E-2</v>
      </c>
      <c r="BN153" s="848">
        <v>9.8260869565217387E-2</v>
      </c>
      <c r="BO153" s="130">
        <v>9.0690208667736763E-2</v>
      </c>
      <c r="BP153" s="657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224"/>
      <c r="CG153" s="297"/>
      <c r="CH153" s="14"/>
      <c r="CI153"/>
      <c r="CJ153"/>
    </row>
    <row r="154" spans="1:88" s="8" customFormat="1" ht="14.25" hidden="1" customHeight="1" outlineLevel="3">
      <c r="A154" s="672"/>
      <c r="B154" s="651" t="s">
        <v>475</v>
      </c>
      <c r="C154" s="274"/>
      <c r="D154" s="754"/>
      <c r="E154" s="754"/>
      <c r="F154" s="754"/>
      <c r="G154" s="79"/>
      <c r="H154" s="754"/>
      <c r="I154" s="754"/>
      <c r="J154" s="754"/>
      <c r="K154" s="79"/>
      <c r="L154" s="754">
        <v>7.6271186440677971E-2</v>
      </c>
      <c r="M154" s="754">
        <v>8.8176352705410826E-2</v>
      </c>
      <c r="N154" s="754">
        <v>7.2310405643738973E-2</v>
      </c>
      <c r="O154" s="78">
        <v>6.2184873949579833E-2</v>
      </c>
      <c r="P154" s="847">
        <v>8.2148499210110582E-2</v>
      </c>
      <c r="Q154" s="846">
        <v>7.5801749271137031E-2</v>
      </c>
      <c r="R154" s="846">
        <v>7.6281403606102999E-2</v>
      </c>
      <c r="S154" s="79">
        <v>7.3253833049403749E-2</v>
      </c>
      <c r="T154" s="845">
        <v>8.3333333333333329E-2</v>
      </c>
      <c r="U154" s="845">
        <v>9.5238095238095233E-2</v>
      </c>
      <c r="V154" s="845">
        <v>9.8086124401913874E-2</v>
      </c>
      <c r="W154" s="79">
        <v>0.10416666666666667</v>
      </c>
      <c r="X154" s="845">
        <v>9.7683786505538772E-2</v>
      </c>
      <c r="Y154" s="845">
        <v>9.7142857142857142E-2</v>
      </c>
      <c r="Z154" s="845">
        <v>9.8260869565217387E-2</v>
      </c>
      <c r="AA154" s="78">
        <v>9.0690208667736763E-2</v>
      </c>
      <c r="AB154" s="847">
        <v>9.7683786505538772E-2</v>
      </c>
      <c r="AC154" s="846">
        <v>9.7142857142857142E-2</v>
      </c>
      <c r="AD154" s="846">
        <v>9.8260869565217387E-2</v>
      </c>
      <c r="AE154" s="79">
        <v>9.0690208667736763E-2</v>
      </c>
      <c r="AF154" s="846">
        <v>9.7683786505538772E-2</v>
      </c>
      <c r="AG154" s="846">
        <v>9.7142857142857142E-2</v>
      </c>
      <c r="AH154" s="848">
        <v>9.8260869565217387E-2</v>
      </c>
      <c r="AI154" s="130">
        <v>9.0690208667736763E-2</v>
      </c>
      <c r="AJ154" s="849">
        <v>9.7683786505538772E-2</v>
      </c>
      <c r="AK154" s="848">
        <v>9.7142857142857142E-2</v>
      </c>
      <c r="AL154" s="848">
        <v>9.8260869565217387E-2</v>
      </c>
      <c r="AM154" s="130">
        <v>9.0690208667736763E-2</v>
      </c>
      <c r="AN154" s="850">
        <v>9.7683786505538772E-2</v>
      </c>
      <c r="AO154" s="850">
        <v>9.7142857142857142E-2</v>
      </c>
      <c r="AP154" s="850">
        <v>9.8260869565217387E-2</v>
      </c>
      <c r="AQ154" s="130">
        <v>9.0690208667736763E-2</v>
      </c>
      <c r="AR154" s="850">
        <v>9.7683786505538772E-2</v>
      </c>
      <c r="AS154" s="850">
        <v>9.7142857142857142E-2</v>
      </c>
      <c r="AT154" s="850">
        <v>9.8260869565217387E-2</v>
      </c>
      <c r="AU154" s="130">
        <v>9.0690208667736763E-2</v>
      </c>
      <c r="AV154" s="850">
        <v>9.7683786505538772E-2</v>
      </c>
      <c r="AW154" s="850">
        <v>9.7142857142857142E-2</v>
      </c>
      <c r="AX154" s="850">
        <v>9.8260869565217387E-2</v>
      </c>
      <c r="AY154" s="130">
        <v>9.0690208667736763E-2</v>
      </c>
      <c r="AZ154" s="850">
        <v>9.7683786505538772E-2</v>
      </c>
      <c r="BA154" s="850">
        <v>9.7142857142857142E-2</v>
      </c>
      <c r="BB154" s="850">
        <v>9.8260869565217387E-2</v>
      </c>
      <c r="BC154" s="129">
        <v>9.0690208667736763E-2</v>
      </c>
      <c r="BD154" s="849">
        <v>9.7683786505538772E-2</v>
      </c>
      <c r="BE154" s="848">
        <v>9.7142857142857142E-2</v>
      </c>
      <c r="BF154" s="848">
        <v>9.8260869565217387E-2</v>
      </c>
      <c r="BG154" s="130">
        <v>9.0690208667736763E-2</v>
      </c>
      <c r="BH154" s="849">
        <v>9.7683786505538772E-2</v>
      </c>
      <c r="BI154" s="848">
        <v>9.7142857142857142E-2</v>
      </c>
      <c r="BJ154" s="848">
        <v>9.8260869565217387E-2</v>
      </c>
      <c r="BK154" s="130">
        <v>9.0690208667736763E-2</v>
      </c>
      <c r="BL154" s="849">
        <v>9.7683786505538772E-2</v>
      </c>
      <c r="BM154" s="848">
        <v>9.7142857142857142E-2</v>
      </c>
      <c r="BN154" s="848">
        <v>9.8260869565217387E-2</v>
      </c>
      <c r="BO154" s="130">
        <v>9.0690208667736763E-2</v>
      </c>
      <c r="BP154" s="657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224"/>
      <c r="CG154" s="297"/>
      <c r="CH154" s="14"/>
      <c r="CI154"/>
      <c r="CJ154"/>
    </row>
    <row r="155" spans="1:88" ht="14.25" hidden="1" customHeight="1" outlineLevel="3">
      <c r="A155" s="672"/>
      <c r="B155" s="824"/>
      <c r="C155" s="274"/>
      <c r="D155" s="754"/>
      <c r="E155" s="754"/>
      <c r="F155" s="754"/>
      <c r="G155" s="79"/>
      <c r="H155" s="754"/>
      <c r="I155" s="754"/>
      <c r="J155" s="754"/>
      <c r="K155" s="79"/>
      <c r="L155" s="754"/>
      <c r="M155" s="754"/>
      <c r="N155" s="754"/>
      <c r="O155" s="78"/>
      <c r="P155" s="658"/>
      <c r="Q155" s="318"/>
      <c r="R155" s="318"/>
      <c r="S155" s="79"/>
      <c r="W155" s="79"/>
      <c r="AA155" s="78"/>
      <c r="AB155" s="658"/>
      <c r="AC155" s="318"/>
      <c r="AD155" s="318"/>
      <c r="AE155" s="79"/>
      <c r="AF155" s="318"/>
      <c r="AG155" s="318"/>
      <c r="AH155" s="318"/>
      <c r="AI155" s="79"/>
      <c r="AJ155" s="658"/>
      <c r="AK155" s="318"/>
      <c r="AL155" s="318"/>
      <c r="AM155" s="79"/>
      <c r="AQ155" s="79"/>
      <c r="AU155" s="79"/>
      <c r="AY155" s="79"/>
      <c r="BC155" s="318"/>
      <c r="BD155" s="364"/>
      <c r="BE155" s="363"/>
      <c r="BF155" s="363"/>
      <c r="BG155" s="843"/>
      <c r="BH155" s="364"/>
      <c r="BI155" s="363"/>
      <c r="BJ155" s="363"/>
      <c r="BK155" s="843"/>
      <c r="BL155" s="364"/>
      <c r="BM155" s="363"/>
      <c r="BN155" s="363"/>
      <c r="BO155" s="843"/>
      <c r="BP155" s="657"/>
      <c r="BQ155" s="8"/>
      <c r="BR155" s="8"/>
      <c r="BS155" s="8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224"/>
      <c r="CG155" s="658"/>
      <c r="CH155" s="363"/>
    </row>
    <row r="156" spans="1:88" ht="14.25" hidden="1" customHeight="1" outlineLevel="3">
      <c r="A156" s="672"/>
      <c r="B156" s="684" t="s">
        <v>476</v>
      </c>
      <c r="C156" s="274"/>
      <c r="D156" s="754"/>
      <c r="E156" s="754"/>
      <c r="F156" s="754"/>
      <c r="G156" s="79"/>
      <c r="H156" s="754"/>
      <c r="I156" s="754"/>
      <c r="J156" s="754"/>
      <c r="K156" s="79"/>
      <c r="L156" s="851">
        <v>5.4142835281404009</v>
      </c>
      <c r="M156" s="851">
        <v>5.3606767605350507</v>
      </c>
      <c r="N156" s="851">
        <v>5.3076007530050004</v>
      </c>
      <c r="O156" s="852">
        <v>5.2550502505000001</v>
      </c>
      <c r="P156" s="853">
        <v>5.2030200500000001</v>
      </c>
      <c r="Q156" s="852">
        <v>5.1515050000000002</v>
      </c>
      <c r="R156" s="852">
        <v>5.1005000000000003</v>
      </c>
      <c r="S156" s="854">
        <v>5.05</v>
      </c>
      <c r="T156" s="851">
        <v>5</v>
      </c>
      <c r="U156" s="851">
        <v>5</v>
      </c>
      <c r="V156" s="851">
        <v>5</v>
      </c>
      <c r="W156" s="854">
        <v>5</v>
      </c>
      <c r="X156" s="851">
        <v>4.95</v>
      </c>
      <c r="Y156" s="851">
        <v>4.6100000000000003</v>
      </c>
      <c r="Z156" s="851">
        <v>4.5999999999999996</v>
      </c>
      <c r="AA156" s="852">
        <v>4.55</v>
      </c>
      <c r="AB156" s="853">
        <f t="shared" ref="AB156:AQ158" si="455">AA156/W156*X156</f>
        <v>4.5045000000000002</v>
      </c>
      <c r="AC156" s="852">
        <f t="shared" si="455"/>
        <v>4.1951000000000001</v>
      </c>
      <c r="AD156" s="852">
        <f t="shared" si="455"/>
        <v>4.1859999999999991</v>
      </c>
      <c r="AE156" s="854">
        <f t="shared" si="455"/>
        <v>4.1404999999999994</v>
      </c>
      <c r="AF156" s="852">
        <f t="shared" si="455"/>
        <v>4.0990950000000002</v>
      </c>
      <c r="AG156" s="852">
        <f t="shared" si="455"/>
        <v>3.8175410000000003</v>
      </c>
      <c r="AH156" s="855">
        <f t="shared" si="455"/>
        <v>3.8092599999999992</v>
      </c>
      <c r="AI156" s="856">
        <f t="shared" si="455"/>
        <v>3.7678549999999995</v>
      </c>
      <c r="AJ156" s="857">
        <f t="shared" si="455"/>
        <v>3.7301764500000001</v>
      </c>
      <c r="AK156" s="855">
        <f t="shared" si="455"/>
        <v>3.4739623100000006</v>
      </c>
      <c r="AL156" s="855">
        <f t="shared" si="455"/>
        <v>3.4664265999999992</v>
      </c>
      <c r="AM156" s="856">
        <f t="shared" si="455"/>
        <v>3.4287480499999998</v>
      </c>
      <c r="AN156" s="858">
        <f t="shared" si="455"/>
        <v>3.3944605695000001</v>
      </c>
      <c r="AO156" s="858">
        <f t="shared" si="455"/>
        <v>3.1613057021000004</v>
      </c>
      <c r="AP156" s="858">
        <f t="shared" si="455"/>
        <v>3.1544482059999992</v>
      </c>
      <c r="AQ156" s="856">
        <f t="shared" si="455"/>
        <v>3.1201607254999995</v>
      </c>
      <c r="AR156" s="858">
        <f t="shared" ref="AR156:AY158" si="456">AQ156/AM156*AN156</f>
        <v>3.0889591182449996</v>
      </c>
      <c r="AS156" s="858">
        <f t="shared" si="456"/>
        <v>2.8767881889109996</v>
      </c>
      <c r="AT156" s="858">
        <f t="shared" si="456"/>
        <v>2.8705478674599987</v>
      </c>
      <c r="AU156" s="856">
        <f t="shared" si="456"/>
        <v>2.8393462602049988</v>
      </c>
      <c r="AV156" s="858">
        <f t="shared" ref="AV156:AV158" si="457">AU156/AQ156*AR156</f>
        <v>2.8109527976029489</v>
      </c>
      <c r="AW156" s="858">
        <f t="shared" si="456"/>
        <v>2.6178772519090092</v>
      </c>
      <c r="AX156" s="858">
        <f t="shared" si="456"/>
        <v>2.6121985593885984</v>
      </c>
      <c r="AY156" s="856">
        <f t="shared" si="456"/>
        <v>2.5838050967865485</v>
      </c>
      <c r="AZ156" s="858">
        <f t="shared" ref="AZ156:BC158" si="458">AY156/AU156*AV156</f>
        <v>2.5579670458186832</v>
      </c>
      <c r="BA156" s="858">
        <f t="shared" si="458"/>
        <v>2.382268299237198</v>
      </c>
      <c r="BB156" s="858">
        <f t="shared" si="458"/>
        <v>2.3771006890436239</v>
      </c>
      <c r="BC156" s="855">
        <f t="shared" si="458"/>
        <v>2.3512626380757586</v>
      </c>
      <c r="BD156" s="857">
        <f t="shared" ref="BD156:BD158" si="459">BC156/AY156*AZ156</f>
        <v>2.3277500116950014</v>
      </c>
      <c r="BE156" s="855">
        <f t="shared" ref="BE156:BE158" si="460">BD156/AZ156*BA156</f>
        <v>2.1678641523058499</v>
      </c>
      <c r="BF156" s="855">
        <f t="shared" ref="BF156:BF158" si="461">BE156/BA156*BB156</f>
        <v>2.1631616270296976</v>
      </c>
      <c r="BG156" s="856">
        <f t="shared" ref="BG156:BG158" si="462">BF156/BB156*BC156</f>
        <v>2.1396490006489404</v>
      </c>
      <c r="BH156" s="857">
        <f t="shared" ref="BH156:BH158" si="463">BG156/BC156*BD156</f>
        <v>2.1182525106424515</v>
      </c>
      <c r="BI156" s="855">
        <f t="shared" ref="BI156:BI158" si="464">BH156/BD156*BE156</f>
        <v>1.9727563785983235</v>
      </c>
      <c r="BJ156" s="855">
        <f t="shared" ref="BJ156:BJ158" si="465">BI156/BE156*BF156</f>
        <v>1.9684770805970249</v>
      </c>
      <c r="BK156" s="856">
        <f t="shared" ref="BK156:BK158" si="466">BJ156/BF156*BG156</f>
        <v>1.9470805905905357</v>
      </c>
      <c r="BL156" s="857">
        <f t="shared" ref="BL156:BL158" si="467">BK156/BG156*BH156</f>
        <v>1.927609784684631</v>
      </c>
      <c r="BM156" s="855">
        <f t="shared" ref="BM156:BM158" si="468">BL156/BH156*BI156</f>
        <v>1.7952083045244744</v>
      </c>
      <c r="BN156" s="855">
        <f t="shared" ref="BN156:BN158" si="469">BM156/BI156*BJ156</f>
        <v>1.7913141433432926</v>
      </c>
      <c r="BO156" s="856">
        <f t="shared" ref="BO156:BO158" si="470">BN156/BJ156*BK156</f>
        <v>1.7718433374373876</v>
      </c>
      <c r="BP156" s="657"/>
      <c r="BQ156" s="8"/>
      <c r="BR156" s="8"/>
      <c r="BS156" s="8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224"/>
      <c r="CG156" s="658"/>
      <c r="CH156" s="363"/>
    </row>
    <row r="157" spans="1:88" ht="14.25" hidden="1" customHeight="1" outlineLevel="3">
      <c r="A157" s="672"/>
      <c r="B157" s="684" t="s">
        <v>477</v>
      </c>
      <c r="C157" s="274"/>
      <c r="D157" s="754"/>
      <c r="E157" s="754"/>
      <c r="F157" s="754"/>
      <c r="G157" s="79"/>
      <c r="H157" s="754"/>
      <c r="I157" s="754"/>
      <c r="J157" s="754"/>
      <c r="K157" s="79"/>
      <c r="L157" s="851">
        <v>5.4142835281404009</v>
      </c>
      <c r="M157" s="851">
        <v>5.3606767605350507</v>
      </c>
      <c r="N157" s="851">
        <v>5.3076007530050004</v>
      </c>
      <c r="O157" s="852">
        <v>5.2550502505000001</v>
      </c>
      <c r="P157" s="853">
        <v>5.2030200500000001</v>
      </c>
      <c r="Q157" s="852">
        <v>5.1515050000000002</v>
      </c>
      <c r="R157" s="852">
        <v>5.1005000000000003</v>
      </c>
      <c r="S157" s="854">
        <v>5.05</v>
      </c>
      <c r="T157" s="851">
        <v>5</v>
      </c>
      <c r="U157" s="851">
        <v>5</v>
      </c>
      <c r="V157" s="851">
        <v>5</v>
      </c>
      <c r="W157" s="854">
        <v>5</v>
      </c>
      <c r="X157" s="851">
        <v>4.95</v>
      </c>
      <c r="Y157" s="851">
        <v>4.6100000000000003</v>
      </c>
      <c r="Z157" s="851">
        <v>4.5999999999999996</v>
      </c>
      <c r="AA157" s="852">
        <v>4.55</v>
      </c>
      <c r="AB157" s="853">
        <f t="shared" si="455"/>
        <v>4.5045000000000002</v>
      </c>
      <c r="AC157" s="852">
        <f t="shared" si="455"/>
        <v>4.1951000000000001</v>
      </c>
      <c r="AD157" s="852">
        <f t="shared" si="455"/>
        <v>4.1859999999999991</v>
      </c>
      <c r="AE157" s="854">
        <f t="shared" si="455"/>
        <v>4.1404999999999994</v>
      </c>
      <c r="AF157" s="852">
        <f t="shared" si="455"/>
        <v>4.0990950000000002</v>
      </c>
      <c r="AG157" s="852">
        <f t="shared" si="455"/>
        <v>3.8175410000000003</v>
      </c>
      <c r="AH157" s="855">
        <f t="shared" si="455"/>
        <v>3.8092599999999992</v>
      </c>
      <c r="AI157" s="856">
        <f t="shared" si="455"/>
        <v>3.7678549999999995</v>
      </c>
      <c r="AJ157" s="857">
        <f t="shared" si="455"/>
        <v>3.7301764500000001</v>
      </c>
      <c r="AK157" s="855">
        <f t="shared" si="455"/>
        <v>3.4739623100000006</v>
      </c>
      <c r="AL157" s="855">
        <f t="shared" si="455"/>
        <v>3.4664265999999992</v>
      </c>
      <c r="AM157" s="856">
        <f t="shared" si="455"/>
        <v>3.4287480499999998</v>
      </c>
      <c r="AN157" s="858">
        <f t="shared" si="455"/>
        <v>3.3944605695000001</v>
      </c>
      <c r="AO157" s="858">
        <f t="shared" si="455"/>
        <v>3.1613057021000004</v>
      </c>
      <c r="AP157" s="858">
        <f t="shared" si="455"/>
        <v>3.1544482059999992</v>
      </c>
      <c r="AQ157" s="856">
        <f t="shared" si="455"/>
        <v>3.1201607254999995</v>
      </c>
      <c r="AR157" s="858">
        <f t="shared" si="456"/>
        <v>3.0889591182449996</v>
      </c>
      <c r="AS157" s="858">
        <f t="shared" si="456"/>
        <v>2.8767881889109996</v>
      </c>
      <c r="AT157" s="858">
        <f t="shared" si="456"/>
        <v>2.8705478674599987</v>
      </c>
      <c r="AU157" s="856">
        <f t="shared" si="456"/>
        <v>2.8393462602049988</v>
      </c>
      <c r="AV157" s="858">
        <f t="shared" si="457"/>
        <v>2.8109527976029489</v>
      </c>
      <c r="AW157" s="858">
        <f t="shared" si="456"/>
        <v>2.6178772519090092</v>
      </c>
      <c r="AX157" s="858">
        <f t="shared" si="456"/>
        <v>2.6121985593885984</v>
      </c>
      <c r="AY157" s="856">
        <f t="shared" si="456"/>
        <v>2.5838050967865485</v>
      </c>
      <c r="AZ157" s="858">
        <f t="shared" si="458"/>
        <v>2.5579670458186832</v>
      </c>
      <c r="BA157" s="858">
        <f t="shared" si="458"/>
        <v>2.382268299237198</v>
      </c>
      <c r="BB157" s="858">
        <f t="shared" si="458"/>
        <v>2.3771006890436239</v>
      </c>
      <c r="BC157" s="855">
        <f t="shared" si="458"/>
        <v>2.3512626380757586</v>
      </c>
      <c r="BD157" s="857">
        <f t="shared" si="459"/>
        <v>2.3277500116950014</v>
      </c>
      <c r="BE157" s="855">
        <f t="shared" si="460"/>
        <v>2.1678641523058499</v>
      </c>
      <c r="BF157" s="855">
        <f t="shared" si="461"/>
        <v>2.1631616270296976</v>
      </c>
      <c r="BG157" s="856">
        <f t="shared" si="462"/>
        <v>2.1396490006489404</v>
      </c>
      <c r="BH157" s="857">
        <f t="shared" si="463"/>
        <v>2.1182525106424515</v>
      </c>
      <c r="BI157" s="855">
        <f t="shared" si="464"/>
        <v>1.9727563785983235</v>
      </c>
      <c r="BJ157" s="855">
        <f t="shared" si="465"/>
        <v>1.9684770805970249</v>
      </c>
      <c r="BK157" s="856">
        <f t="shared" si="466"/>
        <v>1.9470805905905357</v>
      </c>
      <c r="BL157" s="857">
        <f t="shared" si="467"/>
        <v>1.927609784684631</v>
      </c>
      <c r="BM157" s="855">
        <f t="shared" si="468"/>
        <v>1.7952083045244744</v>
      </c>
      <c r="BN157" s="855">
        <f t="shared" si="469"/>
        <v>1.7913141433432926</v>
      </c>
      <c r="BO157" s="856">
        <f t="shared" si="470"/>
        <v>1.7718433374373876</v>
      </c>
      <c r="BP157" s="657"/>
      <c r="BQ157" s="8"/>
      <c r="BR157" s="8"/>
      <c r="BS157" s="8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224"/>
      <c r="CG157" s="658"/>
      <c r="CH157" s="363"/>
    </row>
    <row r="158" spans="1:88" ht="14.25" hidden="1" customHeight="1" outlineLevel="3">
      <c r="A158" s="672"/>
      <c r="B158" s="684" t="s">
        <v>478</v>
      </c>
      <c r="C158" s="274"/>
      <c r="D158" s="754"/>
      <c r="E158" s="754"/>
      <c r="F158" s="754"/>
      <c r="G158" s="79"/>
      <c r="H158" s="754"/>
      <c r="I158" s="754"/>
      <c r="J158" s="754"/>
      <c r="K158" s="79"/>
      <c r="L158" s="851">
        <v>5.4142835281404009</v>
      </c>
      <c r="M158" s="851">
        <v>5.3606767605350507</v>
      </c>
      <c r="N158" s="851">
        <v>5.3076007530050004</v>
      </c>
      <c r="O158" s="852">
        <v>5.2550502505000001</v>
      </c>
      <c r="P158" s="853">
        <v>5.2030200500000001</v>
      </c>
      <c r="Q158" s="852">
        <v>5.1515050000000002</v>
      </c>
      <c r="R158" s="852">
        <v>5.1005000000000003</v>
      </c>
      <c r="S158" s="854">
        <v>5.05</v>
      </c>
      <c r="T158" s="851">
        <v>5</v>
      </c>
      <c r="U158" s="851">
        <v>5</v>
      </c>
      <c r="V158" s="851">
        <v>5</v>
      </c>
      <c r="W158" s="854">
        <v>5</v>
      </c>
      <c r="X158" s="851">
        <v>4.95</v>
      </c>
      <c r="Y158" s="851">
        <v>4.6100000000000003</v>
      </c>
      <c r="Z158" s="851">
        <v>4.5999999999999996</v>
      </c>
      <c r="AA158" s="852">
        <v>4.55</v>
      </c>
      <c r="AB158" s="853">
        <f t="shared" si="455"/>
        <v>4.5045000000000002</v>
      </c>
      <c r="AC158" s="852">
        <f t="shared" si="455"/>
        <v>4.1951000000000001</v>
      </c>
      <c r="AD158" s="852">
        <f t="shared" si="455"/>
        <v>4.1859999999999991</v>
      </c>
      <c r="AE158" s="854">
        <f t="shared" si="455"/>
        <v>4.1404999999999994</v>
      </c>
      <c r="AF158" s="852">
        <f t="shared" si="455"/>
        <v>4.0990950000000002</v>
      </c>
      <c r="AG158" s="852">
        <f t="shared" si="455"/>
        <v>3.8175410000000003</v>
      </c>
      <c r="AH158" s="855">
        <f t="shared" si="455"/>
        <v>3.8092599999999992</v>
      </c>
      <c r="AI158" s="856">
        <f t="shared" si="455"/>
        <v>3.7678549999999995</v>
      </c>
      <c r="AJ158" s="857">
        <f t="shared" si="455"/>
        <v>3.7301764500000001</v>
      </c>
      <c r="AK158" s="855">
        <f t="shared" si="455"/>
        <v>3.4739623100000006</v>
      </c>
      <c r="AL158" s="855">
        <f t="shared" si="455"/>
        <v>3.4664265999999992</v>
      </c>
      <c r="AM158" s="856">
        <f t="shared" si="455"/>
        <v>3.4287480499999998</v>
      </c>
      <c r="AN158" s="858">
        <f t="shared" si="455"/>
        <v>3.3944605695000001</v>
      </c>
      <c r="AO158" s="858">
        <f t="shared" si="455"/>
        <v>3.1613057021000004</v>
      </c>
      <c r="AP158" s="858">
        <f t="shared" si="455"/>
        <v>3.1544482059999992</v>
      </c>
      <c r="AQ158" s="856">
        <f t="shared" si="455"/>
        <v>3.1201607254999995</v>
      </c>
      <c r="AR158" s="858">
        <f t="shared" si="456"/>
        <v>3.0889591182449996</v>
      </c>
      <c r="AS158" s="858">
        <f t="shared" si="456"/>
        <v>2.8767881889109996</v>
      </c>
      <c r="AT158" s="858">
        <f t="shared" si="456"/>
        <v>2.8705478674599987</v>
      </c>
      <c r="AU158" s="856">
        <f t="shared" si="456"/>
        <v>2.8393462602049988</v>
      </c>
      <c r="AV158" s="858">
        <f t="shared" si="457"/>
        <v>2.8109527976029489</v>
      </c>
      <c r="AW158" s="858">
        <f t="shared" si="456"/>
        <v>2.6178772519090092</v>
      </c>
      <c r="AX158" s="858">
        <f t="shared" si="456"/>
        <v>2.6121985593885984</v>
      </c>
      <c r="AY158" s="856">
        <f t="shared" si="456"/>
        <v>2.5838050967865485</v>
      </c>
      <c r="AZ158" s="858">
        <f t="shared" si="458"/>
        <v>2.5579670458186832</v>
      </c>
      <c r="BA158" s="858">
        <f t="shared" si="458"/>
        <v>2.382268299237198</v>
      </c>
      <c r="BB158" s="858">
        <f t="shared" si="458"/>
        <v>2.3771006890436239</v>
      </c>
      <c r="BC158" s="855">
        <f t="shared" si="458"/>
        <v>2.3512626380757586</v>
      </c>
      <c r="BD158" s="857">
        <f t="shared" si="459"/>
        <v>2.3277500116950014</v>
      </c>
      <c r="BE158" s="855">
        <f t="shared" si="460"/>
        <v>2.1678641523058499</v>
      </c>
      <c r="BF158" s="855">
        <f t="shared" si="461"/>
        <v>2.1631616270296976</v>
      </c>
      <c r="BG158" s="856">
        <f t="shared" si="462"/>
        <v>2.1396490006489404</v>
      </c>
      <c r="BH158" s="857">
        <f t="shared" si="463"/>
        <v>2.1182525106424515</v>
      </c>
      <c r="BI158" s="855">
        <f t="shared" si="464"/>
        <v>1.9727563785983235</v>
      </c>
      <c r="BJ158" s="855">
        <f t="shared" si="465"/>
        <v>1.9684770805970249</v>
      </c>
      <c r="BK158" s="856">
        <f t="shared" si="466"/>
        <v>1.9470805905905357</v>
      </c>
      <c r="BL158" s="857">
        <f t="shared" si="467"/>
        <v>1.927609784684631</v>
      </c>
      <c r="BM158" s="855">
        <f t="shared" si="468"/>
        <v>1.7952083045244744</v>
      </c>
      <c r="BN158" s="855">
        <f t="shared" si="469"/>
        <v>1.7913141433432926</v>
      </c>
      <c r="BO158" s="856">
        <f t="shared" si="470"/>
        <v>1.7718433374373876</v>
      </c>
      <c r="BP158" s="657"/>
      <c r="BQ158" s="8"/>
      <c r="BR158" s="8"/>
      <c r="BS158" s="8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224"/>
      <c r="CG158" s="658"/>
      <c r="CH158" s="363"/>
    </row>
    <row r="159" spans="1:88" ht="14.25" hidden="1" customHeight="1" outlineLevel="3">
      <c r="A159" s="672"/>
      <c r="B159" s="824"/>
      <c r="C159" s="274"/>
      <c r="D159" s="754"/>
      <c r="E159" s="754"/>
      <c r="F159" s="754"/>
      <c r="G159" s="79"/>
      <c r="H159" s="754"/>
      <c r="I159" s="754"/>
      <c r="J159" s="754"/>
      <c r="K159" s="79"/>
      <c r="L159" s="754"/>
      <c r="M159" s="754"/>
      <c r="N159" s="754"/>
      <c r="O159" s="78"/>
      <c r="P159" s="658"/>
      <c r="Q159" s="318"/>
      <c r="R159" s="318"/>
      <c r="S159" s="79"/>
      <c r="W159" s="79"/>
      <c r="AA159" s="78"/>
      <c r="AB159" s="658"/>
      <c r="AC159" s="318"/>
      <c r="AD159" s="318"/>
      <c r="AE159" s="79"/>
      <c r="AF159" s="318"/>
      <c r="AG159" s="318"/>
      <c r="AH159" s="318"/>
      <c r="AI159" s="859"/>
      <c r="AJ159" s="658"/>
      <c r="AK159" s="318"/>
      <c r="AL159" s="318"/>
      <c r="AM159" s="79"/>
      <c r="AQ159" s="79"/>
      <c r="AU159" s="79"/>
      <c r="AY159" s="79"/>
      <c r="BC159" s="318"/>
      <c r="BD159" s="364"/>
      <c r="BE159" s="363"/>
      <c r="BF159" s="363"/>
      <c r="BG159" s="843"/>
      <c r="BH159" s="364"/>
      <c r="BI159" s="363"/>
      <c r="BJ159" s="363"/>
      <c r="BK159" s="843"/>
      <c r="BL159" s="364"/>
      <c r="BM159" s="363"/>
      <c r="BN159" s="363"/>
      <c r="BO159" s="843"/>
      <c r="BP159" s="657"/>
      <c r="BQ159" s="8"/>
      <c r="BR159" s="8"/>
      <c r="BS159" s="8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224"/>
      <c r="CG159" s="658"/>
      <c r="CH159" s="363"/>
    </row>
    <row r="160" spans="1:88" ht="14.25" hidden="1" customHeight="1" outlineLevel="3">
      <c r="A160" s="672"/>
      <c r="B160" s="705" t="str">
        <f>B143&amp;" Revenue from Mobile"</f>
        <v>Wi-Fi Revenue from Mobile</v>
      </c>
      <c r="C160" s="274"/>
      <c r="D160" s="754"/>
      <c r="E160" s="754"/>
      <c r="F160" s="754"/>
      <c r="G160" s="79"/>
      <c r="H160" s="754"/>
      <c r="I160" s="754"/>
      <c r="J160" s="754"/>
      <c r="K160" s="79"/>
      <c r="L160" s="687">
        <f t="shared" ref="L160:AQ160" si="471">SUMPRODUCT(L144:L146,L148:L150,L156:L158,L152:L154)</f>
        <v>26.312136654271228</v>
      </c>
      <c r="M160" s="687">
        <f t="shared" si="471"/>
        <v>32.757638315723227</v>
      </c>
      <c r="N160" s="687">
        <f t="shared" si="471"/>
        <v>30.079575875975753</v>
      </c>
      <c r="O160" s="687">
        <f t="shared" si="471"/>
        <v>30.375597407725756</v>
      </c>
      <c r="P160" s="688">
        <f t="shared" si="471"/>
        <v>36.228558191023495</v>
      </c>
      <c r="Q160" s="687">
        <f t="shared" si="471"/>
        <v>35.68843244963702</v>
      </c>
      <c r="R160" s="687">
        <f t="shared" si="471"/>
        <v>37.253362467161075</v>
      </c>
      <c r="S160" s="689">
        <f t="shared" si="471"/>
        <v>35.115890889598255</v>
      </c>
      <c r="T160" s="687">
        <f t="shared" si="471"/>
        <v>34.896812377557069</v>
      </c>
      <c r="U160" s="687">
        <f t="shared" si="471"/>
        <v>61.921184918857158</v>
      </c>
      <c r="V160" s="687">
        <f t="shared" si="471"/>
        <v>78.692388624545487</v>
      </c>
      <c r="W160" s="689">
        <f t="shared" si="471"/>
        <v>94.520857687187529</v>
      </c>
      <c r="X160" s="687">
        <f t="shared" si="471"/>
        <v>96.22149028002417</v>
      </c>
      <c r="Y160" s="687">
        <f t="shared" si="471"/>
        <v>101.21889312508758</v>
      </c>
      <c r="Z160" s="687">
        <f t="shared" si="471"/>
        <v>108.88809457828498</v>
      </c>
      <c r="AA160" s="687">
        <f t="shared" si="471"/>
        <v>112.01576997427028</v>
      </c>
      <c r="AB160" s="688">
        <f t="shared" si="471"/>
        <v>132.22826817128933</v>
      </c>
      <c r="AC160" s="687">
        <f t="shared" si="471"/>
        <v>123.9195973995767</v>
      </c>
      <c r="AD160" s="687">
        <f t="shared" si="471"/>
        <v>134.47757311479765</v>
      </c>
      <c r="AE160" s="689">
        <f t="shared" si="471"/>
        <v>136.47727594325539</v>
      </c>
      <c r="AF160" s="687">
        <f t="shared" si="471"/>
        <v>130.08437086722802</v>
      </c>
      <c r="AG160" s="687">
        <f t="shared" si="471"/>
        <v>123.62407080507731</v>
      </c>
      <c r="AH160" s="687">
        <f t="shared" si="471"/>
        <v>129.6968493071877</v>
      </c>
      <c r="AI160" s="689">
        <f t="shared" si="471"/>
        <v>132.3478440201657</v>
      </c>
      <c r="AJ160" s="688">
        <f t="shared" si="471"/>
        <v>128.12301793253695</v>
      </c>
      <c r="AK160" s="687">
        <f t="shared" si="471"/>
        <v>120.49450353573218</v>
      </c>
      <c r="AL160" s="687">
        <f t="shared" si="471"/>
        <v>126.67637433634094</v>
      </c>
      <c r="AM160" s="689">
        <f t="shared" si="471"/>
        <v>130.57323138597442</v>
      </c>
      <c r="AN160" s="687">
        <f t="shared" si="471"/>
        <v>125.12284986383227</v>
      </c>
      <c r="AO160" s="687">
        <f t="shared" si="471"/>
        <v>117.33812161384861</v>
      </c>
      <c r="AP160" s="687">
        <f t="shared" si="471"/>
        <v>125.74458698548804</v>
      </c>
      <c r="AQ160" s="689">
        <f t="shared" si="471"/>
        <v>125.54781701392412</v>
      </c>
      <c r="AR160" s="687">
        <f t="shared" ref="AR160:AV160" si="472">SUMPRODUCT(AR144:AR146,AR148:AR150,AR156:AR158,AR152:AR154)</f>
        <v>120.3858300253174</v>
      </c>
      <c r="AS160" s="687">
        <f t="shared" si="472"/>
        <v>112.91520699811646</v>
      </c>
      <c r="AT160" s="687">
        <f t="shared" si="472"/>
        <v>120.95977216864171</v>
      </c>
      <c r="AU160" s="689">
        <f t="shared" si="472"/>
        <v>120.75805854133444</v>
      </c>
      <c r="AV160" s="687">
        <f t="shared" si="472"/>
        <v>115.87394798253413</v>
      </c>
      <c r="AW160" s="687">
        <f>SUMPRODUCT(AW144:AW146,AW148:AW150,AW156:AW158,AW152:AW154)</f>
        <v>108.70325487109449</v>
      </c>
      <c r="AX160" s="687">
        <f>SUMPRODUCT(AX144:AX146,AX148:AX150,AX156:AX158,AX152:AX154)</f>
        <v>116.40142407207223</v>
      </c>
      <c r="AY160" s="689">
        <f t="shared" ref="AY160" si="473">SUMPRODUCT(AY144:AY146,AY148:AY150,AY156:AY158,AY152:AY154)</f>
        <v>116.19452013507829</v>
      </c>
      <c r="AZ160" s="687">
        <f t="shared" ref="AZ160:BG160" si="474">SUMPRODUCT(AZ144:AZ146,AZ148:AZ150,AZ156:AZ158,AZ152:AZ154)</f>
        <v>111.57828335215433</v>
      </c>
      <c r="BA160" s="687">
        <f t="shared" si="474"/>
        <v>104.69392981978061</v>
      </c>
      <c r="BB160" s="687">
        <f t="shared" si="474"/>
        <v>112.06054047778069</v>
      </c>
      <c r="BC160" s="687">
        <f t="shared" si="474"/>
        <v>111.84819444137844</v>
      </c>
      <c r="BD160" s="688">
        <f t="shared" si="474"/>
        <v>107.49032428855223</v>
      </c>
      <c r="BE160" s="687">
        <f t="shared" si="474"/>
        <v>100.87927904411859</v>
      </c>
      <c r="BF160" s="687">
        <f t="shared" si="474"/>
        <v>107.9285303698327</v>
      </c>
      <c r="BG160" s="689">
        <f t="shared" si="474"/>
        <v>107.71048499014189</v>
      </c>
      <c r="BH160" s="688">
        <f t="shared" ref="BH160:BK160" si="475">SUMPRODUCT(BH144:BH146,BH148:BH150,BH156:BH158,BH152:BH154)</f>
        <v>103.60195081930766</v>
      </c>
      <c r="BI160" s="687">
        <f t="shared" si="475"/>
        <v>97.251716777802443</v>
      </c>
      <c r="BJ160" s="687">
        <f t="shared" si="475"/>
        <v>103.99719712637288</v>
      </c>
      <c r="BK160" s="689">
        <f t="shared" si="475"/>
        <v>103.77318938217731</v>
      </c>
      <c r="BL160" s="688">
        <f t="shared" ref="BL160:BO160" si="476">SUMPRODUCT(BL144:BL146,BL148:BL150,BL156:BL158,BL152:BL154)</f>
        <v>99.905418926183913</v>
      </c>
      <c r="BM160" s="687">
        <f t="shared" si="476"/>
        <v>93.804009407008408</v>
      </c>
      <c r="BN160" s="687">
        <f t="shared" si="476"/>
        <v>100.25872246227765</v>
      </c>
      <c r="BO160" s="689">
        <f t="shared" si="476"/>
        <v>100.0284832266244</v>
      </c>
      <c r="BP160" s="657"/>
      <c r="BQ160" s="8"/>
      <c r="BR160" s="8"/>
      <c r="BS160" s="8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224"/>
      <c r="CG160" s="658"/>
      <c r="CH160" s="363"/>
    </row>
    <row r="161" spans="1:88" ht="14.25" hidden="1" customHeight="1" outlineLevel="3">
      <c r="A161" s="672"/>
      <c r="B161" s="651" t="str">
        <f>"% "&amp;B143&amp;" Revenue"</f>
        <v>% Wi-Fi Revenue</v>
      </c>
      <c r="C161" s="274"/>
      <c r="D161" s="754"/>
      <c r="E161" s="754"/>
      <c r="F161" s="754"/>
      <c r="G161" s="79"/>
      <c r="H161" s="754"/>
      <c r="I161" s="754"/>
      <c r="J161" s="754"/>
      <c r="K161" s="79"/>
      <c r="L161" s="247">
        <f t="shared" ref="L161:AF161" si="477">L160/L232</f>
        <v>0.73089268484086745</v>
      </c>
      <c r="M161" s="247">
        <f t="shared" si="477"/>
        <v>0.74449177990280058</v>
      </c>
      <c r="N161" s="247">
        <f t="shared" si="477"/>
        <v>0.73364819209696952</v>
      </c>
      <c r="O161" s="76">
        <f t="shared" si="477"/>
        <v>0.82096209210069615</v>
      </c>
      <c r="P161" s="522">
        <f t="shared" si="477"/>
        <v>0.69670304213506717</v>
      </c>
      <c r="Q161" s="76">
        <f t="shared" si="477"/>
        <v>0.68631600864686582</v>
      </c>
      <c r="R161" s="76">
        <f t="shared" si="477"/>
        <v>0.67733386303929233</v>
      </c>
      <c r="S161" s="77">
        <f t="shared" si="477"/>
        <v>0.81664862533949434</v>
      </c>
      <c r="T161" s="247">
        <f t="shared" si="477"/>
        <v>0.85114176530626995</v>
      </c>
      <c r="U161" s="247">
        <f t="shared" si="477"/>
        <v>0.99872878901382511</v>
      </c>
      <c r="V161" s="247">
        <f t="shared" si="477"/>
        <v>0.95966327590909128</v>
      </c>
      <c r="W161" s="77">
        <f t="shared" si="477"/>
        <v>0.99495639670723712</v>
      </c>
      <c r="X161" s="247">
        <f t="shared" si="477"/>
        <v>0.99197412659818729</v>
      </c>
      <c r="Y161" s="247">
        <f t="shared" si="477"/>
        <v>0.99234208946164293</v>
      </c>
      <c r="Z161" s="247">
        <f t="shared" si="477"/>
        <v>0.96361145644499979</v>
      </c>
      <c r="AA161" s="76">
        <f t="shared" si="477"/>
        <v>0.99128999977230337</v>
      </c>
      <c r="AB161" s="522">
        <f t="shared" si="477"/>
        <v>0.97049243183676615</v>
      </c>
      <c r="AC161" s="76">
        <f t="shared" si="477"/>
        <v>0.91336171821800105</v>
      </c>
      <c r="AD161" s="76">
        <f t="shared" si="477"/>
        <v>0.92535181885877615</v>
      </c>
      <c r="AE161" s="77">
        <f t="shared" si="477"/>
        <v>0.91452333901686622</v>
      </c>
      <c r="AF161" s="76">
        <f t="shared" si="477"/>
        <v>1.3008437086722802</v>
      </c>
      <c r="AG161" s="76"/>
      <c r="AH161" s="76" t="str">
        <f t="shared" ref="AH161:AQ161" si="478">IF(ISERROR(AH160/AH232),"",AH160/AH232)</f>
        <v/>
      </c>
      <c r="AI161" s="77" t="str">
        <f t="shared" si="478"/>
        <v/>
      </c>
      <c r="AJ161" s="522" t="str">
        <f t="shared" si="478"/>
        <v/>
      </c>
      <c r="AK161" s="76" t="str">
        <f t="shared" si="478"/>
        <v/>
      </c>
      <c r="AL161" s="76" t="str">
        <f t="shared" si="478"/>
        <v/>
      </c>
      <c r="AM161" s="77" t="str">
        <f t="shared" si="478"/>
        <v/>
      </c>
      <c r="AN161" s="247" t="str">
        <f t="shared" si="478"/>
        <v/>
      </c>
      <c r="AO161" s="247" t="str">
        <f t="shared" si="478"/>
        <v/>
      </c>
      <c r="AP161" s="247" t="str">
        <f t="shared" si="478"/>
        <v/>
      </c>
      <c r="AQ161" s="77" t="str">
        <f t="shared" si="478"/>
        <v/>
      </c>
      <c r="AR161" s="247" t="str">
        <f t="shared" ref="AR161:AV161" si="479">IF(ISERROR(AR160/AR232),"",AR160/AR232)</f>
        <v/>
      </c>
      <c r="AS161" s="247" t="str">
        <f t="shared" si="479"/>
        <v/>
      </c>
      <c r="AT161" s="247" t="str">
        <f t="shared" si="479"/>
        <v/>
      </c>
      <c r="AU161" s="77" t="str">
        <f t="shared" si="479"/>
        <v/>
      </c>
      <c r="AV161" s="247" t="str">
        <f t="shared" si="479"/>
        <v/>
      </c>
      <c r="AW161" s="247" t="str">
        <f>IF(ISERROR(AW160/AW232),"",AW160/AW232)</f>
        <v/>
      </c>
      <c r="AX161" s="247" t="str">
        <f>IF(ISERROR(AX160/AX232),"",AX160/AX232)</f>
        <v/>
      </c>
      <c r="AY161" s="77" t="str">
        <f t="shared" ref="AY161" si="480">IF(ISERROR(AY160/AY232),"",AY160/AY232)</f>
        <v/>
      </c>
      <c r="AZ161" s="247" t="str">
        <f t="shared" ref="AZ161:BG161" si="481">IF(ISERROR(AZ160/AZ232),"",AZ160/AZ232)</f>
        <v/>
      </c>
      <c r="BA161" s="247" t="str">
        <f t="shared" si="481"/>
        <v/>
      </c>
      <c r="BB161" s="247" t="str">
        <f t="shared" si="481"/>
        <v/>
      </c>
      <c r="BC161" s="76" t="str">
        <f t="shared" si="481"/>
        <v/>
      </c>
      <c r="BD161" s="522" t="str">
        <f t="shared" si="481"/>
        <v/>
      </c>
      <c r="BE161" s="76" t="str">
        <f t="shared" si="481"/>
        <v/>
      </c>
      <c r="BF161" s="76" t="str">
        <f t="shared" si="481"/>
        <v/>
      </c>
      <c r="BG161" s="77" t="str">
        <f t="shared" si="481"/>
        <v/>
      </c>
      <c r="BH161" s="522" t="str">
        <f t="shared" ref="BH161:BK161" si="482">IF(ISERROR(BH160/BH232),"",BH160/BH232)</f>
        <v/>
      </c>
      <c r="BI161" s="76" t="str">
        <f t="shared" si="482"/>
        <v/>
      </c>
      <c r="BJ161" s="76" t="str">
        <f t="shared" si="482"/>
        <v/>
      </c>
      <c r="BK161" s="77" t="str">
        <f t="shared" si="482"/>
        <v/>
      </c>
      <c r="BL161" s="522" t="str">
        <f t="shared" ref="BL161:BO161" si="483">IF(ISERROR(BL160/BL232),"",BL160/BL232)</f>
        <v/>
      </c>
      <c r="BM161" s="76" t="str">
        <f t="shared" si="483"/>
        <v/>
      </c>
      <c r="BN161" s="76" t="str">
        <f t="shared" si="483"/>
        <v/>
      </c>
      <c r="BO161" s="77" t="str">
        <f t="shared" si="483"/>
        <v/>
      </c>
      <c r="BP161" s="657"/>
      <c r="BQ161" s="8"/>
      <c r="BR161" s="8"/>
      <c r="BS161" s="8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224"/>
      <c r="CG161" s="658"/>
      <c r="CH161" s="363"/>
    </row>
    <row r="162" spans="1:88" ht="14.25" hidden="1" customHeight="1" outlineLevel="3">
      <c r="A162" s="672"/>
      <c r="B162" s="705" t="str">
        <f>B143&amp;" Revenue from Other"</f>
        <v>Wi-Fi Revenue from Other</v>
      </c>
      <c r="C162" s="274"/>
      <c r="D162" s="754"/>
      <c r="E162" s="754"/>
      <c r="F162" s="754"/>
      <c r="G162" s="79"/>
      <c r="H162" s="754"/>
      <c r="I162" s="754"/>
      <c r="J162" s="754"/>
      <c r="K162" s="79"/>
      <c r="L162" s="687">
        <f t="shared" ref="L162:AG162" si="484">L232-L160</f>
        <v>9.6878633457287719</v>
      </c>
      <c r="M162" s="687">
        <f t="shared" si="484"/>
        <v>11.242361684276773</v>
      </c>
      <c r="N162" s="687">
        <f t="shared" si="484"/>
        <v>10.920424124024247</v>
      </c>
      <c r="O162" s="687">
        <f t="shared" si="484"/>
        <v>6.6244025922742438</v>
      </c>
      <c r="P162" s="688">
        <f t="shared" si="484"/>
        <v>15.771441808976505</v>
      </c>
      <c r="Q162" s="687">
        <f t="shared" si="484"/>
        <v>16.31156755036298</v>
      </c>
      <c r="R162" s="687">
        <f t="shared" si="484"/>
        <v>17.746637532838925</v>
      </c>
      <c r="S162" s="689">
        <f t="shared" si="484"/>
        <v>7.8841091104017451</v>
      </c>
      <c r="T162" s="687">
        <f t="shared" si="484"/>
        <v>6.1031876224429311</v>
      </c>
      <c r="U162" s="687">
        <f t="shared" si="484"/>
        <v>7.8815081142842303E-2</v>
      </c>
      <c r="V162" s="687">
        <f t="shared" si="484"/>
        <v>3.3076113754545133</v>
      </c>
      <c r="W162" s="689">
        <f t="shared" si="484"/>
        <v>0.47914231281247055</v>
      </c>
      <c r="X162" s="687">
        <f t="shared" si="484"/>
        <v>0.77850971997582974</v>
      </c>
      <c r="Y162" s="687">
        <f t="shared" si="484"/>
        <v>0.78110687491242459</v>
      </c>
      <c r="Z162" s="687">
        <f t="shared" si="484"/>
        <v>4.1119054217150222</v>
      </c>
      <c r="AA162" s="687">
        <f t="shared" si="484"/>
        <v>0.98423002572971541</v>
      </c>
      <c r="AB162" s="688">
        <f t="shared" si="484"/>
        <v>4.0203658556988557</v>
      </c>
      <c r="AC162" s="687">
        <f t="shared" si="484"/>
        <v>11.754577385576255</v>
      </c>
      <c r="AD162" s="687">
        <f t="shared" si="484"/>
        <v>10.84831307695049</v>
      </c>
      <c r="AE162" s="689">
        <f t="shared" si="484"/>
        <v>12.755958596140431</v>
      </c>
      <c r="AF162" s="860">
        <f t="shared" si="484"/>
        <v>-30.084370867228017</v>
      </c>
      <c r="AG162" s="687">
        <f t="shared" si="484"/>
        <v>-123.62407080507731</v>
      </c>
      <c r="AH162" s="860"/>
      <c r="AI162" s="861"/>
      <c r="AJ162" s="862"/>
      <c r="AK162" s="860"/>
      <c r="AL162" s="860"/>
      <c r="AM162" s="861"/>
      <c r="AN162" s="860"/>
      <c r="AO162" s="860"/>
      <c r="AP162" s="860"/>
      <c r="AQ162" s="861"/>
      <c r="AR162" s="860"/>
      <c r="AS162" s="860"/>
      <c r="AT162" s="860"/>
      <c r="AU162" s="861"/>
      <c r="AV162" s="860"/>
      <c r="AW162" s="860"/>
      <c r="AX162" s="860"/>
      <c r="AY162" s="861"/>
      <c r="AZ162" s="860"/>
      <c r="BA162" s="860"/>
      <c r="BB162" s="860"/>
      <c r="BC162" s="860"/>
      <c r="BD162" s="862"/>
      <c r="BE162" s="860"/>
      <c r="BF162" s="860"/>
      <c r="BG162" s="861"/>
      <c r="BH162" s="862"/>
      <c r="BI162" s="860"/>
      <c r="BJ162" s="860"/>
      <c r="BK162" s="861"/>
      <c r="BL162" s="862"/>
      <c r="BM162" s="860"/>
      <c r="BN162" s="860"/>
      <c r="BO162" s="861"/>
      <c r="BP162" s="657"/>
      <c r="BQ162" s="8"/>
      <c r="BR162" s="8"/>
      <c r="BS162" s="8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224"/>
      <c r="CG162" s="658"/>
      <c r="CH162" s="363"/>
    </row>
    <row r="163" spans="1:88" ht="14.25" hidden="1" customHeight="1" outlineLevel="3">
      <c r="A163" s="672"/>
      <c r="B163" s="651" t="str">
        <f>"% "&amp;B143&amp;" Revenue"</f>
        <v>% Wi-Fi Revenue</v>
      </c>
      <c r="C163" s="274"/>
      <c r="D163" s="754"/>
      <c r="E163" s="754"/>
      <c r="F163" s="754"/>
      <c r="G163" s="79"/>
      <c r="H163" s="754"/>
      <c r="I163" s="754"/>
      <c r="J163" s="754"/>
      <c r="K163" s="79"/>
      <c r="L163" s="247">
        <f t="shared" ref="L163:AF163" si="485">L162/L232</f>
        <v>0.26910731515913255</v>
      </c>
      <c r="M163" s="247">
        <f t="shared" si="485"/>
        <v>0.25550822009719937</v>
      </c>
      <c r="N163" s="247">
        <f t="shared" si="485"/>
        <v>0.26635180790303042</v>
      </c>
      <c r="O163" s="76">
        <f t="shared" si="485"/>
        <v>0.17903790789930388</v>
      </c>
      <c r="P163" s="522">
        <f t="shared" si="485"/>
        <v>0.30329695786493277</v>
      </c>
      <c r="Q163" s="76">
        <f t="shared" si="485"/>
        <v>0.31368399135313424</v>
      </c>
      <c r="R163" s="76">
        <f t="shared" si="485"/>
        <v>0.32266613696070773</v>
      </c>
      <c r="S163" s="77">
        <f t="shared" si="485"/>
        <v>0.18335137466050569</v>
      </c>
      <c r="T163" s="247">
        <f t="shared" si="485"/>
        <v>0.14885823469373002</v>
      </c>
      <c r="U163" s="247">
        <f t="shared" si="485"/>
        <v>1.2712109861748758E-3</v>
      </c>
      <c r="V163" s="247">
        <f t="shared" si="485"/>
        <v>4.0336724090908702E-2</v>
      </c>
      <c r="W163" s="77">
        <f t="shared" si="485"/>
        <v>5.0436032927628476E-3</v>
      </c>
      <c r="X163" s="247">
        <f t="shared" si="485"/>
        <v>8.025873401812678E-3</v>
      </c>
      <c r="Y163" s="247">
        <f t="shared" si="485"/>
        <v>7.6579105383571041E-3</v>
      </c>
      <c r="Z163" s="247">
        <f t="shared" si="485"/>
        <v>3.6388543555000194E-2</v>
      </c>
      <c r="AA163" s="76">
        <f t="shared" si="485"/>
        <v>8.7100002276965967E-3</v>
      </c>
      <c r="AB163" s="522">
        <f t="shared" si="485"/>
        <v>2.9507568163233841E-2</v>
      </c>
      <c r="AC163" s="76">
        <f t="shared" si="485"/>
        <v>8.6638281781998921E-2</v>
      </c>
      <c r="AD163" s="76">
        <f t="shared" si="485"/>
        <v>7.4648181141223804E-2</v>
      </c>
      <c r="AE163" s="77">
        <f t="shared" si="485"/>
        <v>8.5476660983133806E-2</v>
      </c>
      <c r="AF163" s="863">
        <f t="shared" si="485"/>
        <v>-0.30084370867228016</v>
      </c>
      <c r="AG163" s="76"/>
      <c r="AH163" s="864"/>
      <c r="AI163" s="865"/>
      <c r="AJ163" s="866"/>
      <c r="AK163" s="864"/>
      <c r="AL163" s="864"/>
      <c r="AM163" s="865"/>
      <c r="AN163" s="867"/>
      <c r="AO163" s="867"/>
      <c r="AP163" s="867"/>
      <c r="AQ163" s="865"/>
      <c r="AR163" s="867"/>
      <c r="AS163" s="867"/>
      <c r="AT163" s="867"/>
      <c r="AU163" s="865"/>
      <c r="AV163" s="867"/>
      <c r="AW163" s="867"/>
      <c r="AX163" s="867"/>
      <c r="AY163" s="865"/>
      <c r="AZ163" s="867"/>
      <c r="BA163" s="867"/>
      <c r="BB163" s="867"/>
      <c r="BC163" s="864"/>
      <c r="BD163" s="866"/>
      <c r="BE163" s="864"/>
      <c r="BF163" s="864"/>
      <c r="BG163" s="865"/>
      <c r="BH163" s="866"/>
      <c r="BI163" s="864"/>
      <c r="BJ163" s="864"/>
      <c r="BK163" s="865"/>
      <c r="BL163" s="866"/>
      <c r="BM163" s="864"/>
      <c r="BN163" s="864"/>
      <c r="BO163" s="865"/>
      <c r="BP163" s="657"/>
      <c r="BQ163" s="8"/>
      <c r="BR163" s="8"/>
      <c r="BS163" s="8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224"/>
      <c r="CG163" s="658"/>
      <c r="CH163" s="363"/>
    </row>
    <row r="164" spans="1:88" ht="14.25" hidden="1" customHeight="1" outlineLevel="3">
      <c r="A164" s="672"/>
      <c r="B164" s="824"/>
      <c r="C164" s="274"/>
      <c r="D164" s="754"/>
      <c r="E164" s="754"/>
      <c r="F164" s="754"/>
      <c r="G164" s="79"/>
      <c r="H164" s="754"/>
      <c r="I164" s="754"/>
      <c r="J164" s="754"/>
      <c r="K164" s="79"/>
      <c r="L164" s="754"/>
      <c r="M164" s="754"/>
      <c r="N164" s="754"/>
      <c r="O164" s="78"/>
      <c r="P164" s="658"/>
      <c r="Q164" s="318"/>
      <c r="R164" s="318"/>
      <c r="S164" s="79"/>
      <c r="W164" s="79"/>
      <c r="AA164" s="78"/>
      <c r="AB164" s="658"/>
      <c r="AC164" s="318"/>
      <c r="AD164" s="318"/>
      <c r="AE164" s="79"/>
      <c r="AF164" s="318"/>
      <c r="AG164" s="318"/>
      <c r="AH164" s="318"/>
      <c r="AI164" s="859"/>
      <c r="AJ164" s="658"/>
      <c r="AK164" s="318"/>
      <c r="AL164" s="318"/>
      <c r="AM164" s="79"/>
      <c r="AQ164" s="79"/>
      <c r="AU164" s="79"/>
      <c r="AY164" s="79"/>
      <c r="BC164" s="318"/>
      <c r="BD164" s="364"/>
      <c r="BE164" s="363"/>
      <c r="BF164" s="363"/>
      <c r="BG164" s="843"/>
      <c r="BH164" s="364"/>
      <c r="BI164" s="363"/>
      <c r="BJ164" s="363"/>
      <c r="BK164" s="843"/>
      <c r="BL164" s="364"/>
      <c r="BM164" s="363"/>
      <c r="BN164" s="363"/>
      <c r="BO164" s="843"/>
      <c r="BP164" s="657"/>
      <c r="BQ164" s="8"/>
      <c r="BR164" s="8"/>
      <c r="BS164" s="8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224"/>
      <c r="CG164" s="658"/>
      <c r="CH164" s="363"/>
    </row>
    <row r="165" spans="1:88" s="8" customFormat="1" ht="14.25" hidden="1" customHeight="1" outlineLevel="3">
      <c r="A165" s="672"/>
      <c r="B165" s="705" t="s">
        <v>355</v>
      </c>
      <c r="C165" s="274"/>
      <c r="D165" s="754"/>
      <c r="E165" s="754"/>
      <c r="F165" s="754"/>
      <c r="G165" s="79"/>
      <c r="H165" s="754"/>
      <c r="I165" s="754"/>
      <c r="J165" s="754"/>
      <c r="K165" s="79"/>
      <c r="L165" s="754"/>
      <c r="M165" s="754"/>
      <c r="N165" s="754"/>
      <c r="O165" s="78"/>
      <c r="P165" s="297"/>
      <c r="Q165" s="14"/>
      <c r="R165" s="14"/>
      <c r="S165" s="79"/>
      <c r="W165" s="79"/>
      <c r="AA165" s="78"/>
      <c r="AB165" s="297"/>
      <c r="AC165" s="14"/>
      <c r="AD165" s="14"/>
      <c r="AE165" s="79"/>
      <c r="AF165" s="14"/>
      <c r="AG165" s="14"/>
      <c r="AH165" s="14"/>
      <c r="AI165" s="79"/>
      <c r="AJ165" s="297"/>
      <c r="AK165" s="14"/>
      <c r="AL165" s="14"/>
      <c r="AM165" s="79"/>
      <c r="AQ165" s="79"/>
      <c r="AU165" s="79"/>
      <c r="AY165" s="79"/>
      <c r="BC165" s="14"/>
      <c r="BD165" s="297"/>
      <c r="BE165" s="14"/>
      <c r="BF165" s="14"/>
      <c r="BG165" s="224"/>
      <c r="BH165" s="297"/>
      <c r="BI165" s="14"/>
      <c r="BJ165" s="14"/>
      <c r="BK165" s="224"/>
      <c r="BL165" s="297"/>
      <c r="BM165" s="14"/>
      <c r="BN165" s="14"/>
      <c r="BO165" s="224"/>
      <c r="BP165" s="657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224"/>
      <c r="CG165" s="297"/>
      <c r="CH165" s="14"/>
      <c r="CI165"/>
      <c r="CJ165"/>
    </row>
    <row r="166" spans="1:88" s="8" customFormat="1" ht="14.25" hidden="1" customHeight="1" outlineLevel="3">
      <c r="A166" s="672"/>
      <c r="B166" s="651" t="s">
        <v>356</v>
      </c>
      <c r="C166" s="274"/>
      <c r="D166" s="754"/>
      <c r="E166" s="754"/>
      <c r="F166" s="754"/>
      <c r="G166" s="79"/>
      <c r="H166" s="754"/>
      <c r="I166" s="754"/>
      <c r="J166" s="754"/>
      <c r="K166" s="79"/>
      <c r="L166" s="754">
        <v>0.2</v>
      </c>
      <c r="M166" s="754">
        <v>0.2</v>
      </c>
      <c r="N166" s="754">
        <v>0.25</v>
      </c>
      <c r="O166" s="78">
        <v>0.3</v>
      </c>
      <c r="P166" s="847">
        <v>0.35</v>
      </c>
      <c r="Q166" s="846">
        <v>0.4</v>
      </c>
      <c r="R166" s="846">
        <v>0.45</v>
      </c>
      <c r="S166" s="79">
        <v>0.5</v>
      </c>
      <c r="T166" s="845">
        <v>0.6</v>
      </c>
      <c r="U166" s="845">
        <v>0.63</v>
      </c>
      <c r="V166" s="845">
        <v>0.65</v>
      </c>
      <c r="W166" s="79">
        <v>0.65</v>
      </c>
      <c r="X166" s="845">
        <v>0.7</v>
      </c>
      <c r="Y166" s="845">
        <v>0.73</v>
      </c>
      <c r="Z166" s="845">
        <v>0.75</v>
      </c>
      <c r="AA166" s="78">
        <v>0.75</v>
      </c>
      <c r="AB166" s="847">
        <v>0.75</v>
      </c>
      <c r="AC166" s="846">
        <v>0.75</v>
      </c>
      <c r="AD166" s="846">
        <v>0.75</v>
      </c>
      <c r="AE166" s="79">
        <v>0.75</v>
      </c>
      <c r="AF166" s="846">
        <v>0.75</v>
      </c>
      <c r="AG166" s="846">
        <v>0.75</v>
      </c>
      <c r="AH166" s="846">
        <v>0.75</v>
      </c>
      <c r="AI166" s="79">
        <v>0.75</v>
      </c>
      <c r="AJ166" s="847">
        <v>0.75</v>
      </c>
      <c r="AK166" s="846">
        <v>0.75</v>
      </c>
      <c r="AL166" s="846">
        <v>0.75</v>
      </c>
      <c r="AM166" s="79">
        <v>0.75</v>
      </c>
      <c r="AN166" s="845">
        <v>0.75</v>
      </c>
      <c r="AO166" s="845">
        <v>0.75</v>
      </c>
      <c r="AP166" s="845">
        <v>0.75</v>
      </c>
      <c r="AQ166" s="79">
        <v>0.75</v>
      </c>
      <c r="AR166" s="845">
        <v>0.75</v>
      </c>
      <c r="AS166" s="845">
        <v>0.75</v>
      </c>
      <c r="AT166" s="845">
        <v>0.75</v>
      </c>
      <c r="AU166" s="79">
        <v>0.75</v>
      </c>
      <c r="AV166" s="845">
        <v>0.75</v>
      </c>
      <c r="AW166" s="845">
        <v>0.75</v>
      </c>
      <c r="AX166" s="845">
        <v>0.75</v>
      </c>
      <c r="AY166" s="79">
        <v>0.75</v>
      </c>
      <c r="AZ166" s="845">
        <v>0.75</v>
      </c>
      <c r="BA166" s="845">
        <v>0.75</v>
      </c>
      <c r="BB166" s="845">
        <v>0.75</v>
      </c>
      <c r="BC166" s="78">
        <v>0.75</v>
      </c>
      <c r="BD166" s="847">
        <v>0.75</v>
      </c>
      <c r="BE166" s="846">
        <v>0.75</v>
      </c>
      <c r="BF166" s="846">
        <v>0.75</v>
      </c>
      <c r="BG166" s="79">
        <v>0.75</v>
      </c>
      <c r="BH166" s="847">
        <v>0.75</v>
      </c>
      <c r="BI166" s="846">
        <v>0.75</v>
      </c>
      <c r="BJ166" s="846">
        <v>0.75</v>
      </c>
      <c r="BK166" s="79">
        <v>0.75</v>
      </c>
      <c r="BL166" s="847">
        <v>0.75</v>
      </c>
      <c r="BM166" s="846">
        <v>0.75</v>
      </c>
      <c r="BN166" s="846">
        <v>0.75</v>
      </c>
      <c r="BO166" s="79">
        <v>0.75</v>
      </c>
      <c r="BP166" s="657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224"/>
      <c r="CG166" s="297"/>
      <c r="CH166" s="14"/>
      <c r="CI166"/>
      <c r="CJ166"/>
    </row>
    <row r="167" spans="1:88" s="8" customFormat="1" ht="14.25" hidden="1" customHeight="1" outlineLevel="3">
      <c r="A167" s="672"/>
      <c r="B167" s="651" t="s">
        <v>357</v>
      </c>
      <c r="C167" s="274"/>
      <c r="D167" s="754"/>
      <c r="E167" s="754"/>
      <c r="F167" s="754"/>
      <c r="G167" s="79"/>
      <c r="H167" s="754"/>
      <c r="I167" s="754"/>
      <c r="J167" s="754"/>
      <c r="K167" s="79"/>
      <c r="L167" s="754">
        <v>0.2</v>
      </c>
      <c r="M167" s="754">
        <v>0.2</v>
      </c>
      <c r="N167" s="754">
        <v>0.25</v>
      </c>
      <c r="O167" s="78">
        <v>0.3</v>
      </c>
      <c r="P167" s="847">
        <v>0.35</v>
      </c>
      <c r="Q167" s="846">
        <v>0.4</v>
      </c>
      <c r="R167" s="846">
        <v>0.45</v>
      </c>
      <c r="S167" s="79">
        <v>0.5</v>
      </c>
      <c r="T167" s="845">
        <v>0.6</v>
      </c>
      <c r="U167" s="845">
        <v>0.63</v>
      </c>
      <c r="V167" s="845">
        <v>0.65</v>
      </c>
      <c r="W167" s="79">
        <v>0.65</v>
      </c>
      <c r="X167" s="845">
        <v>0.7</v>
      </c>
      <c r="Y167" s="845">
        <v>0.73</v>
      </c>
      <c r="Z167" s="845">
        <v>0.75</v>
      </c>
      <c r="AA167" s="78">
        <v>0.75</v>
      </c>
      <c r="AB167" s="847">
        <v>0.75</v>
      </c>
      <c r="AC167" s="846">
        <v>0.75</v>
      </c>
      <c r="AD167" s="846">
        <v>0.75</v>
      </c>
      <c r="AE167" s="79">
        <v>0.75</v>
      </c>
      <c r="AF167" s="846">
        <v>0.75</v>
      </c>
      <c r="AG167" s="846">
        <v>0.75</v>
      </c>
      <c r="AH167" s="846">
        <v>0.75</v>
      </c>
      <c r="AI167" s="79">
        <v>0.75</v>
      </c>
      <c r="AJ167" s="847">
        <v>0.75</v>
      </c>
      <c r="AK167" s="846">
        <v>0.75</v>
      </c>
      <c r="AL167" s="846">
        <v>0.75</v>
      </c>
      <c r="AM167" s="79">
        <v>0.75</v>
      </c>
      <c r="AN167" s="845">
        <v>0.75</v>
      </c>
      <c r="AO167" s="845">
        <v>0.75</v>
      </c>
      <c r="AP167" s="845">
        <v>0.75</v>
      </c>
      <c r="AQ167" s="79">
        <v>0.75</v>
      </c>
      <c r="AR167" s="845">
        <v>0.75</v>
      </c>
      <c r="AS167" s="845">
        <v>0.75</v>
      </c>
      <c r="AT167" s="845">
        <v>0.75</v>
      </c>
      <c r="AU167" s="79">
        <v>0.75</v>
      </c>
      <c r="AV167" s="845">
        <v>0.75</v>
      </c>
      <c r="AW167" s="845">
        <v>0.75</v>
      </c>
      <c r="AX167" s="845">
        <v>0.75</v>
      </c>
      <c r="AY167" s="79">
        <v>0.75</v>
      </c>
      <c r="AZ167" s="845">
        <v>0.75</v>
      </c>
      <c r="BA167" s="845">
        <v>0.75</v>
      </c>
      <c r="BB167" s="845">
        <v>0.75</v>
      </c>
      <c r="BC167" s="78">
        <v>0.75</v>
      </c>
      <c r="BD167" s="847">
        <v>0.75</v>
      </c>
      <c r="BE167" s="846">
        <v>0.75</v>
      </c>
      <c r="BF167" s="846">
        <v>0.75</v>
      </c>
      <c r="BG167" s="79">
        <v>0.75</v>
      </c>
      <c r="BH167" s="847">
        <v>0.75</v>
      </c>
      <c r="BI167" s="846">
        <v>0.75</v>
      </c>
      <c r="BJ167" s="846">
        <v>0.75</v>
      </c>
      <c r="BK167" s="79">
        <v>0.75</v>
      </c>
      <c r="BL167" s="847">
        <v>0.75</v>
      </c>
      <c r="BM167" s="846">
        <v>0.75</v>
      </c>
      <c r="BN167" s="846">
        <v>0.75</v>
      </c>
      <c r="BO167" s="79">
        <v>0.75</v>
      </c>
      <c r="BP167" s="657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224"/>
      <c r="CG167" s="297"/>
      <c r="CH167" s="14"/>
      <c r="CI167"/>
      <c r="CJ167"/>
    </row>
    <row r="168" spans="1:88" s="8" customFormat="1" ht="14.25" hidden="1" customHeight="1" outlineLevel="3">
      <c r="A168" s="672"/>
      <c r="B168" s="651" t="s">
        <v>358</v>
      </c>
      <c r="C168" s="274"/>
      <c r="D168" s="754"/>
      <c r="E168" s="754"/>
      <c r="F168" s="754"/>
      <c r="G168" s="79"/>
      <c r="H168" s="754"/>
      <c r="I168" s="754"/>
      <c r="J168" s="754"/>
      <c r="K168" s="79"/>
      <c r="L168" s="754">
        <v>0.2</v>
      </c>
      <c r="M168" s="754">
        <v>0.2</v>
      </c>
      <c r="N168" s="754">
        <v>0.25</v>
      </c>
      <c r="O168" s="78">
        <v>0.3</v>
      </c>
      <c r="P168" s="847">
        <v>0.35</v>
      </c>
      <c r="Q168" s="846">
        <v>0.4</v>
      </c>
      <c r="R168" s="846">
        <v>0.45</v>
      </c>
      <c r="S168" s="79">
        <v>0.5</v>
      </c>
      <c r="T168" s="845">
        <v>0.6</v>
      </c>
      <c r="U168" s="845">
        <v>0.63</v>
      </c>
      <c r="V168" s="845">
        <v>0.65</v>
      </c>
      <c r="W168" s="79">
        <v>0.65</v>
      </c>
      <c r="X168" s="845">
        <v>0.7</v>
      </c>
      <c r="Y168" s="845">
        <v>0.73</v>
      </c>
      <c r="Z168" s="845">
        <v>0.75</v>
      </c>
      <c r="AA168" s="78">
        <v>0.75</v>
      </c>
      <c r="AB168" s="847">
        <v>0.75</v>
      </c>
      <c r="AC168" s="846">
        <v>0.75</v>
      </c>
      <c r="AD168" s="846">
        <v>0.75</v>
      </c>
      <c r="AE168" s="79">
        <v>0.75</v>
      </c>
      <c r="AF168" s="846">
        <v>0.75</v>
      </c>
      <c r="AG168" s="846">
        <v>0.75</v>
      </c>
      <c r="AH168" s="846">
        <v>0.75</v>
      </c>
      <c r="AI168" s="79">
        <v>0.75</v>
      </c>
      <c r="AJ168" s="847">
        <v>0.75</v>
      </c>
      <c r="AK168" s="846">
        <v>0.75</v>
      </c>
      <c r="AL168" s="846">
        <v>0.75</v>
      </c>
      <c r="AM168" s="79">
        <v>0.75</v>
      </c>
      <c r="AN168" s="845">
        <v>0.75</v>
      </c>
      <c r="AO168" s="845">
        <v>0.75</v>
      </c>
      <c r="AP168" s="845">
        <v>0.75</v>
      </c>
      <c r="AQ168" s="79">
        <v>0.75</v>
      </c>
      <c r="AR168" s="845">
        <v>0.75</v>
      </c>
      <c r="AS168" s="845">
        <v>0.75</v>
      </c>
      <c r="AT168" s="845">
        <v>0.75</v>
      </c>
      <c r="AU168" s="79">
        <v>0.75</v>
      </c>
      <c r="AV168" s="845">
        <v>0.75</v>
      </c>
      <c r="AW168" s="845">
        <v>0.75</v>
      </c>
      <c r="AX168" s="845">
        <v>0.75</v>
      </c>
      <c r="AY168" s="79">
        <v>0.75</v>
      </c>
      <c r="AZ168" s="845">
        <v>0.75</v>
      </c>
      <c r="BA168" s="845">
        <v>0.75</v>
      </c>
      <c r="BB168" s="845">
        <v>0.75</v>
      </c>
      <c r="BC168" s="78">
        <v>0.75</v>
      </c>
      <c r="BD168" s="847">
        <v>0.75</v>
      </c>
      <c r="BE168" s="846">
        <v>0.75</v>
      </c>
      <c r="BF168" s="846">
        <v>0.75</v>
      </c>
      <c r="BG168" s="79">
        <v>0.75</v>
      </c>
      <c r="BH168" s="847">
        <v>0.75</v>
      </c>
      <c r="BI168" s="846">
        <v>0.75</v>
      </c>
      <c r="BJ168" s="846">
        <v>0.75</v>
      </c>
      <c r="BK168" s="79">
        <v>0.75</v>
      </c>
      <c r="BL168" s="847">
        <v>0.75</v>
      </c>
      <c r="BM168" s="846">
        <v>0.75</v>
      </c>
      <c r="BN168" s="846">
        <v>0.75</v>
      </c>
      <c r="BO168" s="79">
        <v>0.75</v>
      </c>
      <c r="BP168" s="657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224"/>
      <c r="CG168" s="297"/>
      <c r="CH168" s="14"/>
      <c r="CI168"/>
      <c r="CJ168"/>
    </row>
    <row r="169" spans="1:88" ht="14.25" hidden="1" customHeight="1" outlineLevel="3">
      <c r="A169" s="672"/>
      <c r="B169" s="824"/>
      <c r="C169" s="274"/>
      <c r="D169" s="754"/>
      <c r="E169" s="754"/>
      <c r="F169" s="754"/>
      <c r="G169" s="79"/>
      <c r="H169" s="754"/>
      <c r="I169" s="754"/>
      <c r="J169" s="754"/>
      <c r="K169" s="79"/>
      <c r="L169" s="754"/>
      <c r="M169" s="754"/>
      <c r="N169" s="754"/>
      <c r="O169" s="78"/>
      <c r="P169" s="658"/>
      <c r="Q169" s="318"/>
      <c r="R169" s="318"/>
      <c r="S169" s="79"/>
      <c r="W169" s="79"/>
      <c r="AA169" s="78"/>
      <c r="AB169" s="658"/>
      <c r="AC169" s="318"/>
      <c r="AD169" s="318"/>
      <c r="AE169" s="79"/>
      <c r="AF169" s="318"/>
      <c r="AG169" s="318"/>
      <c r="AH169" s="318"/>
      <c r="AI169" s="79"/>
      <c r="AJ169" s="658"/>
      <c r="AK169" s="318"/>
      <c r="AL169" s="318"/>
      <c r="AM169" s="79"/>
      <c r="AQ169" s="79"/>
      <c r="AU169" s="79"/>
      <c r="AY169" s="79"/>
      <c r="BC169" s="318"/>
      <c r="BD169" s="364"/>
      <c r="BE169" s="363"/>
      <c r="BF169" s="363"/>
      <c r="BG169" s="843"/>
      <c r="BH169" s="364"/>
      <c r="BI169" s="363"/>
      <c r="BJ169" s="363"/>
      <c r="BK169" s="843"/>
      <c r="BL169" s="364"/>
      <c r="BM169" s="363"/>
      <c r="BN169" s="363"/>
      <c r="BO169" s="843"/>
      <c r="BP169" s="657"/>
      <c r="BQ169" s="8"/>
      <c r="BR169" s="8"/>
      <c r="BS169" s="8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224"/>
      <c r="CG169" s="658"/>
      <c r="CH169" s="363"/>
    </row>
    <row r="170" spans="1:88" ht="14.25" hidden="1" customHeight="1" outlineLevel="3">
      <c r="A170" s="672"/>
      <c r="B170" s="684" t="s">
        <v>359</v>
      </c>
      <c r="C170" s="274"/>
      <c r="D170" s="754"/>
      <c r="E170" s="754"/>
      <c r="F170" s="754"/>
      <c r="G170" s="79"/>
      <c r="H170" s="754"/>
      <c r="I170" s="754"/>
      <c r="J170" s="754"/>
      <c r="K170" s="79"/>
      <c r="L170" s="687">
        <f t="shared" ref="L170:AQ170" si="486">L166*(L$136-L$138)</f>
        <v>46.037083200000005</v>
      </c>
      <c r="M170" s="687">
        <f t="shared" si="486"/>
        <v>47.590085000000009</v>
      </c>
      <c r="N170" s="687">
        <f t="shared" si="486"/>
        <v>64.418417750000003</v>
      </c>
      <c r="O170" s="687">
        <f t="shared" si="486"/>
        <v>87.697971899999985</v>
      </c>
      <c r="P170" s="688">
        <f t="shared" si="486"/>
        <v>89.980635727861213</v>
      </c>
      <c r="Q170" s="687">
        <f t="shared" si="486"/>
        <v>106.20110829391416</v>
      </c>
      <c r="R170" s="687">
        <f t="shared" si="486"/>
        <v>118.67581766064627</v>
      </c>
      <c r="S170" s="689">
        <f t="shared" si="486"/>
        <v>126.60532227896874</v>
      </c>
      <c r="T170" s="687">
        <f t="shared" si="486"/>
        <v>128.47280447753317</v>
      </c>
      <c r="U170" s="687">
        <f t="shared" si="486"/>
        <v>150.74545378409178</v>
      </c>
      <c r="V170" s="687">
        <f t="shared" si="486"/>
        <v>167.88234775000001</v>
      </c>
      <c r="W170" s="689">
        <f t="shared" si="486"/>
        <v>186.38392063673567</v>
      </c>
      <c r="X170" s="687">
        <f t="shared" si="486"/>
        <v>178.8621282</v>
      </c>
      <c r="Y170" s="687">
        <f t="shared" si="486"/>
        <v>192.90984963999998</v>
      </c>
      <c r="Z170" s="687">
        <f t="shared" si="486"/>
        <v>199.61862300000001</v>
      </c>
      <c r="AA170" s="687">
        <f t="shared" si="486"/>
        <v>225.42312524999994</v>
      </c>
      <c r="AB170" s="688">
        <f t="shared" si="486"/>
        <v>195.86714175000003</v>
      </c>
      <c r="AC170" s="687">
        <f t="shared" si="486"/>
        <v>189.41206125000002</v>
      </c>
      <c r="AD170" s="687">
        <f t="shared" si="486"/>
        <v>196.47786335923468</v>
      </c>
      <c r="AE170" s="689">
        <f t="shared" si="486"/>
        <v>202.24175851500001</v>
      </c>
      <c r="AF170" s="687">
        <f t="shared" si="486"/>
        <v>183.69027961283669</v>
      </c>
      <c r="AG170" s="687">
        <f t="shared" si="486"/>
        <v>182.55070336902401</v>
      </c>
      <c r="AH170" s="687">
        <f t="shared" si="486"/>
        <v>175.90357151267347</v>
      </c>
      <c r="AI170" s="689">
        <f t="shared" si="486"/>
        <v>197.78635469431353</v>
      </c>
      <c r="AJ170" s="688">
        <f t="shared" si="486"/>
        <v>181.31932328946633</v>
      </c>
      <c r="AK170" s="687">
        <f t="shared" si="486"/>
        <v>176.03248881690214</v>
      </c>
      <c r="AL170" s="687">
        <f t="shared" si="486"/>
        <v>174.22556273530932</v>
      </c>
      <c r="AM170" s="689">
        <f t="shared" si="486"/>
        <v>197.21290916779796</v>
      </c>
      <c r="AN170" s="687">
        <f t="shared" si="486"/>
        <v>176.79187900239555</v>
      </c>
      <c r="AO170" s="687">
        <f t="shared" si="486"/>
        <v>167.26734293048125</v>
      </c>
      <c r="AP170" s="687">
        <f t="shared" si="486"/>
        <v>164.7836085816773</v>
      </c>
      <c r="AQ170" s="689">
        <f t="shared" si="486"/>
        <v>171.15577383256488</v>
      </c>
      <c r="AR170" s="687">
        <f t="shared" ref="AR170:AV170" si="487">AR166*(AR$136-AR$138)</f>
        <v>153.87059703366609</v>
      </c>
      <c r="AS170" s="687">
        <f t="shared" si="487"/>
        <v>141.09652000909102</v>
      </c>
      <c r="AT170" s="687">
        <f t="shared" si="487"/>
        <v>133.21495333844555</v>
      </c>
      <c r="AU170" s="689">
        <f t="shared" si="487"/>
        <v>134.10629230345393</v>
      </c>
      <c r="AV170" s="687">
        <f t="shared" si="487"/>
        <v>121.23427053315858</v>
      </c>
      <c r="AW170" s="687">
        <f>AW166*(AW$136-AW$138)</f>
        <v>104.30922423960523</v>
      </c>
      <c r="AX170" s="687">
        <f>AX166*(AX$136-AX$138)</f>
        <v>89.34895767967808</v>
      </c>
      <c r="AY170" s="689">
        <f t="shared" ref="AY170" si="488">AY166*(AY$136-AY$138)</f>
        <v>82.930392715548905</v>
      </c>
      <c r="AZ170" s="687">
        <f t="shared" ref="AZ170:BG170" si="489">AZ166*(AZ$136-AZ$138)</f>
        <v>76.11151786403066</v>
      </c>
      <c r="BA170" s="687">
        <f t="shared" si="489"/>
        <v>53.89237313821063</v>
      </c>
      <c r="BB170" s="687">
        <f t="shared" si="489"/>
        <v>29.712745558058501</v>
      </c>
      <c r="BC170" s="687">
        <f t="shared" si="489"/>
        <v>13.649456901082004</v>
      </c>
      <c r="BD170" s="688">
        <f t="shared" si="489"/>
        <v>14.984074418847598</v>
      </c>
      <c r="BE170" s="687">
        <f t="shared" si="489"/>
        <v>-13.978391757475578</v>
      </c>
      <c r="BF170" s="687">
        <f t="shared" si="489"/>
        <v>-50.10079846034165</v>
      </c>
      <c r="BG170" s="689">
        <f t="shared" si="489"/>
        <v>-78.784896123328139</v>
      </c>
      <c r="BH170" s="688">
        <f t="shared" ref="BH170:BK170" si="490">BH166*(BH$136-BH$138)</f>
        <v>-66.612383518174937</v>
      </c>
      <c r="BI170" s="687">
        <f t="shared" si="490"/>
        <v>-104.15501509596024</v>
      </c>
      <c r="BJ170" s="687">
        <f t="shared" si="490"/>
        <v>-155.68208234500605</v>
      </c>
      <c r="BK170" s="689">
        <f t="shared" si="490"/>
        <v>-200.77596474329277</v>
      </c>
      <c r="BL170" s="688">
        <f t="shared" ref="BL170:BO170" si="491">BL166*(BL$136-BL$138)</f>
        <v>-174.34042290757839</v>
      </c>
      <c r="BM170" s="687">
        <f t="shared" si="491"/>
        <v>-222.7909039537451</v>
      </c>
      <c r="BN170" s="687">
        <f t="shared" si="491"/>
        <v>-294.12013736653705</v>
      </c>
      <c r="BO170" s="689">
        <f t="shared" si="491"/>
        <v>-360.44300281600522</v>
      </c>
      <c r="BP170" s="657"/>
      <c r="BQ170" s="8"/>
      <c r="BR170" s="8"/>
      <c r="BS170" s="273">
        <f>SUM(L170:O170)</f>
        <v>245.74355785</v>
      </c>
      <c r="BT170" s="691">
        <f>SUM(P170:S170)</f>
        <v>441.46288396139039</v>
      </c>
      <c r="BU170" s="691">
        <f>SUM(T170:W170)</f>
        <v>633.48452664836066</v>
      </c>
      <c r="BV170" s="691">
        <f>SUM(X170:AA170)</f>
        <v>796.81372608999982</v>
      </c>
      <c r="BW170" s="691">
        <f>SUM(AB170:AE170)</f>
        <v>783.99882487423474</v>
      </c>
      <c r="BX170" s="691">
        <f>SUM(AF170:AI170)</f>
        <v>739.93090918884775</v>
      </c>
      <c r="BY170" s="691">
        <f>SUM(AJ170:AM170)</f>
        <v>728.79028400947573</v>
      </c>
      <c r="BZ170" s="691">
        <f>+SUM(AN170:AQ170)</f>
        <v>679.998604347119</v>
      </c>
      <c r="CA170" s="691">
        <f>+SUM(AR170:AU170)</f>
        <v>562.28836268465648</v>
      </c>
      <c r="CB170" s="691">
        <f>SUM(AV170:AY170)</f>
        <v>397.82284516799081</v>
      </c>
      <c r="CC170" s="691">
        <f>SUM(AZ170:BC170)</f>
        <v>173.36609346138178</v>
      </c>
      <c r="CD170" s="691">
        <f>SUM(BD170:BG170)</f>
        <v>-127.88001192229777</v>
      </c>
      <c r="CE170" s="691">
        <f>SUM(BH170:BK170)</f>
        <v>-527.22544570243394</v>
      </c>
      <c r="CF170" s="692">
        <f>SUM(BL170:BO170)</f>
        <v>-1051.6944670438656</v>
      </c>
      <c r="CG170" s="658"/>
      <c r="CH170" s="363"/>
    </row>
    <row r="171" spans="1:88" ht="14.25" hidden="1" customHeight="1" outlineLevel="3">
      <c r="A171" s="672"/>
      <c r="B171" s="684" t="s">
        <v>360</v>
      </c>
      <c r="C171" s="274"/>
      <c r="D171" s="754"/>
      <c r="E171" s="754"/>
      <c r="F171" s="754"/>
      <c r="G171" s="79"/>
      <c r="H171" s="754"/>
      <c r="I171" s="754"/>
      <c r="J171" s="754"/>
      <c r="K171" s="79"/>
      <c r="L171" s="687">
        <f t="shared" ref="L171:AQ171" si="492">L167*L$138</f>
        <v>4.9364346000000001</v>
      </c>
      <c r="M171" s="687">
        <f t="shared" si="492"/>
        <v>5.6980443999999997</v>
      </c>
      <c r="N171" s="687">
        <f t="shared" si="492"/>
        <v>8.0428594999999987</v>
      </c>
      <c r="O171" s="687">
        <f t="shared" si="492"/>
        <v>11.575386</v>
      </c>
      <c r="P171" s="688">
        <f t="shared" si="492"/>
        <v>11.75578215</v>
      </c>
      <c r="Q171" s="687">
        <f t="shared" si="492"/>
        <v>14.649469599999998</v>
      </c>
      <c r="R171" s="687">
        <f t="shared" si="492"/>
        <v>18.71905005</v>
      </c>
      <c r="S171" s="689">
        <f t="shared" si="492"/>
        <v>19.478542999999998</v>
      </c>
      <c r="T171" s="687">
        <f t="shared" si="492"/>
        <v>20.907129600000001</v>
      </c>
      <c r="U171" s="687">
        <f t="shared" si="492"/>
        <v>26.420912235908236</v>
      </c>
      <c r="V171" s="687">
        <f t="shared" si="492"/>
        <v>27.832054250000002</v>
      </c>
      <c r="W171" s="689">
        <f t="shared" si="492"/>
        <v>34.974740263264309</v>
      </c>
      <c r="X171" s="687">
        <f t="shared" si="492"/>
        <v>38.788861299999994</v>
      </c>
      <c r="Y171" s="687">
        <f t="shared" si="492"/>
        <v>47.021822149999998</v>
      </c>
      <c r="Z171" s="687">
        <f t="shared" si="492"/>
        <v>62.116228500000005</v>
      </c>
      <c r="AA171" s="687">
        <f t="shared" si="492"/>
        <v>76.536906000000002</v>
      </c>
      <c r="AB171" s="688">
        <f t="shared" si="492"/>
        <v>76.264013250000005</v>
      </c>
      <c r="AC171" s="687">
        <f t="shared" si="492"/>
        <v>81.190720499999998</v>
      </c>
      <c r="AD171" s="687">
        <f t="shared" si="492"/>
        <v>92.67467175000003</v>
      </c>
      <c r="AE171" s="689">
        <f t="shared" si="492"/>
        <v>118.37101634999999</v>
      </c>
      <c r="AF171" s="687">
        <f t="shared" si="492"/>
        <v>100.646362979706</v>
      </c>
      <c r="AG171" s="687">
        <f t="shared" si="492"/>
        <v>109.80528537825877</v>
      </c>
      <c r="AH171" s="687">
        <f t="shared" si="492"/>
        <v>126.20704538995625</v>
      </c>
      <c r="AI171" s="689">
        <f t="shared" si="492"/>
        <v>140.980673776532</v>
      </c>
      <c r="AJ171" s="688">
        <f t="shared" si="492"/>
        <v>123.43847238469273</v>
      </c>
      <c r="AK171" s="687">
        <f t="shared" si="492"/>
        <v>134.23925218418276</v>
      </c>
      <c r="AL171" s="687">
        <f t="shared" si="492"/>
        <v>148.00976343388379</v>
      </c>
      <c r="AM171" s="689">
        <f t="shared" si="492"/>
        <v>169.20062814910409</v>
      </c>
      <c r="AN171" s="687">
        <f t="shared" si="492"/>
        <v>149.63768107185419</v>
      </c>
      <c r="AO171" s="687">
        <f t="shared" si="492"/>
        <v>162.50334438077181</v>
      </c>
      <c r="AP171" s="687">
        <f t="shared" si="492"/>
        <v>187.09379623403271</v>
      </c>
      <c r="AQ171" s="689">
        <f t="shared" si="492"/>
        <v>214.20906287068539</v>
      </c>
      <c r="AR171" s="687">
        <f t="shared" ref="AR171:AV171" si="493">AR167*AR$138</f>
        <v>189.44224843123965</v>
      </c>
      <c r="AS171" s="687">
        <f t="shared" si="493"/>
        <v>205.73025936098867</v>
      </c>
      <c r="AT171" s="687">
        <f t="shared" si="493"/>
        <v>236.86192656976439</v>
      </c>
      <c r="AU171" s="689">
        <f t="shared" si="493"/>
        <v>271.19002522556656</v>
      </c>
      <c r="AV171" s="687">
        <f t="shared" si="493"/>
        <v>239.83508186985586</v>
      </c>
      <c r="AW171" s="687">
        <f>AW167*AW$138</f>
        <v>260.45580648214502</v>
      </c>
      <c r="AX171" s="687">
        <f>AX167*AX$138</f>
        <v>299.86869360521922</v>
      </c>
      <c r="AY171" s="689">
        <f t="shared" ref="AY171" si="494">AY167*AY$138</f>
        <v>343.32828310929489</v>
      </c>
      <c r="AZ171" s="687">
        <f t="shared" ref="AZ171:BG171" si="495">AZ167*AZ$138</f>
        <v>303.63272697535763</v>
      </c>
      <c r="BA171" s="687">
        <f t="shared" si="495"/>
        <v>329.73869444860151</v>
      </c>
      <c r="BB171" s="687">
        <f t="shared" si="495"/>
        <v>379.63565823659638</v>
      </c>
      <c r="BC171" s="687">
        <f t="shared" si="495"/>
        <v>434.65577277310388</v>
      </c>
      <c r="BD171" s="688">
        <f t="shared" si="495"/>
        <v>384.40094823375171</v>
      </c>
      <c r="BE171" s="687">
        <f t="shared" si="495"/>
        <v>417.45126778013196</v>
      </c>
      <c r="BF171" s="687">
        <f t="shared" si="495"/>
        <v>480.62113877907427</v>
      </c>
      <c r="BG171" s="689">
        <f t="shared" si="495"/>
        <v>550.27695095204729</v>
      </c>
      <c r="BH171" s="688">
        <f t="shared" ref="BH171:BK171" si="496">BH167*BH$138</f>
        <v>486.65402598383196</v>
      </c>
      <c r="BI171" s="687">
        <f t="shared" si="496"/>
        <v>528.49593907275982</v>
      </c>
      <c r="BJ171" s="687">
        <f t="shared" si="496"/>
        <v>608.46939435107674</v>
      </c>
      <c r="BK171" s="689">
        <f t="shared" si="496"/>
        <v>696.65409208116046</v>
      </c>
      <c r="BL171" s="688">
        <f t="shared" ref="BL171:BO171" si="497">BL167*BL$138</f>
        <v>616.10706761903236</v>
      </c>
      <c r="BM171" s="687">
        <f t="shared" si="497"/>
        <v>669.07919360663539</v>
      </c>
      <c r="BN171" s="687">
        <f t="shared" si="497"/>
        <v>770.32609261106836</v>
      </c>
      <c r="BO171" s="689">
        <f t="shared" si="497"/>
        <v>881.96847637130793</v>
      </c>
      <c r="BP171" s="657"/>
      <c r="BQ171" s="8"/>
      <c r="BR171" s="8"/>
      <c r="BS171" s="273">
        <f>SUM(L171:O171)</f>
        <v>30.252724499999999</v>
      </c>
      <c r="BT171" s="691">
        <f>SUM(P171:S171)</f>
        <v>64.6028448</v>
      </c>
      <c r="BU171" s="691">
        <f>SUM(T171:W171)</f>
        <v>110.13483634917255</v>
      </c>
      <c r="BV171" s="691">
        <f>SUM(X171:AA171)</f>
        <v>224.46381795000002</v>
      </c>
      <c r="BW171" s="691">
        <f>SUM(AB171:AE171)</f>
        <v>368.50042185000001</v>
      </c>
      <c r="BX171" s="691">
        <f>SUM(AF171:AI171)</f>
        <v>477.63936752445301</v>
      </c>
      <c r="BY171" s="691">
        <f>SUM(AJ171:AM171)</f>
        <v>574.88811615186341</v>
      </c>
      <c r="BZ171" s="691">
        <f>+SUM(AN171:AQ171)</f>
        <v>713.44388455734406</v>
      </c>
      <c r="CA171" s="691">
        <f>+SUM(AR171:AU171)</f>
        <v>903.22445958755929</v>
      </c>
      <c r="CB171" s="691">
        <f>SUM(AV171:AY171)</f>
        <v>1143.487865066515</v>
      </c>
      <c r="CC171" s="691">
        <f>SUM(AZ171:BC171)</f>
        <v>1447.6628524336593</v>
      </c>
      <c r="CD171" s="691">
        <f>SUM(BD171:BG171)</f>
        <v>1832.7503057450053</v>
      </c>
      <c r="CE171" s="691">
        <f t="shared" ref="CE171:CE172" si="498">SUM(BH171:BK171)</f>
        <v>2320.2734514888289</v>
      </c>
      <c r="CF171" s="692">
        <f>SUM(BL171:BO171)</f>
        <v>2937.4808302080442</v>
      </c>
      <c r="CG171" s="658"/>
      <c r="CH171" s="363"/>
    </row>
    <row r="172" spans="1:88" ht="14.25" hidden="1" customHeight="1" outlineLevel="3">
      <c r="A172" s="672"/>
      <c r="B172" s="684" t="s">
        <v>361</v>
      </c>
      <c r="C172" s="274"/>
      <c r="D172" s="754"/>
      <c r="E172" s="754"/>
      <c r="F172" s="754"/>
      <c r="G172" s="79"/>
      <c r="H172" s="754"/>
      <c r="I172" s="754"/>
      <c r="J172" s="754"/>
      <c r="K172" s="79"/>
      <c r="L172" s="687">
        <f t="shared" ref="L172:AQ172" si="499">L168*L$140</f>
        <v>0</v>
      </c>
      <c r="M172" s="687">
        <f t="shared" si="499"/>
        <v>0</v>
      </c>
      <c r="N172" s="687">
        <f t="shared" si="499"/>
        <v>0</v>
      </c>
      <c r="O172" s="687">
        <f t="shared" si="499"/>
        <v>0</v>
      </c>
      <c r="P172" s="688">
        <f t="shared" si="499"/>
        <v>0</v>
      </c>
      <c r="Q172" s="687">
        <f t="shared" si="499"/>
        <v>0</v>
      </c>
      <c r="R172" s="687">
        <f t="shared" si="499"/>
        <v>0</v>
      </c>
      <c r="S172" s="689">
        <f t="shared" si="499"/>
        <v>0</v>
      </c>
      <c r="T172" s="687">
        <f t="shared" si="499"/>
        <v>0</v>
      </c>
      <c r="U172" s="687">
        <f t="shared" si="499"/>
        <v>0</v>
      </c>
      <c r="V172" s="687">
        <f t="shared" si="499"/>
        <v>0</v>
      </c>
      <c r="W172" s="689">
        <f t="shared" si="499"/>
        <v>0</v>
      </c>
      <c r="X172" s="687">
        <f t="shared" si="499"/>
        <v>9.0929999999999993E-4</v>
      </c>
      <c r="Y172" s="687">
        <f t="shared" si="499"/>
        <v>2.4862639299999989</v>
      </c>
      <c r="Z172" s="687">
        <f t="shared" si="499"/>
        <v>3.7228500000000002</v>
      </c>
      <c r="AA172" s="687">
        <f t="shared" si="499"/>
        <v>8.3519872500000059</v>
      </c>
      <c r="AB172" s="688">
        <f t="shared" si="499"/>
        <v>6.11647725</v>
      </c>
      <c r="AC172" s="687">
        <f t="shared" si="499"/>
        <v>10.952091000000006</v>
      </c>
      <c r="AD172" s="687">
        <f t="shared" si="499"/>
        <v>13.571065499999992</v>
      </c>
      <c r="AE172" s="689">
        <f t="shared" si="499"/>
        <v>15.916926300000007</v>
      </c>
      <c r="AF172" s="687">
        <f t="shared" si="499"/>
        <v>16.472405999999999</v>
      </c>
      <c r="AG172" s="687">
        <f t="shared" si="499"/>
        <v>16.307103075000011</v>
      </c>
      <c r="AH172" s="687">
        <f t="shared" si="499"/>
        <v>18.72638624999999</v>
      </c>
      <c r="AI172" s="689">
        <f t="shared" si="499"/>
        <v>19.85629665750001</v>
      </c>
      <c r="AJ172" s="688">
        <f t="shared" si="499"/>
        <v>20.817574297500002</v>
      </c>
      <c r="AK172" s="687">
        <f t="shared" si="499"/>
        <v>20.331803985000015</v>
      </c>
      <c r="AL172" s="687">
        <f t="shared" si="499"/>
        <v>22.12194487499999</v>
      </c>
      <c r="AM172" s="689">
        <f t="shared" si="499"/>
        <v>22.393772884125013</v>
      </c>
      <c r="AN172" s="687">
        <f t="shared" si="499"/>
        <v>22.967799028106569</v>
      </c>
      <c r="AO172" s="687">
        <f t="shared" si="499"/>
        <v>24.013166753139664</v>
      </c>
      <c r="AP172" s="687">
        <f t="shared" si="499"/>
        <v>23.753692687382461</v>
      </c>
      <c r="AQ172" s="689">
        <f t="shared" si="499"/>
        <v>25.451819288277676</v>
      </c>
      <c r="AR172" s="687">
        <f t="shared" ref="AR172:AV172" si="500">AR168*AR$140</f>
        <v>26.104233232054092</v>
      </c>
      <c r="AS172" s="687">
        <f t="shared" si="500"/>
        <v>27.292354169290256</v>
      </c>
      <c r="AT172" s="687">
        <f t="shared" si="500"/>
        <v>26.997446872256418</v>
      </c>
      <c r="AU172" s="689">
        <f t="shared" si="500"/>
        <v>28.927466060994426</v>
      </c>
      <c r="AV172" s="687">
        <f t="shared" si="500"/>
        <v>29.668972277212298</v>
      </c>
      <c r="AW172" s="687">
        <f>AW168*AW$140</f>
        <v>31.019340504291669</v>
      </c>
      <c r="AX172" s="687">
        <f>AX168*AX$140</f>
        <v>30.684161288634773</v>
      </c>
      <c r="AY172" s="689">
        <f t="shared" ref="AY172" si="501">AY168*AY$140</f>
        <v>32.877739828028247</v>
      </c>
      <c r="AZ172" s="687">
        <f t="shared" ref="AZ172:BG172" si="502">AZ168*AZ$140</f>
        <v>33.720504569546669</v>
      </c>
      <c r="BA172" s="687">
        <f t="shared" si="502"/>
        <v>35.255276234245493</v>
      </c>
      <c r="BB172" s="687">
        <f t="shared" si="502"/>
        <v>34.874325651678248</v>
      </c>
      <c r="BC172" s="687">
        <f t="shared" si="502"/>
        <v>37.367454650895048</v>
      </c>
      <c r="BD172" s="688">
        <f t="shared" si="502"/>
        <v>38.325305568409028</v>
      </c>
      <c r="BE172" s="687">
        <f t="shared" si="502"/>
        <v>40.069662415324061</v>
      </c>
      <c r="BF172" s="687">
        <f t="shared" si="502"/>
        <v>39.636690024497547</v>
      </c>
      <c r="BG172" s="689">
        <f t="shared" si="502"/>
        <v>42.470275462680391</v>
      </c>
      <c r="BH172" s="688">
        <f t="shared" ref="BH172:BK172" si="503">BH168*BH$140</f>
        <v>43.558928481706012</v>
      </c>
      <c r="BI172" s="687">
        <f t="shared" si="503"/>
        <v>45.541491021376331</v>
      </c>
      <c r="BJ172" s="687">
        <f t="shared" si="503"/>
        <v>45.04939283385108</v>
      </c>
      <c r="BK172" s="689">
        <f t="shared" si="503"/>
        <v>48.269926724397536</v>
      </c>
      <c r="BL172" s="688">
        <f t="shared" ref="BL172:BO172" si="504">BL168*BL$140</f>
        <v>49.507243904099781</v>
      </c>
      <c r="BM172" s="687">
        <f t="shared" si="504"/>
        <v>51.760541003632696</v>
      </c>
      <c r="BN172" s="687">
        <f t="shared" si="504"/>
        <v>51.201242925287872</v>
      </c>
      <c r="BO172" s="689">
        <f t="shared" si="504"/>
        <v>54.861566132909125</v>
      </c>
      <c r="BP172" s="657"/>
      <c r="BQ172" s="8"/>
      <c r="BR172" s="8"/>
      <c r="BS172" s="273">
        <f>SUM(L172:O172)</f>
        <v>0</v>
      </c>
      <c r="BT172" s="691">
        <f>SUM(P172:S172)</f>
        <v>0</v>
      </c>
      <c r="BU172" s="691">
        <f>SUM(T172:W172)</f>
        <v>0</v>
      </c>
      <c r="BV172" s="691">
        <f>SUM(X172:AA172)</f>
        <v>14.562010480000005</v>
      </c>
      <c r="BW172" s="691">
        <f>SUM(AB172:AE172)</f>
        <v>46.556560050000002</v>
      </c>
      <c r="BX172" s="691">
        <f>SUM(AF172:AI172)</f>
        <v>71.362191982500008</v>
      </c>
      <c r="BY172" s="691">
        <f>SUM(AJ172:AM172)</f>
        <v>85.66509604162502</v>
      </c>
      <c r="BZ172" s="691">
        <f>+SUM(AN172:AQ172)</f>
        <v>96.18647775690637</v>
      </c>
      <c r="CA172" s="691">
        <f>+SUM(AR172:AU172)</f>
        <v>109.32150033459519</v>
      </c>
      <c r="CB172" s="691">
        <f>SUM(AV172:AY172)</f>
        <v>124.25021389816698</v>
      </c>
      <c r="CC172" s="691">
        <f>SUM(AZ172:BC172)</f>
        <v>141.21756110636545</v>
      </c>
      <c r="CD172" s="691">
        <f>SUM(BD172:BG172)</f>
        <v>160.50193347091101</v>
      </c>
      <c r="CE172" s="691">
        <f t="shared" si="498"/>
        <v>182.41973906133097</v>
      </c>
      <c r="CF172" s="692">
        <f>SUM(BL172:BO172)</f>
        <v>207.33059396592947</v>
      </c>
      <c r="CG172" s="658"/>
      <c r="CH172" s="363"/>
    </row>
    <row r="173" spans="1:88" ht="14.25" hidden="1" customHeight="1" outlineLevel="3">
      <c r="A173" s="672"/>
      <c r="B173" s="824"/>
      <c r="C173" s="274"/>
      <c r="D173" s="754"/>
      <c r="E173" s="754"/>
      <c r="F173" s="754"/>
      <c r="G173" s="79"/>
      <c r="H173" s="754"/>
      <c r="I173" s="754"/>
      <c r="J173" s="754"/>
      <c r="K173" s="79"/>
      <c r="L173" s="754"/>
      <c r="M173" s="754"/>
      <c r="N173" s="754"/>
      <c r="O173" s="78"/>
      <c r="P173" s="658"/>
      <c r="Q173" s="318"/>
      <c r="R173" s="318"/>
      <c r="S173" s="79"/>
      <c r="W173" s="79"/>
      <c r="AA173" s="78"/>
      <c r="AB173" s="658"/>
      <c r="AC173" s="318"/>
      <c r="AD173" s="318"/>
      <c r="AE173" s="79"/>
      <c r="AF173" s="318"/>
      <c r="AG173" s="318"/>
      <c r="AH173" s="318"/>
      <c r="AI173" s="79"/>
      <c r="AJ173" s="658"/>
      <c r="AK173" s="318"/>
      <c r="AL173" s="318"/>
      <c r="AM173" s="79"/>
      <c r="AQ173" s="79"/>
      <c r="AU173" s="79"/>
      <c r="AY173" s="79"/>
      <c r="BC173" s="318"/>
      <c r="BD173" s="364"/>
      <c r="BE173" s="363"/>
      <c r="BF173" s="363"/>
      <c r="BG173" s="843"/>
      <c r="BH173" s="364"/>
      <c r="BI173" s="363"/>
      <c r="BJ173" s="363"/>
      <c r="BK173" s="843"/>
      <c r="BL173" s="364"/>
      <c r="BM173" s="363"/>
      <c r="BN173" s="363"/>
      <c r="BO173" s="843"/>
      <c r="BP173" s="657"/>
      <c r="BQ173" s="8"/>
      <c r="BR173" s="8"/>
      <c r="BS173" s="8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224"/>
      <c r="CG173" s="658"/>
      <c r="CH173" s="363"/>
    </row>
    <row r="174" spans="1:88" s="8" customFormat="1" ht="14.25" hidden="1" customHeight="1" outlineLevel="3">
      <c r="A174" s="672"/>
      <c r="B174" s="651" t="s">
        <v>381</v>
      </c>
      <c r="C174" s="274"/>
      <c r="D174" s="754"/>
      <c r="E174" s="754"/>
      <c r="F174" s="754"/>
      <c r="G174" s="79"/>
      <c r="H174" s="754"/>
      <c r="I174" s="754"/>
      <c r="J174" s="754"/>
      <c r="K174" s="79"/>
      <c r="L174" s="754">
        <v>5.0666666666666665E-2</v>
      </c>
      <c r="M174" s="754">
        <v>4.6620046620046623E-2</v>
      </c>
      <c r="N174" s="754">
        <v>4.3659043659043661E-2</v>
      </c>
      <c r="O174" s="78">
        <v>4.37375745526839E-2</v>
      </c>
      <c r="P174" s="847">
        <v>4.5766590389016017E-2</v>
      </c>
      <c r="Q174" s="846">
        <v>4.0567951318458417E-2</v>
      </c>
      <c r="R174" s="846">
        <v>3.9848197343453511E-2</v>
      </c>
      <c r="S174" s="79">
        <v>4.0572792362768499E-2</v>
      </c>
      <c r="T174" s="845">
        <v>1.8181818181818181E-2</v>
      </c>
      <c r="U174" s="845">
        <v>2.9268292682926831E-2</v>
      </c>
      <c r="V174" s="845">
        <v>3.6734693877551024E-2</v>
      </c>
      <c r="W174" s="79">
        <v>4.07725321888412E-2</v>
      </c>
      <c r="X174" s="845">
        <v>4.1763341067285381E-2</v>
      </c>
      <c r="Y174" s="845">
        <v>3.7383177570093455E-2</v>
      </c>
      <c r="Z174" s="845">
        <v>3.6605657237936774E-2</v>
      </c>
      <c r="AA174" s="78">
        <v>4.0892193308550186E-2</v>
      </c>
      <c r="AB174" s="847">
        <v>4.1763341067285381E-2</v>
      </c>
      <c r="AC174" s="846">
        <v>3.7383177570093455E-2</v>
      </c>
      <c r="AD174" s="846">
        <v>3.6605657237936774E-2</v>
      </c>
      <c r="AE174" s="79">
        <v>4.0892193308550186E-2</v>
      </c>
      <c r="AF174" s="846">
        <v>4.1763341067285381E-2</v>
      </c>
      <c r="AG174" s="846">
        <v>3.7383177570093455E-2</v>
      </c>
      <c r="AH174" s="848">
        <v>3.6605657237936774E-2</v>
      </c>
      <c r="AI174" s="130">
        <v>4.0892193308550186E-2</v>
      </c>
      <c r="AJ174" s="849">
        <v>4.1763341067285381E-2</v>
      </c>
      <c r="AK174" s="848">
        <v>3.7383177570093455E-2</v>
      </c>
      <c r="AL174" s="848">
        <v>3.6605657237936774E-2</v>
      </c>
      <c r="AM174" s="130">
        <v>4.0892193308550186E-2</v>
      </c>
      <c r="AN174" s="850">
        <v>4.1763341067285381E-2</v>
      </c>
      <c r="AO174" s="850">
        <v>3.7383177570093455E-2</v>
      </c>
      <c r="AP174" s="850">
        <v>3.6605657237936774E-2</v>
      </c>
      <c r="AQ174" s="130">
        <v>4.0892193308550186E-2</v>
      </c>
      <c r="AR174" s="850">
        <v>4.1763341067285381E-2</v>
      </c>
      <c r="AS174" s="850">
        <v>3.7383177570093455E-2</v>
      </c>
      <c r="AT174" s="850">
        <v>3.6605657237936774E-2</v>
      </c>
      <c r="AU174" s="130">
        <v>4.0892193308550186E-2</v>
      </c>
      <c r="AV174" s="850">
        <v>4.1763341067285381E-2</v>
      </c>
      <c r="AW174" s="850">
        <v>3.7383177570093455E-2</v>
      </c>
      <c r="AX174" s="850">
        <v>3.6605657237936774E-2</v>
      </c>
      <c r="AY174" s="130">
        <v>4.0892193308550186E-2</v>
      </c>
      <c r="AZ174" s="850">
        <v>4.1763341067285381E-2</v>
      </c>
      <c r="BA174" s="850">
        <v>3.7383177570093455E-2</v>
      </c>
      <c r="BB174" s="850">
        <v>3.6605657237936774E-2</v>
      </c>
      <c r="BC174" s="129">
        <v>4.0892193308550186E-2</v>
      </c>
      <c r="BD174" s="849">
        <v>4.1763341067285381E-2</v>
      </c>
      <c r="BE174" s="848">
        <v>3.7383177570093455E-2</v>
      </c>
      <c r="BF174" s="848">
        <v>3.6605657237936774E-2</v>
      </c>
      <c r="BG174" s="130">
        <v>4.0892193308550186E-2</v>
      </c>
      <c r="BH174" s="849">
        <v>4.1763341067285381E-2</v>
      </c>
      <c r="BI174" s="848">
        <v>3.7383177570093455E-2</v>
      </c>
      <c r="BJ174" s="848">
        <v>3.6605657237936774E-2</v>
      </c>
      <c r="BK174" s="130">
        <v>4.0892193308550186E-2</v>
      </c>
      <c r="BL174" s="849">
        <v>4.1763341067285381E-2</v>
      </c>
      <c r="BM174" s="848">
        <v>3.7383177570093455E-2</v>
      </c>
      <c r="BN174" s="848">
        <v>3.6605657237936774E-2</v>
      </c>
      <c r="BO174" s="130">
        <v>4.0892193308550186E-2</v>
      </c>
      <c r="BP174" s="657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224"/>
      <c r="CG174" s="297"/>
      <c r="CH174" s="14"/>
      <c r="CI174"/>
      <c r="CJ174"/>
    </row>
    <row r="175" spans="1:88" s="8" customFormat="1" ht="14.25" hidden="1" customHeight="1" outlineLevel="3">
      <c r="A175" s="672"/>
      <c r="B175" s="651" t="s">
        <v>380</v>
      </c>
      <c r="C175" s="274"/>
      <c r="D175" s="754"/>
      <c r="E175" s="754"/>
      <c r="F175" s="754"/>
      <c r="G175" s="79"/>
      <c r="H175" s="754"/>
      <c r="I175" s="754"/>
      <c r="J175" s="754"/>
      <c r="K175" s="79"/>
      <c r="L175" s="754">
        <v>5.0666666666666665E-2</v>
      </c>
      <c r="M175" s="754">
        <v>4.6620046620046623E-2</v>
      </c>
      <c r="N175" s="754">
        <v>4.3659043659043661E-2</v>
      </c>
      <c r="O175" s="78">
        <v>4.37375745526839E-2</v>
      </c>
      <c r="P175" s="847">
        <v>4.5766590389016017E-2</v>
      </c>
      <c r="Q175" s="846">
        <v>4.0567951318458417E-2</v>
      </c>
      <c r="R175" s="846">
        <v>3.9848197343453511E-2</v>
      </c>
      <c r="S175" s="79">
        <v>4.0572792362768499E-2</v>
      </c>
      <c r="T175" s="845">
        <v>1.8181818181818181E-2</v>
      </c>
      <c r="U175" s="845">
        <v>2.9268292682926831E-2</v>
      </c>
      <c r="V175" s="845">
        <v>3.6734693877551024E-2</v>
      </c>
      <c r="W175" s="79">
        <v>4.07725321888412E-2</v>
      </c>
      <c r="X175" s="845">
        <v>4.1763341067285381E-2</v>
      </c>
      <c r="Y175" s="845">
        <v>3.7383177570093455E-2</v>
      </c>
      <c r="Z175" s="845">
        <v>3.6605657237936774E-2</v>
      </c>
      <c r="AA175" s="78">
        <v>4.0892193308550186E-2</v>
      </c>
      <c r="AB175" s="847">
        <v>4.1763341067285381E-2</v>
      </c>
      <c r="AC175" s="846">
        <v>3.7383177570093455E-2</v>
      </c>
      <c r="AD175" s="846">
        <v>3.6605657237936774E-2</v>
      </c>
      <c r="AE175" s="79">
        <v>4.0892193308550186E-2</v>
      </c>
      <c r="AF175" s="846">
        <v>4.1763341067285381E-2</v>
      </c>
      <c r="AG175" s="846">
        <v>3.7383177570093455E-2</v>
      </c>
      <c r="AH175" s="848">
        <v>3.6605657237936774E-2</v>
      </c>
      <c r="AI175" s="130">
        <v>4.0892193308550186E-2</v>
      </c>
      <c r="AJ175" s="849">
        <v>4.1763341067285381E-2</v>
      </c>
      <c r="AK175" s="848">
        <v>3.7383177570093455E-2</v>
      </c>
      <c r="AL175" s="848">
        <v>3.6605657237936774E-2</v>
      </c>
      <c r="AM175" s="130">
        <v>4.0892193308550186E-2</v>
      </c>
      <c r="AN175" s="850">
        <v>4.1763341067285381E-2</v>
      </c>
      <c r="AO175" s="850">
        <v>3.7383177570093455E-2</v>
      </c>
      <c r="AP175" s="850">
        <v>3.6605657237936774E-2</v>
      </c>
      <c r="AQ175" s="130">
        <v>4.0892193308550186E-2</v>
      </c>
      <c r="AR175" s="850">
        <v>4.1763341067285381E-2</v>
      </c>
      <c r="AS175" s="850">
        <v>3.7383177570093455E-2</v>
      </c>
      <c r="AT175" s="850">
        <v>3.6605657237936774E-2</v>
      </c>
      <c r="AU175" s="130">
        <v>4.0892193308550186E-2</v>
      </c>
      <c r="AV175" s="850">
        <v>4.1763341067285381E-2</v>
      </c>
      <c r="AW175" s="850">
        <v>3.7383177570093455E-2</v>
      </c>
      <c r="AX175" s="850">
        <v>3.6605657237936774E-2</v>
      </c>
      <c r="AY175" s="130">
        <v>4.0892193308550186E-2</v>
      </c>
      <c r="AZ175" s="850">
        <v>4.1763341067285381E-2</v>
      </c>
      <c r="BA175" s="850">
        <v>3.7383177570093455E-2</v>
      </c>
      <c r="BB175" s="850">
        <v>3.6605657237936774E-2</v>
      </c>
      <c r="BC175" s="129">
        <v>4.0892193308550186E-2</v>
      </c>
      <c r="BD175" s="849">
        <v>4.1763341067285381E-2</v>
      </c>
      <c r="BE175" s="848">
        <v>3.7383177570093455E-2</v>
      </c>
      <c r="BF175" s="848">
        <v>3.6605657237936774E-2</v>
      </c>
      <c r="BG175" s="130">
        <v>4.0892193308550186E-2</v>
      </c>
      <c r="BH175" s="849">
        <v>4.1763341067285381E-2</v>
      </c>
      <c r="BI175" s="848">
        <v>3.7383177570093455E-2</v>
      </c>
      <c r="BJ175" s="848">
        <v>3.6605657237936774E-2</v>
      </c>
      <c r="BK175" s="130">
        <v>4.0892193308550186E-2</v>
      </c>
      <c r="BL175" s="849">
        <v>4.1763341067285381E-2</v>
      </c>
      <c r="BM175" s="848">
        <v>3.7383177570093455E-2</v>
      </c>
      <c r="BN175" s="848">
        <v>3.6605657237936774E-2</v>
      </c>
      <c r="BO175" s="130">
        <v>4.0892193308550186E-2</v>
      </c>
      <c r="BP175" s="657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224"/>
      <c r="CG175" s="297"/>
      <c r="CH175" s="14"/>
      <c r="CI175"/>
      <c r="CJ175"/>
    </row>
    <row r="176" spans="1:88" s="8" customFormat="1" ht="14.25" hidden="1" customHeight="1" outlineLevel="3">
      <c r="A176" s="672"/>
      <c r="B176" s="651" t="s">
        <v>379</v>
      </c>
      <c r="C176" s="274"/>
      <c r="D176" s="754"/>
      <c r="E176" s="754"/>
      <c r="F176" s="754"/>
      <c r="G176" s="79"/>
      <c r="H176" s="754"/>
      <c r="I176" s="754"/>
      <c r="J176" s="754"/>
      <c r="K176" s="79"/>
      <c r="L176" s="754">
        <v>5.0666666666666665E-2</v>
      </c>
      <c r="M176" s="754">
        <v>4.6620046620046623E-2</v>
      </c>
      <c r="N176" s="754">
        <v>4.3659043659043661E-2</v>
      </c>
      <c r="O176" s="78">
        <v>4.37375745526839E-2</v>
      </c>
      <c r="P176" s="847">
        <v>4.5766590389016017E-2</v>
      </c>
      <c r="Q176" s="846">
        <v>4.0567951318458417E-2</v>
      </c>
      <c r="R176" s="846">
        <v>3.9848197343453511E-2</v>
      </c>
      <c r="S176" s="79">
        <v>4.0572792362768499E-2</v>
      </c>
      <c r="T176" s="845">
        <v>1.8181818181818181E-2</v>
      </c>
      <c r="U176" s="845">
        <v>2.9268292682926831E-2</v>
      </c>
      <c r="V176" s="845">
        <v>3.6734693877551024E-2</v>
      </c>
      <c r="W176" s="79">
        <v>4.07725321888412E-2</v>
      </c>
      <c r="X176" s="845">
        <v>4.1763341067285381E-2</v>
      </c>
      <c r="Y176" s="845">
        <v>3.7383177570093455E-2</v>
      </c>
      <c r="Z176" s="845">
        <v>3.6605657237936774E-2</v>
      </c>
      <c r="AA176" s="78">
        <v>4.0892193308550186E-2</v>
      </c>
      <c r="AB176" s="847">
        <v>4.1763341067285381E-2</v>
      </c>
      <c r="AC176" s="846">
        <v>3.7383177570093455E-2</v>
      </c>
      <c r="AD176" s="846">
        <v>3.6605657237936774E-2</v>
      </c>
      <c r="AE176" s="79">
        <v>4.0892193308550186E-2</v>
      </c>
      <c r="AF176" s="846">
        <v>4.1763341067285381E-2</v>
      </c>
      <c r="AG176" s="846">
        <v>3.7383177570093455E-2</v>
      </c>
      <c r="AH176" s="848">
        <v>3.6605657237936774E-2</v>
      </c>
      <c r="AI176" s="130">
        <v>4.0892193308550186E-2</v>
      </c>
      <c r="AJ176" s="849">
        <v>4.1763341067285381E-2</v>
      </c>
      <c r="AK176" s="848">
        <v>3.7383177570093455E-2</v>
      </c>
      <c r="AL176" s="848">
        <v>3.6605657237936774E-2</v>
      </c>
      <c r="AM176" s="130">
        <v>4.0892193308550186E-2</v>
      </c>
      <c r="AN176" s="850">
        <v>4.1763341067285381E-2</v>
      </c>
      <c r="AO176" s="850">
        <v>3.7383177570093455E-2</v>
      </c>
      <c r="AP176" s="850">
        <v>3.6605657237936774E-2</v>
      </c>
      <c r="AQ176" s="130">
        <v>4.0892193308550186E-2</v>
      </c>
      <c r="AR176" s="850">
        <v>4.1763341067285381E-2</v>
      </c>
      <c r="AS176" s="850">
        <v>3.7383177570093455E-2</v>
      </c>
      <c r="AT176" s="850">
        <v>3.6605657237936774E-2</v>
      </c>
      <c r="AU176" s="130">
        <v>4.0892193308550186E-2</v>
      </c>
      <c r="AV176" s="850">
        <v>4.1763341067285381E-2</v>
      </c>
      <c r="AW176" s="850">
        <v>3.7383177570093455E-2</v>
      </c>
      <c r="AX176" s="850">
        <v>3.6605657237936774E-2</v>
      </c>
      <c r="AY176" s="130">
        <v>4.0892193308550186E-2</v>
      </c>
      <c r="AZ176" s="850">
        <v>4.1763341067285381E-2</v>
      </c>
      <c r="BA176" s="850">
        <v>3.7383177570093455E-2</v>
      </c>
      <c r="BB176" s="850">
        <v>3.6605657237936774E-2</v>
      </c>
      <c r="BC176" s="129">
        <v>4.0892193308550186E-2</v>
      </c>
      <c r="BD176" s="849">
        <v>4.1763341067285381E-2</v>
      </c>
      <c r="BE176" s="848">
        <v>3.7383177570093455E-2</v>
      </c>
      <c r="BF176" s="848">
        <v>3.6605657237936774E-2</v>
      </c>
      <c r="BG176" s="130">
        <v>4.0892193308550186E-2</v>
      </c>
      <c r="BH176" s="849">
        <v>4.1763341067285381E-2</v>
      </c>
      <c r="BI176" s="848">
        <v>3.7383177570093455E-2</v>
      </c>
      <c r="BJ176" s="848">
        <v>3.6605657237936774E-2</v>
      </c>
      <c r="BK176" s="130">
        <v>4.0892193308550186E-2</v>
      </c>
      <c r="BL176" s="849">
        <v>4.1763341067285381E-2</v>
      </c>
      <c r="BM176" s="848">
        <v>3.7383177570093455E-2</v>
      </c>
      <c r="BN176" s="848">
        <v>3.6605657237936774E-2</v>
      </c>
      <c r="BO176" s="130">
        <v>4.0892193308550186E-2</v>
      </c>
      <c r="BP176" s="657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224"/>
      <c r="CG176" s="297"/>
      <c r="CH176" s="14"/>
      <c r="CI176"/>
      <c r="CJ176"/>
    </row>
    <row r="177" spans="1:88" ht="14.25" hidden="1" customHeight="1" outlineLevel="3">
      <c r="A177" s="672"/>
      <c r="B177" s="824"/>
      <c r="C177" s="274"/>
      <c r="D177" s="754"/>
      <c r="E177" s="754"/>
      <c r="F177" s="754"/>
      <c r="G177" s="79"/>
      <c r="H177" s="754"/>
      <c r="I177" s="754"/>
      <c r="J177" s="754"/>
      <c r="K177" s="79"/>
      <c r="L177" s="754"/>
      <c r="M177" s="754"/>
      <c r="N177" s="754"/>
      <c r="O177" s="78"/>
      <c r="P177" s="658"/>
      <c r="Q177" s="318"/>
      <c r="R177" s="318"/>
      <c r="S177" s="79"/>
      <c r="W177" s="79"/>
      <c r="AA177" s="78"/>
      <c r="AB177" s="658"/>
      <c r="AC177" s="318"/>
      <c r="AD177" s="318"/>
      <c r="AE177" s="79"/>
      <c r="AF177" s="318"/>
      <c r="AG177" s="318"/>
      <c r="AH177" s="318"/>
      <c r="AI177" s="79"/>
      <c r="AJ177" s="658"/>
      <c r="AK177" s="318"/>
      <c r="AL177" s="318"/>
      <c r="AM177" s="79"/>
      <c r="AQ177" s="79"/>
      <c r="AU177" s="79"/>
      <c r="AY177" s="79"/>
      <c r="BC177" s="318"/>
      <c r="BD177" s="364"/>
      <c r="BE177" s="363"/>
      <c r="BF177" s="363"/>
      <c r="BG177" s="843"/>
      <c r="BH177" s="364"/>
      <c r="BI177" s="363"/>
      <c r="BJ177" s="363"/>
      <c r="BK177" s="843"/>
      <c r="BL177" s="364"/>
      <c r="BM177" s="363"/>
      <c r="BN177" s="363"/>
      <c r="BO177" s="843"/>
      <c r="BP177" s="657"/>
      <c r="BQ177" s="8"/>
      <c r="BR177" s="8"/>
      <c r="BS177" s="8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224"/>
      <c r="CG177" s="658"/>
      <c r="CH177" s="363"/>
    </row>
    <row r="178" spans="1:88" ht="14.25" hidden="1" customHeight="1" outlineLevel="3">
      <c r="A178" s="672"/>
      <c r="B178" s="684" t="s">
        <v>377</v>
      </c>
      <c r="C178" s="274"/>
      <c r="D178" s="754"/>
      <c r="E178" s="754"/>
      <c r="F178" s="754"/>
      <c r="G178" s="79"/>
      <c r="H178" s="754"/>
      <c r="I178" s="754"/>
      <c r="J178" s="754"/>
      <c r="K178" s="79"/>
      <c r="L178" s="851">
        <v>1.9023626918438181</v>
      </c>
      <c r="M178" s="851">
        <v>1.8650614625919786</v>
      </c>
      <c r="N178" s="851">
        <v>1.8284916299921359</v>
      </c>
      <c r="O178" s="852">
        <v>1.7926388529334665</v>
      </c>
      <c r="P178" s="853">
        <v>1.7574890715033984</v>
      </c>
      <c r="Q178" s="852">
        <v>1.7230285014739199</v>
      </c>
      <c r="R178" s="852">
        <v>1.689243628896</v>
      </c>
      <c r="S178" s="854">
        <v>1.6561212048</v>
      </c>
      <c r="T178" s="851">
        <v>1.6236482400000001</v>
      </c>
      <c r="U178" s="851">
        <v>1.591812</v>
      </c>
      <c r="V178" s="851">
        <v>1.5606</v>
      </c>
      <c r="W178" s="854">
        <v>1.53</v>
      </c>
      <c r="X178" s="851">
        <v>1.5</v>
      </c>
      <c r="Y178" s="851">
        <v>1.5</v>
      </c>
      <c r="Z178" s="851">
        <v>1.5</v>
      </c>
      <c r="AA178" s="852">
        <v>1.5</v>
      </c>
      <c r="AB178" s="853">
        <v>1.4850000000000001</v>
      </c>
      <c r="AC178" s="852">
        <v>1.4701499999999998</v>
      </c>
      <c r="AD178" s="852">
        <v>1.4554484999999999</v>
      </c>
      <c r="AE178" s="854">
        <v>1.4408940149999998</v>
      </c>
      <c r="AF178" s="852">
        <v>1.4850000000000001</v>
      </c>
      <c r="AG178" s="852">
        <v>1.4701499999999998</v>
      </c>
      <c r="AH178" s="852">
        <v>1.3980980218604848</v>
      </c>
      <c r="AI178" s="854">
        <v>1.38411704164188</v>
      </c>
      <c r="AJ178" s="853">
        <f t="shared" ref="AJ178:AQ178" si="505">AI178*0.99</f>
        <v>1.3702758712254612</v>
      </c>
      <c r="AK178" s="852">
        <f t="shared" si="505"/>
        <v>1.3565731125132066</v>
      </c>
      <c r="AL178" s="852">
        <f t="shared" si="505"/>
        <v>1.3430073813880745</v>
      </c>
      <c r="AM178" s="854">
        <f t="shared" si="505"/>
        <v>1.3295773075741937</v>
      </c>
      <c r="AN178" s="851">
        <f t="shared" si="505"/>
        <v>1.3162815344984518</v>
      </c>
      <c r="AO178" s="851">
        <f t="shared" si="505"/>
        <v>1.3031187191534672</v>
      </c>
      <c r="AP178" s="851">
        <f t="shared" si="505"/>
        <v>1.2900875319619325</v>
      </c>
      <c r="AQ178" s="854">
        <f t="shared" si="505"/>
        <v>1.2771866566423131</v>
      </c>
      <c r="AR178" s="851">
        <f t="shared" ref="AR178:AY178" si="506">AQ178*0.99</f>
        <v>1.26441479007589</v>
      </c>
      <c r="AS178" s="851">
        <f t="shared" si="506"/>
        <v>1.2517706421751311</v>
      </c>
      <c r="AT178" s="851">
        <f t="shared" si="506"/>
        <v>1.2392529357533797</v>
      </c>
      <c r="AU178" s="854">
        <f t="shared" si="506"/>
        <v>1.2268604063958459</v>
      </c>
      <c r="AV178" s="851">
        <f t="shared" si="506"/>
        <v>1.2145918023318873</v>
      </c>
      <c r="AW178" s="851">
        <f t="shared" si="506"/>
        <v>1.2024458843085684</v>
      </c>
      <c r="AX178" s="851">
        <f t="shared" si="506"/>
        <v>1.1904214254654826</v>
      </c>
      <c r="AY178" s="854">
        <f t="shared" si="506"/>
        <v>1.1785172112108278</v>
      </c>
      <c r="AZ178" s="851">
        <f t="shared" ref="AZ178:BG178" si="507">AY178*0.99</f>
        <v>1.1667320390987195</v>
      </c>
      <c r="BA178" s="851">
        <f t="shared" si="507"/>
        <v>1.1550647187077323</v>
      </c>
      <c r="BB178" s="851">
        <f t="shared" si="507"/>
        <v>1.1435140715206549</v>
      </c>
      <c r="BC178" s="852">
        <f t="shared" si="507"/>
        <v>1.1320789308054484</v>
      </c>
      <c r="BD178" s="853">
        <f t="shared" si="507"/>
        <v>1.1207581414973939</v>
      </c>
      <c r="BE178" s="852">
        <f t="shared" si="507"/>
        <v>1.10955056008242</v>
      </c>
      <c r="BF178" s="852">
        <f t="shared" si="507"/>
        <v>1.0984550544815959</v>
      </c>
      <c r="BG178" s="854">
        <f t="shared" si="507"/>
        <v>1.0874705039367798</v>
      </c>
      <c r="BH178" s="853">
        <f t="shared" ref="BH178" si="508">BG178*0.99</f>
        <v>1.076595798897412</v>
      </c>
      <c r="BI178" s="852">
        <f t="shared" ref="BI178" si="509">BH178*0.99</f>
        <v>1.0658298409084379</v>
      </c>
      <c r="BJ178" s="852">
        <f t="shared" ref="BJ178" si="510">BI178*0.99</f>
        <v>1.0551715424993535</v>
      </c>
      <c r="BK178" s="854">
        <f t="shared" ref="BK178" si="511">BJ178*0.99</f>
        <v>1.0446198270743601</v>
      </c>
      <c r="BL178" s="853">
        <f t="shared" ref="BL178" si="512">BK178*0.99</f>
        <v>1.0341736288036165</v>
      </c>
      <c r="BM178" s="852">
        <f t="shared" ref="BM178" si="513">BL178*0.99</f>
        <v>1.0238318925155803</v>
      </c>
      <c r="BN178" s="852">
        <f t="shared" ref="BN178" si="514">BM178*0.99</f>
        <v>1.0135935735904245</v>
      </c>
      <c r="BO178" s="854">
        <f t="shared" ref="BO178" si="515">BN178*0.99</f>
        <v>1.0034576378545201</v>
      </c>
      <c r="BP178" s="657"/>
      <c r="BQ178" s="8"/>
      <c r="BR178" s="8"/>
      <c r="BS178" s="8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224"/>
      <c r="CG178" s="658"/>
      <c r="CH178" s="363"/>
    </row>
    <row r="179" spans="1:88" ht="14.25" hidden="1" customHeight="1" outlineLevel="3">
      <c r="A179" s="672"/>
      <c r="B179" s="684" t="s">
        <v>378</v>
      </c>
      <c r="C179" s="274"/>
      <c r="D179" s="754"/>
      <c r="E179" s="754"/>
      <c r="F179" s="754"/>
      <c r="G179" s="79"/>
      <c r="H179" s="754"/>
      <c r="I179" s="754"/>
      <c r="J179" s="754"/>
      <c r="K179" s="79"/>
      <c r="L179" s="851">
        <v>1.9023626918438181</v>
      </c>
      <c r="M179" s="851">
        <v>1.8650614625919786</v>
      </c>
      <c r="N179" s="851">
        <v>1.8284916299921359</v>
      </c>
      <c r="O179" s="852">
        <v>1.7926388529334665</v>
      </c>
      <c r="P179" s="853">
        <v>1.7574890715033984</v>
      </c>
      <c r="Q179" s="852">
        <v>1.7230285014739199</v>
      </c>
      <c r="R179" s="852">
        <v>1.689243628896</v>
      </c>
      <c r="S179" s="854">
        <v>1.6561212048</v>
      </c>
      <c r="T179" s="851">
        <v>1.6236482400000001</v>
      </c>
      <c r="U179" s="851">
        <v>1.591812</v>
      </c>
      <c r="V179" s="851">
        <v>1.5606</v>
      </c>
      <c r="W179" s="854">
        <v>1.53</v>
      </c>
      <c r="X179" s="851">
        <v>1.5</v>
      </c>
      <c r="Y179" s="851">
        <v>1.5</v>
      </c>
      <c r="Z179" s="851">
        <v>1.5</v>
      </c>
      <c r="AA179" s="852">
        <v>1.5</v>
      </c>
      <c r="AB179" s="853">
        <v>1.4850000000000001</v>
      </c>
      <c r="AC179" s="852">
        <v>1.4701499999999998</v>
      </c>
      <c r="AD179" s="852">
        <v>1.4554484999999999</v>
      </c>
      <c r="AE179" s="854">
        <v>1.4408940149999998</v>
      </c>
      <c r="AF179" s="852">
        <v>1.4850000000000001</v>
      </c>
      <c r="AG179" s="852">
        <v>1.4701499999999998</v>
      </c>
      <c r="AH179" s="852">
        <v>1.3980980218604848</v>
      </c>
      <c r="AI179" s="854">
        <v>1.38411704164188</v>
      </c>
      <c r="AJ179" s="853">
        <f t="shared" ref="AJ179:AQ180" si="516">AJ178</f>
        <v>1.3702758712254612</v>
      </c>
      <c r="AK179" s="852">
        <f t="shared" si="516"/>
        <v>1.3565731125132066</v>
      </c>
      <c r="AL179" s="852">
        <f t="shared" si="516"/>
        <v>1.3430073813880745</v>
      </c>
      <c r="AM179" s="854">
        <f t="shared" si="516"/>
        <v>1.3295773075741937</v>
      </c>
      <c r="AN179" s="851">
        <f t="shared" si="516"/>
        <v>1.3162815344984518</v>
      </c>
      <c r="AO179" s="851">
        <f t="shared" si="516"/>
        <v>1.3031187191534672</v>
      </c>
      <c r="AP179" s="851">
        <f t="shared" si="516"/>
        <v>1.2900875319619325</v>
      </c>
      <c r="AQ179" s="854">
        <f t="shared" si="516"/>
        <v>1.2771866566423131</v>
      </c>
      <c r="AR179" s="851">
        <f t="shared" ref="AR179:AU180" si="517">AR178</f>
        <v>1.26441479007589</v>
      </c>
      <c r="AS179" s="851">
        <f t="shared" si="517"/>
        <v>1.2517706421751311</v>
      </c>
      <c r="AT179" s="851">
        <f t="shared" si="517"/>
        <v>1.2392529357533797</v>
      </c>
      <c r="AU179" s="854">
        <f t="shared" si="517"/>
        <v>1.2268604063958459</v>
      </c>
      <c r="AV179" s="851">
        <f t="shared" ref="AV179:AY180" si="518">AV178</f>
        <v>1.2145918023318873</v>
      </c>
      <c r="AW179" s="851">
        <f t="shared" si="518"/>
        <v>1.2024458843085684</v>
      </c>
      <c r="AX179" s="851">
        <f t="shared" si="518"/>
        <v>1.1904214254654826</v>
      </c>
      <c r="AY179" s="854">
        <f t="shared" si="518"/>
        <v>1.1785172112108278</v>
      </c>
      <c r="AZ179" s="851">
        <f t="shared" ref="AZ179:BC180" si="519">AZ178</f>
        <v>1.1667320390987195</v>
      </c>
      <c r="BA179" s="851">
        <f t="shared" si="519"/>
        <v>1.1550647187077323</v>
      </c>
      <c r="BB179" s="851">
        <f t="shared" si="519"/>
        <v>1.1435140715206549</v>
      </c>
      <c r="BC179" s="852">
        <f t="shared" si="519"/>
        <v>1.1320789308054484</v>
      </c>
      <c r="BD179" s="853">
        <f t="shared" ref="BD179:BG179" si="520">BD178</f>
        <v>1.1207581414973939</v>
      </c>
      <c r="BE179" s="852">
        <f t="shared" si="520"/>
        <v>1.10955056008242</v>
      </c>
      <c r="BF179" s="852">
        <f t="shared" si="520"/>
        <v>1.0984550544815959</v>
      </c>
      <c r="BG179" s="854">
        <f t="shared" si="520"/>
        <v>1.0874705039367798</v>
      </c>
      <c r="BH179" s="853">
        <f t="shared" ref="BH179:BK179" si="521">BH178</f>
        <v>1.076595798897412</v>
      </c>
      <c r="BI179" s="852">
        <f t="shared" si="521"/>
        <v>1.0658298409084379</v>
      </c>
      <c r="BJ179" s="852">
        <f t="shared" si="521"/>
        <v>1.0551715424993535</v>
      </c>
      <c r="BK179" s="854">
        <f t="shared" si="521"/>
        <v>1.0446198270743601</v>
      </c>
      <c r="BL179" s="853">
        <f t="shared" ref="BL179:BO179" si="522">BL178</f>
        <v>1.0341736288036165</v>
      </c>
      <c r="BM179" s="852">
        <f t="shared" si="522"/>
        <v>1.0238318925155803</v>
      </c>
      <c r="BN179" s="852">
        <f t="shared" si="522"/>
        <v>1.0135935735904245</v>
      </c>
      <c r="BO179" s="854">
        <f t="shared" si="522"/>
        <v>1.0034576378545201</v>
      </c>
      <c r="BP179" s="657"/>
      <c r="BQ179" s="8"/>
      <c r="BR179" s="8"/>
      <c r="BS179" s="8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224"/>
      <c r="CG179" s="658"/>
      <c r="CH179" s="363"/>
    </row>
    <row r="180" spans="1:88" ht="14.25" hidden="1" customHeight="1" outlineLevel="3">
      <c r="A180" s="672"/>
      <c r="B180" s="684" t="s">
        <v>382</v>
      </c>
      <c r="C180" s="274"/>
      <c r="D180" s="754"/>
      <c r="E180" s="754"/>
      <c r="F180" s="754"/>
      <c r="G180" s="79"/>
      <c r="H180" s="754"/>
      <c r="I180" s="754"/>
      <c r="J180" s="754"/>
      <c r="K180" s="79"/>
      <c r="L180" s="851">
        <v>1.9023626918438181</v>
      </c>
      <c r="M180" s="851">
        <v>1.8650614625919786</v>
      </c>
      <c r="N180" s="851">
        <v>1.8284916299921359</v>
      </c>
      <c r="O180" s="852">
        <v>1.7926388529334665</v>
      </c>
      <c r="P180" s="853">
        <v>1.7574890715033984</v>
      </c>
      <c r="Q180" s="852">
        <v>1.7230285014739199</v>
      </c>
      <c r="R180" s="852">
        <v>1.689243628896</v>
      </c>
      <c r="S180" s="854">
        <v>1.6561212048</v>
      </c>
      <c r="T180" s="851">
        <v>1.6236482400000001</v>
      </c>
      <c r="U180" s="851">
        <v>1.591812</v>
      </c>
      <c r="V180" s="851">
        <v>1.5606</v>
      </c>
      <c r="W180" s="854">
        <v>1.53</v>
      </c>
      <c r="X180" s="851">
        <v>1.5</v>
      </c>
      <c r="Y180" s="851">
        <v>1.5</v>
      </c>
      <c r="Z180" s="851">
        <v>1.5</v>
      </c>
      <c r="AA180" s="852">
        <v>1.5</v>
      </c>
      <c r="AB180" s="853">
        <v>1.4850000000000001</v>
      </c>
      <c r="AC180" s="852">
        <v>1.4701499999999998</v>
      </c>
      <c r="AD180" s="852">
        <v>1.4554484999999999</v>
      </c>
      <c r="AE180" s="854">
        <v>1.4408940149999998</v>
      </c>
      <c r="AF180" s="852">
        <v>1.4850000000000001</v>
      </c>
      <c r="AG180" s="852">
        <v>1.4701499999999998</v>
      </c>
      <c r="AH180" s="852">
        <v>1.3980980218604848</v>
      </c>
      <c r="AI180" s="854">
        <v>1.38411704164188</v>
      </c>
      <c r="AJ180" s="853">
        <f t="shared" si="516"/>
        <v>1.3702758712254612</v>
      </c>
      <c r="AK180" s="852">
        <f t="shared" si="516"/>
        <v>1.3565731125132066</v>
      </c>
      <c r="AL180" s="852">
        <f t="shared" si="516"/>
        <v>1.3430073813880745</v>
      </c>
      <c r="AM180" s="854">
        <f t="shared" si="516"/>
        <v>1.3295773075741937</v>
      </c>
      <c r="AN180" s="851">
        <f t="shared" si="516"/>
        <v>1.3162815344984518</v>
      </c>
      <c r="AO180" s="851">
        <f t="shared" si="516"/>
        <v>1.3031187191534672</v>
      </c>
      <c r="AP180" s="851">
        <f t="shared" si="516"/>
        <v>1.2900875319619325</v>
      </c>
      <c r="AQ180" s="854">
        <f t="shared" si="516"/>
        <v>1.2771866566423131</v>
      </c>
      <c r="AR180" s="851">
        <f t="shared" si="517"/>
        <v>1.26441479007589</v>
      </c>
      <c r="AS180" s="851">
        <f t="shared" si="517"/>
        <v>1.2517706421751311</v>
      </c>
      <c r="AT180" s="851">
        <f t="shared" si="517"/>
        <v>1.2392529357533797</v>
      </c>
      <c r="AU180" s="854">
        <f t="shared" si="517"/>
        <v>1.2268604063958459</v>
      </c>
      <c r="AV180" s="851">
        <f t="shared" si="518"/>
        <v>1.2145918023318873</v>
      </c>
      <c r="AW180" s="851">
        <f t="shared" si="518"/>
        <v>1.2024458843085684</v>
      </c>
      <c r="AX180" s="851">
        <f t="shared" si="518"/>
        <v>1.1904214254654826</v>
      </c>
      <c r="AY180" s="854">
        <f t="shared" si="518"/>
        <v>1.1785172112108278</v>
      </c>
      <c r="AZ180" s="851">
        <f t="shared" si="519"/>
        <v>1.1667320390987195</v>
      </c>
      <c r="BA180" s="851">
        <f t="shared" si="519"/>
        <v>1.1550647187077323</v>
      </c>
      <c r="BB180" s="851">
        <f t="shared" si="519"/>
        <v>1.1435140715206549</v>
      </c>
      <c r="BC180" s="852">
        <f t="shared" si="519"/>
        <v>1.1320789308054484</v>
      </c>
      <c r="BD180" s="853">
        <f t="shared" ref="BD180:BG180" si="523">BD179</f>
        <v>1.1207581414973939</v>
      </c>
      <c r="BE180" s="852">
        <f t="shared" si="523"/>
        <v>1.10955056008242</v>
      </c>
      <c r="BF180" s="852">
        <f t="shared" si="523"/>
        <v>1.0984550544815959</v>
      </c>
      <c r="BG180" s="854">
        <f t="shared" si="523"/>
        <v>1.0874705039367798</v>
      </c>
      <c r="BH180" s="853">
        <f t="shared" ref="BH180:BK180" si="524">BH179</f>
        <v>1.076595798897412</v>
      </c>
      <c r="BI180" s="852">
        <f t="shared" si="524"/>
        <v>1.0658298409084379</v>
      </c>
      <c r="BJ180" s="852">
        <f t="shared" si="524"/>
        <v>1.0551715424993535</v>
      </c>
      <c r="BK180" s="854">
        <f t="shared" si="524"/>
        <v>1.0446198270743601</v>
      </c>
      <c r="BL180" s="853">
        <f t="shared" ref="BL180:BO180" si="525">BL179</f>
        <v>1.0341736288036165</v>
      </c>
      <c r="BM180" s="852">
        <f t="shared" si="525"/>
        <v>1.0238318925155803</v>
      </c>
      <c r="BN180" s="852">
        <f t="shared" si="525"/>
        <v>1.0135935735904245</v>
      </c>
      <c r="BO180" s="854">
        <f t="shared" si="525"/>
        <v>1.0034576378545201</v>
      </c>
      <c r="BP180" s="657"/>
      <c r="BQ180" s="8"/>
      <c r="BR180" s="8"/>
      <c r="BS180" s="8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224"/>
      <c r="CG180" s="658"/>
      <c r="CH180" s="363"/>
    </row>
    <row r="181" spans="1:88" ht="14.25" hidden="1" customHeight="1" outlineLevel="3">
      <c r="A181" s="672"/>
      <c r="B181" s="824"/>
      <c r="C181" s="274"/>
      <c r="D181" s="754"/>
      <c r="E181" s="754"/>
      <c r="F181" s="754"/>
      <c r="G181" s="79"/>
      <c r="H181" s="754"/>
      <c r="I181" s="754"/>
      <c r="J181" s="754"/>
      <c r="K181" s="79"/>
      <c r="L181" s="754"/>
      <c r="M181" s="754"/>
      <c r="N181" s="754"/>
      <c r="O181" s="78"/>
      <c r="P181" s="658"/>
      <c r="Q181" s="318"/>
      <c r="R181" s="318"/>
      <c r="S181" s="79"/>
      <c r="W181" s="79"/>
      <c r="AA181" s="78"/>
      <c r="AB181" s="658"/>
      <c r="AC181" s="318"/>
      <c r="AD181" s="318"/>
      <c r="AE181" s="79"/>
      <c r="AF181" s="318"/>
      <c r="AG181" s="318"/>
      <c r="AH181" s="318"/>
      <c r="AI181" s="79"/>
      <c r="AJ181" s="658"/>
      <c r="AK181" s="318"/>
      <c r="AL181" s="318"/>
      <c r="AM181" s="79"/>
      <c r="AQ181" s="79"/>
      <c r="AU181" s="79"/>
      <c r="AY181" s="79"/>
      <c r="BC181" s="318"/>
      <c r="BD181" s="364"/>
      <c r="BE181" s="363"/>
      <c r="BF181" s="363"/>
      <c r="BG181" s="843"/>
      <c r="BH181" s="364"/>
      <c r="BI181" s="363"/>
      <c r="BJ181" s="363"/>
      <c r="BK181" s="843"/>
      <c r="BL181" s="364"/>
      <c r="BM181" s="363"/>
      <c r="BN181" s="363"/>
      <c r="BO181" s="843"/>
      <c r="BP181" s="657"/>
      <c r="BQ181" s="8"/>
      <c r="BR181" s="8"/>
      <c r="BS181" s="8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224"/>
      <c r="CG181" s="658"/>
      <c r="CH181" s="363"/>
    </row>
    <row r="182" spans="1:88" ht="14.25" hidden="1" customHeight="1" outlineLevel="3">
      <c r="A182" s="672"/>
      <c r="B182" s="705" t="str">
        <f>B165&amp;" Revenue from Mobile"</f>
        <v>Bluetooth Revenue from Mobile</v>
      </c>
      <c r="C182" s="274"/>
      <c r="D182" s="754"/>
      <c r="E182" s="754"/>
      <c r="F182" s="754"/>
      <c r="G182" s="79"/>
      <c r="H182" s="754"/>
      <c r="I182" s="754"/>
      <c r="J182" s="754"/>
      <c r="K182" s="79"/>
      <c r="L182" s="687">
        <f t="shared" ref="L182:AQ182" si="526">SUMPRODUCT(L166:L168,L170:L172,L178:L180,L174:L176)</f>
        <v>0.9826305344855355</v>
      </c>
      <c r="M182" s="687">
        <f t="shared" si="526"/>
        <v>0.92667260193524137</v>
      </c>
      <c r="N182" s="687">
        <f t="shared" si="526"/>
        <v>1.4461494895807985</v>
      </c>
      <c r="O182" s="687">
        <f t="shared" si="526"/>
        <v>2.3350784048824704</v>
      </c>
      <c r="P182" s="688">
        <f t="shared" si="526"/>
        <v>2.864083519816266</v>
      </c>
      <c r="Q182" s="687">
        <f t="shared" si="526"/>
        <v>3.3789694138873534</v>
      </c>
      <c r="R182" s="687">
        <f t="shared" si="526"/>
        <v>4.1618267106725035</v>
      </c>
      <c r="S182" s="689">
        <f t="shared" si="526"/>
        <v>4.9079403084128792</v>
      </c>
      <c r="T182" s="687">
        <f t="shared" si="526"/>
        <v>2.6458960042505755</v>
      </c>
      <c r="U182" s="687">
        <f t="shared" si="526"/>
        <v>5.2000915574349609</v>
      </c>
      <c r="V182" s="687">
        <f t="shared" si="526"/>
        <v>7.292965674298042</v>
      </c>
      <c r="W182" s="689">
        <f t="shared" si="526"/>
        <v>8.975713684626502</v>
      </c>
      <c r="X182" s="687">
        <f t="shared" si="526"/>
        <v>9.544364007703015</v>
      </c>
      <c r="Y182" s="687">
        <f t="shared" si="526"/>
        <v>9.9232762472299036</v>
      </c>
      <c r="Z182" s="687">
        <f t="shared" si="526"/>
        <v>10.931910336314477</v>
      </c>
      <c r="AA182" s="687">
        <f t="shared" si="526"/>
        <v>14.27550642727695</v>
      </c>
      <c r="AB182" s="688">
        <f t="shared" si="526"/>
        <v>12.942388416547276</v>
      </c>
      <c r="AC182" s="687">
        <f t="shared" si="526"/>
        <v>11.605455032899414</v>
      </c>
      <c r="AD182" s="687">
        <f t="shared" si="526"/>
        <v>12.096301284445277</v>
      </c>
      <c r="AE182" s="689">
        <f t="shared" si="526"/>
        <v>14.871579800359452</v>
      </c>
      <c r="AF182" s="687">
        <f t="shared" si="526"/>
        <v>13.991808356517403</v>
      </c>
      <c r="AG182" s="687">
        <f t="shared" si="526"/>
        <v>12.72283302175315</v>
      </c>
      <c r="AH182" s="687">
        <f t="shared" si="526"/>
        <v>12.314918570517593</v>
      </c>
      <c r="AI182" s="689">
        <f t="shared" si="526"/>
        <v>15.223447623358595</v>
      </c>
      <c r="AJ182" s="688">
        <f t="shared" si="526"/>
        <v>13.973849177391658</v>
      </c>
      <c r="AK182" s="687">
        <f t="shared" si="526"/>
        <v>12.574426542888032</v>
      </c>
      <c r="AL182" s="687">
        <f t="shared" si="526"/>
        <v>12.69688334105755</v>
      </c>
      <c r="AM182" s="689">
        <f t="shared" si="526"/>
        <v>15.854395380905311</v>
      </c>
      <c r="AN182" s="687">
        <f t="shared" si="526"/>
        <v>14.405386175988184</v>
      </c>
      <c r="AO182" s="687">
        <f t="shared" si="526"/>
        <v>12.925860638286968</v>
      </c>
      <c r="AP182" s="687">
        <f t="shared" si="526"/>
        <v>13.304243637017677</v>
      </c>
      <c r="AQ182" s="689">
        <f t="shared" si="526"/>
        <v>16.091779920855235</v>
      </c>
      <c r="AR182" s="687">
        <f t="shared" ref="AR182:AV182" si="527">SUMPRODUCT(AR166:AR168,AR170:AR172,AR178:AR180,AR174:AR176)</f>
        <v>14.630630262527555</v>
      </c>
      <c r="AS182" s="687">
        <f t="shared" si="527"/>
        <v>13.130224711418149</v>
      </c>
      <c r="AT182" s="687">
        <f t="shared" si="527"/>
        <v>13.509561007300054</v>
      </c>
      <c r="AU182" s="689">
        <f t="shared" si="527"/>
        <v>16.338433950618576</v>
      </c>
      <c r="AV182" s="687">
        <f t="shared" si="527"/>
        <v>14.865271789285924</v>
      </c>
      <c r="AW182" s="687">
        <f>SUMPRODUCT(AW166:AW168,AW170:AW172,AW178:AW180,AW174:AW176)</f>
        <v>13.343251072553514</v>
      </c>
      <c r="AX182" s="687">
        <f>SUMPRODUCT(AX166:AX168,AX170:AX172,AX178:AX180,AX174:AX176)</f>
        <v>13.723281007668627</v>
      </c>
      <c r="AY182" s="689">
        <f t="shared" ref="AY182" si="528">SUMPRODUCT(AY166:AY168,AY170:AY172,AY178:AY180,AY174:AY176)</f>
        <v>16.595079506169533</v>
      </c>
      <c r="AZ182" s="687">
        <f t="shared" ref="AZ182:BG182" si="529">SUMPRODUCT(AZ166:AZ168,AZ170:AZ172,AZ178:AZ180,AZ174:AZ176)</f>
        <v>15.110057302412818</v>
      </c>
      <c r="BA182" s="687">
        <f t="shared" si="529"/>
        <v>13.565630941014401</v>
      </c>
      <c r="BB182" s="687">
        <f t="shared" si="529"/>
        <v>13.946067459541952</v>
      </c>
      <c r="BC182" s="687">
        <f t="shared" si="529"/>
        <v>16.862503564443255</v>
      </c>
      <c r="BD182" s="688">
        <f t="shared" si="529"/>
        <v>15.365800669631291</v>
      </c>
      <c r="BE182" s="687">
        <f t="shared" si="529"/>
        <v>13.798117904978675</v>
      </c>
      <c r="BF182" s="687">
        <f t="shared" si="529"/>
        <v>14.178644002129019</v>
      </c>
      <c r="BG182" s="689">
        <f t="shared" si="529"/>
        <v>17.141563989567683</v>
      </c>
      <c r="BH182" s="688">
        <f t="shared" ref="BH182:BK182" si="530">SUMPRODUCT(BH166:BH168,BH170:BH172,BH178:BH180,BH174:BH176)</f>
        <v>15.63338924629473</v>
      </c>
      <c r="BI182" s="687">
        <f t="shared" si="530"/>
        <v>14.041533634294721</v>
      </c>
      <c r="BJ182" s="687">
        <f t="shared" si="530"/>
        <v>14.42179957074732</v>
      </c>
      <c r="BK182" s="689">
        <f t="shared" si="530"/>
        <v>17.43319602465921</v>
      </c>
      <c r="BL182" s="688">
        <f t="shared" ref="BL182:BO182" si="531">SUMPRODUCT(BL166:BL168,BL170:BL172,BL178:BL180,BL174:BL176)</f>
        <v>15.913790607195235</v>
      </c>
      <c r="BM182" s="687">
        <f t="shared" si="531"/>
        <v>14.296774117464665</v>
      </c>
      <c r="BN182" s="687">
        <f t="shared" si="531"/>
        <v>14.676394377785845</v>
      </c>
      <c r="BO182" s="689">
        <f t="shared" si="531"/>
        <v>17.738419379248377</v>
      </c>
      <c r="BP182" s="657"/>
      <c r="BQ182" s="8"/>
      <c r="BR182" s="8"/>
      <c r="BS182" s="8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224"/>
      <c r="CG182" s="658"/>
      <c r="CH182" s="363"/>
    </row>
    <row r="183" spans="1:88" ht="14.25" hidden="1" customHeight="1" outlineLevel="3">
      <c r="A183" s="672"/>
      <c r="B183" s="651" t="str">
        <f>"% "&amp;B165&amp;" Revenue"</f>
        <v>% Bluetooth Revenue</v>
      </c>
      <c r="C183" s="274"/>
      <c r="D183" s="754"/>
      <c r="E183" s="754"/>
      <c r="F183" s="754"/>
      <c r="G183" s="79"/>
      <c r="H183" s="754"/>
      <c r="I183" s="754"/>
      <c r="J183" s="754"/>
      <c r="K183" s="79"/>
      <c r="L183" s="247">
        <f t="shared" ref="L183:AF183" si="532">L182/L238</f>
        <v>5.1717396551870291E-2</v>
      </c>
      <c r="M183" s="247">
        <f t="shared" si="532"/>
        <v>4.6333630096762071E-2</v>
      </c>
      <c r="N183" s="247">
        <f t="shared" si="532"/>
        <v>6.8864261408609448E-2</v>
      </c>
      <c r="O183" s="76">
        <f t="shared" si="532"/>
        <v>0.10613992749465774</v>
      </c>
      <c r="P183" s="522">
        <f t="shared" si="532"/>
        <v>0.14320417599081331</v>
      </c>
      <c r="Q183" s="76">
        <f t="shared" si="532"/>
        <v>0.16894847069436766</v>
      </c>
      <c r="R183" s="76">
        <f t="shared" si="532"/>
        <v>0.19818222431773827</v>
      </c>
      <c r="S183" s="77">
        <f t="shared" si="532"/>
        <v>0.28870237108311053</v>
      </c>
      <c r="T183" s="247">
        <f t="shared" si="532"/>
        <v>0.44098266737509589</v>
      </c>
      <c r="U183" s="247">
        <f t="shared" si="532"/>
        <v>0.43334096311958009</v>
      </c>
      <c r="V183" s="247">
        <f t="shared" si="532"/>
        <v>0.40516475968322457</v>
      </c>
      <c r="W183" s="77">
        <f t="shared" si="532"/>
        <v>0.47240598340139484</v>
      </c>
      <c r="X183" s="247">
        <f t="shared" si="532"/>
        <v>0.5302424448723897</v>
      </c>
      <c r="Y183" s="247">
        <f t="shared" si="532"/>
        <v>0.4961638123614952</v>
      </c>
      <c r="Z183" s="247">
        <f t="shared" si="532"/>
        <v>0.49690501528702169</v>
      </c>
      <c r="AA183" s="76">
        <f t="shared" si="532"/>
        <v>0.6488866557853159</v>
      </c>
      <c r="AB183" s="522">
        <f t="shared" si="532"/>
        <v>0.51769553666189105</v>
      </c>
      <c r="AC183" s="76">
        <f t="shared" si="532"/>
        <v>0.42983166788516347</v>
      </c>
      <c r="AD183" s="76">
        <f t="shared" si="532"/>
        <v>0.44801115868315838</v>
      </c>
      <c r="AE183" s="77">
        <f t="shared" si="532"/>
        <v>0.6759809000163387</v>
      </c>
      <c r="AF183" s="76">
        <f t="shared" si="532"/>
        <v>0.69959041782587017</v>
      </c>
      <c r="AG183" s="76"/>
      <c r="AH183" s="76" t="str">
        <f t="shared" ref="AH183:AQ183" si="533">IF(ISERROR(AH182/AH238),"",AH182/AH238)</f>
        <v/>
      </c>
      <c r="AI183" s="77" t="str">
        <f t="shared" si="533"/>
        <v/>
      </c>
      <c r="AJ183" s="522" t="str">
        <f t="shared" si="533"/>
        <v/>
      </c>
      <c r="AK183" s="76" t="str">
        <f t="shared" si="533"/>
        <v/>
      </c>
      <c r="AL183" s="76" t="str">
        <f t="shared" si="533"/>
        <v/>
      </c>
      <c r="AM183" s="77" t="str">
        <f t="shared" si="533"/>
        <v/>
      </c>
      <c r="AN183" s="247" t="str">
        <f t="shared" si="533"/>
        <v/>
      </c>
      <c r="AO183" s="247" t="str">
        <f t="shared" si="533"/>
        <v/>
      </c>
      <c r="AP183" s="247" t="str">
        <f t="shared" si="533"/>
        <v/>
      </c>
      <c r="AQ183" s="77" t="str">
        <f t="shared" si="533"/>
        <v/>
      </c>
      <c r="AR183" s="247" t="str">
        <f t="shared" ref="AR183:AV183" si="534">IF(ISERROR(AR182/AR238),"",AR182/AR238)</f>
        <v/>
      </c>
      <c r="AS183" s="247" t="str">
        <f t="shared" si="534"/>
        <v/>
      </c>
      <c r="AT183" s="247" t="str">
        <f t="shared" si="534"/>
        <v/>
      </c>
      <c r="AU183" s="77" t="str">
        <f t="shared" si="534"/>
        <v/>
      </c>
      <c r="AV183" s="247" t="str">
        <f t="shared" si="534"/>
        <v/>
      </c>
      <c r="AW183" s="247" t="str">
        <f>IF(ISERROR(AW182/AW238),"",AW182/AW238)</f>
        <v/>
      </c>
      <c r="AX183" s="247" t="str">
        <f>IF(ISERROR(AX182/AX238),"",AX182/AX238)</f>
        <v/>
      </c>
      <c r="AY183" s="77" t="str">
        <f t="shared" ref="AY183" si="535">IF(ISERROR(AY182/AY238),"",AY182/AY238)</f>
        <v/>
      </c>
      <c r="AZ183" s="247" t="str">
        <f t="shared" ref="AZ183:BG183" si="536">IF(ISERROR(AZ182/AZ238),"",AZ182/AZ238)</f>
        <v/>
      </c>
      <c r="BA183" s="247" t="str">
        <f t="shared" si="536"/>
        <v/>
      </c>
      <c r="BB183" s="247" t="str">
        <f t="shared" si="536"/>
        <v/>
      </c>
      <c r="BC183" s="76" t="str">
        <f t="shared" si="536"/>
        <v/>
      </c>
      <c r="BD183" s="522" t="str">
        <f t="shared" si="536"/>
        <v/>
      </c>
      <c r="BE183" s="76" t="str">
        <f t="shared" si="536"/>
        <v/>
      </c>
      <c r="BF183" s="76" t="str">
        <f t="shared" si="536"/>
        <v/>
      </c>
      <c r="BG183" s="77" t="str">
        <f t="shared" si="536"/>
        <v/>
      </c>
      <c r="BH183" s="522" t="str">
        <f t="shared" ref="BH183:BK183" si="537">IF(ISERROR(BH182/BH238),"",BH182/BH238)</f>
        <v/>
      </c>
      <c r="BI183" s="76" t="str">
        <f t="shared" si="537"/>
        <v/>
      </c>
      <c r="BJ183" s="76" t="str">
        <f t="shared" si="537"/>
        <v/>
      </c>
      <c r="BK183" s="77" t="str">
        <f t="shared" si="537"/>
        <v/>
      </c>
      <c r="BL183" s="522" t="str">
        <f t="shared" ref="BL183:BO183" si="538">IF(ISERROR(BL182/BL238),"",BL182/BL238)</f>
        <v/>
      </c>
      <c r="BM183" s="76" t="str">
        <f t="shared" si="538"/>
        <v/>
      </c>
      <c r="BN183" s="76" t="str">
        <f t="shared" si="538"/>
        <v/>
      </c>
      <c r="BO183" s="77" t="str">
        <f t="shared" si="538"/>
        <v/>
      </c>
      <c r="BP183" s="657"/>
      <c r="BQ183" s="8"/>
      <c r="BR183" s="8"/>
      <c r="BS183" s="8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224"/>
      <c r="CG183" s="658"/>
      <c r="CH183" s="363"/>
    </row>
    <row r="184" spans="1:88" ht="14.25" hidden="1" customHeight="1" outlineLevel="3">
      <c r="A184" s="672"/>
      <c r="B184" s="705" t="str">
        <f>B165&amp;" Revenue from Other"</f>
        <v>Bluetooth Revenue from Other</v>
      </c>
      <c r="C184" s="274"/>
      <c r="D184" s="754"/>
      <c r="E184" s="754"/>
      <c r="F184" s="754"/>
      <c r="G184" s="79"/>
      <c r="H184" s="754"/>
      <c r="I184" s="754"/>
      <c r="J184" s="754"/>
      <c r="K184" s="79"/>
      <c r="L184" s="687">
        <f t="shared" ref="L184:AG184" si="539">L238-L182</f>
        <v>18.017369465514463</v>
      </c>
      <c r="M184" s="687">
        <f t="shared" si="539"/>
        <v>19.073327398064759</v>
      </c>
      <c r="N184" s="687">
        <f t="shared" si="539"/>
        <v>19.553850510419203</v>
      </c>
      <c r="O184" s="687">
        <f t="shared" si="539"/>
        <v>19.66492159511753</v>
      </c>
      <c r="P184" s="688">
        <f t="shared" si="539"/>
        <v>17.135916480183734</v>
      </c>
      <c r="Q184" s="687">
        <f t="shared" si="539"/>
        <v>16.621030586112646</v>
      </c>
      <c r="R184" s="687">
        <f t="shared" si="539"/>
        <v>16.838173289327496</v>
      </c>
      <c r="S184" s="689">
        <f t="shared" si="539"/>
        <v>12.092059691587121</v>
      </c>
      <c r="T184" s="687">
        <f t="shared" si="539"/>
        <v>3.3541039957494245</v>
      </c>
      <c r="U184" s="687">
        <f t="shared" si="539"/>
        <v>6.7999084425650391</v>
      </c>
      <c r="V184" s="687">
        <f t="shared" si="539"/>
        <v>10.707034325701958</v>
      </c>
      <c r="W184" s="689">
        <f t="shared" si="539"/>
        <v>10.024286315373498</v>
      </c>
      <c r="X184" s="687">
        <f t="shared" si="539"/>
        <v>8.455635992296985</v>
      </c>
      <c r="Y184" s="687">
        <f t="shared" si="539"/>
        <v>10.076723752770096</v>
      </c>
      <c r="Z184" s="687">
        <f t="shared" si="539"/>
        <v>11.068089663685523</v>
      </c>
      <c r="AA184" s="687">
        <f t="shared" si="539"/>
        <v>7.7244935727230501</v>
      </c>
      <c r="AB184" s="688">
        <f t="shared" si="539"/>
        <v>12.057611583452724</v>
      </c>
      <c r="AC184" s="687">
        <f t="shared" si="539"/>
        <v>15.394544967100586</v>
      </c>
      <c r="AD184" s="687">
        <f t="shared" si="539"/>
        <v>14.903698715554723</v>
      </c>
      <c r="AE184" s="689">
        <f t="shared" si="539"/>
        <v>7.1284201996405478</v>
      </c>
      <c r="AF184" s="687">
        <f t="shared" si="539"/>
        <v>6.008191643482597</v>
      </c>
      <c r="AG184" s="687">
        <f t="shared" si="539"/>
        <v>-12.72283302175315</v>
      </c>
      <c r="AH184" s="687"/>
      <c r="AI184" s="689"/>
      <c r="AJ184" s="688"/>
      <c r="AK184" s="687"/>
      <c r="AL184" s="687"/>
      <c r="AM184" s="689"/>
      <c r="AN184" s="687"/>
      <c r="AO184" s="687"/>
      <c r="AP184" s="687"/>
      <c r="AQ184" s="689"/>
      <c r="AR184" s="687"/>
      <c r="AS184" s="687"/>
      <c r="AT184" s="687"/>
      <c r="AU184" s="689"/>
      <c r="AV184" s="687"/>
      <c r="AW184" s="687"/>
      <c r="AX184" s="687"/>
      <c r="AY184" s="689"/>
      <c r="AZ184" s="687"/>
      <c r="BA184" s="687"/>
      <c r="BB184" s="687"/>
      <c r="BC184" s="687"/>
      <c r="BD184" s="688"/>
      <c r="BE184" s="687"/>
      <c r="BF184" s="687"/>
      <c r="BG184" s="689"/>
      <c r="BH184" s="688"/>
      <c r="BI184" s="687"/>
      <c r="BJ184" s="687"/>
      <c r="BK184" s="689"/>
      <c r="BL184" s="688"/>
      <c r="BM184" s="687"/>
      <c r="BN184" s="687"/>
      <c r="BO184" s="689"/>
      <c r="BP184" s="657"/>
      <c r="BQ184" s="8"/>
      <c r="BR184" s="8"/>
      <c r="BS184" s="8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224"/>
      <c r="CG184" s="658"/>
      <c r="CH184" s="363"/>
    </row>
    <row r="185" spans="1:88" ht="14.25" hidden="1" customHeight="1" outlineLevel="3">
      <c r="A185" s="672"/>
      <c r="B185" s="651" t="str">
        <f>"% "&amp;B165&amp;" Revenue"</f>
        <v>% Bluetooth Revenue</v>
      </c>
      <c r="C185" s="274"/>
      <c r="D185" s="754"/>
      <c r="E185" s="754"/>
      <c r="F185" s="754"/>
      <c r="G185" s="79"/>
      <c r="H185" s="754"/>
      <c r="I185" s="754"/>
      <c r="J185" s="754"/>
      <c r="K185" s="79"/>
      <c r="L185" s="247">
        <f t="shared" ref="L185:AF185" si="540">L184/L238</f>
        <v>0.94828260344812965</v>
      </c>
      <c r="M185" s="247">
        <f t="shared" si="540"/>
        <v>0.95366636990323794</v>
      </c>
      <c r="N185" s="247">
        <f t="shared" si="540"/>
        <v>0.93113573859139065</v>
      </c>
      <c r="O185" s="76">
        <f t="shared" si="540"/>
        <v>0.89386007250534227</v>
      </c>
      <c r="P185" s="522">
        <f t="shared" si="540"/>
        <v>0.85679582400918675</v>
      </c>
      <c r="Q185" s="76">
        <f t="shared" si="540"/>
        <v>0.83105152930563231</v>
      </c>
      <c r="R185" s="76">
        <f t="shared" si="540"/>
        <v>0.80181777568226176</v>
      </c>
      <c r="S185" s="77">
        <f t="shared" si="540"/>
        <v>0.71129762891688941</v>
      </c>
      <c r="T185" s="247">
        <f t="shared" si="540"/>
        <v>0.55901733262490405</v>
      </c>
      <c r="U185" s="247">
        <f t="shared" si="540"/>
        <v>0.56665903688041996</v>
      </c>
      <c r="V185" s="247">
        <f t="shared" si="540"/>
        <v>0.59483524031677548</v>
      </c>
      <c r="W185" s="77">
        <f t="shared" si="540"/>
        <v>0.52759401659860516</v>
      </c>
      <c r="X185" s="247">
        <f t="shared" si="540"/>
        <v>0.4697575551276103</v>
      </c>
      <c r="Y185" s="247">
        <f t="shared" si="540"/>
        <v>0.5038361876385048</v>
      </c>
      <c r="Z185" s="247">
        <f t="shared" si="540"/>
        <v>0.50309498471297831</v>
      </c>
      <c r="AA185" s="76">
        <f t="shared" si="540"/>
        <v>0.3511133442146841</v>
      </c>
      <c r="AB185" s="522">
        <f t="shared" si="540"/>
        <v>0.48230446333810895</v>
      </c>
      <c r="AC185" s="76">
        <f t="shared" si="540"/>
        <v>0.57016833211483653</v>
      </c>
      <c r="AD185" s="76">
        <f t="shared" si="540"/>
        <v>0.55198884131684156</v>
      </c>
      <c r="AE185" s="77">
        <f t="shared" si="540"/>
        <v>0.32401909998366124</v>
      </c>
      <c r="AF185" s="76">
        <f t="shared" si="540"/>
        <v>0.30040958217412983</v>
      </c>
      <c r="AG185" s="76"/>
      <c r="AH185" s="864"/>
      <c r="AI185" s="865"/>
      <c r="AJ185" s="866"/>
      <c r="AK185" s="864"/>
      <c r="AL185" s="864"/>
      <c r="AM185" s="865"/>
      <c r="AN185" s="867"/>
      <c r="AO185" s="867"/>
      <c r="AP185" s="867"/>
      <c r="AQ185" s="865"/>
      <c r="AR185" s="867"/>
      <c r="AS185" s="867"/>
      <c r="AT185" s="867"/>
      <c r="AU185" s="865"/>
      <c r="AV185" s="867"/>
      <c r="AW185" s="867"/>
      <c r="AX185" s="867"/>
      <c r="AY185" s="865"/>
      <c r="AZ185" s="867"/>
      <c r="BA185" s="867"/>
      <c r="BB185" s="867"/>
      <c r="BC185" s="864"/>
      <c r="BD185" s="866"/>
      <c r="BE185" s="864"/>
      <c r="BF185" s="864"/>
      <c r="BG185" s="865"/>
      <c r="BH185" s="866"/>
      <c r="BI185" s="864"/>
      <c r="BJ185" s="864"/>
      <c r="BK185" s="865"/>
      <c r="BL185" s="866"/>
      <c r="BM185" s="864"/>
      <c r="BN185" s="864"/>
      <c r="BO185" s="865"/>
      <c r="BP185" s="657"/>
      <c r="BQ185" s="8"/>
      <c r="BR185" s="8"/>
      <c r="BS185" s="8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224"/>
      <c r="CG185" s="658"/>
      <c r="CH185" s="363"/>
    </row>
    <row r="186" spans="1:88" ht="14.25" hidden="1" customHeight="1" outlineLevel="3">
      <c r="A186" s="672"/>
      <c r="B186" s="824"/>
      <c r="C186" s="274"/>
      <c r="D186" s="754"/>
      <c r="E186" s="754"/>
      <c r="F186" s="754"/>
      <c r="G186" s="79"/>
      <c r="H186" s="754"/>
      <c r="I186" s="754"/>
      <c r="J186" s="754"/>
      <c r="K186" s="79"/>
      <c r="L186" s="754"/>
      <c r="M186" s="754"/>
      <c r="N186" s="754"/>
      <c r="O186" s="78"/>
      <c r="P186" s="658"/>
      <c r="Q186" s="318"/>
      <c r="R186" s="318"/>
      <c r="S186" s="79"/>
      <c r="W186" s="79"/>
      <c r="AA186" s="78"/>
      <c r="AB186" s="658"/>
      <c r="AC186" s="318"/>
      <c r="AD186" s="318"/>
      <c r="AE186" s="79"/>
      <c r="AF186" s="318"/>
      <c r="AG186" s="318"/>
      <c r="AH186" s="318"/>
      <c r="AI186" s="79"/>
      <c r="AJ186" s="658"/>
      <c r="AK186" s="318"/>
      <c r="AL186" s="318"/>
      <c r="AM186" s="79"/>
      <c r="AQ186" s="79"/>
      <c r="AU186" s="79"/>
      <c r="AY186" s="79"/>
      <c r="BC186" s="318"/>
      <c r="BD186" s="364"/>
      <c r="BE186" s="363"/>
      <c r="BF186" s="363"/>
      <c r="BG186" s="843"/>
      <c r="BH186" s="364"/>
      <c r="BI186" s="363"/>
      <c r="BJ186" s="363"/>
      <c r="BK186" s="843"/>
      <c r="BL186" s="364"/>
      <c r="BM186" s="363"/>
      <c r="BN186" s="363"/>
      <c r="BO186" s="843"/>
      <c r="BP186" s="657"/>
      <c r="BQ186" s="8"/>
      <c r="BR186" s="8"/>
      <c r="BS186" s="8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224"/>
      <c r="CG186" s="658"/>
      <c r="CH186" s="363"/>
    </row>
    <row r="187" spans="1:88" s="8" customFormat="1" ht="14.25" hidden="1" customHeight="1" outlineLevel="3">
      <c r="A187" s="672"/>
      <c r="B187" s="705" t="s">
        <v>362</v>
      </c>
      <c r="C187" s="274"/>
      <c r="D187" s="754"/>
      <c r="E187" s="754"/>
      <c r="F187" s="754"/>
      <c r="G187" s="79"/>
      <c r="H187" s="754"/>
      <c r="I187" s="754"/>
      <c r="J187" s="754"/>
      <c r="K187" s="79"/>
      <c r="L187" s="754"/>
      <c r="M187" s="754"/>
      <c r="N187" s="754"/>
      <c r="O187" s="78"/>
      <c r="P187" s="297"/>
      <c r="Q187" s="14"/>
      <c r="R187" s="14"/>
      <c r="S187" s="79"/>
      <c r="W187" s="79"/>
      <c r="AA187" s="78"/>
      <c r="AB187" s="297"/>
      <c r="AC187" s="14"/>
      <c r="AD187" s="14"/>
      <c r="AE187" s="79"/>
      <c r="AF187" s="14"/>
      <c r="AG187" s="14"/>
      <c r="AH187" s="14"/>
      <c r="AI187" s="79"/>
      <c r="AJ187" s="297"/>
      <c r="AK187" s="14"/>
      <c r="AL187" s="14"/>
      <c r="AM187" s="79"/>
      <c r="AQ187" s="79"/>
      <c r="AU187" s="79"/>
      <c r="AY187" s="79"/>
      <c r="BC187" s="14"/>
      <c r="BD187" s="297"/>
      <c r="BE187" s="14"/>
      <c r="BF187" s="14"/>
      <c r="BG187" s="224"/>
      <c r="BH187" s="297"/>
      <c r="BI187" s="14"/>
      <c r="BJ187" s="14"/>
      <c r="BK187" s="224"/>
      <c r="BL187" s="297"/>
      <c r="BM187" s="14"/>
      <c r="BN187" s="14"/>
      <c r="BO187" s="224"/>
      <c r="BP187" s="657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224"/>
      <c r="CG187" s="297"/>
      <c r="CH187" s="14"/>
      <c r="CI187"/>
      <c r="CJ187"/>
    </row>
    <row r="188" spans="1:88" s="8" customFormat="1" ht="14.25" hidden="1" customHeight="1" outlineLevel="3">
      <c r="A188" s="672"/>
      <c r="B188" s="651" t="s">
        <v>364</v>
      </c>
      <c r="C188" s="274"/>
      <c r="D188" s="754"/>
      <c r="E188" s="754"/>
      <c r="F188" s="754"/>
      <c r="G188" s="79"/>
      <c r="H188" s="754"/>
      <c r="I188" s="754"/>
      <c r="J188" s="754"/>
      <c r="K188" s="79"/>
      <c r="L188" s="754">
        <v>0</v>
      </c>
      <c r="M188" s="754">
        <v>0.02</v>
      </c>
      <c r="N188" s="754">
        <v>0.02</v>
      </c>
      <c r="O188" s="78">
        <v>0.02</v>
      </c>
      <c r="P188" s="847">
        <v>0.02</v>
      </c>
      <c r="Q188" s="846">
        <v>0.02</v>
      </c>
      <c r="R188" s="846">
        <v>0.04</v>
      </c>
      <c r="S188" s="79">
        <v>0.06</v>
      </c>
      <c r="T188" s="845">
        <v>0.08</v>
      </c>
      <c r="U188" s="845">
        <v>0.08</v>
      </c>
      <c r="V188" s="845">
        <v>0.08</v>
      </c>
      <c r="W188" s="79">
        <v>0.08</v>
      </c>
      <c r="X188" s="845">
        <v>0.15</v>
      </c>
      <c r="Y188" s="845">
        <v>0.15</v>
      </c>
      <c r="Z188" s="845">
        <v>0.15</v>
      </c>
      <c r="AA188" s="78">
        <v>0.15</v>
      </c>
      <c r="AB188" s="847">
        <v>0.27</v>
      </c>
      <c r="AC188" s="846">
        <v>0.27</v>
      </c>
      <c r="AD188" s="846">
        <v>0.27</v>
      </c>
      <c r="AE188" s="79">
        <v>0.27</v>
      </c>
      <c r="AF188" s="846">
        <v>0.29499999999999998</v>
      </c>
      <c r="AG188" s="846">
        <v>0.27</v>
      </c>
      <c r="AH188" s="848">
        <f t="shared" ref="AH188:AQ190" si="541">AD188+2.5%</f>
        <v>0.29500000000000004</v>
      </c>
      <c r="AI188" s="130">
        <f t="shared" si="541"/>
        <v>0.29500000000000004</v>
      </c>
      <c r="AJ188" s="849">
        <f t="shared" si="541"/>
        <v>0.32</v>
      </c>
      <c r="AK188" s="848">
        <f t="shared" si="541"/>
        <v>0.29500000000000004</v>
      </c>
      <c r="AL188" s="848">
        <f t="shared" si="541"/>
        <v>0.32000000000000006</v>
      </c>
      <c r="AM188" s="130">
        <f t="shared" si="541"/>
        <v>0.32000000000000006</v>
      </c>
      <c r="AN188" s="850">
        <f t="shared" si="541"/>
        <v>0.34500000000000003</v>
      </c>
      <c r="AO188" s="850">
        <f t="shared" si="541"/>
        <v>0.32000000000000006</v>
      </c>
      <c r="AP188" s="850">
        <f t="shared" si="541"/>
        <v>0.34500000000000008</v>
      </c>
      <c r="AQ188" s="130">
        <f t="shared" si="541"/>
        <v>0.34500000000000008</v>
      </c>
      <c r="AR188" s="850">
        <f t="shared" ref="AR188:AY190" si="542">AN188+2.5%</f>
        <v>0.37000000000000005</v>
      </c>
      <c r="AS188" s="850">
        <f t="shared" si="542"/>
        <v>0.34500000000000008</v>
      </c>
      <c r="AT188" s="850">
        <f t="shared" si="542"/>
        <v>0.37000000000000011</v>
      </c>
      <c r="AU188" s="130">
        <f t="shared" si="542"/>
        <v>0.37000000000000011</v>
      </c>
      <c r="AV188" s="850">
        <f t="shared" ref="AV188:AV190" si="543">AR188+2.5%</f>
        <v>0.39500000000000007</v>
      </c>
      <c r="AW188" s="850">
        <f t="shared" si="542"/>
        <v>0.37000000000000011</v>
      </c>
      <c r="AX188" s="850">
        <f t="shared" si="542"/>
        <v>0.39500000000000013</v>
      </c>
      <c r="AY188" s="130">
        <f t="shared" si="542"/>
        <v>0.39500000000000013</v>
      </c>
      <c r="AZ188" s="850">
        <f t="shared" ref="AZ188:BC190" si="544">AV188+2.5%</f>
        <v>0.4200000000000001</v>
      </c>
      <c r="BA188" s="850">
        <f t="shared" si="544"/>
        <v>0.39500000000000013</v>
      </c>
      <c r="BB188" s="850">
        <f t="shared" si="544"/>
        <v>0.42000000000000015</v>
      </c>
      <c r="BC188" s="129">
        <f t="shared" si="544"/>
        <v>0.42000000000000015</v>
      </c>
      <c r="BD188" s="849">
        <f t="shared" ref="BD188:BD190" si="545">AZ188+2.5%</f>
        <v>0.44500000000000012</v>
      </c>
      <c r="BE188" s="848">
        <f t="shared" ref="BE188:BE190" si="546">BA188+2.5%</f>
        <v>0.42000000000000015</v>
      </c>
      <c r="BF188" s="848">
        <f t="shared" ref="BF188:BF190" si="547">BB188+2.5%</f>
        <v>0.44500000000000017</v>
      </c>
      <c r="BG188" s="130">
        <f t="shared" ref="BG188:BG190" si="548">BC188+2.5%</f>
        <v>0.44500000000000017</v>
      </c>
      <c r="BH188" s="849">
        <f t="shared" ref="BH188:BH190" si="549">BD188+2.5%</f>
        <v>0.47000000000000014</v>
      </c>
      <c r="BI188" s="848">
        <f t="shared" ref="BI188:BI190" si="550">BE188+2.5%</f>
        <v>0.44500000000000017</v>
      </c>
      <c r="BJ188" s="848">
        <f t="shared" ref="BJ188:BJ190" si="551">BF188+2.5%</f>
        <v>0.4700000000000002</v>
      </c>
      <c r="BK188" s="130">
        <f t="shared" ref="BK188:BK190" si="552">BG188+2.5%</f>
        <v>0.4700000000000002</v>
      </c>
      <c r="BL188" s="849">
        <f t="shared" ref="BL188:BL190" si="553">BH188+2.5%</f>
        <v>0.49500000000000016</v>
      </c>
      <c r="BM188" s="848">
        <f t="shared" ref="BM188:BM190" si="554">BI188+2.5%</f>
        <v>0.4700000000000002</v>
      </c>
      <c r="BN188" s="848">
        <f t="shared" ref="BN188:BN190" si="555">BJ188+2.5%</f>
        <v>0.49500000000000022</v>
      </c>
      <c r="BO188" s="130">
        <f t="shared" ref="BO188:BO190" si="556">BK188+2.5%</f>
        <v>0.49500000000000022</v>
      </c>
      <c r="BP188" s="657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224"/>
      <c r="CG188" s="297"/>
      <c r="CH188" s="14"/>
      <c r="CI188"/>
      <c r="CJ188"/>
    </row>
    <row r="189" spans="1:88" s="8" customFormat="1" ht="14.25" hidden="1" customHeight="1" outlineLevel="3">
      <c r="A189" s="672"/>
      <c r="B189" s="651" t="s">
        <v>365</v>
      </c>
      <c r="C189" s="274"/>
      <c r="D189" s="754"/>
      <c r="E189" s="754"/>
      <c r="F189" s="754"/>
      <c r="G189" s="79"/>
      <c r="H189" s="754"/>
      <c r="I189" s="754"/>
      <c r="J189" s="754"/>
      <c r="K189" s="79"/>
      <c r="L189" s="754">
        <v>0</v>
      </c>
      <c r="M189" s="754">
        <v>0.02</v>
      </c>
      <c r="N189" s="754">
        <v>0.02</v>
      </c>
      <c r="O189" s="78">
        <v>0.02</v>
      </c>
      <c r="P189" s="847">
        <v>0.02</v>
      </c>
      <c r="Q189" s="846">
        <v>0.02</v>
      </c>
      <c r="R189" s="846">
        <v>0.04</v>
      </c>
      <c r="S189" s="79">
        <v>0.06</v>
      </c>
      <c r="T189" s="845">
        <v>0.08</v>
      </c>
      <c r="U189" s="845">
        <v>0.08</v>
      </c>
      <c r="V189" s="845">
        <v>0.08</v>
      </c>
      <c r="W189" s="79">
        <v>0.08</v>
      </c>
      <c r="X189" s="845">
        <v>0.15</v>
      </c>
      <c r="Y189" s="845">
        <v>0.15</v>
      </c>
      <c r="Z189" s="845">
        <v>0.15</v>
      </c>
      <c r="AA189" s="78">
        <v>0.15</v>
      </c>
      <c r="AB189" s="847">
        <v>0.27</v>
      </c>
      <c r="AC189" s="846">
        <v>0.27</v>
      </c>
      <c r="AD189" s="846">
        <v>0.27</v>
      </c>
      <c r="AE189" s="79">
        <v>0.27</v>
      </c>
      <c r="AF189" s="846">
        <v>0.29499999999999998</v>
      </c>
      <c r="AG189" s="846">
        <v>0.27</v>
      </c>
      <c r="AH189" s="848">
        <f t="shared" si="541"/>
        <v>0.29500000000000004</v>
      </c>
      <c r="AI189" s="130">
        <f t="shared" si="541"/>
        <v>0.29500000000000004</v>
      </c>
      <c r="AJ189" s="849">
        <f t="shared" si="541"/>
        <v>0.32</v>
      </c>
      <c r="AK189" s="848">
        <f t="shared" si="541"/>
        <v>0.29500000000000004</v>
      </c>
      <c r="AL189" s="848">
        <f t="shared" si="541"/>
        <v>0.32000000000000006</v>
      </c>
      <c r="AM189" s="130">
        <f t="shared" si="541"/>
        <v>0.32000000000000006</v>
      </c>
      <c r="AN189" s="850">
        <f t="shared" si="541"/>
        <v>0.34500000000000003</v>
      </c>
      <c r="AO189" s="850">
        <f t="shared" si="541"/>
        <v>0.32000000000000006</v>
      </c>
      <c r="AP189" s="850">
        <f t="shared" si="541"/>
        <v>0.34500000000000008</v>
      </c>
      <c r="AQ189" s="130">
        <f t="shared" si="541"/>
        <v>0.34500000000000008</v>
      </c>
      <c r="AR189" s="850">
        <f t="shared" si="542"/>
        <v>0.37000000000000005</v>
      </c>
      <c r="AS189" s="850">
        <f t="shared" si="542"/>
        <v>0.34500000000000008</v>
      </c>
      <c r="AT189" s="850">
        <f t="shared" si="542"/>
        <v>0.37000000000000011</v>
      </c>
      <c r="AU189" s="130">
        <f t="shared" si="542"/>
        <v>0.37000000000000011</v>
      </c>
      <c r="AV189" s="850">
        <f t="shared" si="543"/>
        <v>0.39500000000000007</v>
      </c>
      <c r="AW189" s="850">
        <f t="shared" si="542"/>
        <v>0.37000000000000011</v>
      </c>
      <c r="AX189" s="850">
        <f t="shared" si="542"/>
        <v>0.39500000000000013</v>
      </c>
      <c r="AY189" s="130">
        <f t="shared" si="542"/>
        <v>0.39500000000000013</v>
      </c>
      <c r="AZ189" s="850">
        <f t="shared" si="544"/>
        <v>0.4200000000000001</v>
      </c>
      <c r="BA189" s="850">
        <f t="shared" si="544"/>
        <v>0.39500000000000013</v>
      </c>
      <c r="BB189" s="850">
        <f t="shared" si="544"/>
        <v>0.42000000000000015</v>
      </c>
      <c r="BC189" s="129">
        <f t="shared" si="544"/>
        <v>0.42000000000000015</v>
      </c>
      <c r="BD189" s="849">
        <f t="shared" si="545"/>
        <v>0.44500000000000012</v>
      </c>
      <c r="BE189" s="848">
        <f t="shared" si="546"/>
        <v>0.42000000000000015</v>
      </c>
      <c r="BF189" s="848">
        <f t="shared" si="547"/>
        <v>0.44500000000000017</v>
      </c>
      <c r="BG189" s="130">
        <f t="shared" si="548"/>
        <v>0.44500000000000017</v>
      </c>
      <c r="BH189" s="849">
        <f t="shared" si="549"/>
        <v>0.47000000000000014</v>
      </c>
      <c r="BI189" s="848">
        <f t="shared" si="550"/>
        <v>0.44500000000000017</v>
      </c>
      <c r="BJ189" s="848">
        <f t="shared" si="551"/>
        <v>0.4700000000000002</v>
      </c>
      <c r="BK189" s="130">
        <f t="shared" si="552"/>
        <v>0.4700000000000002</v>
      </c>
      <c r="BL189" s="849">
        <f t="shared" si="553"/>
        <v>0.49500000000000016</v>
      </c>
      <c r="BM189" s="848">
        <f t="shared" si="554"/>
        <v>0.4700000000000002</v>
      </c>
      <c r="BN189" s="848">
        <f t="shared" si="555"/>
        <v>0.49500000000000022</v>
      </c>
      <c r="BO189" s="130">
        <f t="shared" si="556"/>
        <v>0.49500000000000022</v>
      </c>
      <c r="BP189" s="657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224"/>
      <c r="CG189" s="297"/>
      <c r="CH189" s="14"/>
      <c r="CI189"/>
      <c r="CJ189"/>
    </row>
    <row r="190" spans="1:88" s="8" customFormat="1" ht="14.25" hidden="1" customHeight="1" outlineLevel="3">
      <c r="A190" s="672"/>
      <c r="B190" s="651" t="s">
        <v>366</v>
      </c>
      <c r="C190" s="274"/>
      <c r="D190" s="754"/>
      <c r="E190" s="754"/>
      <c r="F190" s="754"/>
      <c r="G190" s="79"/>
      <c r="H190" s="754"/>
      <c r="I190" s="754"/>
      <c r="J190" s="754"/>
      <c r="K190" s="79"/>
      <c r="L190" s="754">
        <v>0</v>
      </c>
      <c r="M190" s="754">
        <v>0.02</v>
      </c>
      <c r="N190" s="754">
        <v>0.02</v>
      </c>
      <c r="O190" s="78">
        <v>0.02</v>
      </c>
      <c r="P190" s="847">
        <v>0.02</v>
      </c>
      <c r="Q190" s="846">
        <v>0.02</v>
      </c>
      <c r="R190" s="846">
        <v>0.04</v>
      </c>
      <c r="S190" s="79">
        <v>0.06</v>
      </c>
      <c r="T190" s="845">
        <v>0.08</v>
      </c>
      <c r="U190" s="845">
        <v>0.08</v>
      </c>
      <c r="V190" s="845">
        <v>0.08</v>
      </c>
      <c r="W190" s="79">
        <v>0.08</v>
      </c>
      <c r="X190" s="845">
        <v>0.15</v>
      </c>
      <c r="Y190" s="845">
        <v>0.15</v>
      </c>
      <c r="Z190" s="845">
        <v>0.15</v>
      </c>
      <c r="AA190" s="78">
        <v>0.15</v>
      </c>
      <c r="AB190" s="847">
        <v>0.27</v>
      </c>
      <c r="AC190" s="846">
        <v>0.27</v>
      </c>
      <c r="AD190" s="846">
        <v>0.27</v>
      </c>
      <c r="AE190" s="79">
        <v>0.27</v>
      </c>
      <c r="AF190" s="846">
        <v>0.29499999999999998</v>
      </c>
      <c r="AG190" s="846">
        <v>0.27</v>
      </c>
      <c r="AH190" s="848">
        <f t="shared" si="541"/>
        <v>0.29500000000000004</v>
      </c>
      <c r="AI190" s="130">
        <f t="shared" si="541"/>
        <v>0.29500000000000004</v>
      </c>
      <c r="AJ190" s="849">
        <f t="shared" si="541"/>
        <v>0.32</v>
      </c>
      <c r="AK190" s="848">
        <f t="shared" si="541"/>
        <v>0.29500000000000004</v>
      </c>
      <c r="AL190" s="848">
        <f t="shared" si="541"/>
        <v>0.32000000000000006</v>
      </c>
      <c r="AM190" s="130">
        <f t="shared" si="541"/>
        <v>0.32000000000000006</v>
      </c>
      <c r="AN190" s="850">
        <f t="shared" si="541"/>
        <v>0.34500000000000003</v>
      </c>
      <c r="AO190" s="850">
        <f t="shared" si="541"/>
        <v>0.32000000000000006</v>
      </c>
      <c r="AP190" s="850">
        <f t="shared" si="541"/>
        <v>0.34500000000000008</v>
      </c>
      <c r="AQ190" s="130">
        <f t="shared" si="541"/>
        <v>0.34500000000000008</v>
      </c>
      <c r="AR190" s="850">
        <f t="shared" si="542"/>
        <v>0.37000000000000005</v>
      </c>
      <c r="AS190" s="850">
        <f t="shared" si="542"/>
        <v>0.34500000000000008</v>
      </c>
      <c r="AT190" s="850">
        <f t="shared" si="542"/>
        <v>0.37000000000000011</v>
      </c>
      <c r="AU190" s="130">
        <f t="shared" si="542"/>
        <v>0.37000000000000011</v>
      </c>
      <c r="AV190" s="850">
        <f t="shared" si="543"/>
        <v>0.39500000000000007</v>
      </c>
      <c r="AW190" s="850">
        <f t="shared" si="542"/>
        <v>0.37000000000000011</v>
      </c>
      <c r="AX190" s="850">
        <f t="shared" si="542"/>
        <v>0.39500000000000013</v>
      </c>
      <c r="AY190" s="130">
        <f t="shared" si="542"/>
        <v>0.39500000000000013</v>
      </c>
      <c r="AZ190" s="850">
        <f t="shared" si="544"/>
        <v>0.4200000000000001</v>
      </c>
      <c r="BA190" s="850">
        <f t="shared" si="544"/>
        <v>0.39500000000000013</v>
      </c>
      <c r="BB190" s="850">
        <f t="shared" si="544"/>
        <v>0.42000000000000015</v>
      </c>
      <c r="BC190" s="129">
        <f t="shared" si="544"/>
        <v>0.42000000000000015</v>
      </c>
      <c r="BD190" s="849">
        <f t="shared" si="545"/>
        <v>0.44500000000000012</v>
      </c>
      <c r="BE190" s="848">
        <f t="shared" si="546"/>
        <v>0.42000000000000015</v>
      </c>
      <c r="BF190" s="848">
        <f t="shared" si="547"/>
        <v>0.44500000000000017</v>
      </c>
      <c r="BG190" s="130">
        <f t="shared" si="548"/>
        <v>0.44500000000000017</v>
      </c>
      <c r="BH190" s="849">
        <f t="shared" si="549"/>
        <v>0.47000000000000014</v>
      </c>
      <c r="BI190" s="848">
        <f t="shared" si="550"/>
        <v>0.44500000000000017</v>
      </c>
      <c r="BJ190" s="848">
        <f t="shared" si="551"/>
        <v>0.4700000000000002</v>
      </c>
      <c r="BK190" s="130">
        <f t="shared" si="552"/>
        <v>0.4700000000000002</v>
      </c>
      <c r="BL190" s="849">
        <f t="shared" si="553"/>
        <v>0.49500000000000016</v>
      </c>
      <c r="BM190" s="848">
        <f t="shared" si="554"/>
        <v>0.4700000000000002</v>
      </c>
      <c r="BN190" s="848">
        <f t="shared" si="555"/>
        <v>0.49500000000000022</v>
      </c>
      <c r="BO190" s="130">
        <f t="shared" si="556"/>
        <v>0.49500000000000022</v>
      </c>
      <c r="BP190" s="657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224"/>
      <c r="CG190" s="297"/>
      <c r="CH190" s="14"/>
      <c r="CI190"/>
      <c r="CJ190"/>
    </row>
    <row r="191" spans="1:88" ht="14.25" hidden="1" customHeight="1" outlineLevel="3">
      <c r="A191" s="672"/>
      <c r="B191" s="824"/>
      <c r="C191" s="274"/>
      <c r="D191" s="754"/>
      <c r="E191" s="754"/>
      <c r="F191" s="754"/>
      <c r="G191" s="79"/>
      <c r="H191" s="754"/>
      <c r="I191" s="754"/>
      <c r="J191" s="754"/>
      <c r="K191" s="79"/>
      <c r="L191" s="754"/>
      <c r="M191" s="754"/>
      <c r="N191" s="754"/>
      <c r="O191" s="78"/>
      <c r="P191" s="658"/>
      <c r="Q191" s="318"/>
      <c r="R191" s="318"/>
      <c r="S191" s="79"/>
      <c r="W191" s="79"/>
      <c r="AA191" s="78"/>
      <c r="AB191" s="658"/>
      <c r="AC191" s="318"/>
      <c r="AD191" s="318"/>
      <c r="AE191" s="79"/>
      <c r="AF191" s="318"/>
      <c r="AG191" s="318"/>
      <c r="AH191" s="318"/>
      <c r="AI191" s="79"/>
      <c r="AJ191" s="658"/>
      <c r="AK191" s="318"/>
      <c r="AL191" s="318"/>
      <c r="AM191" s="79"/>
      <c r="AQ191" s="79"/>
      <c r="AU191" s="79"/>
      <c r="AY191" s="79"/>
      <c r="BC191" s="318"/>
      <c r="BD191" s="364"/>
      <c r="BE191" s="363"/>
      <c r="BF191" s="363"/>
      <c r="BG191" s="843"/>
      <c r="BH191" s="364"/>
      <c r="BI191" s="363"/>
      <c r="BJ191" s="363"/>
      <c r="BK191" s="843"/>
      <c r="BL191" s="364"/>
      <c r="BM191" s="363"/>
      <c r="BN191" s="363"/>
      <c r="BO191" s="843"/>
      <c r="BP191" s="657"/>
      <c r="BQ191" s="8"/>
      <c r="BR191" s="8"/>
      <c r="BS191" s="8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224"/>
      <c r="CG191" s="658"/>
      <c r="CH191" s="363"/>
    </row>
    <row r="192" spans="1:88" ht="14.25" hidden="1" customHeight="1" outlineLevel="3">
      <c r="A192" s="672"/>
      <c r="B192" s="684" t="s">
        <v>367</v>
      </c>
      <c r="C192" s="274"/>
      <c r="D192" s="754"/>
      <c r="E192" s="754"/>
      <c r="F192" s="754"/>
      <c r="G192" s="79"/>
      <c r="H192" s="754"/>
      <c r="I192" s="754"/>
      <c r="J192" s="754"/>
      <c r="K192" s="79"/>
      <c r="L192" s="687">
        <f t="shared" ref="L192:AQ192" si="557">L188*(L$136-L$138)</f>
        <v>0</v>
      </c>
      <c r="M192" s="687">
        <f t="shared" si="557"/>
        <v>4.7590085000000002</v>
      </c>
      <c r="N192" s="687">
        <f t="shared" si="557"/>
        <v>5.1534734200000001</v>
      </c>
      <c r="O192" s="687">
        <f t="shared" si="557"/>
        <v>5.8465314599999987</v>
      </c>
      <c r="P192" s="688">
        <f t="shared" si="557"/>
        <v>5.1417506130206414</v>
      </c>
      <c r="Q192" s="687">
        <f t="shared" si="557"/>
        <v>5.3100554146957073</v>
      </c>
      <c r="R192" s="687">
        <f t="shared" si="557"/>
        <v>10.548961569835225</v>
      </c>
      <c r="S192" s="689">
        <f t="shared" si="557"/>
        <v>15.192638673476248</v>
      </c>
      <c r="T192" s="687">
        <f t="shared" si="557"/>
        <v>17.12970726367109</v>
      </c>
      <c r="U192" s="687">
        <f t="shared" si="557"/>
        <v>19.142279845598956</v>
      </c>
      <c r="V192" s="687">
        <f t="shared" si="557"/>
        <v>20.662442800000001</v>
      </c>
      <c r="W192" s="689">
        <f t="shared" si="557"/>
        <v>22.939559462982853</v>
      </c>
      <c r="X192" s="687">
        <f t="shared" si="557"/>
        <v>38.327598899999998</v>
      </c>
      <c r="Y192" s="687">
        <f t="shared" si="557"/>
        <v>39.639010199999994</v>
      </c>
      <c r="Z192" s="687">
        <f t="shared" si="557"/>
        <v>39.9237246</v>
      </c>
      <c r="AA192" s="687">
        <f t="shared" si="557"/>
        <v>45.084625049999993</v>
      </c>
      <c r="AB192" s="688">
        <f t="shared" si="557"/>
        <v>70.512171030000019</v>
      </c>
      <c r="AC192" s="687">
        <f t="shared" si="557"/>
        <v>68.188342050000017</v>
      </c>
      <c r="AD192" s="687">
        <f t="shared" si="557"/>
        <v>70.732030809324499</v>
      </c>
      <c r="AE192" s="689">
        <f t="shared" si="557"/>
        <v>72.80703306540002</v>
      </c>
      <c r="AF192" s="687">
        <f t="shared" si="557"/>
        <v>72.251509981049097</v>
      </c>
      <c r="AG192" s="687">
        <f t="shared" si="557"/>
        <v>65.718253212848651</v>
      </c>
      <c r="AH192" s="687">
        <f t="shared" si="557"/>
        <v>69.188738128318235</v>
      </c>
      <c r="AI192" s="689">
        <f t="shared" si="557"/>
        <v>77.795966179763326</v>
      </c>
      <c r="AJ192" s="688">
        <f t="shared" si="557"/>
        <v>77.362911270172305</v>
      </c>
      <c r="AK192" s="687">
        <f t="shared" si="557"/>
        <v>69.239445601314856</v>
      </c>
      <c r="AL192" s="687">
        <f t="shared" si="557"/>
        <v>74.336240100398655</v>
      </c>
      <c r="AM192" s="689">
        <f t="shared" si="557"/>
        <v>84.144174578260476</v>
      </c>
      <c r="AN192" s="687">
        <f t="shared" si="557"/>
        <v>81.324264341101966</v>
      </c>
      <c r="AO192" s="687">
        <f t="shared" si="557"/>
        <v>71.367399650338683</v>
      </c>
      <c r="AP192" s="687">
        <f t="shared" si="557"/>
        <v>75.800459947571582</v>
      </c>
      <c r="AQ192" s="689">
        <f t="shared" si="557"/>
        <v>78.731655962979858</v>
      </c>
      <c r="AR192" s="687">
        <f t="shared" ref="AR192:AV192" si="558">AR188*(AR$136-AR$138)</f>
        <v>75.909494536608619</v>
      </c>
      <c r="AS192" s="687">
        <f t="shared" si="558"/>
        <v>64.904399204181885</v>
      </c>
      <c r="AT192" s="687">
        <f t="shared" si="558"/>
        <v>65.719376980299828</v>
      </c>
      <c r="AU192" s="689">
        <f t="shared" si="558"/>
        <v>66.159104203037288</v>
      </c>
      <c r="AV192" s="687">
        <f t="shared" si="558"/>
        <v>63.85004914746353</v>
      </c>
      <c r="AW192" s="687">
        <f>AW188*(AW$136-AW$138)</f>
        <v>51.459217291538593</v>
      </c>
      <c r="AX192" s="687">
        <f>AX188*(AX$136-AX$138)</f>
        <v>47.057117711297138</v>
      </c>
      <c r="AY192" s="689">
        <f t="shared" ref="AY192" si="559">AY188*(AY$136-AY$138)</f>
        <v>43.67667349685577</v>
      </c>
      <c r="AZ192" s="687">
        <f t="shared" ref="AZ192:BG192" si="560">AZ188*(AZ$136-AZ$138)</f>
        <v>42.622450003857182</v>
      </c>
      <c r="BA192" s="687">
        <f t="shared" si="560"/>
        <v>28.383316519457608</v>
      </c>
      <c r="BB192" s="687">
        <f t="shared" si="560"/>
        <v>16.639137512512768</v>
      </c>
      <c r="BC192" s="687">
        <f t="shared" si="560"/>
        <v>7.6436958646059248</v>
      </c>
      <c r="BD192" s="688">
        <f t="shared" si="560"/>
        <v>8.8905508218495779</v>
      </c>
      <c r="BE192" s="687">
        <f t="shared" si="560"/>
        <v>-7.8278993841863267</v>
      </c>
      <c r="BF192" s="687">
        <f t="shared" si="560"/>
        <v>-29.726473753136059</v>
      </c>
      <c r="BG192" s="689">
        <f t="shared" si="560"/>
        <v>-46.745705033174715</v>
      </c>
      <c r="BH192" s="688">
        <f t="shared" ref="BH192:BK192" si="561">BH188*(BH$136-BH$138)</f>
        <v>-41.743760338056305</v>
      </c>
      <c r="BI192" s="687">
        <f t="shared" si="561"/>
        <v>-61.798642290269768</v>
      </c>
      <c r="BJ192" s="687">
        <f t="shared" si="561"/>
        <v>-97.560771602870503</v>
      </c>
      <c r="BK192" s="689">
        <f t="shared" si="561"/>
        <v>-125.81960457246352</v>
      </c>
      <c r="BL192" s="688">
        <f t="shared" ref="BL192:BO192" si="562">BL188*(BL$136-BL$138)</f>
        <v>-115.06467911900177</v>
      </c>
      <c r="BM192" s="687">
        <f t="shared" si="562"/>
        <v>-139.61563314434699</v>
      </c>
      <c r="BN192" s="687">
        <f t="shared" si="562"/>
        <v>-194.11929066191453</v>
      </c>
      <c r="BO192" s="689">
        <f t="shared" si="562"/>
        <v>-237.89238185856354</v>
      </c>
      <c r="BP192" s="657"/>
      <c r="BQ192" s="8"/>
      <c r="BR192" s="8"/>
      <c r="BS192" s="273">
        <f>SUM(L192:O192)</f>
        <v>15.759013379999999</v>
      </c>
      <c r="BT192" s="691">
        <f>SUM(P192:S192)</f>
        <v>36.193406271027818</v>
      </c>
      <c r="BU192" s="691">
        <f>SUM(T192:W192)</f>
        <v>79.873989372252893</v>
      </c>
      <c r="BV192" s="691">
        <f>SUM(X192:AA192)</f>
        <v>162.97495874999998</v>
      </c>
      <c r="BW192" s="691">
        <f>SUM(AB192:AE192)</f>
        <v>282.23957695472455</v>
      </c>
      <c r="BX192" s="691">
        <f>SUM(AF192:AI192)</f>
        <v>284.95446750197925</v>
      </c>
      <c r="BY192" s="691">
        <f>SUM(AJ192:AM192)</f>
        <v>305.08277155014628</v>
      </c>
      <c r="BZ192" s="691">
        <f>+SUM(AN192:AQ192)</f>
        <v>307.22377990199209</v>
      </c>
      <c r="CA192" s="691">
        <f>+SUM(AR192:AU192)</f>
        <v>272.69237492412765</v>
      </c>
      <c r="CB192" s="691">
        <f>SUM(AV192:AY192)</f>
        <v>206.04305764715502</v>
      </c>
      <c r="CC192" s="691">
        <f>SUM(AZ192:BC192)</f>
        <v>95.288599900433482</v>
      </c>
      <c r="CD192" s="691">
        <f>SUM(BD192:BG192)</f>
        <v>-75.409527348647515</v>
      </c>
      <c r="CE192" s="691">
        <f>SUM(BH192:BK192)</f>
        <v>-326.92277880366009</v>
      </c>
      <c r="CF192" s="692">
        <f>SUM(BL192:BO192)</f>
        <v>-686.6919847838268</v>
      </c>
      <c r="CG192" s="658"/>
      <c r="CH192" s="363"/>
    </row>
    <row r="193" spans="1:88" ht="14.25" hidden="1" customHeight="1" outlineLevel="3">
      <c r="A193" s="672"/>
      <c r="B193" s="684" t="s">
        <v>368</v>
      </c>
      <c r="C193" s="274"/>
      <c r="D193" s="754"/>
      <c r="E193" s="754"/>
      <c r="F193" s="754"/>
      <c r="G193" s="79"/>
      <c r="H193" s="754"/>
      <c r="I193" s="754"/>
      <c r="J193" s="754"/>
      <c r="K193" s="79"/>
      <c r="L193" s="687">
        <f t="shared" ref="L193:AQ193" si="563">L189*L$138</f>
        <v>0</v>
      </c>
      <c r="M193" s="687">
        <f t="shared" si="563"/>
        <v>0.56980443999999997</v>
      </c>
      <c r="N193" s="687">
        <f t="shared" si="563"/>
        <v>0.64342875999999993</v>
      </c>
      <c r="O193" s="687">
        <f t="shared" si="563"/>
        <v>0.77169240000000006</v>
      </c>
      <c r="P193" s="688">
        <f t="shared" si="563"/>
        <v>0.67175898000000001</v>
      </c>
      <c r="Q193" s="687">
        <f t="shared" si="563"/>
        <v>0.7324734799999999</v>
      </c>
      <c r="R193" s="687">
        <f t="shared" si="563"/>
        <v>1.6639155599999997</v>
      </c>
      <c r="S193" s="689">
        <f t="shared" si="563"/>
        <v>2.3374251599999996</v>
      </c>
      <c r="T193" s="687">
        <f t="shared" si="563"/>
        <v>2.7876172800000001</v>
      </c>
      <c r="U193" s="687">
        <f t="shared" si="563"/>
        <v>3.3550364744010461</v>
      </c>
      <c r="V193" s="687">
        <f t="shared" si="563"/>
        <v>3.4254836000000002</v>
      </c>
      <c r="W193" s="689">
        <f t="shared" si="563"/>
        <v>4.3045834170171462</v>
      </c>
      <c r="X193" s="687">
        <f t="shared" si="563"/>
        <v>8.3118988499999986</v>
      </c>
      <c r="Y193" s="687">
        <f t="shared" si="563"/>
        <v>9.6620182499999991</v>
      </c>
      <c r="Z193" s="687">
        <f t="shared" si="563"/>
        <v>12.423245700000001</v>
      </c>
      <c r="AA193" s="687">
        <f t="shared" si="563"/>
        <v>15.3073812</v>
      </c>
      <c r="AB193" s="688">
        <f t="shared" si="563"/>
        <v>27.455044770000001</v>
      </c>
      <c r="AC193" s="687">
        <f t="shared" si="563"/>
        <v>29.22865938</v>
      </c>
      <c r="AD193" s="687">
        <f t="shared" si="563"/>
        <v>33.362881830000013</v>
      </c>
      <c r="AE193" s="689">
        <f t="shared" si="563"/>
        <v>42.613565885999996</v>
      </c>
      <c r="AF193" s="687">
        <f t="shared" si="563"/>
        <v>39.587569438684355</v>
      </c>
      <c r="AG193" s="687">
        <f t="shared" si="563"/>
        <v>39.529902736173163</v>
      </c>
      <c r="AH193" s="687">
        <f t="shared" si="563"/>
        <v>49.641437853382797</v>
      </c>
      <c r="AI193" s="689">
        <f t="shared" si="563"/>
        <v>55.452398352102591</v>
      </c>
      <c r="AJ193" s="688">
        <f t="shared" si="563"/>
        <v>52.66708155080223</v>
      </c>
      <c r="AK193" s="687">
        <f t="shared" si="563"/>
        <v>52.800772525778562</v>
      </c>
      <c r="AL193" s="687">
        <f t="shared" si="563"/>
        <v>63.150832398457091</v>
      </c>
      <c r="AM193" s="689">
        <f t="shared" si="563"/>
        <v>72.192268010284423</v>
      </c>
      <c r="AN193" s="687">
        <f t="shared" si="563"/>
        <v>68.833333293052931</v>
      </c>
      <c r="AO193" s="687">
        <f t="shared" si="563"/>
        <v>69.334760269129319</v>
      </c>
      <c r="AP193" s="687">
        <f t="shared" si="563"/>
        <v>86.063146267655057</v>
      </c>
      <c r="AQ193" s="689">
        <f t="shared" si="563"/>
        <v>98.536168920515308</v>
      </c>
      <c r="AR193" s="687">
        <f t="shared" ref="AR193:AV193" si="564">AR189*AR$138</f>
        <v>93.458175892744919</v>
      </c>
      <c r="AS193" s="687">
        <f t="shared" si="564"/>
        <v>94.635919306054817</v>
      </c>
      <c r="AT193" s="687">
        <f t="shared" si="564"/>
        <v>116.85188377441713</v>
      </c>
      <c r="AU193" s="689">
        <f t="shared" si="564"/>
        <v>133.78707911127955</v>
      </c>
      <c r="AV193" s="687">
        <f t="shared" si="564"/>
        <v>126.3131431181241</v>
      </c>
      <c r="AW193" s="687">
        <f>AW189*AW$138</f>
        <v>128.49153119785825</v>
      </c>
      <c r="AX193" s="687">
        <f>AX189*AX$138</f>
        <v>157.93084529874884</v>
      </c>
      <c r="AY193" s="689">
        <f t="shared" ref="AY193" si="565">AY189*AY$138</f>
        <v>180.81956243756204</v>
      </c>
      <c r="AZ193" s="687">
        <f t="shared" ref="AZ193:BG193" si="566">AZ189*AZ$138</f>
        <v>170.03432710620029</v>
      </c>
      <c r="BA193" s="687">
        <f t="shared" si="566"/>
        <v>173.66237907626351</v>
      </c>
      <c r="BB193" s="687">
        <f t="shared" si="566"/>
        <v>212.59596861249403</v>
      </c>
      <c r="BC193" s="687">
        <f t="shared" si="566"/>
        <v>243.40723275293826</v>
      </c>
      <c r="BD193" s="688">
        <f t="shared" si="566"/>
        <v>228.07789595202607</v>
      </c>
      <c r="BE193" s="687">
        <f t="shared" si="566"/>
        <v>233.772709956874</v>
      </c>
      <c r="BF193" s="687">
        <f t="shared" si="566"/>
        <v>285.16854234225087</v>
      </c>
      <c r="BG193" s="689">
        <f t="shared" si="566"/>
        <v>326.49765756488154</v>
      </c>
      <c r="BH193" s="688">
        <f t="shared" ref="BH193:BK193" si="567">BH189*BH$138</f>
        <v>304.96985628320141</v>
      </c>
      <c r="BI193" s="687">
        <f t="shared" si="567"/>
        <v>313.57425718317091</v>
      </c>
      <c r="BJ193" s="687">
        <f t="shared" si="567"/>
        <v>381.30748712667491</v>
      </c>
      <c r="BK193" s="689">
        <f t="shared" si="567"/>
        <v>436.56989770419409</v>
      </c>
      <c r="BL193" s="688">
        <f t="shared" ref="BL193:BO193" si="568">BL189*BL$138</f>
        <v>406.63066462856148</v>
      </c>
      <c r="BM193" s="687">
        <f t="shared" si="568"/>
        <v>419.28962799349171</v>
      </c>
      <c r="BN193" s="687">
        <f t="shared" si="568"/>
        <v>508.41522112330529</v>
      </c>
      <c r="BO193" s="689">
        <f t="shared" si="568"/>
        <v>582.09919440506349</v>
      </c>
      <c r="BP193" s="657"/>
      <c r="BQ193" s="8"/>
      <c r="BR193" s="8"/>
      <c r="BS193" s="273">
        <f>SUM(L193:O193)</f>
        <v>1.9849256</v>
      </c>
      <c r="BT193" s="691">
        <f>SUM(P193:S193)</f>
        <v>5.4055731799999993</v>
      </c>
      <c r="BU193" s="691">
        <f>SUM(T193:W193)</f>
        <v>13.872720771418191</v>
      </c>
      <c r="BV193" s="691">
        <f>SUM(X193:AA193)</f>
        <v>45.704543999999999</v>
      </c>
      <c r="BW193" s="691">
        <f>SUM(AB193:AE193)</f>
        <v>132.66015186600001</v>
      </c>
      <c r="BX193" s="691">
        <f>SUM(AF193:AI193)</f>
        <v>184.2113083803429</v>
      </c>
      <c r="BY193" s="691">
        <f>SUM(AJ193:AM193)</f>
        <v>240.81095448532233</v>
      </c>
      <c r="BZ193" s="691">
        <f>+SUM(AN193:AQ193)</f>
        <v>322.76740875035262</v>
      </c>
      <c r="CA193" s="691">
        <f>+SUM(AR193:AU193)</f>
        <v>438.73305808449641</v>
      </c>
      <c r="CB193" s="691">
        <f>SUM(AV193:AY193)</f>
        <v>593.55508205229319</v>
      </c>
      <c r="CC193" s="691">
        <f>SUM(AZ193:BC193)</f>
        <v>799.69990754789615</v>
      </c>
      <c r="CD193" s="691">
        <f>SUM(BD193:BG193)</f>
        <v>1073.5168058160325</v>
      </c>
      <c r="CE193" s="691">
        <f t="shared" ref="CE193:CE194" si="569">SUM(BH193:BK193)</f>
        <v>1436.4214982972412</v>
      </c>
      <c r="CF193" s="692">
        <f>SUM(BL193:BO193)</f>
        <v>1916.434708150422</v>
      </c>
      <c r="CG193" s="658"/>
      <c r="CH193" s="363"/>
    </row>
    <row r="194" spans="1:88" ht="14.25" hidden="1" customHeight="1" outlineLevel="3">
      <c r="A194" s="672"/>
      <c r="B194" s="684" t="s">
        <v>369</v>
      </c>
      <c r="C194" s="274"/>
      <c r="D194" s="754"/>
      <c r="E194" s="754"/>
      <c r="F194" s="754"/>
      <c r="G194" s="79"/>
      <c r="H194" s="754"/>
      <c r="I194" s="754"/>
      <c r="J194" s="754"/>
      <c r="K194" s="79"/>
      <c r="L194" s="687">
        <f t="shared" ref="L194:AQ194" si="570">L190*L$140</f>
        <v>0</v>
      </c>
      <c r="M194" s="687">
        <f t="shared" si="570"/>
        <v>0</v>
      </c>
      <c r="N194" s="687">
        <f t="shared" si="570"/>
        <v>0</v>
      </c>
      <c r="O194" s="687">
        <f t="shared" si="570"/>
        <v>0</v>
      </c>
      <c r="P194" s="688">
        <f t="shared" si="570"/>
        <v>0</v>
      </c>
      <c r="Q194" s="687">
        <f t="shared" si="570"/>
        <v>0</v>
      </c>
      <c r="R194" s="687">
        <f t="shared" si="570"/>
        <v>0</v>
      </c>
      <c r="S194" s="689">
        <f t="shared" si="570"/>
        <v>0</v>
      </c>
      <c r="T194" s="687">
        <f t="shared" si="570"/>
        <v>0</v>
      </c>
      <c r="U194" s="687">
        <f t="shared" si="570"/>
        <v>0</v>
      </c>
      <c r="V194" s="687">
        <f t="shared" si="570"/>
        <v>0</v>
      </c>
      <c r="W194" s="689">
        <f t="shared" si="570"/>
        <v>0</v>
      </c>
      <c r="X194" s="687">
        <f t="shared" si="570"/>
        <v>1.9484999999999999E-4</v>
      </c>
      <c r="Y194" s="687">
        <f t="shared" si="570"/>
        <v>0.51087614999999975</v>
      </c>
      <c r="Z194" s="687">
        <f t="shared" si="570"/>
        <v>0.74456999999999995</v>
      </c>
      <c r="AA194" s="687">
        <f t="shared" si="570"/>
        <v>1.6703974500000012</v>
      </c>
      <c r="AB194" s="688">
        <f t="shared" si="570"/>
        <v>2.20193181</v>
      </c>
      <c r="AC194" s="687">
        <f t="shared" si="570"/>
        <v>3.9427527600000021</v>
      </c>
      <c r="AD194" s="687">
        <f t="shared" si="570"/>
        <v>4.8855835799999978</v>
      </c>
      <c r="AE194" s="689">
        <f t="shared" si="570"/>
        <v>5.7300934680000033</v>
      </c>
      <c r="AF194" s="687">
        <f t="shared" si="570"/>
        <v>6.4791463600000005</v>
      </c>
      <c r="AG194" s="687">
        <f t="shared" si="570"/>
        <v>5.8705571070000042</v>
      </c>
      <c r="AH194" s="687">
        <f t="shared" si="570"/>
        <v>7.3657119249999967</v>
      </c>
      <c r="AI194" s="689">
        <f t="shared" si="570"/>
        <v>7.8101433519500052</v>
      </c>
      <c r="AJ194" s="688">
        <f t="shared" si="570"/>
        <v>8.8821650336000015</v>
      </c>
      <c r="AK194" s="687">
        <f t="shared" si="570"/>
        <v>7.9971762341000066</v>
      </c>
      <c r="AL194" s="687">
        <f t="shared" si="570"/>
        <v>9.4386964799999973</v>
      </c>
      <c r="AM194" s="689">
        <f t="shared" si="570"/>
        <v>9.554676430560006</v>
      </c>
      <c r="AN194" s="687">
        <f t="shared" si="570"/>
        <v>10.565187552929022</v>
      </c>
      <c r="AO194" s="687">
        <f t="shared" si="570"/>
        <v>10.245617814672926</v>
      </c>
      <c r="AP194" s="687">
        <f t="shared" si="570"/>
        <v>10.926698636195935</v>
      </c>
      <c r="AQ194" s="689">
        <f t="shared" si="570"/>
        <v>11.707836872607734</v>
      </c>
      <c r="AR194" s="687">
        <f t="shared" ref="AR194:AV194" si="571">AR190*AR$140</f>
        <v>12.878088394480022</v>
      </c>
      <c r="AS194" s="687">
        <f t="shared" si="571"/>
        <v>12.554482917873521</v>
      </c>
      <c r="AT194" s="687">
        <f t="shared" si="571"/>
        <v>13.318740456979835</v>
      </c>
      <c r="AU194" s="689">
        <f t="shared" si="571"/>
        <v>14.270883256757255</v>
      </c>
      <c r="AV194" s="687">
        <f t="shared" si="571"/>
        <v>15.625658732665146</v>
      </c>
      <c r="AW194" s="687">
        <f>AW190*AW$140</f>
        <v>15.302874648783893</v>
      </c>
      <c r="AX194" s="687">
        <f>AX190*AX$140</f>
        <v>16.160324945347654</v>
      </c>
      <c r="AY194" s="689">
        <f t="shared" ref="AY194" si="572">AY190*AY$140</f>
        <v>17.315609642761547</v>
      </c>
      <c r="AZ194" s="687">
        <f t="shared" ref="AZ194:BG194" si="573">AZ190*AZ$140</f>
        <v>18.883482558946138</v>
      </c>
      <c r="BA194" s="687">
        <f t="shared" si="573"/>
        <v>18.567778816702631</v>
      </c>
      <c r="BB194" s="687">
        <f t="shared" si="573"/>
        <v>19.529622364939829</v>
      </c>
      <c r="BC194" s="687">
        <f t="shared" si="573"/>
        <v>20.925774604501235</v>
      </c>
      <c r="BD194" s="688">
        <f t="shared" si="573"/>
        <v>22.739681303922698</v>
      </c>
      <c r="BE194" s="687">
        <f t="shared" si="573"/>
        <v>22.439010952581484</v>
      </c>
      <c r="BF194" s="687">
        <f t="shared" si="573"/>
        <v>23.51776941453522</v>
      </c>
      <c r="BG194" s="689">
        <f t="shared" si="573"/>
        <v>25.199030107857041</v>
      </c>
      <c r="BH194" s="688">
        <f t="shared" ref="BH194:BK194" si="574">BH190*BH$140</f>
        <v>27.296928515202442</v>
      </c>
      <c r="BI194" s="687">
        <f t="shared" si="574"/>
        <v>27.021284672683301</v>
      </c>
      <c r="BJ194" s="687">
        <f t="shared" si="574"/>
        <v>28.230952842546689</v>
      </c>
      <c r="BK194" s="689">
        <f t="shared" si="574"/>
        <v>30.249154080622471</v>
      </c>
      <c r="BL194" s="688">
        <f t="shared" ref="BL194:BO194" si="575">BL190*BL$140</f>
        <v>32.674780976705868</v>
      </c>
      <c r="BM194" s="687">
        <f t="shared" si="575"/>
        <v>32.436605695609842</v>
      </c>
      <c r="BN194" s="687">
        <f t="shared" si="575"/>
        <v>33.792820330690013</v>
      </c>
      <c r="BO194" s="689">
        <f t="shared" si="575"/>
        <v>36.208633647720042</v>
      </c>
      <c r="BP194" s="657"/>
      <c r="BQ194" s="8"/>
      <c r="BR194" s="8"/>
      <c r="BS194" s="273">
        <f>SUM(L194:O194)</f>
        <v>0</v>
      </c>
      <c r="BT194" s="691">
        <f>SUM(P194:S194)</f>
        <v>0</v>
      </c>
      <c r="BU194" s="691">
        <f>SUM(T194:W194)</f>
        <v>0</v>
      </c>
      <c r="BV194" s="691">
        <f>SUM(X194:AA194)</f>
        <v>2.926038450000001</v>
      </c>
      <c r="BW194" s="691">
        <f>SUM(AB194:AE194)</f>
        <v>16.760361618000005</v>
      </c>
      <c r="BX194" s="691">
        <f>SUM(AF194:AI194)</f>
        <v>27.525558743950008</v>
      </c>
      <c r="BY194" s="691">
        <f>SUM(AJ194:AM194)</f>
        <v>35.872714178260011</v>
      </c>
      <c r="BZ194" s="691">
        <f>+SUM(AN194:AQ194)</f>
        <v>43.445340876405616</v>
      </c>
      <c r="CA194" s="691">
        <f>+SUM(AR194:AU194)</f>
        <v>53.022195026090643</v>
      </c>
      <c r="CB194" s="691">
        <f>SUM(AV194:AY194)</f>
        <v>64.40446796955824</v>
      </c>
      <c r="CC194" s="691">
        <f>SUM(AZ194:BC194)</f>
        <v>77.906658345089824</v>
      </c>
      <c r="CD194" s="691">
        <f>SUM(BD194:BG194)</f>
        <v>93.895491778896442</v>
      </c>
      <c r="CE194" s="691">
        <f t="shared" si="569"/>
        <v>112.79832011105491</v>
      </c>
      <c r="CF194" s="692">
        <f>SUM(BL194:BO194)</f>
        <v>135.11284065072576</v>
      </c>
      <c r="CG194" s="658"/>
      <c r="CH194" s="363"/>
    </row>
    <row r="195" spans="1:88" ht="14.25" hidden="1" customHeight="1" outlineLevel="3">
      <c r="A195" s="672"/>
      <c r="B195" s="684"/>
      <c r="C195" s="274"/>
      <c r="D195" s="754"/>
      <c r="E195" s="754"/>
      <c r="F195" s="754"/>
      <c r="G195" s="79"/>
      <c r="H195" s="754"/>
      <c r="I195" s="754"/>
      <c r="J195" s="754"/>
      <c r="K195" s="79"/>
      <c r="L195" s="687"/>
      <c r="M195" s="687"/>
      <c r="N195" s="687"/>
      <c r="O195" s="687"/>
      <c r="P195" s="688"/>
      <c r="Q195" s="687"/>
      <c r="R195" s="687"/>
      <c r="S195" s="689"/>
      <c r="T195" s="687"/>
      <c r="U195" s="687"/>
      <c r="V195" s="687"/>
      <c r="W195" s="689"/>
      <c r="X195" s="687"/>
      <c r="Y195" s="687"/>
      <c r="Z195" s="687"/>
      <c r="AA195" s="687"/>
      <c r="AB195" s="688"/>
      <c r="AC195" s="687"/>
      <c r="AD195" s="687"/>
      <c r="AE195" s="689"/>
      <c r="AF195" s="687"/>
      <c r="AG195" s="687"/>
      <c r="AH195" s="687"/>
      <c r="AI195" s="689"/>
      <c r="AJ195" s="688"/>
      <c r="AK195" s="687"/>
      <c r="AL195" s="687"/>
      <c r="AM195" s="689"/>
      <c r="AN195" s="687"/>
      <c r="AO195" s="687"/>
      <c r="AP195" s="687"/>
      <c r="AQ195" s="689"/>
      <c r="AR195" s="687"/>
      <c r="AS195" s="687"/>
      <c r="AT195" s="687"/>
      <c r="AU195" s="689"/>
      <c r="AV195" s="687"/>
      <c r="AW195" s="687"/>
      <c r="AX195" s="687"/>
      <c r="AY195" s="689"/>
      <c r="AZ195" s="687"/>
      <c r="BA195" s="687"/>
      <c r="BB195" s="687"/>
      <c r="BC195" s="687"/>
      <c r="BD195" s="688"/>
      <c r="BE195" s="687"/>
      <c r="BF195" s="687"/>
      <c r="BG195" s="689"/>
      <c r="BH195" s="688"/>
      <c r="BI195" s="687"/>
      <c r="BJ195" s="687"/>
      <c r="BK195" s="689"/>
      <c r="BL195" s="688"/>
      <c r="BM195" s="687"/>
      <c r="BN195" s="687"/>
      <c r="BO195" s="689"/>
      <c r="BP195" s="657"/>
      <c r="BQ195" s="8"/>
      <c r="BR195" s="8"/>
      <c r="BS195" s="8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224"/>
      <c r="CG195" s="658"/>
      <c r="CH195" s="363"/>
    </row>
    <row r="196" spans="1:88" s="8" customFormat="1" ht="14.25" hidden="1" customHeight="1" outlineLevel="3">
      <c r="A196" s="672"/>
      <c r="B196" s="651" t="s">
        <v>387</v>
      </c>
      <c r="C196" s="274"/>
      <c r="D196" s="754"/>
      <c r="E196" s="754"/>
      <c r="F196" s="754"/>
      <c r="G196" s="79"/>
      <c r="H196" s="754"/>
      <c r="I196" s="754"/>
      <c r="J196" s="754"/>
      <c r="K196" s="79"/>
      <c r="L196" s="754">
        <v>0</v>
      </c>
      <c r="M196" s="754">
        <v>0.22222222222222221</v>
      </c>
      <c r="N196" s="754">
        <v>0.31746031746031744</v>
      </c>
      <c r="O196" s="78">
        <v>0.32894736842105265</v>
      </c>
      <c r="P196" s="847">
        <v>0.25423728813559321</v>
      </c>
      <c r="Q196" s="846">
        <v>0.23809523809523808</v>
      </c>
      <c r="R196" s="846">
        <v>0.21739130434782608</v>
      </c>
      <c r="S196" s="79">
        <v>0.22641509433962265</v>
      </c>
      <c r="T196" s="845">
        <v>0.34615384615384615</v>
      </c>
      <c r="U196" s="845">
        <v>0.30434782608695654</v>
      </c>
      <c r="V196" s="845">
        <v>0.3</v>
      </c>
      <c r="W196" s="79">
        <v>0.29411764705882354</v>
      </c>
      <c r="X196" s="845">
        <v>0.28915662650602408</v>
      </c>
      <c r="Y196" s="845">
        <v>0.24742268041237114</v>
      </c>
      <c r="Z196" s="845">
        <v>0.19565217391304349</v>
      </c>
      <c r="AA196" s="78">
        <v>0.20149253731343283</v>
      </c>
      <c r="AB196" s="847">
        <v>0.2</v>
      </c>
      <c r="AC196" s="846">
        <v>0.2</v>
      </c>
      <c r="AD196" s="846">
        <v>0.2</v>
      </c>
      <c r="AE196" s="79">
        <v>0.2</v>
      </c>
      <c r="AF196" s="846">
        <v>0.2</v>
      </c>
      <c r="AG196" s="846">
        <v>0.2</v>
      </c>
      <c r="AH196" s="848">
        <v>0.2</v>
      </c>
      <c r="AI196" s="130">
        <v>0.2</v>
      </c>
      <c r="AJ196" s="849">
        <v>0.2</v>
      </c>
      <c r="AK196" s="848">
        <v>0.2</v>
      </c>
      <c r="AL196" s="848">
        <v>0.2</v>
      </c>
      <c r="AM196" s="130">
        <v>0.2</v>
      </c>
      <c r="AN196" s="850">
        <v>0.2</v>
      </c>
      <c r="AO196" s="850">
        <v>0.2</v>
      </c>
      <c r="AP196" s="850">
        <v>0.2</v>
      </c>
      <c r="AQ196" s="130">
        <v>0.2</v>
      </c>
      <c r="AR196" s="850">
        <v>0.2</v>
      </c>
      <c r="AS196" s="850">
        <v>0.2</v>
      </c>
      <c r="AT196" s="850">
        <v>0.2</v>
      </c>
      <c r="AU196" s="130">
        <v>0.2</v>
      </c>
      <c r="AV196" s="850">
        <v>0.2</v>
      </c>
      <c r="AW196" s="850">
        <v>0.2</v>
      </c>
      <c r="AX196" s="850">
        <v>0.2</v>
      </c>
      <c r="AY196" s="130">
        <v>0.2</v>
      </c>
      <c r="AZ196" s="850">
        <v>0.2</v>
      </c>
      <c r="BA196" s="850">
        <v>0.2</v>
      </c>
      <c r="BB196" s="850">
        <v>0.2</v>
      </c>
      <c r="BC196" s="129">
        <v>0.2</v>
      </c>
      <c r="BD196" s="849">
        <v>0.2</v>
      </c>
      <c r="BE196" s="848">
        <v>0.2</v>
      </c>
      <c r="BF196" s="848">
        <v>0.2</v>
      </c>
      <c r="BG196" s="130">
        <v>0.2</v>
      </c>
      <c r="BH196" s="849">
        <v>0.2</v>
      </c>
      <c r="BI196" s="848">
        <v>0.2</v>
      </c>
      <c r="BJ196" s="848">
        <v>0.2</v>
      </c>
      <c r="BK196" s="130">
        <v>0.2</v>
      </c>
      <c r="BL196" s="849">
        <v>0.2</v>
      </c>
      <c r="BM196" s="848">
        <v>0.2</v>
      </c>
      <c r="BN196" s="848">
        <v>0.2</v>
      </c>
      <c r="BO196" s="130">
        <v>0.2</v>
      </c>
      <c r="BP196" s="657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224"/>
      <c r="CG196" s="297"/>
      <c r="CH196" s="14"/>
      <c r="CI196"/>
      <c r="CJ196"/>
    </row>
    <row r="197" spans="1:88" s="8" customFormat="1" ht="14.25" hidden="1" customHeight="1" outlineLevel="3">
      <c r="A197" s="672"/>
      <c r="B197" s="651" t="s">
        <v>388</v>
      </c>
      <c r="C197" s="274"/>
      <c r="D197" s="754"/>
      <c r="E197" s="754"/>
      <c r="F197" s="754"/>
      <c r="G197" s="79"/>
      <c r="H197" s="754"/>
      <c r="I197" s="754"/>
      <c r="J197" s="754"/>
      <c r="K197" s="79"/>
      <c r="L197" s="754">
        <v>0</v>
      </c>
      <c r="M197" s="754">
        <v>0.22222222222222221</v>
      </c>
      <c r="N197" s="754">
        <v>0.31746031746031744</v>
      </c>
      <c r="O197" s="78">
        <v>0.32894736842105265</v>
      </c>
      <c r="P197" s="847">
        <v>0.25423728813559321</v>
      </c>
      <c r="Q197" s="846">
        <v>0.23809523809523808</v>
      </c>
      <c r="R197" s="846">
        <v>0.21739130434782608</v>
      </c>
      <c r="S197" s="79">
        <v>0.22641509433962265</v>
      </c>
      <c r="T197" s="845">
        <v>0.34615384615384615</v>
      </c>
      <c r="U197" s="845">
        <v>0.30434782608695654</v>
      </c>
      <c r="V197" s="845">
        <v>0.3</v>
      </c>
      <c r="W197" s="79">
        <v>0.29411764705882354</v>
      </c>
      <c r="X197" s="845">
        <v>0.28915662650602408</v>
      </c>
      <c r="Y197" s="845">
        <v>0.24742268041237114</v>
      </c>
      <c r="Z197" s="845">
        <v>0.19565217391304349</v>
      </c>
      <c r="AA197" s="78">
        <v>0.20149253731343283</v>
      </c>
      <c r="AB197" s="847">
        <v>0.2</v>
      </c>
      <c r="AC197" s="846">
        <v>0.2</v>
      </c>
      <c r="AD197" s="846">
        <v>0.2</v>
      </c>
      <c r="AE197" s="79">
        <v>0.2</v>
      </c>
      <c r="AF197" s="846">
        <v>0.2</v>
      </c>
      <c r="AG197" s="846">
        <v>0.2</v>
      </c>
      <c r="AH197" s="848">
        <v>0.2</v>
      </c>
      <c r="AI197" s="130">
        <v>0.2</v>
      </c>
      <c r="AJ197" s="849">
        <v>0.2</v>
      </c>
      <c r="AK197" s="848">
        <v>0.2</v>
      </c>
      <c r="AL197" s="848">
        <v>0.2</v>
      </c>
      <c r="AM197" s="130">
        <v>0.2</v>
      </c>
      <c r="AN197" s="850">
        <v>0.2</v>
      </c>
      <c r="AO197" s="850">
        <v>0.2</v>
      </c>
      <c r="AP197" s="850">
        <v>0.2</v>
      </c>
      <c r="AQ197" s="130">
        <v>0.2</v>
      </c>
      <c r="AR197" s="850">
        <v>0.2</v>
      </c>
      <c r="AS197" s="850">
        <v>0.2</v>
      </c>
      <c r="AT197" s="850">
        <v>0.2</v>
      </c>
      <c r="AU197" s="130">
        <v>0.2</v>
      </c>
      <c r="AV197" s="850">
        <v>0.2</v>
      </c>
      <c r="AW197" s="850">
        <v>0.2</v>
      </c>
      <c r="AX197" s="850">
        <v>0.2</v>
      </c>
      <c r="AY197" s="130">
        <v>0.2</v>
      </c>
      <c r="AZ197" s="850">
        <v>0.2</v>
      </c>
      <c r="BA197" s="850">
        <v>0.2</v>
      </c>
      <c r="BB197" s="850">
        <v>0.2</v>
      </c>
      <c r="BC197" s="129">
        <v>0.2</v>
      </c>
      <c r="BD197" s="849">
        <v>0.2</v>
      </c>
      <c r="BE197" s="848">
        <v>0.2</v>
      </c>
      <c r="BF197" s="848">
        <v>0.2</v>
      </c>
      <c r="BG197" s="130">
        <v>0.2</v>
      </c>
      <c r="BH197" s="849">
        <v>0.2</v>
      </c>
      <c r="BI197" s="848">
        <v>0.2</v>
      </c>
      <c r="BJ197" s="848">
        <v>0.2</v>
      </c>
      <c r="BK197" s="130">
        <v>0.2</v>
      </c>
      <c r="BL197" s="849">
        <v>0.2</v>
      </c>
      <c r="BM197" s="848">
        <v>0.2</v>
      </c>
      <c r="BN197" s="848">
        <v>0.2</v>
      </c>
      <c r="BO197" s="130">
        <v>0.2</v>
      </c>
      <c r="BP197" s="657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224"/>
      <c r="CG197" s="297"/>
      <c r="CH197" s="14"/>
      <c r="CI197"/>
      <c r="CJ197"/>
    </row>
    <row r="198" spans="1:88" s="8" customFormat="1" ht="14.25" hidden="1" customHeight="1" outlineLevel="3">
      <c r="A198" s="672"/>
      <c r="B198" s="651" t="s">
        <v>389</v>
      </c>
      <c r="C198" s="274"/>
      <c r="D198" s="754"/>
      <c r="E198" s="754"/>
      <c r="F198" s="754"/>
      <c r="G198" s="79"/>
      <c r="H198" s="754"/>
      <c r="I198" s="754"/>
      <c r="J198" s="754"/>
      <c r="K198" s="79"/>
      <c r="L198" s="754">
        <v>0</v>
      </c>
      <c r="M198" s="754">
        <v>0.22222222222222221</v>
      </c>
      <c r="N198" s="754">
        <v>0.31746031746031744</v>
      </c>
      <c r="O198" s="78">
        <v>0.32894736842105265</v>
      </c>
      <c r="P198" s="847">
        <v>0.25423728813559321</v>
      </c>
      <c r="Q198" s="846">
        <v>0.23809523809523808</v>
      </c>
      <c r="R198" s="846">
        <v>0.21739130434782608</v>
      </c>
      <c r="S198" s="79">
        <v>0.22641509433962265</v>
      </c>
      <c r="T198" s="845">
        <v>0.34615384615384615</v>
      </c>
      <c r="U198" s="845">
        <v>0.30434782608695654</v>
      </c>
      <c r="V198" s="845">
        <v>0.3</v>
      </c>
      <c r="W198" s="79">
        <v>0.29411764705882354</v>
      </c>
      <c r="X198" s="845">
        <v>0.28915662650602408</v>
      </c>
      <c r="Y198" s="845">
        <v>0.24742268041237114</v>
      </c>
      <c r="Z198" s="845">
        <v>0.19565217391304349</v>
      </c>
      <c r="AA198" s="78">
        <v>0.20149253731343283</v>
      </c>
      <c r="AB198" s="847">
        <v>0.2</v>
      </c>
      <c r="AC198" s="846">
        <v>0.2</v>
      </c>
      <c r="AD198" s="846">
        <v>0.2</v>
      </c>
      <c r="AE198" s="79">
        <v>0.2</v>
      </c>
      <c r="AF198" s="846">
        <v>0.2</v>
      </c>
      <c r="AG198" s="846">
        <v>0.2</v>
      </c>
      <c r="AH198" s="848">
        <v>0.2</v>
      </c>
      <c r="AI198" s="130">
        <v>0.2</v>
      </c>
      <c r="AJ198" s="849">
        <v>0.2</v>
      </c>
      <c r="AK198" s="848">
        <v>0.2</v>
      </c>
      <c r="AL198" s="848">
        <v>0.2</v>
      </c>
      <c r="AM198" s="130">
        <v>0.2</v>
      </c>
      <c r="AN198" s="850">
        <v>0.2</v>
      </c>
      <c r="AO198" s="850">
        <v>0.2</v>
      </c>
      <c r="AP198" s="850">
        <v>0.2</v>
      </c>
      <c r="AQ198" s="130">
        <v>0.2</v>
      </c>
      <c r="AR198" s="850">
        <v>0.2</v>
      </c>
      <c r="AS198" s="850">
        <v>0.2</v>
      </c>
      <c r="AT198" s="850">
        <v>0.2</v>
      </c>
      <c r="AU198" s="130">
        <v>0.2</v>
      </c>
      <c r="AV198" s="850">
        <v>0.2</v>
      </c>
      <c r="AW198" s="850">
        <v>0.2</v>
      </c>
      <c r="AX198" s="850">
        <v>0.2</v>
      </c>
      <c r="AY198" s="130">
        <v>0.2</v>
      </c>
      <c r="AZ198" s="850">
        <v>0.2</v>
      </c>
      <c r="BA198" s="850">
        <v>0.2</v>
      </c>
      <c r="BB198" s="850">
        <v>0.2</v>
      </c>
      <c r="BC198" s="129">
        <v>0.2</v>
      </c>
      <c r="BD198" s="849">
        <v>0.2</v>
      </c>
      <c r="BE198" s="848">
        <v>0.2</v>
      </c>
      <c r="BF198" s="848">
        <v>0.2</v>
      </c>
      <c r="BG198" s="130">
        <v>0.2</v>
      </c>
      <c r="BH198" s="849">
        <v>0.2</v>
      </c>
      <c r="BI198" s="848">
        <v>0.2</v>
      </c>
      <c r="BJ198" s="848">
        <v>0.2</v>
      </c>
      <c r="BK198" s="130">
        <v>0.2</v>
      </c>
      <c r="BL198" s="849">
        <v>0.2</v>
      </c>
      <c r="BM198" s="848">
        <v>0.2</v>
      </c>
      <c r="BN198" s="848">
        <v>0.2</v>
      </c>
      <c r="BO198" s="130">
        <v>0.2</v>
      </c>
      <c r="BP198" s="657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224"/>
      <c r="CG198" s="297"/>
      <c r="CH198" s="14"/>
      <c r="CI198"/>
      <c r="CJ198"/>
    </row>
    <row r="199" spans="1:88" ht="14.25" hidden="1" customHeight="1" outlineLevel="3">
      <c r="A199" s="672"/>
      <c r="B199" s="824"/>
      <c r="C199" s="274"/>
      <c r="D199" s="754"/>
      <c r="E199" s="754"/>
      <c r="F199" s="754"/>
      <c r="G199" s="79"/>
      <c r="H199" s="754"/>
      <c r="I199" s="754"/>
      <c r="J199" s="754"/>
      <c r="K199" s="79"/>
      <c r="L199" s="754"/>
      <c r="M199" s="754"/>
      <c r="N199" s="754"/>
      <c r="O199" s="78"/>
      <c r="P199" s="658"/>
      <c r="Q199" s="318"/>
      <c r="R199" s="318"/>
      <c r="S199" s="79"/>
      <c r="T199" s="484"/>
      <c r="U199" s="484"/>
      <c r="V199" s="484"/>
      <c r="W199" s="79"/>
      <c r="AA199" s="78"/>
      <c r="AB199" s="658"/>
      <c r="AC199" s="318"/>
      <c r="AD199" s="318"/>
      <c r="AE199" s="79"/>
      <c r="AF199" s="318"/>
      <c r="AG199" s="318"/>
      <c r="AH199" s="318"/>
      <c r="AI199" s="79"/>
      <c r="AJ199" s="658"/>
      <c r="AK199" s="318"/>
      <c r="AL199" s="318"/>
      <c r="AM199" s="79"/>
      <c r="AQ199" s="79"/>
      <c r="AU199" s="79"/>
      <c r="AY199" s="79"/>
      <c r="BC199" s="78"/>
      <c r="BD199" s="364"/>
      <c r="BE199" s="363"/>
      <c r="BF199" s="363"/>
      <c r="BG199" s="79"/>
      <c r="BH199" s="364"/>
      <c r="BI199" s="363"/>
      <c r="BJ199" s="363"/>
      <c r="BK199" s="79"/>
      <c r="BL199" s="364"/>
      <c r="BM199" s="363"/>
      <c r="BN199" s="363"/>
      <c r="BO199" s="79"/>
      <c r="BP199" s="657"/>
      <c r="BQ199" s="8"/>
      <c r="BR199" s="8"/>
      <c r="BS199" s="8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224"/>
      <c r="CG199" s="658"/>
      <c r="CH199" s="363"/>
    </row>
    <row r="200" spans="1:88" ht="14.25" hidden="1" customHeight="1" outlineLevel="3">
      <c r="A200" s="672"/>
      <c r="B200" s="684" t="s">
        <v>383</v>
      </c>
      <c r="C200" s="274"/>
      <c r="D200" s="754"/>
      <c r="E200" s="754"/>
      <c r="F200" s="754"/>
      <c r="G200" s="79"/>
      <c r="H200" s="754"/>
      <c r="I200" s="754"/>
      <c r="J200" s="754"/>
      <c r="K200" s="79"/>
      <c r="L200" s="851">
        <v>1.08285670562808</v>
      </c>
      <c r="M200" s="851">
        <v>1.0721353521070098</v>
      </c>
      <c r="N200" s="851">
        <v>1.0615201506009999</v>
      </c>
      <c r="O200" s="852">
        <v>1.0510100500999999</v>
      </c>
      <c r="P200" s="853">
        <v>1.04060401</v>
      </c>
      <c r="Q200" s="852">
        <v>1.0303009999999999</v>
      </c>
      <c r="R200" s="852">
        <v>1.0201</v>
      </c>
      <c r="S200" s="854">
        <v>1.01</v>
      </c>
      <c r="T200" s="851">
        <v>1</v>
      </c>
      <c r="U200" s="851">
        <v>1</v>
      </c>
      <c r="V200" s="851">
        <v>1</v>
      </c>
      <c r="W200" s="854">
        <v>1</v>
      </c>
      <c r="X200" s="851">
        <v>0.99</v>
      </c>
      <c r="Y200" s="851">
        <v>0.98009999999999997</v>
      </c>
      <c r="Z200" s="851">
        <v>0.97029899999999991</v>
      </c>
      <c r="AA200" s="852">
        <v>0.96059600999999994</v>
      </c>
      <c r="AB200" s="853">
        <v>0.95099004989999991</v>
      </c>
      <c r="AC200" s="852">
        <v>0.94148014940099989</v>
      </c>
      <c r="AD200" s="852">
        <v>0.93206534790698992</v>
      </c>
      <c r="AE200" s="854">
        <v>0.92274469442791995</v>
      </c>
      <c r="AF200" s="852">
        <v>0.95099004989999991</v>
      </c>
      <c r="AG200" s="852">
        <v>0.94148014940099989</v>
      </c>
      <c r="AH200" s="852">
        <f t="shared" ref="AH200:AQ200" si="576">AG200-0.01</f>
        <v>0.93148014940099988</v>
      </c>
      <c r="AI200" s="854">
        <f t="shared" si="576"/>
        <v>0.92148014940099987</v>
      </c>
      <c r="AJ200" s="853">
        <f t="shared" si="576"/>
        <v>0.91148014940099986</v>
      </c>
      <c r="AK200" s="852">
        <f t="shared" si="576"/>
        <v>0.90148014940099985</v>
      </c>
      <c r="AL200" s="852">
        <f t="shared" si="576"/>
        <v>0.89148014940099984</v>
      </c>
      <c r="AM200" s="854">
        <f t="shared" si="576"/>
        <v>0.88148014940099984</v>
      </c>
      <c r="AN200" s="851">
        <f t="shared" si="576"/>
        <v>0.87148014940099983</v>
      </c>
      <c r="AO200" s="851">
        <f t="shared" si="576"/>
        <v>0.86148014940099982</v>
      </c>
      <c r="AP200" s="851">
        <f t="shared" si="576"/>
        <v>0.85148014940099981</v>
      </c>
      <c r="AQ200" s="854">
        <f t="shared" si="576"/>
        <v>0.8414801494009998</v>
      </c>
      <c r="AR200" s="851">
        <f t="shared" ref="AR200:AY202" si="577">AQ200-0.01</f>
        <v>0.83148014940099979</v>
      </c>
      <c r="AS200" s="851">
        <f t="shared" si="577"/>
        <v>0.82148014940099978</v>
      </c>
      <c r="AT200" s="851">
        <f t="shared" si="577"/>
        <v>0.81148014940099977</v>
      </c>
      <c r="AU200" s="854">
        <f t="shared" si="577"/>
        <v>0.80148014940099976</v>
      </c>
      <c r="AV200" s="851">
        <f t="shared" ref="AV200:AV202" si="578">AU200-0.01</f>
        <v>0.79148014940099976</v>
      </c>
      <c r="AW200" s="851">
        <f t="shared" si="577"/>
        <v>0.78148014940099975</v>
      </c>
      <c r="AX200" s="851">
        <f t="shared" si="577"/>
        <v>0.77148014940099974</v>
      </c>
      <c r="AY200" s="854">
        <f t="shared" si="577"/>
        <v>0.76148014940099973</v>
      </c>
      <c r="AZ200" s="851">
        <f t="shared" ref="AZ200:BC202" si="579">AY200-0.01</f>
        <v>0.75148014940099972</v>
      </c>
      <c r="BA200" s="851">
        <f t="shared" si="579"/>
        <v>0.74148014940099971</v>
      </c>
      <c r="BB200" s="851">
        <f t="shared" si="579"/>
        <v>0.7314801494009997</v>
      </c>
      <c r="BC200" s="852">
        <f t="shared" si="579"/>
        <v>0.72148014940099969</v>
      </c>
      <c r="BD200" s="853">
        <f t="shared" ref="BD200:BD202" si="580">BC200-0.01</f>
        <v>0.71148014940099968</v>
      </c>
      <c r="BE200" s="852">
        <f t="shared" ref="BE200:BE202" si="581">BD200-0.01</f>
        <v>0.70148014940099968</v>
      </c>
      <c r="BF200" s="852">
        <f t="shared" ref="BF200:BF202" si="582">BE200-0.01</f>
        <v>0.69148014940099967</v>
      </c>
      <c r="BG200" s="854">
        <f t="shared" ref="BG200:BG202" si="583">BF200-0.01</f>
        <v>0.68148014940099966</v>
      </c>
      <c r="BH200" s="853">
        <f t="shared" ref="BH200:BH202" si="584">BG200-0.01</f>
        <v>0.67148014940099965</v>
      </c>
      <c r="BI200" s="852">
        <f t="shared" ref="BI200:BI202" si="585">BH200-0.01</f>
        <v>0.66148014940099964</v>
      </c>
      <c r="BJ200" s="852">
        <f t="shared" ref="BJ200:BJ202" si="586">BI200-0.01</f>
        <v>0.65148014940099963</v>
      </c>
      <c r="BK200" s="854">
        <f t="shared" ref="BK200:BK202" si="587">BJ200-0.01</f>
        <v>0.64148014940099962</v>
      </c>
      <c r="BL200" s="853">
        <f t="shared" ref="BL200:BL202" si="588">BK200-0.01</f>
        <v>0.63148014940099961</v>
      </c>
      <c r="BM200" s="852">
        <f t="shared" ref="BM200:BM202" si="589">BL200-0.01</f>
        <v>0.6214801494009996</v>
      </c>
      <c r="BN200" s="852">
        <f t="shared" ref="BN200:BN202" si="590">BM200-0.01</f>
        <v>0.6114801494009996</v>
      </c>
      <c r="BO200" s="854">
        <f t="shared" ref="BO200:BO202" si="591">BN200-0.01</f>
        <v>0.60148014940099959</v>
      </c>
      <c r="BP200" s="657"/>
      <c r="BQ200" s="8"/>
      <c r="BR200" s="8"/>
      <c r="BS200" s="8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224"/>
      <c r="CG200" s="658"/>
      <c r="CH200" s="363"/>
    </row>
    <row r="201" spans="1:88" ht="14.25" hidden="1" customHeight="1" outlineLevel="3">
      <c r="A201" s="672"/>
      <c r="B201" s="684" t="s">
        <v>384</v>
      </c>
      <c r="C201" s="274"/>
      <c r="D201" s="754"/>
      <c r="E201" s="754"/>
      <c r="F201" s="754"/>
      <c r="G201" s="79"/>
      <c r="H201" s="754"/>
      <c r="I201" s="754"/>
      <c r="J201" s="754"/>
      <c r="K201" s="79"/>
      <c r="L201" s="851">
        <v>1.08285670562808</v>
      </c>
      <c r="M201" s="851">
        <v>1.0721353521070098</v>
      </c>
      <c r="N201" s="851">
        <v>1.0615201506009999</v>
      </c>
      <c r="O201" s="852">
        <v>1.0510100500999999</v>
      </c>
      <c r="P201" s="853">
        <v>1.04060401</v>
      </c>
      <c r="Q201" s="852">
        <v>1.0303009999999999</v>
      </c>
      <c r="R201" s="852">
        <v>1.0201</v>
      </c>
      <c r="S201" s="854">
        <v>1.01</v>
      </c>
      <c r="T201" s="851">
        <v>1</v>
      </c>
      <c r="U201" s="851">
        <v>1</v>
      </c>
      <c r="V201" s="851">
        <v>1</v>
      </c>
      <c r="W201" s="854">
        <v>1</v>
      </c>
      <c r="X201" s="851">
        <v>0.99</v>
      </c>
      <c r="Y201" s="851">
        <v>0.98009999999999997</v>
      </c>
      <c r="Z201" s="851">
        <v>0.97029899999999991</v>
      </c>
      <c r="AA201" s="852">
        <v>0.96059600999999994</v>
      </c>
      <c r="AB201" s="853">
        <v>0.95099004989999991</v>
      </c>
      <c r="AC201" s="852">
        <v>0.94148014940099989</v>
      </c>
      <c r="AD201" s="852">
        <v>0.93206534790698992</v>
      </c>
      <c r="AE201" s="854">
        <v>0.92274469442791995</v>
      </c>
      <c r="AF201" s="852">
        <v>0.95099004989999991</v>
      </c>
      <c r="AG201" s="852">
        <v>0.94148014940099989</v>
      </c>
      <c r="AH201" s="852">
        <f t="shared" ref="AH201:AQ201" si="592">AG201-0.01</f>
        <v>0.93148014940099988</v>
      </c>
      <c r="AI201" s="854">
        <f t="shared" si="592"/>
        <v>0.92148014940099987</v>
      </c>
      <c r="AJ201" s="853">
        <f t="shared" si="592"/>
        <v>0.91148014940099986</v>
      </c>
      <c r="AK201" s="852">
        <f t="shared" si="592"/>
        <v>0.90148014940099985</v>
      </c>
      <c r="AL201" s="852">
        <f t="shared" si="592"/>
        <v>0.89148014940099984</v>
      </c>
      <c r="AM201" s="854">
        <f t="shared" si="592"/>
        <v>0.88148014940099984</v>
      </c>
      <c r="AN201" s="851">
        <f t="shared" si="592"/>
        <v>0.87148014940099983</v>
      </c>
      <c r="AO201" s="851">
        <f t="shared" si="592"/>
        <v>0.86148014940099982</v>
      </c>
      <c r="AP201" s="851">
        <f t="shared" si="592"/>
        <v>0.85148014940099981</v>
      </c>
      <c r="AQ201" s="854">
        <f t="shared" si="592"/>
        <v>0.8414801494009998</v>
      </c>
      <c r="AR201" s="851">
        <f t="shared" si="577"/>
        <v>0.83148014940099979</v>
      </c>
      <c r="AS201" s="851">
        <f t="shared" si="577"/>
        <v>0.82148014940099978</v>
      </c>
      <c r="AT201" s="851">
        <f t="shared" si="577"/>
        <v>0.81148014940099977</v>
      </c>
      <c r="AU201" s="854">
        <f t="shared" si="577"/>
        <v>0.80148014940099976</v>
      </c>
      <c r="AV201" s="851">
        <f t="shared" si="578"/>
        <v>0.79148014940099976</v>
      </c>
      <c r="AW201" s="851">
        <f t="shared" si="577"/>
        <v>0.78148014940099975</v>
      </c>
      <c r="AX201" s="851">
        <f t="shared" si="577"/>
        <v>0.77148014940099974</v>
      </c>
      <c r="AY201" s="854">
        <f t="shared" si="577"/>
        <v>0.76148014940099973</v>
      </c>
      <c r="AZ201" s="851">
        <f t="shared" si="579"/>
        <v>0.75148014940099972</v>
      </c>
      <c r="BA201" s="851">
        <f t="shared" si="579"/>
        <v>0.74148014940099971</v>
      </c>
      <c r="BB201" s="851">
        <f t="shared" si="579"/>
        <v>0.7314801494009997</v>
      </c>
      <c r="BC201" s="852">
        <f t="shared" si="579"/>
        <v>0.72148014940099969</v>
      </c>
      <c r="BD201" s="853">
        <f t="shared" si="580"/>
        <v>0.71148014940099968</v>
      </c>
      <c r="BE201" s="852">
        <f t="shared" si="581"/>
        <v>0.70148014940099968</v>
      </c>
      <c r="BF201" s="852">
        <f t="shared" si="582"/>
        <v>0.69148014940099967</v>
      </c>
      <c r="BG201" s="854">
        <f t="shared" si="583"/>
        <v>0.68148014940099966</v>
      </c>
      <c r="BH201" s="853">
        <f t="shared" si="584"/>
        <v>0.67148014940099965</v>
      </c>
      <c r="BI201" s="852">
        <f t="shared" si="585"/>
        <v>0.66148014940099964</v>
      </c>
      <c r="BJ201" s="852">
        <f t="shared" si="586"/>
        <v>0.65148014940099963</v>
      </c>
      <c r="BK201" s="854">
        <f t="shared" si="587"/>
        <v>0.64148014940099962</v>
      </c>
      <c r="BL201" s="853">
        <f t="shared" si="588"/>
        <v>0.63148014940099961</v>
      </c>
      <c r="BM201" s="852">
        <f t="shared" si="589"/>
        <v>0.6214801494009996</v>
      </c>
      <c r="BN201" s="852">
        <f t="shared" si="590"/>
        <v>0.6114801494009996</v>
      </c>
      <c r="BO201" s="854">
        <f t="shared" si="591"/>
        <v>0.60148014940099959</v>
      </c>
      <c r="BP201" s="657"/>
      <c r="BQ201" s="8"/>
      <c r="BR201" s="8"/>
      <c r="BS201" s="8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224"/>
      <c r="CG201" s="658"/>
      <c r="CH201" s="363"/>
    </row>
    <row r="202" spans="1:88" ht="14.25" hidden="1" customHeight="1" outlineLevel="3">
      <c r="A202" s="672"/>
      <c r="B202" s="684" t="s">
        <v>385</v>
      </c>
      <c r="C202" s="274"/>
      <c r="D202" s="754"/>
      <c r="E202" s="754"/>
      <c r="F202" s="754"/>
      <c r="G202" s="79"/>
      <c r="H202" s="754"/>
      <c r="I202" s="754"/>
      <c r="J202" s="754"/>
      <c r="K202" s="79"/>
      <c r="L202" s="851">
        <v>1.08285670562808</v>
      </c>
      <c r="M202" s="851">
        <v>1.0721353521070098</v>
      </c>
      <c r="N202" s="851">
        <v>1.0615201506009999</v>
      </c>
      <c r="O202" s="852">
        <v>1.0510100500999999</v>
      </c>
      <c r="P202" s="853">
        <v>1.04060401</v>
      </c>
      <c r="Q202" s="852">
        <v>1.0303009999999999</v>
      </c>
      <c r="R202" s="852">
        <v>1.0201</v>
      </c>
      <c r="S202" s="854">
        <v>1.01</v>
      </c>
      <c r="T202" s="851">
        <v>1</v>
      </c>
      <c r="U202" s="851">
        <v>1</v>
      </c>
      <c r="V202" s="851">
        <v>1</v>
      </c>
      <c r="W202" s="854">
        <v>1</v>
      </c>
      <c r="X202" s="851">
        <v>0.99</v>
      </c>
      <c r="Y202" s="851">
        <v>0.98009999999999997</v>
      </c>
      <c r="Z202" s="851">
        <v>0.97029899999999991</v>
      </c>
      <c r="AA202" s="852">
        <v>0.96059600999999994</v>
      </c>
      <c r="AB202" s="853">
        <v>0.95099004989999991</v>
      </c>
      <c r="AC202" s="852">
        <v>0.94148014940099989</v>
      </c>
      <c r="AD202" s="852">
        <v>0.93206534790698992</v>
      </c>
      <c r="AE202" s="854">
        <v>0.92274469442791995</v>
      </c>
      <c r="AF202" s="852">
        <v>0.95099004989999991</v>
      </c>
      <c r="AG202" s="852">
        <v>0.94148014940099989</v>
      </c>
      <c r="AH202" s="852">
        <f t="shared" ref="AH202:AQ202" si="593">AG202-0.01</f>
        <v>0.93148014940099988</v>
      </c>
      <c r="AI202" s="854">
        <f t="shared" si="593"/>
        <v>0.92148014940099987</v>
      </c>
      <c r="AJ202" s="853">
        <f t="shared" si="593"/>
        <v>0.91148014940099986</v>
      </c>
      <c r="AK202" s="852">
        <f t="shared" si="593"/>
        <v>0.90148014940099985</v>
      </c>
      <c r="AL202" s="852">
        <f t="shared" si="593"/>
        <v>0.89148014940099984</v>
      </c>
      <c r="AM202" s="854">
        <f t="shared" si="593"/>
        <v>0.88148014940099984</v>
      </c>
      <c r="AN202" s="851">
        <f t="shared" si="593"/>
        <v>0.87148014940099983</v>
      </c>
      <c r="AO202" s="851">
        <f t="shared" si="593"/>
        <v>0.86148014940099982</v>
      </c>
      <c r="AP202" s="851">
        <f t="shared" si="593"/>
        <v>0.85148014940099981</v>
      </c>
      <c r="AQ202" s="854">
        <f t="shared" si="593"/>
        <v>0.8414801494009998</v>
      </c>
      <c r="AR202" s="851">
        <f t="shared" si="577"/>
        <v>0.83148014940099979</v>
      </c>
      <c r="AS202" s="851">
        <f t="shared" si="577"/>
        <v>0.82148014940099978</v>
      </c>
      <c r="AT202" s="851">
        <f t="shared" si="577"/>
        <v>0.81148014940099977</v>
      </c>
      <c r="AU202" s="854">
        <f t="shared" si="577"/>
        <v>0.80148014940099976</v>
      </c>
      <c r="AV202" s="851">
        <f t="shared" si="578"/>
        <v>0.79148014940099976</v>
      </c>
      <c r="AW202" s="851">
        <f t="shared" si="577"/>
        <v>0.78148014940099975</v>
      </c>
      <c r="AX202" s="851">
        <f t="shared" si="577"/>
        <v>0.77148014940099974</v>
      </c>
      <c r="AY202" s="854">
        <f t="shared" si="577"/>
        <v>0.76148014940099973</v>
      </c>
      <c r="AZ202" s="851">
        <f t="shared" si="579"/>
        <v>0.75148014940099972</v>
      </c>
      <c r="BA202" s="851">
        <f t="shared" si="579"/>
        <v>0.74148014940099971</v>
      </c>
      <c r="BB202" s="851">
        <f t="shared" si="579"/>
        <v>0.7314801494009997</v>
      </c>
      <c r="BC202" s="852">
        <f t="shared" si="579"/>
        <v>0.72148014940099969</v>
      </c>
      <c r="BD202" s="853">
        <f t="shared" si="580"/>
        <v>0.71148014940099968</v>
      </c>
      <c r="BE202" s="852">
        <f t="shared" si="581"/>
        <v>0.70148014940099968</v>
      </c>
      <c r="BF202" s="852">
        <f t="shared" si="582"/>
        <v>0.69148014940099967</v>
      </c>
      <c r="BG202" s="854">
        <f t="shared" si="583"/>
        <v>0.68148014940099966</v>
      </c>
      <c r="BH202" s="853">
        <f t="shared" si="584"/>
        <v>0.67148014940099965</v>
      </c>
      <c r="BI202" s="852">
        <f t="shared" si="585"/>
        <v>0.66148014940099964</v>
      </c>
      <c r="BJ202" s="852">
        <f t="shared" si="586"/>
        <v>0.65148014940099963</v>
      </c>
      <c r="BK202" s="854">
        <f t="shared" si="587"/>
        <v>0.64148014940099962</v>
      </c>
      <c r="BL202" s="853">
        <f t="shared" si="588"/>
        <v>0.63148014940099961</v>
      </c>
      <c r="BM202" s="852">
        <f t="shared" si="589"/>
        <v>0.6214801494009996</v>
      </c>
      <c r="BN202" s="852">
        <f t="shared" si="590"/>
        <v>0.6114801494009996</v>
      </c>
      <c r="BO202" s="854">
        <f t="shared" si="591"/>
        <v>0.60148014940099959</v>
      </c>
      <c r="BP202" s="657"/>
      <c r="BQ202" s="8"/>
      <c r="BR202" s="8"/>
      <c r="BS202" s="8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224"/>
      <c r="CG202" s="658"/>
      <c r="CH202" s="363"/>
    </row>
    <row r="203" spans="1:88" ht="14.25" hidden="1" customHeight="1" outlineLevel="3">
      <c r="A203" s="672"/>
      <c r="B203" s="684"/>
      <c r="C203" s="274"/>
      <c r="D203" s="754"/>
      <c r="E203" s="754"/>
      <c r="F203" s="754"/>
      <c r="G203" s="79"/>
      <c r="H203" s="754"/>
      <c r="I203" s="754"/>
      <c r="J203" s="754"/>
      <c r="K203" s="79"/>
      <c r="L203" s="754"/>
      <c r="M203" s="687"/>
      <c r="N203" s="687"/>
      <c r="O203" s="687"/>
      <c r="P203" s="688"/>
      <c r="Q203" s="687"/>
      <c r="R203" s="687"/>
      <c r="S203" s="689"/>
      <c r="T203" s="687"/>
      <c r="U203" s="687"/>
      <c r="V203" s="687"/>
      <c r="W203" s="689"/>
      <c r="X203" s="687"/>
      <c r="Y203" s="687"/>
      <c r="Z203" s="687"/>
      <c r="AA203" s="687"/>
      <c r="AB203" s="688"/>
      <c r="AC203" s="687"/>
      <c r="AD203" s="687"/>
      <c r="AE203" s="689"/>
      <c r="AF203" s="687"/>
      <c r="AG203" s="687"/>
      <c r="AH203" s="687"/>
      <c r="AI203" s="689"/>
      <c r="AJ203" s="688"/>
      <c r="AK203" s="687"/>
      <c r="AL203" s="687"/>
      <c r="AM203" s="689"/>
      <c r="AN203" s="687"/>
      <c r="AO203" s="687"/>
      <c r="AP203" s="687"/>
      <c r="AQ203" s="689"/>
      <c r="AR203" s="687"/>
      <c r="AS203" s="687"/>
      <c r="AT203" s="687"/>
      <c r="AU203" s="689"/>
      <c r="AV203" s="687"/>
      <c r="AW203" s="687"/>
      <c r="AX203" s="687"/>
      <c r="AY203" s="689"/>
      <c r="AZ203" s="687"/>
      <c r="BA203" s="687"/>
      <c r="BB203" s="687"/>
      <c r="BC203" s="687"/>
      <c r="BD203" s="688"/>
      <c r="BE203" s="687"/>
      <c r="BF203" s="687"/>
      <c r="BG203" s="689"/>
      <c r="BH203" s="688"/>
      <c r="BI203" s="687"/>
      <c r="BJ203" s="687"/>
      <c r="BK203" s="689"/>
      <c r="BL203" s="688"/>
      <c r="BM203" s="687"/>
      <c r="BN203" s="687"/>
      <c r="BO203" s="689"/>
      <c r="BP203" s="657"/>
      <c r="BQ203" s="8"/>
      <c r="BR203" s="8"/>
      <c r="BS203" s="8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224"/>
      <c r="CG203" s="658"/>
      <c r="CH203" s="363"/>
    </row>
    <row r="204" spans="1:88" ht="14.25" hidden="1" customHeight="1" outlineLevel="3">
      <c r="A204" s="672"/>
      <c r="B204" s="705" t="str">
        <f>B187&amp;" Revenue from Mobile"</f>
        <v>GPS Revenue from Mobile</v>
      </c>
      <c r="C204" s="274"/>
      <c r="D204" s="754"/>
      <c r="E204" s="754"/>
      <c r="F204" s="754"/>
      <c r="G204" s="79"/>
      <c r="H204" s="754"/>
      <c r="I204" s="754"/>
      <c r="J204" s="754"/>
      <c r="K204" s="79"/>
      <c r="L204" s="687">
        <f t="shared" ref="L204:AG204" si="594">SUMPRODUCT(L188:L190,L192:L194,L200:L202,L196:L198)</f>
        <v>0</v>
      </c>
      <c r="M204" s="687">
        <f t="shared" si="594"/>
        <v>2.5392038834396849E-2</v>
      </c>
      <c r="N204" s="687">
        <f t="shared" si="594"/>
        <v>3.9070022064335651E-2</v>
      </c>
      <c r="O204" s="687">
        <f t="shared" si="594"/>
        <v>4.5761972307050092E-2</v>
      </c>
      <c r="P204" s="688">
        <f t="shared" si="594"/>
        <v>3.076048166781736E-2</v>
      </c>
      <c r="Q204" s="687">
        <f t="shared" si="594"/>
        <v>2.9645826489208955E-2</v>
      </c>
      <c r="R204" s="687">
        <f t="shared" si="594"/>
        <v>0.10833353008821664</v>
      </c>
      <c r="S204" s="689">
        <f t="shared" si="594"/>
        <v>0.24052570603214957</v>
      </c>
      <c r="T204" s="687">
        <f t="shared" si="594"/>
        <v>0.55155667967089173</v>
      </c>
      <c r="U204" s="687">
        <f t="shared" si="594"/>
        <v>0.54776074518260875</v>
      </c>
      <c r="V204" s="687">
        <f t="shared" si="594"/>
        <v>0.57811023360000002</v>
      </c>
      <c r="W204" s="689">
        <f t="shared" si="594"/>
        <v>0.64103865599999998</v>
      </c>
      <c r="X204" s="687">
        <f t="shared" si="594"/>
        <v>2.0026971617638551</v>
      </c>
      <c r="Y204" s="687">
        <f t="shared" si="594"/>
        <v>1.8119003269531544</v>
      </c>
      <c r="Z204" s="687">
        <f t="shared" si="594"/>
        <v>1.5118435309367846</v>
      </c>
      <c r="AA204" s="687">
        <f t="shared" si="594"/>
        <v>1.8018539875311819</v>
      </c>
      <c r="AB204" s="688">
        <f t="shared" si="594"/>
        <v>5.1440325849400175</v>
      </c>
      <c r="AC204" s="687">
        <f t="shared" si="594"/>
        <v>5.153122611974692</v>
      </c>
      <c r="AD204" s="687">
        <f t="shared" si="594"/>
        <v>5.4851549826820198</v>
      </c>
      <c r="AE204" s="689">
        <f t="shared" si="594"/>
        <v>6.0367225674385905</v>
      </c>
      <c r="AF204" s="687">
        <f t="shared" si="594"/>
        <v>6.6386478708625418</v>
      </c>
      <c r="AG204" s="687">
        <f t="shared" si="594"/>
        <v>5.6492673787384362</v>
      </c>
      <c r="AH204" s="687"/>
      <c r="AI204" s="689"/>
      <c r="AJ204" s="688"/>
      <c r="AK204" s="687"/>
      <c r="AL204" s="687"/>
      <c r="AM204" s="689"/>
      <c r="AN204" s="687"/>
      <c r="AO204" s="687"/>
      <c r="AP204" s="687"/>
      <c r="AQ204" s="689"/>
      <c r="AR204" s="687"/>
      <c r="AS204" s="687"/>
      <c r="AT204" s="687"/>
      <c r="AU204" s="689"/>
      <c r="AV204" s="687"/>
      <c r="AW204" s="687"/>
      <c r="AX204" s="687"/>
      <c r="AY204" s="689"/>
      <c r="AZ204" s="687"/>
      <c r="BA204" s="687"/>
      <c r="BB204" s="687"/>
      <c r="BC204" s="687"/>
      <c r="BD204" s="688"/>
      <c r="BE204" s="687"/>
      <c r="BF204" s="687"/>
      <c r="BG204" s="689"/>
      <c r="BH204" s="688"/>
      <c r="BI204" s="687"/>
      <c r="BJ204" s="687"/>
      <c r="BK204" s="689"/>
      <c r="BL204" s="688"/>
      <c r="BM204" s="687"/>
      <c r="BN204" s="687"/>
      <c r="BO204" s="689"/>
      <c r="BP204" s="657"/>
      <c r="BQ204" s="8"/>
      <c r="BR204" s="8"/>
      <c r="BS204" s="8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224"/>
      <c r="CG204" s="658"/>
      <c r="CH204" s="363"/>
    </row>
    <row r="205" spans="1:88" ht="14.25" hidden="1" customHeight="1" outlineLevel="3">
      <c r="A205" s="672"/>
      <c r="B205" s="651" t="str">
        <f>"% "&amp;B187&amp;" Revenue"</f>
        <v>% GPS Revenue</v>
      </c>
      <c r="C205" s="274"/>
      <c r="D205" s="754"/>
      <c r="E205" s="754"/>
      <c r="F205" s="754"/>
      <c r="G205" s="79"/>
      <c r="H205" s="754"/>
      <c r="I205" s="754"/>
      <c r="J205" s="754"/>
      <c r="K205" s="79"/>
      <c r="L205" s="247" t="str">
        <f t="shared" ref="L205:AG205" si="595">IF(ISERROR(L204/L244),"",L204/L244)</f>
        <v/>
      </c>
      <c r="M205" s="247">
        <f t="shared" si="595"/>
        <v>2.539203883439685E-3</v>
      </c>
      <c r="N205" s="247">
        <f t="shared" si="595"/>
        <v>1.9535011032167826E-3</v>
      </c>
      <c r="O205" s="76">
        <f t="shared" si="595"/>
        <v>1.8304788922820037E-3</v>
      </c>
      <c r="P205" s="522">
        <f t="shared" si="595"/>
        <v>2.0506987778544906E-3</v>
      </c>
      <c r="Q205" s="76">
        <f t="shared" si="595"/>
        <v>1.9763884326139303E-3</v>
      </c>
      <c r="R205" s="76">
        <f t="shared" si="595"/>
        <v>7.2222353392144426E-3</v>
      </c>
      <c r="S205" s="77">
        <f t="shared" si="595"/>
        <v>2.0043808836012464E-2</v>
      </c>
      <c r="T205" s="247">
        <f t="shared" si="595"/>
        <v>3.0642037759493986E-2</v>
      </c>
      <c r="U205" s="247">
        <f t="shared" si="595"/>
        <v>2.6083845008695657E-2</v>
      </c>
      <c r="V205" s="247">
        <f t="shared" si="595"/>
        <v>2.4087926400000001E-2</v>
      </c>
      <c r="W205" s="77">
        <f t="shared" si="595"/>
        <v>2.564154624E-2</v>
      </c>
      <c r="X205" s="247">
        <f t="shared" si="595"/>
        <v>8.3445715073493965E-2</v>
      </c>
      <c r="Y205" s="247">
        <f t="shared" si="595"/>
        <v>7.5495846956381438E-2</v>
      </c>
      <c r="Z205" s="247">
        <f t="shared" si="595"/>
        <v>5.5994204849510537E-2</v>
      </c>
      <c r="AA205" s="76">
        <f t="shared" si="595"/>
        <v>6.6735332871525249E-2</v>
      </c>
      <c r="AB205" s="522">
        <f t="shared" si="595"/>
        <v>0.1897389267598264</v>
      </c>
      <c r="AC205" s="76">
        <f t="shared" si="595"/>
        <v>0.19059137379323079</v>
      </c>
      <c r="AD205" s="76">
        <f t="shared" si="595"/>
        <v>0.20134163156952628</v>
      </c>
      <c r="AE205" s="77">
        <f t="shared" si="595"/>
        <v>0.21768407271640305</v>
      </c>
      <c r="AF205" s="76">
        <f t="shared" si="595"/>
        <v>0.33193239354312709</v>
      </c>
      <c r="AG205" s="76" t="str">
        <f t="shared" si="595"/>
        <v/>
      </c>
      <c r="AH205" s="76"/>
      <c r="AI205" s="77"/>
      <c r="AJ205" s="522"/>
      <c r="AK205" s="76"/>
      <c r="AL205" s="76"/>
      <c r="AM205" s="77"/>
      <c r="AN205" s="247"/>
      <c r="AO205" s="247"/>
      <c r="AP205" s="247"/>
      <c r="AQ205" s="77"/>
      <c r="AR205" s="247"/>
      <c r="AS205" s="247"/>
      <c r="AT205" s="247"/>
      <c r="AU205" s="77"/>
      <c r="AV205" s="247"/>
      <c r="AW205" s="247"/>
      <c r="AX205" s="247"/>
      <c r="AY205" s="77"/>
      <c r="AZ205" s="247"/>
      <c r="BA205" s="247"/>
      <c r="BB205" s="247"/>
      <c r="BC205" s="76"/>
      <c r="BD205" s="522"/>
      <c r="BE205" s="76"/>
      <c r="BF205" s="76"/>
      <c r="BG205" s="77"/>
      <c r="BH205" s="522"/>
      <c r="BI205" s="76"/>
      <c r="BJ205" s="76"/>
      <c r="BK205" s="77"/>
      <c r="BL205" s="522"/>
      <c r="BM205" s="76"/>
      <c r="BN205" s="76"/>
      <c r="BO205" s="77"/>
      <c r="BP205" s="657"/>
      <c r="BQ205" s="8"/>
      <c r="BR205" s="8"/>
      <c r="BS205" s="8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224"/>
      <c r="CG205" s="658"/>
      <c r="CH205" s="363"/>
    </row>
    <row r="206" spans="1:88" ht="14.25" hidden="1" customHeight="1" outlineLevel="3">
      <c r="A206" s="672"/>
      <c r="B206" s="705" t="str">
        <f>B187&amp;" Revenue from Other"</f>
        <v>GPS Revenue from Other</v>
      </c>
      <c r="C206" s="274"/>
      <c r="D206" s="754"/>
      <c r="E206" s="754"/>
      <c r="F206" s="754"/>
      <c r="G206" s="79"/>
      <c r="H206" s="754"/>
      <c r="I206" s="754"/>
      <c r="J206" s="754"/>
      <c r="K206" s="79"/>
      <c r="L206" s="687">
        <f t="shared" ref="L206:AG206" si="596">L244-L204</f>
        <v>0</v>
      </c>
      <c r="M206" s="687">
        <f t="shared" si="596"/>
        <v>9.9746079611656029</v>
      </c>
      <c r="N206" s="687">
        <f t="shared" si="596"/>
        <v>19.960929977935663</v>
      </c>
      <c r="O206" s="687">
        <f t="shared" si="596"/>
        <v>24.954238027692949</v>
      </c>
      <c r="P206" s="688">
        <f t="shared" si="596"/>
        <v>14.969239518332182</v>
      </c>
      <c r="Q206" s="687">
        <f t="shared" si="596"/>
        <v>14.970354173510792</v>
      </c>
      <c r="R206" s="687">
        <f t="shared" si="596"/>
        <v>14.891666469911783</v>
      </c>
      <c r="S206" s="689">
        <f t="shared" si="596"/>
        <v>11.75947429396785</v>
      </c>
      <c r="T206" s="687">
        <f t="shared" si="596"/>
        <v>17.448443320329108</v>
      </c>
      <c r="U206" s="687">
        <f t="shared" si="596"/>
        <v>20.452239254817393</v>
      </c>
      <c r="V206" s="687">
        <f t="shared" si="596"/>
        <v>23.4218897664</v>
      </c>
      <c r="W206" s="689">
        <f t="shared" si="596"/>
        <v>24.358961344000001</v>
      </c>
      <c r="X206" s="687">
        <f t="shared" si="596"/>
        <v>21.997302838236145</v>
      </c>
      <c r="Y206" s="687">
        <f t="shared" si="596"/>
        <v>22.188099673046846</v>
      </c>
      <c r="Z206" s="687">
        <f t="shared" si="596"/>
        <v>25.488156469063217</v>
      </c>
      <c r="AA206" s="687">
        <f t="shared" si="596"/>
        <v>25.198146012468818</v>
      </c>
      <c r="AB206" s="688">
        <f t="shared" si="596"/>
        <v>21.967075677263814</v>
      </c>
      <c r="AC206" s="687">
        <f t="shared" si="596"/>
        <v>21.884421162515455</v>
      </c>
      <c r="AD206" s="687">
        <f t="shared" si="596"/>
        <v>21.757869422769438</v>
      </c>
      <c r="AE206" s="689">
        <f t="shared" si="596"/>
        <v>21.694854171770899</v>
      </c>
      <c r="AF206" s="687">
        <f t="shared" si="596"/>
        <v>13.361352129137458</v>
      </c>
      <c r="AG206" s="687">
        <f t="shared" si="596"/>
        <v>-5.6492673787384362</v>
      </c>
      <c r="AH206" s="687"/>
      <c r="AI206" s="689"/>
      <c r="AJ206" s="688"/>
      <c r="AK206" s="687"/>
      <c r="AL206" s="687"/>
      <c r="AM206" s="689"/>
      <c r="AN206" s="687"/>
      <c r="AO206" s="687"/>
      <c r="AP206" s="687"/>
      <c r="AQ206" s="689"/>
      <c r="AR206" s="687"/>
      <c r="AS206" s="687"/>
      <c r="AT206" s="687"/>
      <c r="AU206" s="689"/>
      <c r="AV206" s="687"/>
      <c r="AW206" s="687"/>
      <c r="AX206" s="687"/>
      <c r="AY206" s="689"/>
      <c r="AZ206" s="687"/>
      <c r="BA206" s="687"/>
      <c r="BB206" s="687"/>
      <c r="BC206" s="687"/>
      <c r="BD206" s="688"/>
      <c r="BE206" s="687"/>
      <c r="BF206" s="687"/>
      <c r="BG206" s="689"/>
      <c r="BH206" s="688"/>
      <c r="BI206" s="687"/>
      <c r="BJ206" s="687"/>
      <c r="BK206" s="689"/>
      <c r="BL206" s="688"/>
      <c r="BM206" s="687"/>
      <c r="BN206" s="687"/>
      <c r="BO206" s="689"/>
      <c r="BP206" s="657"/>
      <c r="BQ206" s="8"/>
      <c r="BR206" s="8"/>
      <c r="BS206" s="8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224"/>
      <c r="CG206" s="658"/>
      <c r="CH206" s="363"/>
    </row>
    <row r="207" spans="1:88" ht="14.25" hidden="1" customHeight="1" outlineLevel="3">
      <c r="A207" s="672"/>
      <c r="B207" s="651" t="str">
        <f>"% "&amp;B187&amp;" Revenue"</f>
        <v>% GPS Revenue</v>
      </c>
      <c r="C207" s="274"/>
      <c r="D207" s="754"/>
      <c r="E207" s="754"/>
      <c r="F207" s="754"/>
      <c r="G207" s="79"/>
      <c r="H207" s="754"/>
      <c r="I207" s="754"/>
      <c r="J207" s="754"/>
      <c r="K207" s="79"/>
      <c r="L207" s="247" t="str">
        <f t="shared" ref="L207:AG207" si="597">IF(ISERROR(L206/L244),"",L206/L244)</f>
        <v/>
      </c>
      <c r="M207" s="247">
        <f t="shared" si="597"/>
        <v>0.99746079611656024</v>
      </c>
      <c r="N207" s="247">
        <f t="shared" si="597"/>
        <v>0.99804649889678321</v>
      </c>
      <c r="O207" s="76">
        <f t="shared" si="597"/>
        <v>0.99816952110771795</v>
      </c>
      <c r="P207" s="522">
        <f t="shared" si="597"/>
        <v>0.99794930122214554</v>
      </c>
      <c r="Q207" s="76">
        <f t="shared" si="597"/>
        <v>0.99802361156738617</v>
      </c>
      <c r="R207" s="76">
        <f t="shared" si="597"/>
        <v>0.99277776466078549</v>
      </c>
      <c r="S207" s="77">
        <f t="shared" si="597"/>
        <v>0.97995619116398747</v>
      </c>
      <c r="T207" s="247">
        <f t="shared" si="597"/>
        <v>0.96935796224050597</v>
      </c>
      <c r="U207" s="247">
        <f t="shared" si="597"/>
        <v>0.97391615499130446</v>
      </c>
      <c r="V207" s="247">
        <f t="shared" si="597"/>
        <v>0.97591207359999999</v>
      </c>
      <c r="W207" s="77">
        <f t="shared" si="597"/>
        <v>0.97435845376000008</v>
      </c>
      <c r="X207" s="247">
        <f t="shared" si="597"/>
        <v>0.91655428492650604</v>
      </c>
      <c r="Y207" s="247">
        <f t="shared" si="597"/>
        <v>0.92450415304361855</v>
      </c>
      <c r="Z207" s="247">
        <f t="shared" si="597"/>
        <v>0.94400579515048955</v>
      </c>
      <c r="AA207" s="76">
        <f t="shared" si="597"/>
        <v>0.93326466712847478</v>
      </c>
      <c r="AB207" s="522">
        <f t="shared" si="597"/>
        <v>0.8102610732401736</v>
      </c>
      <c r="AC207" s="76">
        <f t="shared" si="597"/>
        <v>0.80940862620676923</v>
      </c>
      <c r="AD207" s="76">
        <f t="shared" si="597"/>
        <v>0.79865836843047378</v>
      </c>
      <c r="AE207" s="77">
        <f t="shared" si="597"/>
        <v>0.78231592728359689</v>
      </c>
      <c r="AF207" s="76">
        <f t="shared" si="597"/>
        <v>0.66806760645687291</v>
      </c>
      <c r="AG207" s="76" t="str">
        <f t="shared" si="597"/>
        <v/>
      </c>
      <c r="AH207" s="129"/>
      <c r="AI207" s="130"/>
      <c r="AJ207" s="868"/>
      <c r="AK207" s="129"/>
      <c r="AL207" s="129"/>
      <c r="AM207" s="130"/>
      <c r="AN207" s="844"/>
      <c r="AO207" s="844"/>
      <c r="AP207" s="844"/>
      <c r="AQ207" s="130"/>
      <c r="AR207" s="844"/>
      <c r="AS207" s="844"/>
      <c r="AT207" s="844"/>
      <c r="AU207" s="130"/>
      <c r="AV207" s="844"/>
      <c r="AW207" s="844"/>
      <c r="AX207" s="844"/>
      <c r="AY207" s="130"/>
      <c r="AZ207" s="844"/>
      <c r="BA207" s="844"/>
      <c r="BB207" s="844"/>
      <c r="BC207" s="129"/>
      <c r="BD207" s="868"/>
      <c r="BE207" s="129"/>
      <c r="BF207" s="129"/>
      <c r="BG207" s="130"/>
      <c r="BH207" s="868"/>
      <c r="BI207" s="129"/>
      <c r="BJ207" s="129"/>
      <c r="BK207" s="130"/>
      <c r="BL207" s="868"/>
      <c r="BM207" s="129"/>
      <c r="BN207" s="129"/>
      <c r="BO207" s="130"/>
      <c r="BP207" s="657"/>
      <c r="BQ207" s="8"/>
      <c r="BR207" s="8"/>
      <c r="BS207" s="8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224"/>
      <c r="CG207" s="658"/>
      <c r="CH207" s="363"/>
    </row>
    <row r="208" spans="1:88" ht="14.25" hidden="1" customHeight="1" outlineLevel="3">
      <c r="A208" s="672"/>
      <c r="B208" s="684"/>
      <c r="C208" s="274"/>
      <c r="D208" s="754"/>
      <c r="E208" s="754"/>
      <c r="F208" s="754"/>
      <c r="G208" s="79"/>
      <c r="H208" s="754"/>
      <c r="I208" s="754"/>
      <c r="J208" s="754"/>
      <c r="K208" s="79"/>
      <c r="L208" s="754"/>
      <c r="M208" s="687"/>
      <c r="N208" s="687"/>
      <c r="O208" s="687"/>
      <c r="P208" s="688"/>
      <c r="Q208" s="687"/>
      <c r="R208" s="687"/>
      <c r="S208" s="689"/>
      <c r="T208" s="687"/>
      <c r="U208" s="687"/>
      <c r="V208" s="687"/>
      <c r="W208" s="689"/>
      <c r="X208" s="687"/>
      <c r="Y208" s="687"/>
      <c r="Z208" s="687"/>
      <c r="AA208" s="687"/>
      <c r="AB208" s="688"/>
      <c r="AC208" s="687"/>
      <c r="AD208" s="687"/>
      <c r="AE208" s="689"/>
      <c r="AF208" s="687"/>
      <c r="AG208" s="687"/>
      <c r="AH208" s="687"/>
      <c r="AI208" s="689"/>
      <c r="AJ208" s="688"/>
      <c r="AK208" s="687"/>
      <c r="AL208" s="687"/>
      <c r="AM208" s="689"/>
      <c r="AN208" s="687"/>
      <c r="AO208" s="687"/>
      <c r="AP208" s="687"/>
      <c r="AQ208" s="689"/>
      <c r="AR208" s="687"/>
      <c r="AS208" s="687"/>
      <c r="AT208" s="687"/>
      <c r="AU208" s="689"/>
      <c r="AV208" s="687"/>
      <c r="AW208" s="687"/>
      <c r="AX208" s="687"/>
      <c r="AY208" s="689"/>
      <c r="AZ208" s="687"/>
      <c r="BA208" s="687"/>
      <c r="BB208" s="687"/>
      <c r="BC208" s="687"/>
      <c r="BD208" s="688"/>
      <c r="BE208" s="687"/>
      <c r="BF208" s="687"/>
      <c r="BG208" s="689"/>
      <c r="BH208" s="688"/>
      <c r="BI208" s="687"/>
      <c r="BJ208" s="687"/>
      <c r="BK208" s="689"/>
      <c r="BL208" s="688"/>
      <c r="BM208" s="687"/>
      <c r="BN208" s="687"/>
      <c r="BO208" s="689"/>
      <c r="BP208" s="657"/>
      <c r="BQ208" s="8"/>
      <c r="BR208" s="8"/>
      <c r="BS208" s="8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224"/>
      <c r="CG208" s="658"/>
      <c r="CH208" s="363"/>
    </row>
    <row r="209" spans="1:88" ht="14.25" hidden="1" customHeight="1" outlineLevel="3">
      <c r="A209" s="672"/>
      <c r="B209" s="705" t="s">
        <v>370</v>
      </c>
      <c r="C209" s="274"/>
      <c r="D209" s="754"/>
      <c r="E209" s="754"/>
      <c r="F209" s="754"/>
      <c r="G209" s="79"/>
      <c r="H209" s="754"/>
      <c r="I209" s="754"/>
      <c r="J209" s="754"/>
      <c r="K209" s="79"/>
      <c r="L209" s="754"/>
      <c r="M209" s="754"/>
      <c r="N209" s="754"/>
      <c r="O209" s="78"/>
      <c r="P209" s="658"/>
      <c r="Q209" s="318"/>
      <c r="R209" s="318"/>
      <c r="S209" s="79"/>
      <c r="W209" s="79"/>
      <c r="AA209" s="78"/>
      <c r="AB209" s="658"/>
      <c r="AC209" s="318"/>
      <c r="AD209" s="318"/>
      <c r="AE209" s="79"/>
      <c r="AF209" s="318"/>
      <c r="AG209" s="318"/>
      <c r="AH209" s="318"/>
      <c r="AI209" s="79"/>
      <c r="AJ209" s="658"/>
      <c r="AK209" s="318"/>
      <c r="AL209" s="318"/>
      <c r="AM209" s="79"/>
      <c r="AQ209" s="79"/>
      <c r="AU209" s="79"/>
      <c r="AY209" s="79"/>
      <c r="BC209" s="318"/>
      <c r="BD209" s="364"/>
      <c r="BE209" s="363"/>
      <c r="BF209" s="363"/>
      <c r="BG209" s="843"/>
      <c r="BH209" s="364"/>
      <c r="BI209" s="363"/>
      <c r="BJ209" s="363"/>
      <c r="BK209" s="843"/>
      <c r="BL209" s="364"/>
      <c r="BM209" s="363"/>
      <c r="BN209" s="363"/>
      <c r="BO209" s="843"/>
      <c r="BP209" s="657"/>
      <c r="BQ209" s="8"/>
      <c r="BR209" s="8"/>
      <c r="BS209" s="8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224"/>
      <c r="CG209" s="658"/>
      <c r="CH209" s="363"/>
    </row>
    <row r="210" spans="1:88" s="8" customFormat="1" ht="14.25" hidden="1" customHeight="1" outlineLevel="3">
      <c r="A210" s="672"/>
      <c r="B210" s="651" t="s">
        <v>371</v>
      </c>
      <c r="C210" s="274"/>
      <c r="D210" s="754"/>
      <c r="E210" s="754"/>
      <c r="F210" s="754"/>
      <c r="G210" s="79"/>
      <c r="H210" s="754"/>
      <c r="I210" s="754"/>
      <c r="J210" s="754"/>
      <c r="K210" s="79"/>
      <c r="L210" s="754">
        <v>0</v>
      </c>
      <c r="M210" s="754">
        <v>0</v>
      </c>
      <c r="N210" s="754">
        <v>0</v>
      </c>
      <c r="O210" s="78">
        <v>0</v>
      </c>
      <c r="P210" s="847">
        <v>0</v>
      </c>
      <c r="Q210" s="846">
        <v>0</v>
      </c>
      <c r="R210" s="846">
        <v>0</v>
      </c>
      <c r="S210" s="79">
        <v>0</v>
      </c>
      <c r="T210" s="845">
        <v>0</v>
      </c>
      <c r="U210" s="845">
        <v>0</v>
      </c>
      <c r="V210" s="845">
        <v>0</v>
      </c>
      <c r="W210" s="79">
        <v>0</v>
      </c>
      <c r="X210" s="845">
        <v>0</v>
      </c>
      <c r="Y210" s="845">
        <v>0</v>
      </c>
      <c r="Z210" s="845">
        <v>0</v>
      </c>
      <c r="AA210" s="78">
        <v>0</v>
      </c>
      <c r="AB210" s="847">
        <v>0</v>
      </c>
      <c r="AC210" s="846">
        <v>0</v>
      </c>
      <c r="AD210" s="846">
        <v>0</v>
      </c>
      <c r="AE210" s="79">
        <v>0.05</v>
      </c>
      <c r="AF210" s="846">
        <v>0.06</v>
      </c>
      <c r="AG210" s="846">
        <v>0</v>
      </c>
      <c r="AH210" s="848"/>
      <c r="AI210" s="130"/>
      <c r="AJ210" s="849"/>
      <c r="AK210" s="848"/>
      <c r="AL210" s="848"/>
      <c r="AM210" s="130"/>
      <c r="AN210" s="850"/>
      <c r="AO210" s="850"/>
      <c r="AP210" s="850"/>
      <c r="AQ210" s="130"/>
      <c r="AR210" s="850"/>
      <c r="AS210" s="850"/>
      <c r="AT210" s="850"/>
      <c r="AU210" s="130"/>
      <c r="AV210" s="850"/>
      <c r="AW210" s="850"/>
      <c r="AX210" s="850"/>
      <c r="AY210" s="130"/>
      <c r="AZ210" s="850"/>
      <c r="BA210" s="850"/>
      <c r="BB210" s="850"/>
      <c r="BC210" s="848"/>
      <c r="BD210" s="849"/>
      <c r="BE210" s="848"/>
      <c r="BF210" s="848"/>
      <c r="BG210" s="869"/>
      <c r="BH210" s="849"/>
      <c r="BI210" s="848"/>
      <c r="BJ210" s="848"/>
      <c r="BK210" s="869"/>
      <c r="BL210" s="849"/>
      <c r="BM210" s="848"/>
      <c r="BN210" s="848"/>
      <c r="BO210" s="869"/>
      <c r="BP210" s="657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224"/>
      <c r="CG210" s="297"/>
      <c r="CH210" s="14"/>
      <c r="CI210"/>
      <c r="CJ210"/>
    </row>
    <row r="211" spans="1:88" s="8" customFormat="1" ht="14.25" hidden="1" customHeight="1" outlineLevel="3">
      <c r="A211" s="672"/>
      <c r="B211" s="651" t="s">
        <v>372</v>
      </c>
      <c r="C211" s="274"/>
      <c r="D211" s="754"/>
      <c r="E211" s="754"/>
      <c r="F211" s="754"/>
      <c r="G211" s="79"/>
      <c r="H211" s="754"/>
      <c r="I211" s="754"/>
      <c r="J211" s="754"/>
      <c r="K211" s="79"/>
      <c r="L211" s="754">
        <v>0</v>
      </c>
      <c r="M211" s="754">
        <v>0</v>
      </c>
      <c r="N211" s="754">
        <v>0</v>
      </c>
      <c r="O211" s="78">
        <v>0</v>
      </c>
      <c r="P211" s="847">
        <v>0</v>
      </c>
      <c r="Q211" s="846">
        <v>0</v>
      </c>
      <c r="R211" s="846">
        <v>0</v>
      </c>
      <c r="S211" s="79">
        <v>0</v>
      </c>
      <c r="T211" s="845">
        <v>0</v>
      </c>
      <c r="U211" s="845">
        <v>0</v>
      </c>
      <c r="V211" s="845">
        <v>0</v>
      </c>
      <c r="W211" s="79">
        <v>0</v>
      </c>
      <c r="X211" s="845">
        <v>0</v>
      </c>
      <c r="Y211" s="845">
        <v>0</v>
      </c>
      <c r="Z211" s="845">
        <v>0</v>
      </c>
      <c r="AA211" s="78">
        <v>0</v>
      </c>
      <c r="AB211" s="847">
        <v>0</v>
      </c>
      <c r="AC211" s="846">
        <v>0</v>
      </c>
      <c r="AD211" s="846">
        <v>0</v>
      </c>
      <c r="AE211" s="79">
        <v>0.05</v>
      </c>
      <c r="AF211" s="846">
        <v>0.06</v>
      </c>
      <c r="AG211" s="846">
        <v>0</v>
      </c>
      <c r="AH211" s="848"/>
      <c r="AI211" s="130"/>
      <c r="AJ211" s="849"/>
      <c r="AK211" s="848"/>
      <c r="AL211" s="848"/>
      <c r="AM211" s="130"/>
      <c r="AN211" s="850"/>
      <c r="AO211" s="850"/>
      <c r="AP211" s="850"/>
      <c r="AQ211" s="130"/>
      <c r="AR211" s="850"/>
      <c r="AS211" s="850"/>
      <c r="AT211" s="850"/>
      <c r="AU211" s="130"/>
      <c r="AV211" s="850"/>
      <c r="AW211" s="850"/>
      <c r="AX211" s="850"/>
      <c r="AY211" s="130"/>
      <c r="AZ211" s="850"/>
      <c r="BA211" s="850"/>
      <c r="BB211" s="850"/>
      <c r="BC211" s="848"/>
      <c r="BD211" s="849"/>
      <c r="BE211" s="848"/>
      <c r="BF211" s="848"/>
      <c r="BG211" s="869"/>
      <c r="BH211" s="849"/>
      <c r="BI211" s="848"/>
      <c r="BJ211" s="848"/>
      <c r="BK211" s="869"/>
      <c r="BL211" s="849"/>
      <c r="BM211" s="848"/>
      <c r="BN211" s="848"/>
      <c r="BO211" s="869"/>
      <c r="BP211" s="657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224"/>
      <c r="CG211" s="297"/>
      <c r="CH211" s="14"/>
      <c r="CI211"/>
      <c r="CJ211"/>
    </row>
    <row r="212" spans="1:88" s="8" customFormat="1" ht="14.25" hidden="1" customHeight="1" outlineLevel="3">
      <c r="A212" s="672"/>
      <c r="B212" s="651" t="s">
        <v>373</v>
      </c>
      <c r="C212" s="274"/>
      <c r="D212" s="754"/>
      <c r="E212" s="754"/>
      <c r="F212" s="754"/>
      <c r="G212" s="79"/>
      <c r="H212" s="754"/>
      <c r="I212" s="754"/>
      <c r="J212" s="754"/>
      <c r="K212" s="79"/>
      <c r="L212" s="754">
        <v>0</v>
      </c>
      <c r="M212" s="754">
        <v>0</v>
      </c>
      <c r="N212" s="754">
        <v>0</v>
      </c>
      <c r="O212" s="78">
        <v>0</v>
      </c>
      <c r="P212" s="847">
        <v>0</v>
      </c>
      <c r="Q212" s="846">
        <v>0</v>
      </c>
      <c r="R212" s="846">
        <v>0</v>
      </c>
      <c r="S212" s="79">
        <v>0</v>
      </c>
      <c r="T212" s="845">
        <v>0</v>
      </c>
      <c r="U212" s="845">
        <v>0</v>
      </c>
      <c r="V212" s="845">
        <v>0</v>
      </c>
      <c r="W212" s="79">
        <v>0</v>
      </c>
      <c r="X212" s="845">
        <v>0</v>
      </c>
      <c r="Y212" s="845">
        <v>0</v>
      </c>
      <c r="Z212" s="845">
        <v>0</v>
      </c>
      <c r="AA212" s="78">
        <v>0</v>
      </c>
      <c r="AB212" s="847">
        <v>0</v>
      </c>
      <c r="AC212" s="846">
        <v>0</v>
      </c>
      <c r="AD212" s="846">
        <v>0</v>
      </c>
      <c r="AE212" s="79">
        <v>0.05</v>
      </c>
      <c r="AF212" s="846">
        <v>0.06</v>
      </c>
      <c r="AG212" s="846">
        <v>0</v>
      </c>
      <c r="AH212" s="848"/>
      <c r="AI212" s="130"/>
      <c r="AJ212" s="849"/>
      <c r="AK212" s="848"/>
      <c r="AL212" s="848"/>
      <c r="AM212" s="130"/>
      <c r="AN212" s="850"/>
      <c r="AO212" s="850"/>
      <c r="AP212" s="850"/>
      <c r="AQ212" s="130"/>
      <c r="AR212" s="850"/>
      <c r="AS212" s="850"/>
      <c r="AT212" s="850"/>
      <c r="AU212" s="130"/>
      <c r="AV212" s="850"/>
      <c r="AW212" s="850"/>
      <c r="AX212" s="850"/>
      <c r="AY212" s="130"/>
      <c r="AZ212" s="850"/>
      <c r="BA212" s="850"/>
      <c r="BB212" s="850"/>
      <c r="BC212" s="848"/>
      <c r="BD212" s="849"/>
      <c r="BE212" s="848"/>
      <c r="BF212" s="848"/>
      <c r="BG212" s="869"/>
      <c r="BH212" s="849"/>
      <c r="BI212" s="848"/>
      <c r="BJ212" s="848"/>
      <c r="BK212" s="869"/>
      <c r="BL212" s="849"/>
      <c r="BM212" s="848"/>
      <c r="BN212" s="848"/>
      <c r="BO212" s="869"/>
      <c r="BP212" s="657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224"/>
      <c r="CG212" s="297"/>
      <c r="CH212" s="14"/>
      <c r="CI212"/>
      <c r="CJ212"/>
    </row>
    <row r="213" spans="1:88" ht="14.25" hidden="1" customHeight="1" outlineLevel="3">
      <c r="A213" s="672"/>
      <c r="B213" s="824"/>
      <c r="C213" s="274"/>
      <c r="D213" s="754"/>
      <c r="E213" s="754"/>
      <c r="F213" s="754"/>
      <c r="G213" s="79"/>
      <c r="H213" s="754"/>
      <c r="I213" s="754"/>
      <c r="J213" s="754"/>
      <c r="K213" s="79"/>
      <c r="L213" s="754"/>
      <c r="M213" s="754"/>
      <c r="N213" s="754"/>
      <c r="O213" s="78"/>
      <c r="P213" s="658"/>
      <c r="Q213" s="318"/>
      <c r="R213" s="318"/>
      <c r="S213" s="79"/>
      <c r="W213" s="79"/>
      <c r="AA213" s="78"/>
      <c r="AB213" s="658"/>
      <c r="AC213" s="318"/>
      <c r="AD213" s="318"/>
      <c r="AE213" s="79"/>
      <c r="AF213" s="318"/>
      <c r="AG213" s="318"/>
      <c r="AH213" s="318"/>
      <c r="AI213" s="79"/>
      <c r="AJ213" s="658"/>
      <c r="AK213" s="318"/>
      <c r="AL213" s="318"/>
      <c r="AM213" s="79"/>
      <c r="AQ213" s="79"/>
      <c r="AU213" s="79"/>
      <c r="AY213" s="79"/>
      <c r="BC213" s="318"/>
      <c r="BD213" s="364"/>
      <c r="BE213" s="363"/>
      <c r="BF213" s="363"/>
      <c r="BG213" s="843"/>
      <c r="BH213" s="364"/>
      <c r="BI213" s="363"/>
      <c r="BJ213" s="363"/>
      <c r="BK213" s="843"/>
      <c r="BL213" s="364"/>
      <c r="BM213" s="363"/>
      <c r="BN213" s="363"/>
      <c r="BO213" s="843"/>
      <c r="BP213" s="657"/>
      <c r="BQ213" s="8"/>
      <c r="BR213" s="8"/>
      <c r="BS213" s="8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224"/>
      <c r="CG213" s="658"/>
      <c r="CH213" s="363"/>
    </row>
    <row r="214" spans="1:88" ht="14.25" hidden="1" customHeight="1" outlineLevel="3">
      <c r="A214" s="672"/>
      <c r="B214" s="684" t="s">
        <v>374</v>
      </c>
      <c r="C214" s="274"/>
      <c r="D214" s="754"/>
      <c r="E214" s="754"/>
      <c r="F214" s="754"/>
      <c r="G214" s="79"/>
      <c r="H214" s="754"/>
      <c r="I214" s="754"/>
      <c r="J214" s="754"/>
      <c r="K214" s="79"/>
      <c r="L214" s="687">
        <f t="shared" ref="L214:AG214" si="598">L210*(L$136-L$138)</f>
        <v>0</v>
      </c>
      <c r="M214" s="687">
        <f t="shared" si="598"/>
        <v>0</v>
      </c>
      <c r="N214" s="687">
        <f t="shared" si="598"/>
        <v>0</v>
      </c>
      <c r="O214" s="687">
        <f t="shared" si="598"/>
        <v>0</v>
      </c>
      <c r="P214" s="688">
        <f t="shared" si="598"/>
        <v>0</v>
      </c>
      <c r="Q214" s="687">
        <f t="shared" si="598"/>
        <v>0</v>
      </c>
      <c r="R214" s="687">
        <f t="shared" si="598"/>
        <v>0</v>
      </c>
      <c r="S214" s="689">
        <f t="shared" si="598"/>
        <v>0</v>
      </c>
      <c r="T214" s="687">
        <f t="shared" si="598"/>
        <v>0</v>
      </c>
      <c r="U214" s="687">
        <f t="shared" si="598"/>
        <v>0</v>
      </c>
      <c r="V214" s="687">
        <f t="shared" si="598"/>
        <v>0</v>
      </c>
      <c r="W214" s="689">
        <f t="shared" si="598"/>
        <v>0</v>
      </c>
      <c r="X214" s="687">
        <f t="shared" si="598"/>
        <v>0</v>
      </c>
      <c r="Y214" s="687">
        <f t="shared" si="598"/>
        <v>0</v>
      </c>
      <c r="Z214" s="687">
        <f t="shared" si="598"/>
        <v>0</v>
      </c>
      <c r="AA214" s="687">
        <f t="shared" si="598"/>
        <v>0</v>
      </c>
      <c r="AB214" s="688">
        <f t="shared" si="598"/>
        <v>0</v>
      </c>
      <c r="AC214" s="687">
        <f t="shared" si="598"/>
        <v>0</v>
      </c>
      <c r="AD214" s="687">
        <f t="shared" si="598"/>
        <v>0</v>
      </c>
      <c r="AE214" s="689">
        <f t="shared" si="598"/>
        <v>13.482783901000003</v>
      </c>
      <c r="AF214" s="687">
        <f t="shared" si="598"/>
        <v>14.695222369026935</v>
      </c>
      <c r="AG214" s="687">
        <f t="shared" si="598"/>
        <v>0</v>
      </c>
      <c r="AH214" s="687"/>
      <c r="AI214" s="689"/>
      <c r="AJ214" s="688"/>
      <c r="AK214" s="687"/>
      <c r="AL214" s="687"/>
      <c r="AM214" s="689"/>
      <c r="AN214" s="687"/>
      <c r="AO214" s="687"/>
      <c r="AP214" s="687"/>
      <c r="AQ214" s="689"/>
      <c r="AR214" s="687"/>
      <c r="AS214" s="687"/>
      <c r="AT214" s="687"/>
      <c r="AU214" s="689"/>
      <c r="AV214" s="687"/>
      <c r="AW214" s="687"/>
      <c r="AX214" s="687"/>
      <c r="AY214" s="689"/>
      <c r="AZ214" s="687"/>
      <c r="BA214" s="687"/>
      <c r="BB214" s="687"/>
      <c r="BC214" s="687"/>
      <c r="BD214" s="688"/>
      <c r="BE214" s="687"/>
      <c r="BF214" s="687"/>
      <c r="BG214" s="689"/>
      <c r="BH214" s="688"/>
      <c r="BI214" s="687"/>
      <c r="BJ214" s="687"/>
      <c r="BK214" s="689"/>
      <c r="BL214" s="688"/>
      <c r="BM214" s="687"/>
      <c r="BN214" s="687"/>
      <c r="BO214" s="689"/>
      <c r="BP214" s="657"/>
      <c r="BQ214" s="8"/>
      <c r="BR214" s="8"/>
      <c r="BS214" s="273">
        <f>SUM(L214:O214)</f>
        <v>0</v>
      </c>
      <c r="BT214" s="691">
        <f>SUM(P214:S214)</f>
        <v>0</v>
      </c>
      <c r="BU214" s="691">
        <f>SUM(T214:W214)</f>
        <v>0</v>
      </c>
      <c r="BV214" s="691">
        <f>SUM(X214:AA214)</f>
        <v>0</v>
      </c>
      <c r="BW214" s="691">
        <f>SUM(AB214:AE214)</f>
        <v>13.482783901000003</v>
      </c>
      <c r="BX214" s="691">
        <f>SUM(AF214:AI214)</f>
        <v>14.695222369026935</v>
      </c>
      <c r="BY214" s="691">
        <f>SUM(AJ214:AM214)</f>
        <v>0</v>
      </c>
      <c r="BZ214" s="691">
        <f>+SUM(AN214:AQ214)</f>
        <v>0</v>
      </c>
      <c r="CA214" s="691">
        <f>+SUM(AR214:AU214)</f>
        <v>0</v>
      </c>
      <c r="CB214" s="691">
        <f>SUM(AV214:AY214)</f>
        <v>0</v>
      </c>
      <c r="CC214" s="691">
        <f>SUM(AZ214:BC214)</f>
        <v>0</v>
      </c>
      <c r="CD214" s="691">
        <f>SUM(BD214:BG214)</f>
        <v>0</v>
      </c>
      <c r="CE214" s="691">
        <f>SUM(BH214:BK214)</f>
        <v>0</v>
      </c>
      <c r="CF214" s="692">
        <f>SUM(BL214:BO214)</f>
        <v>0</v>
      </c>
      <c r="CG214" s="658"/>
      <c r="CH214" s="363"/>
    </row>
    <row r="215" spans="1:88" ht="14.25" hidden="1" customHeight="1" outlineLevel="3">
      <c r="A215" s="672"/>
      <c r="B215" s="684" t="s">
        <v>375</v>
      </c>
      <c r="C215" s="274"/>
      <c r="D215" s="754"/>
      <c r="E215" s="754"/>
      <c r="F215" s="754"/>
      <c r="G215" s="79"/>
      <c r="H215" s="754"/>
      <c r="I215" s="754"/>
      <c r="J215" s="754"/>
      <c r="K215" s="79"/>
      <c r="L215" s="687">
        <f t="shared" ref="L215:AG215" si="599">L211*L$138</f>
        <v>0</v>
      </c>
      <c r="M215" s="687">
        <f t="shared" si="599"/>
        <v>0</v>
      </c>
      <c r="N215" s="687">
        <f t="shared" si="599"/>
        <v>0</v>
      </c>
      <c r="O215" s="687">
        <f t="shared" si="599"/>
        <v>0</v>
      </c>
      <c r="P215" s="688">
        <f t="shared" si="599"/>
        <v>0</v>
      </c>
      <c r="Q215" s="687">
        <f t="shared" si="599"/>
        <v>0</v>
      </c>
      <c r="R215" s="687">
        <f t="shared" si="599"/>
        <v>0</v>
      </c>
      <c r="S215" s="689">
        <f t="shared" si="599"/>
        <v>0</v>
      </c>
      <c r="T215" s="687">
        <f t="shared" si="599"/>
        <v>0</v>
      </c>
      <c r="U215" s="687">
        <f t="shared" si="599"/>
        <v>0</v>
      </c>
      <c r="V215" s="687">
        <f t="shared" si="599"/>
        <v>0</v>
      </c>
      <c r="W215" s="689">
        <f t="shared" si="599"/>
        <v>0</v>
      </c>
      <c r="X215" s="687">
        <f t="shared" si="599"/>
        <v>0</v>
      </c>
      <c r="Y215" s="687">
        <f t="shared" si="599"/>
        <v>0</v>
      </c>
      <c r="Z215" s="687">
        <f t="shared" si="599"/>
        <v>0</v>
      </c>
      <c r="AA215" s="687">
        <f t="shared" si="599"/>
        <v>0</v>
      </c>
      <c r="AB215" s="688">
        <f t="shared" si="599"/>
        <v>0</v>
      </c>
      <c r="AC215" s="687">
        <f t="shared" si="599"/>
        <v>0</v>
      </c>
      <c r="AD215" s="687">
        <f t="shared" si="599"/>
        <v>0</v>
      </c>
      <c r="AE215" s="689">
        <f t="shared" si="599"/>
        <v>7.8914010899999996</v>
      </c>
      <c r="AF215" s="687">
        <f t="shared" si="599"/>
        <v>8.0517090383764796</v>
      </c>
      <c r="AG215" s="687">
        <f t="shared" si="599"/>
        <v>0</v>
      </c>
      <c r="AH215" s="687"/>
      <c r="AI215" s="689"/>
      <c r="AJ215" s="688"/>
      <c r="AK215" s="687"/>
      <c r="AL215" s="687"/>
      <c r="AM215" s="689"/>
      <c r="AN215" s="687"/>
      <c r="AO215" s="687"/>
      <c r="AP215" s="687"/>
      <c r="AQ215" s="689"/>
      <c r="AR215" s="687"/>
      <c r="AS215" s="687"/>
      <c r="AT215" s="687"/>
      <c r="AU215" s="689"/>
      <c r="AV215" s="687"/>
      <c r="AW215" s="687"/>
      <c r="AX215" s="687"/>
      <c r="AY215" s="689"/>
      <c r="AZ215" s="687"/>
      <c r="BA215" s="687"/>
      <c r="BB215" s="687"/>
      <c r="BC215" s="687"/>
      <c r="BD215" s="688"/>
      <c r="BE215" s="687"/>
      <c r="BF215" s="687"/>
      <c r="BG215" s="689"/>
      <c r="BH215" s="688"/>
      <c r="BI215" s="687"/>
      <c r="BJ215" s="687"/>
      <c r="BK215" s="689"/>
      <c r="BL215" s="688"/>
      <c r="BM215" s="687"/>
      <c r="BN215" s="687"/>
      <c r="BO215" s="689"/>
      <c r="BP215" s="657"/>
      <c r="BQ215" s="8"/>
      <c r="BR215" s="8"/>
      <c r="BS215" s="273">
        <f>SUM(L215:O215)</f>
        <v>0</v>
      </c>
      <c r="BT215" s="691">
        <f>SUM(P215:S215)</f>
        <v>0</v>
      </c>
      <c r="BU215" s="691">
        <f>SUM(T215:W215)</f>
        <v>0</v>
      </c>
      <c r="BV215" s="691">
        <f>SUM(X215:AA215)</f>
        <v>0</v>
      </c>
      <c r="BW215" s="691">
        <f>SUM(AB215:AE215)</f>
        <v>7.8914010899999996</v>
      </c>
      <c r="BX215" s="691">
        <f>SUM(AF215:AI215)</f>
        <v>8.0517090383764796</v>
      </c>
      <c r="BY215" s="691">
        <f>SUM(AJ215:AM215)</f>
        <v>0</v>
      </c>
      <c r="BZ215" s="691">
        <f>+SUM(AN215:AQ215)</f>
        <v>0</v>
      </c>
      <c r="CA215" s="691">
        <f>+SUM(AR215:AU215)</f>
        <v>0</v>
      </c>
      <c r="CB215" s="691">
        <f>SUM(AV215:AY215)</f>
        <v>0</v>
      </c>
      <c r="CC215" s="691">
        <f>SUM(AZ215:BC215)</f>
        <v>0</v>
      </c>
      <c r="CD215" s="691">
        <f>SUM(BD215:BG215)</f>
        <v>0</v>
      </c>
      <c r="CE215" s="691">
        <f t="shared" ref="CE215:CE216" si="600">SUM(BH215:BK215)</f>
        <v>0</v>
      </c>
      <c r="CF215" s="692">
        <f>SUM(BL215:BO215)</f>
        <v>0</v>
      </c>
      <c r="CG215" s="658"/>
      <c r="CH215" s="363"/>
    </row>
    <row r="216" spans="1:88" ht="14.25" hidden="1" customHeight="1" outlineLevel="3">
      <c r="A216" s="672"/>
      <c r="B216" s="684" t="s">
        <v>376</v>
      </c>
      <c r="C216" s="274"/>
      <c r="D216" s="754"/>
      <c r="E216" s="754"/>
      <c r="F216" s="754"/>
      <c r="G216" s="79"/>
      <c r="H216" s="754"/>
      <c r="I216" s="754"/>
      <c r="J216" s="754"/>
      <c r="K216" s="79"/>
      <c r="L216" s="687">
        <f t="shared" ref="L216:AG216" si="601">L212*L$140</f>
        <v>0</v>
      </c>
      <c r="M216" s="687">
        <f t="shared" si="601"/>
        <v>0</v>
      </c>
      <c r="N216" s="687">
        <f t="shared" si="601"/>
        <v>0</v>
      </c>
      <c r="O216" s="687">
        <f t="shared" si="601"/>
        <v>0</v>
      </c>
      <c r="P216" s="688">
        <f t="shared" si="601"/>
        <v>0</v>
      </c>
      <c r="Q216" s="687">
        <f t="shared" si="601"/>
        <v>0</v>
      </c>
      <c r="R216" s="687">
        <f t="shared" si="601"/>
        <v>0</v>
      </c>
      <c r="S216" s="689">
        <f t="shared" si="601"/>
        <v>0</v>
      </c>
      <c r="T216" s="687">
        <f t="shared" si="601"/>
        <v>0</v>
      </c>
      <c r="U216" s="687">
        <f t="shared" si="601"/>
        <v>0</v>
      </c>
      <c r="V216" s="687">
        <f t="shared" si="601"/>
        <v>0</v>
      </c>
      <c r="W216" s="689">
        <f t="shared" si="601"/>
        <v>0</v>
      </c>
      <c r="X216" s="687">
        <f t="shared" si="601"/>
        <v>0</v>
      </c>
      <c r="Y216" s="687">
        <f t="shared" si="601"/>
        <v>0</v>
      </c>
      <c r="Z216" s="687">
        <f t="shared" si="601"/>
        <v>0</v>
      </c>
      <c r="AA216" s="687">
        <f t="shared" si="601"/>
        <v>0</v>
      </c>
      <c r="AB216" s="688">
        <f t="shared" si="601"/>
        <v>0</v>
      </c>
      <c r="AC216" s="687">
        <f t="shared" si="601"/>
        <v>0</v>
      </c>
      <c r="AD216" s="687">
        <f t="shared" si="601"/>
        <v>0</v>
      </c>
      <c r="AE216" s="689">
        <f t="shared" si="601"/>
        <v>1.0611284200000006</v>
      </c>
      <c r="AF216" s="687">
        <f t="shared" si="601"/>
        <v>1.31779248</v>
      </c>
      <c r="AG216" s="687">
        <f t="shared" si="601"/>
        <v>0</v>
      </c>
      <c r="AH216" s="687"/>
      <c r="AI216" s="689"/>
      <c r="AJ216" s="688"/>
      <c r="AK216" s="687"/>
      <c r="AL216" s="687"/>
      <c r="AM216" s="689"/>
      <c r="AN216" s="687"/>
      <c r="AO216" s="687"/>
      <c r="AP216" s="687"/>
      <c r="AQ216" s="689"/>
      <c r="AR216" s="687"/>
      <c r="AS216" s="687"/>
      <c r="AT216" s="687"/>
      <c r="AU216" s="689"/>
      <c r="AV216" s="687"/>
      <c r="AW216" s="687"/>
      <c r="AX216" s="687"/>
      <c r="AY216" s="689"/>
      <c r="AZ216" s="687"/>
      <c r="BA216" s="687"/>
      <c r="BB216" s="687"/>
      <c r="BC216" s="687"/>
      <c r="BD216" s="688"/>
      <c r="BE216" s="687"/>
      <c r="BF216" s="687"/>
      <c r="BG216" s="689"/>
      <c r="BH216" s="688"/>
      <c r="BI216" s="687"/>
      <c r="BJ216" s="687"/>
      <c r="BK216" s="689"/>
      <c r="BL216" s="688"/>
      <c r="BM216" s="687"/>
      <c r="BN216" s="687"/>
      <c r="BO216" s="689"/>
      <c r="BP216" s="657"/>
      <c r="BQ216" s="8"/>
      <c r="BR216" s="8"/>
      <c r="BS216" s="273">
        <f>SUM(L216:O216)</f>
        <v>0</v>
      </c>
      <c r="BT216" s="691">
        <f>SUM(P216:S216)</f>
        <v>0</v>
      </c>
      <c r="BU216" s="691">
        <f>SUM(T216:W216)</f>
        <v>0</v>
      </c>
      <c r="BV216" s="691">
        <f>SUM(X216:AA216)</f>
        <v>0</v>
      </c>
      <c r="BW216" s="691">
        <f>SUM(AB216:AE216)</f>
        <v>1.0611284200000006</v>
      </c>
      <c r="BX216" s="691">
        <f>SUM(AF216:AI216)</f>
        <v>1.31779248</v>
      </c>
      <c r="BY216" s="691">
        <f>SUM(AJ216:AM216)</f>
        <v>0</v>
      </c>
      <c r="BZ216" s="691">
        <f>+SUM(AN216:AQ216)</f>
        <v>0</v>
      </c>
      <c r="CA216" s="691">
        <f>+SUM(AR216:AU216)</f>
        <v>0</v>
      </c>
      <c r="CB216" s="691">
        <f>SUM(AV216:AY216)</f>
        <v>0</v>
      </c>
      <c r="CC216" s="691">
        <f>SUM(AZ216:BC216)</f>
        <v>0</v>
      </c>
      <c r="CD216" s="691">
        <f>SUM(BD216:BG216)</f>
        <v>0</v>
      </c>
      <c r="CE216" s="691">
        <f t="shared" si="600"/>
        <v>0</v>
      </c>
      <c r="CF216" s="692">
        <f>SUM(BL216:BO216)</f>
        <v>0</v>
      </c>
      <c r="CG216" s="658"/>
      <c r="CH216" s="363"/>
    </row>
    <row r="217" spans="1:88" ht="14.25" hidden="1" customHeight="1" outlineLevel="3">
      <c r="A217" s="672"/>
      <c r="B217" s="684"/>
      <c r="C217" s="274"/>
      <c r="D217" s="754"/>
      <c r="E217" s="754"/>
      <c r="F217" s="754"/>
      <c r="G217" s="79"/>
      <c r="H217" s="754"/>
      <c r="I217" s="754"/>
      <c r="J217" s="754"/>
      <c r="K217" s="79"/>
      <c r="L217" s="687"/>
      <c r="M217" s="687"/>
      <c r="N217" s="687"/>
      <c r="O217" s="687"/>
      <c r="P217" s="688"/>
      <c r="Q217" s="687"/>
      <c r="R217" s="687"/>
      <c r="S217" s="689"/>
      <c r="T217" s="687"/>
      <c r="U217" s="687"/>
      <c r="V217" s="687"/>
      <c r="W217" s="689"/>
      <c r="X217" s="687"/>
      <c r="Y217" s="687"/>
      <c r="Z217" s="687"/>
      <c r="AA217" s="687"/>
      <c r="AB217" s="688"/>
      <c r="AC217" s="687"/>
      <c r="AD217" s="687"/>
      <c r="AE217" s="689"/>
      <c r="AF217" s="687"/>
      <c r="AG217" s="687"/>
      <c r="AH217" s="687"/>
      <c r="AI217" s="689"/>
      <c r="AJ217" s="688"/>
      <c r="AK217" s="687"/>
      <c r="AL217" s="687"/>
      <c r="AM217" s="689"/>
      <c r="AN217" s="687"/>
      <c r="AO217" s="687"/>
      <c r="AP217" s="687"/>
      <c r="AQ217" s="689"/>
      <c r="AR217" s="687"/>
      <c r="AS217" s="687"/>
      <c r="AT217" s="687"/>
      <c r="AU217" s="689"/>
      <c r="AV217" s="687"/>
      <c r="AW217" s="687"/>
      <c r="AX217" s="687"/>
      <c r="AY217" s="689"/>
      <c r="AZ217" s="687"/>
      <c r="BA217" s="687"/>
      <c r="BB217" s="687"/>
      <c r="BC217" s="687"/>
      <c r="BD217" s="688"/>
      <c r="BE217" s="687"/>
      <c r="BF217" s="687"/>
      <c r="BG217" s="689"/>
      <c r="BH217" s="688"/>
      <c r="BI217" s="687"/>
      <c r="BJ217" s="687"/>
      <c r="BK217" s="689"/>
      <c r="BL217" s="688"/>
      <c r="BM217" s="687"/>
      <c r="BN217" s="687"/>
      <c r="BO217" s="689"/>
      <c r="BP217" s="657"/>
      <c r="BQ217" s="8"/>
      <c r="BR217" s="8"/>
      <c r="BS217" s="8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224"/>
      <c r="CG217" s="658"/>
      <c r="CH217" s="363"/>
    </row>
    <row r="218" spans="1:88" s="8" customFormat="1" ht="14.25" hidden="1" customHeight="1" outlineLevel="3">
      <c r="A218" s="672"/>
      <c r="B218" s="651" t="s">
        <v>390</v>
      </c>
      <c r="C218" s="274"/>
      <c r="D218" s="754"/>
      <c r="E218" s="754"/>
      <c r="F218" s="754"/>
      <c r="G218" s="79"/>
      <c r="H218" s="754"/>
      <c r="I218" s="754"/>
      <c r="J218" s="754"/>
      <c r="K218" s="79"/>
      <c r="L218" s="754">
        <v>0</v>
      </c>
      <c r="M218" s="754">
        <v>0</v>
      </c>
      <c r="N218" s="754">
        <v>0</v>
      </c>
      <c r="O218" s="78">
        <v>0</v>
      </c>
      <c r="P218" s="847">
        <v>0</v>
      </c>
      <c r="Q218" s="846">
        <v>0</v>
      </c>
      <c r="R218" s="846">
        <v>0</v>
      </c>
      <c r="S218" s="79">
        <v>0</v>
      </c>
      <c r="T218" s="845">
        <v>0</v>
      </c>
      <c r="U218" s="845">
        <v>0</v>
      </c>
      <c r="V218" s="845">
        <v>0</v>
      </c>
      <c r="W218" s="79">
        <v>0</v>
      </c>
      <c r="X218" s="845">
        <v>0</v>
      </c>
      <c r="Y218" s="845">
        <v>0</v>
      </c>
      <c r="Z218" s="845">
        <v>0</v>
      </c>
      <c r="AA218" s="78">
        <v>0</v>
      </c>
      <c r="AB218" s="847">
        <v>0</v>
      </c>
      <c r="AC218" s="846">
        <v>0</v>
      </c>
      <c r="AD218" s="846">
        <v>0</v>
      </c>
      <c r="AE218" s="79">
        <v>0.2</v>
      </c>
      <c r="AF218" s="846">
        <v>0.21</v>
      </c>
      <c r="AG218" s="846">
        <v>0</v>
      </c>
      <c r="AH218" s="848"/>
      <c r="AI218" s="869"/>
      <c r="AJ218" s="849"/>
      <c r="AK218" s="848"/>
      <c r="AL218" s="848"/>
      <c r="AM218" s="130"/>
      <c r="AN218" s="850"/>
      <c r="AO218" s="850"/>
      <c r="AP218" s="850"/>
      <c r="AQ218" s="130"/>
      <c r="AR218" s="850"/>
      <c r="AS218" s="850"/>
      <c r="AT218" s="850"/>
      <c r="AU218" s="130"/>
      <c r="AV218" s="850"/>
      <c r="AW218" s="850"/>
      <c r="AX218" s="850"/>
      <c r="AY218" s="130"/>
      <c r="AZ218" s="850"/>
      <c r="BA218" s="850"/>
      <c r="BB218" s="850"/>
      <c r="BC218" s="129"/>
      <c r="BD218" s="849"/>
      <c r="BE218" s="848"/>
      <c r="BF218" s="848"/>
      <c r="BG218" s="130"/>
      <c r="BH218" s="849"/>
      <c r="BI218" s="848"/>
      <c r="BJ218" s="848"/>
      <c r="BK218" s="130"/>
      <c r="BL218" s="849"/>
      <c r="BM218" s="848"/>
      <c r="BN218" s="848"/>
      <c r="BO218" s="130"/>
      <c r="BP218" s="657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224"/>
      <c r="CG218" s="297"/>
      <c r="CH218" s="14"/>
      <c r="CI218"/>
      <c r="CJ218"/>
    </row>
    <row r="219" spans="1:88" s="8" customFormat="1" ht="14.25" hidden="1" customHeight="1" outlineLevel="3">
      <c r="A219" s="672"/>
      <c r="B219" s="651" t="s">
        <v>391</v>
      </c>
      <c r="C219" s="274"/>
      <c r="D219" s="754"/>
      <c r="E219" s="754"/>
      <c r="F219" s="754"/>
      <c r="G219" s="79"/>
      <c r="H219" s="754"/>
      <c r="I219" s="754"/>
      <c r="J219" s="754"/>
      <c r="K219" s="79"/>
      <c r="L219" s="754">
        <v>0</v>
      </c>
      <c r="M219" s="754">
        <v>0</v>
      </c>
      <c r="N219" s="754">
        <v>0</v>
      </c>
      <c r="O219" s="78">
        <v>0</v>
      </c>
      <c r="P219" s="847">
        <v>0</v>
      </c>
      <c r="Q219" s="846">
        <v>0</v>
      </c>
      <c r="R219" s="846">
        <v>0</v>
      </c>
      <c r="S219" s="79">
        <v>0</v>
      </c>
      <c r="T219" s="845">
        <v>0</v>
      </c>
      <c r="U219" s="845">
        <v>0</v>
      </c>
      <c r="V219" s="845">
        <v>0</v>
      </c>
      <c r="W219" s="79">
        <v>0</v>
      </c>
      <c r="X219" s="845">
        <v>0</v>
      </c>
      <c r="Y219" s="845">
        <v>0</v>
      </c>
      <c r="Z219" s="845">
        <v>0</v>
      </c>
      <c r="AA219" s="78">
        <v>0</v>
      </c>
      <c r="AB219" s="847">
        <v>0</v>
      </c>
      <c r="AC219" s="846">
        <v>0</v>
      </c>
      <c r="AD219" s="846">
        <v>0</v>
      </c>
      <c r="AE219" s="79">
        <v>0.2</v>
      </c>
      <c r="AF219" s="846">
        <v>0.21</v>
      </c>
      <c r="AG219" s="846">
        <v>0</v>
      </c>
      <c r="AH219" s="848"/>
      <c r="AI219" s="869"/>
      <c r="AJ219" s="849"/>
      <c r="AK219" s="848"/>
      <c r="AL219" s="848"/>
      <c r="AM219" s="130"/>
      <c r="AN219" s="850"/>
      <c r="AO219" s="850"/>
      <c r="AP219" s="850"/>
      <c r="AQ219" s="130"/>
      <c r="AR219" s="850"/>
      <c r="AS219" s="850"/>
      <c r="AT219" s="850"/>
      <c r="AU219" s="130"/>
      <c r="AV219" s="850"/>
      <c r="AW219" s="850"/>
      <c r="AX219" s="850"/>
      <c r="AY219" s="130"/>
      <c r="AZ219" s="850"/>
      <c r="BA219" s="850"/>
      <c r="BB219" s="850"/>
      <c r="BC219" s="129"/>
      <c r="BD219" s="849"/>
      <c r="BE219" s="848"/>
      <c r="BF219" s="848"/>
      <c r="BG219" s="130"/>
      <c r="BH219" s="849"/>
      <c r="BI219" s="848"/>
      <c r="BJ219" s="848"/>
      <c r="BK219" s="130"/>
      <c r="BL219" s="849"/>
      <c r="BM219" s="848"/>
      <c r="BN219" s="848"/>
      <c r="BO219" s="130"/>
      <c r="BP219" s="657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224"/>
      <c r="CG219" s="297"/>
      <c r="CH219" s="14"/>
      <c r="CI219"/>
      <c r="CJ219"/>
    </row>
    <row r="220" spans="1:88" s="8" customFormat="1" ht="14.25" hidden="1" customHeight="1" outlineLevel="3">
      <c r="A220" s="672"/>
      <c r="B220" s="651" t="s">
        <v>392</v>
      </c>
      <c r="C220" s="274"/>
      <c r="D220" s="754"/>
      <c r="E220" s="754"/>
      <c r="F220" s="754"/>
      <c r="G220" s="79"/>
      <c r="H220" s="754"/>
      <c r="I220" s="754"/>
      <c r="J220" s="754"/>
      <c r="K220" s="79"/>
      <c r="L220" s="754">
        <v>0</v>
      </c>
      <c r="M220" s="754">
        <v>0</v>
      </c>
      <c r="N220" s="754">
        <v>0</v>
      </c>
      <c r="O220" s="78">
        <v>0</v>
      </c>
      <c r="P220" s="847">
        <v>0</v>
      </c>
      <c r="Q220" s="846">
        <v>0</v>
      </c>
      <c r="R220" s="846">
        <v>0</v>
      </c>
      <c r="S220" s="79">
        <v>0</v>
      </c>
      <c r="T220" s="845">
        <v>0</v>
      </c>
      <c r="U220" s="845">
        <v>0</v>
      </c>
      <c r="V220" s="845">
        <v>0</v>
      </c>
      <c r="W220" s="79">
        <v>0</v>
      </c>
      <c r="X220" s="845">
        <v>0</v>
      </c>
      <c r="Y220" s="845">
        <v>0</v>
      </c>
      <c r="Z220" s="845">
        <v>0</v>
      </c>
      <c r="AA220" s="78">
        <v>0</v>
      </c>
      <c r="AB220" s="847">
        <v>0</v>
      </c>
      <c r="AC220" s="846">
        <v>0</v>
      </c>
      <c r="AD220" s="846">
        <v>0</v>
      </c>
      <c r="AE220" s="79">
        <v>0.2</v>
      </c>
      <c r="AF220" s="846">
        <v>0.21</v>
      </c>
      <c r="AG220" s="846">
        <v>0</v>
      </c>
      <c r="AH220" s="848"/>
      <c r="AI220" s="869"/>
      <c r="AJ220" s="849"/>
      <c r="AK220" s="848"/>
      <c r="AL220" s="848"/>
      <c r="AM220" s="130"/>
      <c r="AN220" s="850"/>
      <c r="AO220" s="850"/>
      <c r="AP220" s="850"/>
      <c r="AQ220" s="130"/>
      <c r="AR220" s="850"/>
      <c r="AS220" s="850"/>
      <c r="AT220" s="850"/>
      <c r="AU220" s="130"/>
      <c r="AV220" s="850"/>
      <c r="AW220" s="850"/>
      <c r="AX220" s="850"/>
      <c r="AY220" s="130"/>
      <c r="AZ220" s="850"/>
      <c r="BA220" s="850"/>
      <c r="BB220" s="850"/>
      <c r="BC220" s="129"/>
      <c r="BD220" s="849"/>
      <c r="BE220" s="848"/>
      <c r="BF220" s="848"/>
      <c r="BG220" s="130"/>
      <c r="BH220" s="849"/>
      <c r="BI220" s="848"/>
      <c r="BJ220" s="848"/>
      <c r="BK220" s="130"/>
      <c r="BL220" s="849"/>
      <c r="BM220" s="848"/>
      <c r="BN220" s="848"/>
      <c r="BO220" s="130"/>
      <c r="BP220" s="657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224"/>
      <c r="CG220" s="297"/>
      <c r="CH220" s="14"/>
      <c r="CI220"/>
      <c r="CJ220"/>
    </row>
    <row r="221" spans="1:88" ht="14.25" hidden="1" customHeight="1" outlineLevel="3">
      <c r="A221" s="672"/>
      <c r="B221" s="824"/>
      <c r="C221" s="274"/>
      <c r="D221" s="754"/>
      <c r="E221" s="754"/>
      <c r="F221" s="754"/>
      <c r="G221" s="79"/>
      <c r="H221" s="754"/>
      <c r="I221" s="754"/>
      <c r="J221" s="754"/>
      <c r="K221" s="79"/>
      <c r="L221" s="754"/>
      <c r="M221" s="754"/>
      <c r="N221" s="754"/>
      <c r="O221" s="78"/>
      <c r="P221" s="658"/>
      <c r="Q221" s="318"/>
      <c r="R221" s="318"/>
      <c r="S221" s="79"/>
      <c r="W221" s="79"/>
      <c r="AA221" s="78"/>
      <c r="AB221" s="658"/>
      <c r="AC221" s="318"/>
      <c r="AD221" s="318"/>
      <c r="AE221" s="79"/>
      <c r="AF221" s="318"/>
      <c r="AG221" s="318"/>
      <c r="AH221" s="318"/>
      <c r="AI221" s="79"/>
      <c r="AJ221" s="658"/>
      <c r="AK221" s="318"/>
      <c r="AL221" s="318"/>
      <c r="AM221" s="79"/>
      <c r="AQ221" s="79"/>
      <c r="AU221" s="79"/>
      <c r="AY221" s="79"/>
      <c r="BC221" s="78"/>
      <c r="BD221" s="364"/>
      <c r="BE221" s="363"/>
      <c r="BF221" s="363"/>
      <c r="BG221" s="79"/>
      <c r="BH221" s="364"/>
      <c r="BI221" s="363"/>
      <c r="BJ221" s="363"/>
      <c r="BK221" s="79"/>
      <c r="BL221" s="364"/>
      <c r="BM221" s="363"/>
      <c r="BN221" s="363"/>
      <c r="BO221" s="79"/>
      <c r="BP221" s="657"/>
      <c r="BQ221" s="8"/>
      <c r="BR221" s="8"/>
      <c r="BS221" s="8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224"/>
      <c r="CG221" s="658"/>
      <c r="CH221" s="363"/>
    </row>
    <row r="222" spans="1:88" ht="14.25" hidden="1" customHeight="1" outlineLevel="3">
      <c r="A222" s="672"/>
      <c r="B222" s="684" t="s">
        <v>393</v>
      </c>
      <c r="C222" s="274"/>
      <c r="D222" s="754"/>
      <c r="E222" s="754"/>
      <c r="F222" s="754"/>
      <c r="G222" s="79"/>
      <c r="H222" s="754"/>
      <c r="I222" s="754"/>
      <c r="J222" s="754"/>
      <c r="K222" s="79"/>
      <c r="L222" s="851">
        <v>2</v>
      </c>
      <c r="M222" s="851">
        <v>2</v>
      </c>
      <c r="N222" s="851">
        <v>2</v>
      </c>
      <c r="O222" s="852">
        <v>2</v>
      </c>
      <c r="P222" s="853">
        <v>2</v>
      </c>
      <c r="Q222" s="852">
        <v>2</v>
      </c>
      <c r="R222" s="852">
        <v>2</v>
      </c>
      <c r="S222" s="854">
        <v>2</v>
      </c>
      <c r="T222" s="851">
        <v>2</v>
      </c>
      <c r="U222" s="851">
        <v>2</v>
      </c>
      <c r="V222" s="851">
        <v>2</v>
      </c>
      <c r="W222" s="854">
        <v>2</v>
      </c>
      <c r="X222" s="851">
        <v>2</v>
      </c>
      <c r="Y222" s="851">
        <v>2</v>
      </c>
      <c r="Z222" s="851">
        <v>2</v>
      </c>
      <c r="AA222" s="852">
        <v>2</v>
      </c>
      <c r="AB222" s="853">
        <f t="shared" ref="AB222:AG222" si="602">AA222-0.01</f>
        <v>1.99</v>
      </c>
      <c r="AC222" s="852">
        <f t="shared" si="602"/>
        <v>1.98</v>
      </c>
      <c r="AD222" s="852">
        <f t="shared" si="602"/>
        <v>1.97</v>
      </c>
      <c r="AE222" s="854">
        <f t="shared" si="602"/>
        <v>1.96</v>
      </c>
      <c r="AF222" s="852">
        <f t="shared" si="602"/>
        <v>1.95</v>
      </c>
      <c r="AG222" s="852">
        <f t="shared" si="602"/>
        <v>1.94</v>
      </c>
      <c r="AH222" s="852"/>
      <c r="AI222" s="854"/>
      <c r="AJ222" s="853"/>
      <c r="AK222" s="852"/>
      <c r="AL222" s="852"/>
      <c r="AM222" s="854"/>
      <c r="AN222" s="851"/>
      <c r="AO222" s="851"/>
      <c r="AP222" s="851"/>
      <c r="AQ222" s="854"/>
      <c r="AR222" s="851"/>
      <c r="AS222" s="851"/>
      <c r="AT222" s="851"/>
      <c r="AU222" s="854"/>
      <c r="AV222" s="851"/>
      <c r="AW222" s="851"/>
      <c r="AX222" s="851"/>
      <c r="AY222" s="854"/>
      <c r="AZ222" s="851"/>
      <c r="BA222" s="851"/>
      <c r="BB222" s="851"/>
      <c r="BC222" s="852"/>
      <c r="BD222" s="853"/>
      <c r="BE222" s="852"/>
      <c r="BF222" s="852"/>
      <c r="BG222" s="854"/>
      <c r="BH222" s="853"/>
      <c r="BI222" s="852"/>
      <c r="BJ222" s="852"/>
      <c r="BK222" s="854"/>
      <c r="BL222" s="853"/>
      <c r="BM222" s="852"/>
      <c r="BN222" s="852"/>
      <c r="BO222" s="854"/>
      <c r="BP222" s="657"/>
      <c r="BQ222" s="8"/>
      <c r="BR222" s="8"/>
      <c r="BS222" s="8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224"/>
      <c r="CG222" s="658"/>
      <c r="CH222" s="363"/>
    </row>
    <row r="223" spans="1:88" ht="14.25" hidden="1" customHeight="1" outlineLevel="3">
      <c r="A223" s="672"/>
      <c r="B223" s="684" t="s">
        <v>394</v>
      </c>
      <c r="C223" s="274"/>
      <c r="D223" s="754"/>
      <c r="E223" s="754"/>
      <c r="F223" s="754"/>
      <c r="G223" s="79"/>
      <c r="H223" s="754"/>
      <c r="I223" s="754"/>
      <c r="J223" s="754"/>
      <c r="K223" s="79"/>
      <c r="L223" s="851">
        <f>L222</f>
        <v>2</v>
      </c>
      <c r="M223" s="851">
        <v>2</v>
      </c>
      <c r="N223" s="851">
        <v>2</v>
      </c>
      <c r="O223" s="852">
        <v>2</v>
      </c>
      <c r="P223" s="853">
        <v>2</v>
      </c>
      <c r="Q223" s="852">
        <v>2</v>
      </c>
      <c r="R223" s="852">
        <v>2</v>
      </c>
      <c r="S223" s="854">
        <v>2</v>
      </c>
      <c r="T223" s="851">
        <v>2</v>
      </c>
      <c r="U223" s="851">
        <v>2</v>
      </c>
      <c r="V223" s="851">
        <v>2</v>
      </c>
      <c r="W223" s="854">
        <v>2</v>
      </c>
      <c r="X223" s="851">
        <v>2</v>
      </c>
      <c r="Y223" s="851">
        <v>2</v>
      </c>
      <c r="Z223" s="851">
        <v>2</v>
      </c>
      <c r="AA223" s="852">
        <v>2</v>
      </c>
      <c r="AB223" s="853">
        <f t="shared" ref="AB223:AG224" si="603">AB222</f>
        <v>1.99</v>
      </c>
      <c r="AC223" s="852">
        <f t="shared" si="603"/>
        <v>1.98</v>
      </c>
      <c r="AD223" s="852">
        <f t="shared" si="603"/>
        <v>1.97</v>
      </c>
      <c r="AE223" s="854">
        <f t="shared" si="603"/>
        <v>1.96</v>
      </c>
      <c r="AF223" s="852">
        <f t="shared" si="603"/>
        <v>1.95</v>
      </c>
      <c r="AG223" s="852">
        <f t="shared" si="603"/>
        <v>1.94</v>
      </c>
      <c r="AH223" s="852"/>
      <c r="AI223" s="854"/>
      <c r="AJ223" s="853"/>
      <c r="AK223" s="852"/>
      <c r="AL223" s="852"/>
      <c r="AM223" s="854"/>
      <c r="AN223" s="851"/>
      <c r="AO223" s="851"/>
      <c r="AP223" s="851"/>
      <c r="AQ223" s="854"/>
      <c r="AR223" s="851"/>
      <c r="AS223" s="851"/>
      <c r="AT223" s="851"/>
      <c r="AU223" s="854"/>
      <c r="AV223" s="851"/>
      <c r="AW223" s="851"/>
      <c r="AX223" s="851"/>
      <c r="AY223" s="854"/>
      <c r="AZ223" s="851"/>
      <c r="BA223" s="851"/>
      <c r="BB223" s="851"/>
      <c r="BC223" s="852"/>
      <c r="BD223" s="853"/>
      <c r="BE223" s="852"/>
      <c r="BF223" s="852"/>
      <c r="BG223" s="854"/>
      <c r="BH223" s="853"/>
      <c r="BI223" s="852"/>
      <c r="BJ223" s="852"/>
      <c r="BK223" s="854"/>
      <c r="BL223" s="853"/>
      <c r="BM223" s="852"/>
      <c r="BN223" s="852"/>
      <c r="BO223" s="854"/>
      <c r="BP223" s="657"/>
      <c r="BQ223" s="8"/>
      <c r="BR223" s="8"/>
      <c r="BS223" s="8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224"/>
      <c r="CG223" s="658"/>
      <c r="CH223" s="363"/>
    </row>
    <row r="224" spans="1:88" ht="14.25" hidden="1" customHeight="1" outlineLevel="3">
      <c r="A224" s="672"/>
      <c r="B224" s="684" t="s">
        <v>395</v>
      </c>
      <c r="C224" s="274"/>
      <c r="D224" s="754"/>
      <c r="E224" s="754"/>
      <c r="F224" s="754"/>
      <c r="G224" s="79"/>
      <c r="H224" s="754"/>
      <c r="I224" s="754"/>
      <c r="J224" s="754"/>
      <c r="K224" s="79"/>
      <c r="L224" s="851">
        <f>L223</f>
        <v>2</v>
      </c>
      <c r="M224" s="851">
        <v>2</v>
      </c>
      <c r="N224" s="851">
        <v>2</v>
      </c>
      <c r="O224" s="852">
        <v>2</v>
      </c>
      <c r="P224" s="853">
        <v>2</v>
      </c>
      <c r="Q224" s="852">
        <v>2</v>
      </c>
      <c r="R224" s="852">
        <v>2</v>
      </c>
      <c r="S224" s="854">
        <v>2</v>
      </c>
      <c r="T224" s="851">
        <v>2</v>
      </c>
      <c r="U224" s="851">
        <v>2</v>
      </c>
      <c r="V224" s="851">
        <v>2</v>
      </c>
      <c r="W224" s="854">
        <v>2</v>
      </c>
      <c r="X224" s="851">
        <v>2</v>
      </c>
      <c r="Y224" s="851">
        <v>2</v>
      </c>
      <c r="Z224" s="851">
        <v>2</v>
      </c>
      <c r="AA224" s="852">
        <v>2</v>
      </c>
      <c r="AB224" s="853">
        <f t="shared" si="603"/>
        <v>1.99</v>
      </c>
      <c r="AC224" s="852">
        <f t="shared" si="603"/>
        <v>1.98</v>
      </c>
      <c r="AD224" s="852">
        <f t="shared" si="603"/>
        <v>1.97</v>
      </c>
      <c r="AE224" s="854">
        <f t="shared" si="603"/>
        <v>1.96</v>
      </c>
      <c r="AF224" s="852">
        <f t="shared" si="603"/>
        <v>1.95</v>
      </c>
      <c r="AG224" s="852">
        <f t="shared" si="603"/>
        <v>1.94</v>
      </c>
      <c r="AH224" s="852"/>
      <c r="AI224" s="854"/>
      <c r="AJ224" s="853"/>
      <c r="AK224" s="852"/>
      <c r="AL224" s="852"/>
      <c r="AM224" s="854"/>
      <c r="AN224" s="851"/>
      <c r="AO224" s="851"/>
      <c r="AP224" s="851"/>
      <c r="AQ224" s="854"/>
      <c r="AR224" s="851"/>
      <c r="AS224" s="851"/>
      <c r="AT224" s="851"/>
      <c r="AU224" s="854"/>
      <c r="AV224" s="851"/>
      <c r="AW224" s="851"/>
      <c r="AX224" s="851"/>
      <c r="AY224" s="854"/>
      <c r="AZ224" s="851"/>
      <c r="BA224" s="851"/>
      <c r="BB224" s="851"/>
      <c r="BC224" s="852"/>
      <c r="BD224" s="853"/>
      <c r="BE224" s="852"/>
      <c r="BF224" s="852"/>
      <c r="BG224" s="854"/>
      <c r="BH224" s="853"/>
      <c r="BI224" s="852"/>
      <c r="BJ224" s="852"/>
      <c r="BK224" s="854"/>
      <c r="BL224" s="853"/>
      <c r="BM224" s="852"/>
      <c r="BN224" s="852"/>
      <c r="BO224" s="854"/>
      <c r="BP224" s="657"/>
      <c r="BQ224" s="8"/>
      <c r="BR224" s="8"/>
      <c r="BS224" s="8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224"/>
      <c r="CG224" s="658"/>
      <c r="CH224" s="363"/>
    </row>
    <row r="225" spans="1:86" ht="14.25" hidden="1" customHeight="1" outlineLevel="3">
      <c r="A225" s="672"/>
      <c r="B225" s="684"/>
      <c r="C225" s="274"/>
      <c r="D225" s="754"/>
      <c r="E225" s="754"/>
      <c r="F225" s="754"/>
      <c r="G225" s="79"/>
      <c r="H225" s="754"/>
      <c r="I225" s="754"/>
      <c r="J225" s="754"/>
      <c r="K225" s="79"/>
      <c r="L225" s="687"/>
      <c r="M225" s="687"/>
      <c r="N225" s="687"/>
      <c r="O225" s="687"/>
      <c r="P225" s="688"/>
      <c r="Q225" s="687"/>
      <c r="R225" s="687"/>
      <c r="S225" s="689"/>
      <c r="T225" s="687"/>
      <c r="U225" s="687"/>
      <c r="V225" s="687"/>
      <c r="W225" s="689"/>
      <c r="X225" s="687"/>
      <c r="Y225" s="687"/>
      <c r="Z225" s="687"/>
      <c r="AA225" s="687"/>
      <c r="AB225" s="688"/>
      <c r="AC225" s="687"/>
      <c r="AD225" s="687"/>
      <c r="AE225" s="689"/>
      <c r="AF225" s="687"/>
      <c r="AG225" s="687"/>
      <c r="AH225" s="687"/>
      <c r="AI225" s="689"/>
      <c r="AJ225" s="688"/>
      <c r="AK225" s="687"/>
      <c r="AL225" s="687"/>
      <c r="AM225" s="689"/>
      <c r="AN225" s="687"/>
      <c r="AO225" s="687"/>
      <c r="AP225" s="687"/>
      <c r="AQ225" s="689"/>
      <c r="AR225" s="687"/>
      <c r="AS225" s="687"/>
      <c r="AT225" s="687"/>
      <c r="AU225" s="689"/>
      <c r="AV225" s="687"/>
      <c r="AW225" s="687"/>
      <c r="AX225" s="687"/>
      <c r="AY225" s="689"/>
      <c r="AZ225" s="687"/>
      <c r="BA225" s="687"/>
      <c r="BB225" s="687"/>
      <c r="BC225" s="687"/>
      <c r="BD225" s="688"/>
      <c r="BE225" s="687"/>
      <c r="BF225" s="687"/>
      <c r="BG225" s="689"/>
      <c r="BH225" s="688"/>
      <c r="BI225" s="687"/>
      <c r="BJ225" s="687"/>
      <c r="BK225" s="689"/>
      <c r="BL225" s="688"/>
      <c r="BM225" s="687"/>
      <c r="BN225" s="687"/>
      <c r="BO225" s="689"/>
      <c r="BP225" s="657"/>
      <c r="BQ225" s="8"/>
      <c r="BR225" s="8"/>
      <c r="BS225" s="8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224"/>
      <c r="CG225" s="658"/>
      <c r="CH225" s="363"/>
    </row>
    <row r="226" spans="1:86" ht="14.25" hidden="1" customHeight="1" outlineLevel="3">
      <c r="A226" s="672"/>
      <c r="B226" s="705" t="str">
        <f>B209&amp;" Revenue from Mobile"</f>
        <v>NFC Revenue from Mobile</v>
      </c>
      <c r="C226" s="274"/>
      <c r="D226" s="754"/>
      <c r="E226" s="754"/>
      <c r="F226" s="754"/>
      <c r="G226" s="79"/>
      <c r="H226" s="754"/>
      <c r="I226" s="754"/>
      <c r="J226" s="754"/>
      <c r="K226" s="79"/>
      <c r="L226" s="687">
        <f t="shared" ref="L226:AG226" si="604">SUMPRODUCT(L210:L212,L214:L216,L222:L224,L218:L220)</f>
        <v>0</v>
      </c>
      <c r="M226" s="687">
        <f t="shared" si="604"/>
        <v>0</v>
      </c>
      <c r="N226" s="687">
        <f t="shared" si="604"/>
        <v>0</v>
      </c>
      <c r="O226" s="687">
        <f t="shared" si="604"/>
        <v>0</v>
      </c>
      <c r="P226" s="688">
        <f t="shared" si="604"/>
        <v>0</v>
      </c>
      <c r="Q226" s="687">
        <f t="shared" si="604"/>
        <v>0</v>
      </c>
      <c r="R226" s="687">
        <f t="shared" si="604"/>
        <v>0</v>
      </c>
      <c r="S226" s="689">
        <f t="shared" si="604"/>
        <v>0</v>
      </c>
      <c r="T226" s="687">
        <f t="shared" si="604"/>
        <v>0</v>
      </c>
      <c r="U226" s="687">
        <f t="shared" si="604"/>
        <v>0</v>
      </c>
      <c r="V226" s="687">
        <f t="shared" si="604"/>
        <v>0</v>
      </c>
      <c r="W226" s="689">
        <f t="shared" si="604"/>
        <v>0</v>
      </c>
      <c r="X226" s="687">
        <f t="shared" si="604"/>
        <v>0</v>
      </c>
      <c r="Y226" s="687">
        <f t="shared" si="604"/>
        <v>0</v>
      </c>
      <c r="Z226" s="687">
        <f t="shared" si="604"/>
        <v>0</v>
      </c>
      <c r="AA226" s="687">
        <f t="shared" si="604"/>
        <v>0</v>
      </c>
      <c r="AB226" s="688">
        <f t="shared" si="604"/>
        <v>0</v>
      </c>
      <c r="AC226" s="687">
        <f t="shared" si="604"/>
        <v>0</v>
      </c>
      <c r="AD226" s="687">
        <f t="shared" si="604"/>
        <v>0</v>
      </c>
      <c r="AE226" s="689">
        <f t="shared" si="604"/>
        <v>0.43973214285560014</v>
      </c>
      <c r="AF226" s="687">
        <f t="shared" si="604"/>
        <v>0.59127026591350185</v>
      </c>
      <c r="AG226" s="687">
        <f t="shared" si="604"/>
        <v>0</v>
      </c>
      <c r="AH226" s="687"/>
      <c r="AI226" s="689"/>
      <c r="AJ226" s="688"/>
      <c r="AK226" s="687"/>
      <c r="AL226" s="687"/>
      <c r="AM226" s="689"/>
      <c r="AN226" s="687"/>
      <c r="AO226" s="687"/>
      <c r="AP226" s="687"/>
      <c r="AQ226" s="689"/>
      <c r="AR226" s="687"/>
      <c r="AS226" s="687"/>
      <c r="AT226" s="687"/>
      <c r="AU226" s="689"/>
      <c r="AV226" s="687"/>
      <c r="AW226" s="687"/>
      <c r="AX226" s="687"/>
      <c r="AY226" s="689"/>
      <c r="AZ226" s="687"/>
      <c r="BA226" s="687"/>
      <c r="BB226" s="687"/>
      <c r="BC226" s="687"/>
      <c r="BD226" s="688"/>
      <c r="BE226" s="687"/>
      <c r="BF226" s="687"/>
      <c r="BG226" s="689"/>
      <c r="BH226" s="688"/>
      <c r="BI226" s="687"/>
      <c r="BJ226" s="687"/>
      <c r="BK226" s="689"/>
      <c r="BL226" s="688"/>
      <c r="BM226" s="687"/>
      <c r="BN226" s="687"/>
      <c r="BO226" s="689"/>
      <c r="BP226" s="657"/>
      <c r="BQ226" s="8"/>
      <c r="BR226" s="8"/>
      <c r="BS226" s="8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224"/>
      <c r="CG226" s="658"/>
      <c r="CH226" s="363"/>
    </row>
    <row r="227" spans="1:86" ht="14.25" hidden="1" customHeight="1" outlineLevel="3">
      <c r="A227" s="672"/>
      <c r="B227" s="651" t="str">
        <f>"% "&amp;B209&amp;" Revenue"</f>
        <v>% NFC Revenue</v>
      </c>
      <c r="C227" s="274"/>
      <c r="D227" s="754"/>
      <c r="E227" s="754"/>
      <c r="F227" s="754"/>
      <c r="G227" s="79"/>
      <c r="H227" s="754"/>
      <c r="I227" s="754"/>
      <c r="J227" s="754"/>
      <c r="K227" s="79"/>
      <c r="L227" s="247" t="str">
        <f>IF(ISERROR(L226/L244),"",L226/L244)</f>
        <v/>
      </c>
      <c r="M227" s="247" t="str">
        <f t="shared" ref="M227:AG227" si="605">IF(ISERROR(M226/M250),"",M226/M250)</f>
        <v/>
      </c>
      <c r="N227" s="247" t="str">
        <f t="shared" si="605"/>
        <v/>
      </c>
      <c r="O227" s="76" t="str">
        <f t="shared" si="605"/>
        <v/>
      </c>
      <c r="P227" s="522" t="str">
        <f t="shared" si="605"/>
        <v/>
      </c>
      <c r="Q227" s="76" t="str">
        <f t="shared" si="605"/>
        <v/>
      </c>
      <c r="R227" s="76" t="str">
        <f t="shared" si="605"/>
        <v/>
      </c>
      <c r="S227" s="77" t="str">
        <f t="shared" si="605"/>
        <v/>
      </c>
      <c r="T227" s="247" t="str">
        <f t="shared" si="605"/>
        <v/>
      </c>
      <c r="U227" s="247" t="str">
        <f t="shared" si="605"/>
        <v/>
      </c>
      <c r="V227" s="247" t="str">
        <f t="shared" si="605"/>
        <v/>
      </c>
      <c r="W227" s="77" t="str">
        <f t="shared" si="605"/>
        <v/>
      </c>
      <c r="X227" s="247" t="str">
        <f t="shared" si="605"/>
        <v/>
      </c>
      <c r="Y227" s="247" t="str">
        <f t="shared" si="605"/>
        <v/>
      </c>
      <c r="Z227" s="247" t="str">
        <f t="shared" si="605"/>
        <v/>
      </c>
      <c r="AA227" s="76" t="str">
        <f t="shared" si="605"/>
        <v/>
      </c>
      <c r="AB227" s="522" t="str">
        <f t="shared" si="605"/>
        <v/>
      </c>
      <c r="AC227" s="76" t="str">
        <f t="shared" si="605"/>
        <v/>
      </c>
      <c r="AD227" s="76" t="str">
        <f t="shared" si="605"/>
        <v/>
      </c>
      <c r="AE227" s="77">
        <f t="shared" si="605"/>
        <v>0.67788840107683723</v>
      </c>
      <c r="AF227" s="76">
        <f t="shared" si="605"/>
        <v>0.74408514114386215</v>
      </c>
      <c r="AG227" s="76" t="str">
        <f t="shared" si="605"/>
        <v/>
      </c>
      <c r="AH227" s="76"/>
      <c r="AI227" s="77"/>
      <c r="AJ227" s="522"/>
      <c r="AK227" s="76"/>
      <c r="AL227" s="76"/>
      <c r="AM227" s="77"/>
      <c r="AN227" s="247"/>
      <c r="AO227" s="247"/>
      <c r="AP227" s="247"/>
      <c r="AQ227" s="77"/>
      <c r="AR227" s="247"/>
      <c r="AS227" s="247"/>
      <c r="AT227" s="247"/>
      <c r="AU227" s="77"/>
      <c r="AV227" s="247"/>
      <c r="AW227" s="247"/>
      <c r="AX227" s="247"/>
      <c r="AY227" s="77"/>
      <c r="AZ227" s="247"/>
      <c r="BA227" s="247"/>
      <c r="BB227" s="247"/>
      <c r="BC227" s="76"/>
      <c r="BD227" s="522"/>
      <c r="BE227" s="76"/>
      <c r="BF227" s="76"/>
      <c r="BG227" s="77"/>
      <c r="BH227" s="522"/>
      <c r="BI227" s="76"/>
      <c r="BJ227" s="76"/>
      <c r="BK227" s="77"/>
      <c r="BL227" s="522"/>
      <c r="BM227" s="76"/>
      <c r="BN227" s="76"/>
      <c r="BO227" s="77"/>
      <c r="BP227" s="657"/>
      <c r="BQ227" s="8"/>
      <c r="BR227" s="8"/>
      <c r="BS227" s="8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224"/>
      <c r="CG227" s="658"/>
      <c r="CH227" s="363"/>
    </row>
    <row r="228" spans="1:86" ht="14.25" hidden="1" customHeight="1" outlineLevel="3">
      <c r="A228" s="672"/>
      <c r="B228" s="705" t="str">
        <f>B209&amp;" Revenue from Other"</f>
        <v>NFC Revenue from Other</v>
      </c>
      <c r="C228" s="274"/>
      <c r="D228" s="754"/>
      <c r="E228" s="754"/>
      <c r="F228" s="754"/>
      <c r="G228" s="79"/>
      <c r="H228" s="754"/>
      <c r="I228" s="754"/>
      <c r="J228" s="754"/>
      <c r="K228" s="79"/>
      <c r="L228" s="687">
        <f t="shared" ref="L228:AG228" si="606">L250-L226</f>
        <v>0</v>
      </c>
      <c r="M228" s="687">
        <f t="shared" si="606"/>
        <v>0</v>
      </c>
      <c r="N228" s="687">
        <f t="shared" si="606"/>
        <v>0</v>
      </c>
      <c r="O228" s="687">
        <f t="shared" si="606"/>
        <v>0</v>
      </c>
      <c r="P228" s="688">
        <f t="shared" si="606"/>
        <v>0</v>
      </c>
      <c r="Q228" s="687">
        <f t="shared" si="606"/>
        <v>0</v>
      </c>
      <c r="R228" s="687">
        <f t="shared" si="606"/>
        <v>0</v>
      </c>
      <c r="S228" s="689">
        <f t="shared" si="606"/>
        <v>0</v>
      </c>
      <c r="T228" s="687">
        <f t="shared" si="606"/>
        <v>0</v>
      </c>
      <c r="U228" s="687">
        <f t="shared" si="606"/>
        <v>0</v>
      </c>
      <c r="V228" s="687">
        <f t="shared" si="606"/>
        <v>0</v>
      </c>
      <c r="W228" s="689">
        <f t="shared" si="606"/>
        <v>0</v>
      </c>
      <c r="X228" s="687">
        <f t="shared" si="606"/>
        <v>0</v>
      </c>
      <c r="Y228" s="687">
        <f t="shared" si="606"/>
        <v>0</v>
      </c>
      <c r="Z228" s="687">
        <f t="shared" si="606"/>
        <v>0</v>
      </c>
      <c r="AA228" s="687">
        <f t="shared" si="606"/>
        <v>0</v>
      </c>
      <c r="AB228" s="688">
        <f t="shared" si="606"/>
        <v>0</v>
      </c>
      <c r="AC228" s="687">
        <f t="shared" si="606"/>
        <v>0</v>
      </c>
      <c r="AD228" s="687">
        <f t="shared" si="606"/>
        <v>0</v>
      </c>
      <c r="AE228" s="689">
        <f t="shared" si="606"/>
        <v>0.2089471119554841</v>
      </c>
      <c r="AF228" s="687">
        <f t="shared" si="606"/>
        <v>0.20335689866682816</v>
      </c>
      <c r="AG228" s="687">
        <f t="shared" si="606"/>
        <v>0</v>
      </c>
      <c r="AH228" s="687"/>
      <c r="AI228" s="689"/>
      <c r="AJ228" s="688"/>
      <c r="AK228" s="687"/>
      <c r="AL228" s="687"/>
      <c r="AM228" s="689"/>
      <c r="AN228" s="687"/>
      <c r="AO228" s="687"/>
      <c r="AP228" s="687"/>
      <c r="AQ228" s="689"/>
      <c r="AR228" s="687"/>
      <c r="AS228" s="687"/>
      <c r="AT228" s="687"/>
      <c r="AU228" s="689"/>
      <c r="AV228" s="687"/>
      <c r="AW228" s="687"/>
      <c r="AX228" s="687"/>
      <c r="AY228" s="689"/>
      <c r="AZ228" s="687"/>
      <c r="BA228" s="687"/>
      <c r="BB228" s="687"/>
      <c r="BC228" s="687"/>
      <c r="BD228" s="688"/>
      <c r="BE228" s="687"/>
      <c r="BF228" s="687"/>
      <c r="BG228" s="689"/>
      <c r="BH228" s="688"/>
      <c r="BI228" s="687"/>
      <c r="BJ228" s="687"/>
      <c r="BK228" s="689"/>
      <c r="BL228" s="688"/>
      <c r="BM228" s="687"/>
      <c r="BN228" s="687"/>
      <c r="BO228" s="689"/>
      <c r="BP228" s="657"/>
      <c r="BQ228" s="8"/>
      <c r="BR228" s="8"/>
      <c r="BS228" s="8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224"/>
      <c r="CG228" s="658"/>
      <c r="CH228" s="363"/>
    </row>
    <row r="229" spans="1:86" ht="14.25" hidden="1" customHeight="1" outlineLevel="3">
      <c r="A229" s="672"/>
      <c r="B229" s="651" t="str">
        <f>"% "&amp;B209&amp;" Revenue"</f>
        <v>% NFC Revenue</v>
      </c>
      <c r="C229" s="274"/>
      <c r="D229" s="754"/>
      <c r="E229" s="754"/>
      <c r="F229" s="754"/>
      <c r="G229" s="79"/>
      <c r="H229" s="754"/>
      <c r="I229" s="754"/>
      <c r="J229" s="754"/>
      <c r="K229" s="79"/>
      <c r="L229" s="247" t="str">
        <f>IF(ISERROR(L228/L244),"",L228/L244)</f>
        <v/>
      </c>
      <c r="M229" s="247">
        <f>IF(ISERROR(M228/M244),"",M228/M244)</f>
        <v>0</v>
      </c>
      <c r="N229" s="247" t="str">
        <f t="shared" ref="N229:AG229" si="607">IF(ISERROR(N228/N250),"",N228/N250)</f>
        <v/>
      </c>
      <c r="O229" s="76" t="str">
        <f t="shared" si="607"/>
        <v/>
      </c>
      <c r="P229" s="522" t="str">
        <f t="shared" si="607"/>
        <v/>
      </c>
      <c r="Q229" s="76" t="str">
        <f t="shared" si="607"/>
        <v/>
      </c>
      <c r="R229" s="76" t="str">
        <f t="shared" si="607"/>
        <v/>
      </c>
      <c r="S229" s="77" t="str">
        <f t="shared" si="607"/>
        <v/>
      </c>
      <c r="T229" s="247" t="str">
        <f t="shared" si="607"/>
        <v/>
      </c>
      <c r="U229" s="247" t="str">
        <f t="shared" si="607"/>
        <v/>
      </c>
      <c r="V229" s="247" t="str">
        <f t="shared" si="607"/>
        <v/>
      </c>
      <c r="W229" s="77" t="str">
        <f t="shared" si="607"/>
        <v/>
      </c>
      <c r="X229" s="247" t="str">
        <f t="shared" si="607"/>
        <v/>
      </c>
      <c r="Y229" s="247" t="str">
        <f t="shared" si="607"/>
        <v/>
      </c>
      <c r="Z229" s="247" t="str">
        <f t="shared" si="607"/>
        <v/>
      </c>
      <c r="AA229" s="76" t="str">
        <f t="shared" si="607"/>
        <v/>
      </c>
      <c r="AB229" s="522" t="str">
        <f t="shared" si="607"/>
        <v/>
      </c>
      <c r="AC229" s="76" t="str">
        <f t="shared" si="607"/>
        <v/>
      </c>
      <c r="AD229" s="76" t="str">
        <f t="shared" si="607"/>
        <v/>
      </c>
      <c r="AE229" s="77">
        <f t="shared" si="607"/>
        <v>0.32211159892316282</v>
      </c>
      <c r="AF229" s="76">
        <f t="shared" si="607"/>
        <v>0.25591485885613785</v>
      </c>
      <c r="AG229" s="76" t="str">
        <f t="shared" si="607"/>
        <v/>
      </c>
      <c r="AH229" s="864"/>
      <c r="AI229" s="865"/>
      <c r="AJ229" s="866"/>
      <c r="AK229" s="864"/>
      <c r="AL229" s="864"/>
      <c r="AM229" s="865"/>
      <c r="AN229" s="867"/>
      <c r="AO229" s="867"/>
      <c r="AP229" s="867"/>
      <c r="AQ229" s="865"/>
      <c r="AR229" s="867"/>
      <c r="AS229" s="867"/>
      <c r="AT229" s="867"/>
      <c r="AU229" s="865"/>
      <c r="AV229" s="867"/>
      <c r="AW229" s="867"/>
      <c r="AX229" s="867"/>
      <c r="AY229" s="865"/>
      <c r="AZ229" s="867"/>
      <c r="BA229" s="867"/>
      <c r="BB229" s="867"/>
      <c r="BC229" s="864"/>
      <c r="BD229" s="866"/>
      <c r="BE229" s="864"/>
      <c r="BF229" s="864"/>
      <c r="BG229" s="865"/>
      <c r="BH229" s="866"/>
      <c r="BI229" s="864"/>
      <c r="BJ229" s="864"/>
      <c r="BK229" s="865"/>
      <c r="BL229" s="866"/>
      <c r="BM229" s="864"/>
      <c r="BN229" s="864"/>
      <c r="BO229" s="865"/>
      <c r="BP229" s="657"/>
      <c r="BQ229" s="8"/>
      <c r="BR229" s="8"/>
      <c r="BS229" s="8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224"/>
      <c r="CG229" s="658"/>
      <c r="CH229" s="363"/>
    </row>
    <row r="230" spans="1:86" ht="14.25" hidden="1" customHeight="1" outlineLevel="3">
      <c r="A230" s="672"/>
      <c r="B230" s="684"/>
      <c r="C230" s="274"/>
      <c r="D230" s="754"/>
      <c r="E230" s="754"/>
      <c r="F230" s="754"/>
      <c r="G230" s="79"/>
      <c r="H230" s="754"/>
      <c r="I230" s="754"/>
      <c r="J230" s="754"/>
      <c r="K230" s="79"/>
      <c r="L230" s="687"/>
      <c r="M230" s="687"/>
      <c r="N230" s="687"/>
      <c r="O230" s="687"/>
      <c r="P230" s="688"/>
      <c r="Q230" s="687"/>
      <c r="R230" s="687"/>
      <c r="S230" s="689"/>
      <c r="T230" s="687"/>
      <c r="U230" s="687"/>
      <c r="V230" s="687"/>
      <c r="W230" s="689"/>
      <c r="X230" s="687"/>
      <c r="Y230" s="687"/>
      <c r="Z230" s="687"/>
      <c r="AA230" s="687"/>
      <c r="AB230" s="688"/>
      <c r="AC230" s="687"/>
      <c r="AD230" s="687"/>
      <c r="AE230" s="689"/>
      <c r="AF230" s="687"/>
      <c r="AG230" s="687"/>
      <c r="AH230" s="687"/>
      <c r="AI230" s="689"/>
      <c r="AJ230" s="688"/>
      <c r="AK230" s="687"/>
      <c r="AL230" s="687"/>
      <c r="AM230" s="689"/>
      <c r="AN230" s="687"/>
      <c r="AO230" s="687"/>
      <c r="AP230" s="687"/>
      <c r="AQ230" s="689"/>
      <c r="AR230" s="687"/>
      <c r="AS230" s="687"/>
      <c r="AT230" s="687"/>
      <c r="AU230" s="689"/>
      <c r="AV230" s="687"/>
      <c r="AW230" s="687"/>
      <c r="AX230" s="687"/>
      <c r="AY230" s="689"/>
      <c r="AZ230" s="687"/>
      <c r="BA230" s="687"/>
      <c r="BB230" s="687"/>
      <c r="BC230" s="687"/>
      <c r="BD230" s="688"/>
      <c r="BE230" s="687"/>
      <c r="BF230" s="687"/>
      <c r="BG230" s="689"/>
      <c r="BH230" s="688"/>
      <c r="BI230" s="687"/>
      <c r="BJ230" s="687"/>
      <c r="BK230" s="689"/>
      <c r="BL230" s="688"/>
      <c r="BM230" s="687"/>
      <c r="BN230" s="687"/>
      <c r="BO230" s="689"/>
      <c r="BP230" s="657"/>
      <c r="BQ230" s="8"/>
      <c r="BR230" s="8"/>
      <c r="BS230" s="8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224"/>
      <c r="CG230" s="658"/>
      <c r="CH230" s="363"/>
    </row>
    <row r="231" spans="1:86" ht="14.25" hidden="1" customHeight="1" outlineLevel="3">
      <c r="A231" s="672"/>
      <c r="B231" s="824" t="s">
        <v>469</v>
      </c>
      <c r="C231" s="274"/>
      <c r="D231" s="754"/>
      <c r="E231" s="754"/>
      <c r="F231" s="754"/>
      <c r="G231" s="79"/>
      <c r="H231" s="754"/>
      <c r="I231" s="754"/>
      <c r="J231" s="754"/>
      <c r="K231" s="79"/>
      <c r="L231" s="870"/>
      <c r="M231" s="870"/>
      <c r="N231" s="870"/>
      <c r="O231" s="870"/>
      <c r="P231" s="871"/>
      <c r="Q231" s="870"/>
      <c r="R231" s="870"/>
      <c r="S231" s="872"/>
      <c r="T231" s="870"/>
      <c r="U231" s="870"/>
      <c r="V231" s="870"/>
      <c r="W231" s="872"/>
      <c r="X231" s="870"/>
      <c r="Y231" s="870"/>
      <c r="Z231" s="870"/>
      <c r="AA231" s="870"/>
      <c r="AB231" s="688"/>
      <c r="AC231" s="687"/>
      <c r="AD231" s="687"/>
      <c r="AE231" s="689"/>
      <c r="AF231" s="687"/>
      <c r="AG231" s="687"/>
      <c r="AH231" s="318"/>
      <c r="AI231" s="79"/>
      <c r="AJ231" s="658"/>
      <c r="AK231" s="318"/>
      <c r="AL231" s="318"/>
      <c r="AM231" s="79"/>
      <c r="AQ231" s="79"/>
      <c r="AU231" s="79"/>
      <c r="AY231" s="79"/>
      <c r="BC231" s="78"/>
      <c r="BD231" s="364"/>
      <c r="BE231" s="363"/>
      <c r="BF231" s="363"/>
      <c r="BG231" s="79"/>
      <c r="BH231" s="364"/>
      <c r="BI231" s="363"/>
      <c r="BJ231" s="363"/>
      <c r="BK231" s="79"/>
      <c r="BL231" s="364"/>
      <c r="BM231" s="363"/>
      <c r="BN231" s="363"/>
      <c r="BO231" s="79"/>
      <c r="BP231" s="657"/>
      <c r="BQ231" s="8"/>
      <c r="BR231" s="8"/>
      <c r="BS231" s="8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224"/>
      <c r="CG231" s="658"/>
      <c r="CH231" s="363"/>
    </row>
    <row r="232" spans="1:86" ht="14.25" hidden="1" customHeight="1" outlineLevel="3">
      <c r="A232" s="672"/>
      <c r="B232" s="705" t="s">
        <v>261</v>
      </c>
      <c r="C232" s="274"/>
      <c r="D232" s="754"/>
      <c r="E232" s="754"/>
      <c r="F232" s="754"/>
      <c r="G232" s="79"/>
      <c r="H232" s="754"/>
      <c r="I232" s="754"/>
      <c r="J232" s="754"/>
      <c r="K232" s="79"/>
      <c r="L232" s="687">
        <f t="shared" ref="L232:AG232" si="608">L$432</f>
        <v>36</v>
      </c>
      <c r="M232" s="687">
        <f t="shared" si="608"/>
        <v>44</v>
      </c>
      <c r="N232" s="687">
        <f t="shared" si="608"/>
        <v>41</v>
      </c>
      <c r="O232" s="687">
        <f t="shared" si="608"/>
        <v>37</v>
      </c>
      <c r="P232" s="688">
        <f t="shared" si="608"/>
        <v>52</v>
      </c>
      <c r="Q232" s="687">
        <f t="shared" si="608"/>
        <v>52</v>
      </c>
      <c r="R232" s="687">
        <f t="shared" si="608"/>
        <v>55</v>
      </c>
      <c r="S232" s="689">
        <f t="shared" si="608"/>
        <v>43</v>
      </c>
      <c r="T232" s="687">
        <f t="shared" si="608"/>
        <v>41</v>
      </c>
      <c r="U232" s="687">
        <f t="shared" si="608"/>
        <v>62</v>
      </c>
      <c r="V232" s="687">
        <f t="shared" si="608"/>
        <v>82</v>
      </c>
      <c r="W232" s="689">
        <f t="shared" si="608"/>
        <v>95</v>
      </c>
      <c r="X232" s="687">
        <f t="shared" si="608"/>
        <v>97</v>
      </c>
      <c r="Y232" s="687">
        <f t="shared" si="608"/>
        <v>102</v>
      </c>
      <c r="Z232" s="687">
        <f t="shared" si="608"/>
        <v>113</v>
      </c>
      <c r="AA232" s="687">
        <f t="shared" si="608"/>
        <v>113</v>
      </c>
      <c r="AB232" s="688">
        <f t="shared" si="608"/>
        <v>136.24863402698819</v>
      </c>
      <c r="AC232" s="687">
        <f t="shared" si="608"/>
        <v>135.67417478515296</v>
      </c>
      <c r="AD232" s="687">
        <f t="shared" si="608"/>
        <v>145.32588619174814</v>
      </c>
      <c r="AE232" s="689">
        <f t="shared" si="608"/>
        <v>149.23323453939582</v>
      </c>
      <c r="AF232" s="687">
        <f t="shared" si="608"/>
        <v>100</v>
      </c>
      <c r="AG232" s="687">
        <f t="shared" si="608"/>
        <v>0</v>
      </c>
      <c r="AH232" s="687"/>
      <c r="AI232" s="689"/>
      <c r="AJ232" s="688"/>
      <c r="AK232" s="687"/>
      <c r="AL232" s="687"/>
      <c r="AM232" s="689"/>
      <c r="AN232" s="687"/>
      <c r="AO232" s="687"/>
      <c r="AP232" s="687"/>
      <c r="AQ232" s="689"/>
      <c r="AR232" s="687"/>
      <c r="AS232" s="687"/>
      <c r="AT232" s="687"/>
      <c r="AU232" s="689"/>
      <c r="AV232" s="687"/>
      <c r="AW232" s="687"/>
      <c r="AX232" s="687"/>
      <c r="AY232" s="689"/>
      <c r="AZ232" s="687"/>
      <c r="BA232" s="687"/>
      <c r="BB232" s="687"/>
      <c r="BC232" s="687"/>
      <c r="BD232" s="688"/>
      <c r="BE232" s="687"/>
      <c r="BF232" s="687"/>
      <c r="BG232" s="689"/>
      <c r="BH232" s="688"/>
      <c r="BI232" s="687"/>
      <c r="BJ232" s="687"/>
      <c r="BK232" s="689"/>
      <c r="BL232" s="688"/>
      <c r="BM232" s="687"/>
      <c r="BN232" s="687"/>
      <c r="BO232" s="689"/>
      <c r="BP232" s="657"/>
      <c r="BQ232" s="8"/>
      <c r="BR232" s="8"/>
      <c r="BS232" s="273">
        <f>SUM(L232:O232)</f>
        <v>158</v>
      </c>
      <c r="BT232" s="691">
        <f>SUM(P232:S232)</f>
        <v>202</v>
      </c>
      <c r="BU232" s="691">
        <f>SUM(T232:W232)</f>
        <v>280</v>
      </c>
      <c r="BV232" s="691">
        <f>SUM(X232:AA232)</f>
        <v>425</v>
      </c>
      <c r="BW232" s="691">
        <f>SUM(AB232:AE232)</f>
        <v>566.4819295432851</v>
      </c>
      <c r="BX232" s="691">
        <f>SUM(AF232:AI232)</f>
        <v>100</v>
      </c>
      <c r="BY232" s="691">
        <f>SUM(AJ232:AM232)</f>
        <v>0</v>
      </c>
      <c r="BZ232" s="691">
        <f>+SUM(AN232:AQ232)</f>
        <v>0</v>
      </c>
      <c r="CA232" s="691">
        <f>+SUM(AR232:AU232)</f>
        <v>0</v>
      </c>
      <c r="CB232" s="691">
        <f>SUM(AV232:AY232)</f>
        <v>0</v>
      </c>
      <c r="CC232" s="691">
        <f>SUM(AZ232:BC232)</f>
        <v>0</v>
      </c>
      <c r="CD232" s="691">
        <f>SUM(BD232:BG232)</f>
        <v>0</v>
      </c>
      <c r="CE232" s="691">
        <f>SUM(BH232:BK232)</f>
        <v>0</v>
      </c>
      <c r="CF232" s="692">
        <f>SUM(BL232:BO232)</f>
        <v>0</v>
      </c>
      <c r="CG232" s="658"/>
      <c r="CH232" s="363"/>
    </row>
    <row r="233" spans="1:86" ht="14.25" hidden="1" customHeight="1" outlineLevel="3">
      <c r="A233" s="672"/>
      <c r="B233" s="651" t="s">
        <v>268</v>
      </c>
      <c r="C233" s="274"/>
      <c r="D233" s="754"/>
      <c r="E233" s="754"/>
      <c r="F233" s="754"/>
      <c r="G233" s="79"/>
      <c r="H233" s="754"/>
      <c r="I233" s="754"/>
      <c r="J233" s="754"/>
      <c r="K233" s="79"/>
      <c r="L233" s="765"/>
      <c r="M233" s="765">
        <f t="shared" ref="M233:AG233" si="609">IF(ISERROR(M232/L232-1),"NA",M232/L232-1)</f>
        <v>0.22222222222222232</v>
      </c>
      <c r="N233" s="765">
        <f t="shared" si="609"/>
        <v>-6.8181818181818232E-2</v>
      </c>
      <c r="O233" s="46">
        <f t="shared" si="609"/>
        <v>-9.7560975609756073E-2</v>
      </c>
      <c r="P233" s="760">
        <f t="shared" si="609"/>
        <v>0.40540540540540548</v>
      </c>
      <c r="Q233" s="46">
        <f t="shared" si="609"/>
        <v>0</v>
      </c>
      <c r="R233" s="46">
        <f t="shared" si="609"/>
        <v>5.7692307692307709E-2</v>
      </c>
      <c r="S233" s="749">
        <f t="shared" si="609"/>
        <v>-0.21818181818181814</v>
      </c>
      <c r="T233" s="765">
        <f t="shared" si="609"/>
        <v>-4.6511627906976716E-2</v>
      </c>
      <c r="U233" s="765">
        <f t="shared" si="609"/>
        <v>0.51219512195121952</v>
      </c>
      <c r="V233" s="765">
        <f t="shared" si="609"/>
        <v>0.32258064516129026</v>
      </c>
      <c r="W233" s="749">
        <f t="shared" si="609"/>
        <v>0.15853658536585358</v>
      </c>
      <c r="X233" s="765">
        <f t="shared" si="609"/>
        <v>2.1052631578947434E-2</v>
      </c>
      <c r="Y233" s="765">
        <f t="shared" si="609"/>
        <v>5.1546391752577359E-2</v>
      </c>
      <c r="Z233" s="765">
        <f t="shared" si="609"/>
        <v>0.10784313725490202</v>
      </c>
      <c r="AA233" s="46">
        <f t="shared" si="609"/>
        <v>0</v>
      </c>
      <c r="AB233" s="760">
        <f t="shared" si="609"/>
        <v>0.20574012413263887</v>
      </c>
      <c r="AC233" s="46">
        <f t="shared" si="609"/>
        <v>-4.2162568890153906E-3</v>
      </c>
      <c r="AD233" s="46">
        <f t="shared" si="609"/>
        <v>7.1138898923683636E-2</v>
      </c>
      <c r="AE233" s="749">
        <f t="shared" si="609"/>
        <v>2.6886802138554877E-2</v>
      </c>
      <c r="AF233" s="46">
        <f t="shared" si="609"/>
        <v>-0.32990797720998821</v>
      </c>
      <c r="AG233" s="46">
        <f t="shared" si="609"/>
        <v>-1</v>
      </c>
      <c r="AH233" s="46"/>
      <c r="AI233" s="749"/>
      <c r="AJ233" s="760"/>
      <c r="AK233" s="46"/>
      <c r="AL233" s="46"/>
      <c r="AM233" s="749"/>
      <c r="AN233" s="765"/>
      <c r="AO233" s="765"/>
      <c r="AP233" s="765"/>
      <c r="AQ233" s="749"/>
      <c r="AR233" s="765"/>
      <c r="AS233" s="765"/>
      <c r="AT233" s="765"/>
      <c r="AU233" s="749"/>
      <c r="AV233" s="765"/>
      <c r="AW233" s="765"/>
      <c r="AX233" s="765"/>
      <c r="AY233" s="749"/>
      <c r="AZ233" s="765"/>
      <c r="BA233" s="765"/>
      <c r="BB233" s="765"/>
      <c r="BC233" s="46"/>
      <c r="BD233" s="760"/>
      <c r="BE233" s="46"/>
      <c r="BF233" s="46"/>
      <c r="BG233" s="749"/>
      <c r="BH233" s="760"/>
      <c r="BI233" s="46"/>
      <c r="BJ233" s="46"/>
      <c r="BK233" s="749"/>
      <c r="BL233" s="760"/>
      <c r="BM233" s="46"/>
      <c r="BN233" s="46"/>
      <c r="BO233" s="749"/>
      <c r="BP233" s="657"/>
      <c r="BQ233" s="8"/>
      <c r="BR233" s="8"/>
      <c r="BS233" s="8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224"/>
      <c r="CG233" s="658"/>
      <c r="CH233" s="363"/>
    </row>
    <row r="234" spans="1:86" ht="14.25" hidden="1" customHeight="1" outlineLevel="3">
      <c r="A234" s="672"/>
      <c r="B234" s="750" t="s">
        <v>269</v>
      </c>
      <c r="C234" s="274"/>
      <c r="D234" s="754"/>
      <c r="E234" s="754"/>
      <c r="F234" s="754"/>
      <c r="G234" s="79"/>
      <c r="H234" s="754"/>
      <c r="I234" s="754"/>
      <c r="J234" s="754"/>
      <c r="K234" s="79"/>
      <c r="L234" s="765"/>
      <c r="M234" s="765"/>
      <c r="N234" s="765"/>
      <c r="O234" s="46"/>
      <c r="P234" s="760">
        <f t="shared" ref="P234:AG234" si="610">IF(ISERROR(P232/L232-1),"NA",P232/L232-1)</f>
        <v>0.44444444444444442</v>
      </c>
      <c r="Q234" s="46">
        <f t="shared" si="610"/>
        <v>0.18181818181818188</v>
      </c>
      <c r="R234" s="46">
        <f t="shared" si="610"/>
        <v>0.34146341463414642</v>
      </c>
      <c r="S234" s="749">
        <f t="shared" si="610"/>
        <v>0.16216216216216206</v>
      </c>
      <c r="T234" s="765">
        <f t="shared" si="610"/>
        <v>-0.21153846153846156</v>
      </c>
      <c r="U234" s="765">
        <f t="shared" si="610"/>
        <v>0.19230769230769229</v>
      </c>
      <c r="V234" s="765">
        <f t="shared" si="610"/>
        <v>0.49090909090909096</v>
      </c>
      <c r="W234" s="749">
        <f t="shared" si="610"/>
        <v>1.2093023255813953</v>
      </c>
      <c r="X234" s="765">
        <f t="shared" si="610"/>
        <v>1.3658536585365852</v>
      </c>
      <c r="Y234" s="765">
        <f t="shared" si="610"/>
        <v>0.64516129032258074</v>
      </c>
      <c r="Z234" s="765">
        <f t="shared" si="610"/>
        <v>0.37804878048780477</v>
      </c>
      <c r="AA234" s="46">
        <f t="shared" si="610"/>
        <v>0.18947368421052624</v>
      </c>
      <c r="AB234" s="760">
        <f t="shared" si="610"/>
        <v>0.40462509306173389</v>
      </c>
      <c r="AC234" s="46">
        <f t="shared" si="610"/>
        <v>0.33013896848189184</v>
      </c>
      <c r="AD234" s="46">
        <f t="shared" si="610"/>
        <v>0.28606978930750571</v>
      </c>
      <c r="AE234" s="749">
        <f t="shared" si="610"/>
        <v>0.32064809326898969</v>
      </c>
      <c r="AF234" s="46">
        <f t="shared" si="610"/>
        <v>-0.26604768763999531</v>
      </c>
      <c r="AG234" s="46">
        <f t="shared" si="610"/>
        <v>-1</v>
      </c>
      <c r="AH234" s="46"/>
      <c r="AI234" s="749"/>
      <c r="AJ234" s="760"/>
      <c r="AK234" s="46"/>
      <c r="AL234" s="46"/>
      <c r="AM234" s="749"/>
      <c r="AN234" s="765"/>
      <c r="AO234" s="765"/>
      <c r="AP234" s="765"/>
      <c r="AQ234" s="749"/>
      <c r="AR234" s="765"/>
      <c r="AS234" s="765"/>
      <c r="AT234" s="765"/>
      <c r="AU234" s="749"/>
      <c r="AV234" s="765"/>
      <c r="AW234" s="765"/>
      <c r="AX234" s="765"/>
      <c r="AY234" s="749"/>
      <c r="AZ234" s="765"/>
      <c r="BA234" s="765"/>
      <c r="BB234" s="765"/>
      <c r="BC234" s="46"/>
      <c r="BD234" s="760"/>
      <c r="BE234" s="46"/>
      <c r="BF234" s="46"/>
      <c r="BG234" s="749"/>
      <c r="BH234" s="760"/>
      <c r="BI234" s="46"/>
      <c r="BJ234" s="46"/>
      <c r="BK234" s="749"/>
      <c r="BL234" s="760"/>
      <c r="BM234" s="46"/>
      <c r="BN234" s="46"/>
      <c r="BO234" s="749"/>
      <c r="BP234" s="657"/>
      <c r="BQ234" s="8"/>
      <c r="BR234" s="751"/>
      <c r="BS234" s="751" t="str">
        <f t="shared" ref="BS234:BZ234" si="611">IF(ISERROR(BS232/BR232-1),"NA",BS232/BR232-1)</f>
        <v>NA</v>
      </c>
      <c r="BT234" s="752">
        <f t="shared" si="611"/>
        <v>0.27848101265822778</v>
      </c>
      <c r="BU234" s="752">
        <f t="shared" si="611"/>
        <v>0.38613861386138604</v>
      </c>
      <c r="BV234" s="752">
        <f t="shared" si="611"/>
        <v>0.51785714285714279</v>
      </c>
      <c r="BW234" s="752">
        <f t="shared" si="611"/>
        <v>0.33289865774890615</v>
      </c>
      <c r="BX234" s="752">
        <f t="shared" si="611"/>
        <v>-0.8234718624111752</v>
      </c>
      <c r="BY234" s="752">
        <f t="shared" si="611"/>
        <v>-1</v>
      </c>
      <c r="BZ234" s="752" t="str">
        <f t="shared" si="611"/>
        <v>NA</v>
      </c>
      <c r="CA234" s="752" t="str">
        <f t="shared" ref="CA234:CF234" si="612">IF(ISERROR(CA232/BZ232-1),"NA",CA232/BZ232-1)</f>
        <v>NA</v>
      </c>
      <c r="CB234" s="752" t="str">
        <f t="shared" si="612"/>
        <v>NA</v>
      </c>
      <c r="CC234" s="752" t="str">
        <f t="shared" si="612"/>
        <v>NA</v>
      </c>
      <c r="CD234" s="752" t="str">
        <f t="shared" si="612"/>
        <v>NA</v>
      </c>
      <c r="CE234" s="752" t="str">
        <f t="shared" si="612"/>
        <v>NA</v>
      </c>
      <c r="CF234" s="753" t="str">
        <f t="shared" si="612"/>
        <v>NA</v>
      </c>
      <c r="CG234" s="658"/>
      <c r="CH234" s="363"/>
    </row>
    <row r="235" spans="1:86" ht="14.25" hidden="1" customHeight="1" outlineLevel="3">
      <c r="A235" s="672"/>
      <c r="B235" s="651" t="s">
        <v>270</v>
      </c>
      <c r="C235" s="274"/>
      <c r="D235" s="754"/>
      <c r="E235" s="754"/>
      <c r="F235" s="754"/>
      <c r="G235" s="79"/>
      <c r="H235" s="754"/>
      <c r="I235" s="754"/>
      <c r="J235" s="754"/>
      <c r="K235" s="79"/>
      <c r="L235" s="765" t="e">
        <f>L232/#REF!</f>
        <v>#REF!</v>
      </c>
      <c r="M235" s="765" t="e">
        <f>M232/#REF!</f>
        <v>#REF!</v>
      </c>
      <c r="N235" s="765" t="e">
        <f>N232/#REF!</f>
        <v>#REF!</v>
      </c>
      <c r="O235" s="46" t="e">
        <f>O232/#REF!</f>
        <v>#REF!</v>
      </c>
      <c r="P235" s="760" t="e">
        <f>P232/#REF!</f>
        <v>#REF!</v>
      </c>
      <c r="Q235" s="46" t="e">
        <f>Q232/#REF!</f>
        <v>#REF!</v>
      </c>
      <c r="R235" s="46" t="e">
        <f>R232/#REF!</f>
        <v>#REF!</v>
      </c>
      <c r="S235" s="749" t="e">
        <f>S232/#REF!</f>
        <v>#REF!</v>
      </c>
      <c r="T235" s="765" t="e">
        <f>T232/#REF!</f>
        <v>#REF!</v>
      </c>
      <c r="U235" s="765" t="e">
        <f>U232/#REF!</f>
        <v>#REF!</v>
      </c>
      <c r="V235" s="765" t="e">
        <f>V232/#REF!</f>
        <v>#REF!</v>
      </c>
      <c r="W235" s="749" t="e">
        <f>W232/#REF!</f>
        <v>#REF!</v>
      </c>
      <c r="X235" s="765" t="e">
        <f>X232/#REF!</f>
        <v>#REF!</v>
      </c>
      <c r="Y235" s="765" t="e">
        <f>Y232/#REF!</f>
        <v>#REF!</v>
      </c>
      <c r="Z235" s="765" t="e">
        <f>Z232/#REF!</f>
        <v>#REF!</v>
      </c>
      <c r="AA235" s="46" t="e">
        <f>AA232/#REF!</f>
        <v>#REF!</v>
      </c>
      <c r="AB235" s="760" t="e">
        <f>AB232/#REF!</f>
        <v>#REF!</v>
      </c>
      <c r="AC235" s="46" t="e">
        <f>AC232/#REF!</f>
        <v>#REF!</v>
      </c>
      <c r="AD235" s="46" t="e">
        <f>AD232/#REF!</f>
        <v>#REF!</v>
      </c>
      <c r="AE235" s="749" t="e">
        <f>AE232/#REF!</f>
        <v>#REF!</v>
      </c>
      <c r="AF235" s="46" t="e">
        <f>AF232/#REF!</f>
        <v>#REF!</v>
      </c>
      <c r="AG235" s="46" t="e">
        <f>AG232/#REF!</f>
        <v>#REF!</v>
      </c>
      <c r="AH235" s="46"/>
      <c r="AI235" s="749"/>
      <c r="AJ235" s="760"/>
      <c r="AK235" s="46"/>
      <c r="AL235" s="46"/>
      <c r="AM235" s="749"/>
      <c r="AN235" s="765"/>
      <c r="AO235" s="765"/>
      <c r="AP235" s="765"/>
      <c r="AQ235" s="749"/>
      <c r="AR235" s="765"/>
      <c r="AS235" s="765"/>
      <c r="AT235" s="765"/>
      <c r="AU235" s="749"/>
      <c r="AV235" s="765"/>
      <c r="AW235" s="765"/>
      <c r="AX235" s="765"/>
      <c r="AY235" s="749"/>
      <c r="AZ235" s="765"/>
      <c r="BA235" s="765"/>
      <c r="BB235" s="765"/>
      <c r="BC235" s="46"/>
      <c r="BD235" s="760"/>
      <c r="BE235" s="46"/>
      <c r="BF235" s="46"/>
      <c r="BG235" s="749"/>
      <c r="BH235" s="760"/>
      <c r="BI235" s="46"/>
      <c r="BJ235" s="46"/>
      <c r="BK235" s="749"/>
      <c r="BL235" s="760"/>
      <c r="BM235" s="46"/>
      <c r="BN235" s="46"/>
      <c r="BO235" s="749"/>
      <c r="BP235" s="657"/>
      <c r="BQ235" s="8"/>
      <c r="BR235" s="751" t="str">
        <f t="shared" ref="BR235:CE235" si="613">IF(ISERROR(BR232/BR14),"NA",BR232/BR14)</f>
        <v>NA</v>
      </c>
      <c r="BS235" s="751">
        <f t="shared" si="613"/>
        <v>1.1421136330779239E-2</v>
      </c>
      <c r="BT235" s="752">
        <f t="shared" si="613"/>
        <v>1.6158707303415728E-2</v>
      </c>
      <c r="BU235" s="752">
        <f t="shared" si="613"/>
        <v>2.6850786344457232E-2</v>
      </c>
      <c r="BV235" s="752">
        <f t="shared" si="613"/>
        <v>3.0431046828010882E-2</v>
      </c>
      <c r="BW235" s="752">
        <f t="shared" si="613"/>
        <v>4.1240676291735959E-2</v>
      </c>
      <c r="BX235" s="752">
        <f t="shared" si="613"/>
        <v>7.7972709551656916E-3</v>
      </c>
      <c r="BY235" s="752">
        <f t="shared" si="613"/>
        <v>0</v>
      </c>
      <c r="BZ235" s="752">
        <f t="shared" si="613"/>
        <v>0</v>
      </c>
      <c r="CA235" s="752">
        <f t="shared" si="613"/>
        <v>0</v>
      </c>
      <c r="CB235" s="752">
        <f t="shared" si="613"/>
        <v>0</v>
      </c>
      <c r="CC235" s="752">
        <f t="shared" si="613"/>
        <v>0</v>
      </c>
      <c r="CD235" s="752">
        <f t="shared" si="613"/>
        <v>0</v>
      </c>
      <c r="CE235" s="752">
        <f t="shared" si="613"/>
        <v>0</v>
      </c>
      <c r="CF235" s="753">
        <f>IF(ISERROR(CF232/CF14),"NA",CF232/CF14)</f>
        <v>0</v>
      </c>
      <c r="CG235" s="658"/>
      <c r="CH235" s="363"/>
    </row>
    <row r="236" spans="1:86" ht="14.25" hidden="1" customHeight="1" outlineLevel="3">
      <c r="A236" s="672"/>
      <c r="B236" s="824"/>
      <c r="C236" s="274"/>
      <c r="D236" s="754"/>
      <c r="E236" s="754"/>
      <c r="F236" s="754"/>
      <c r="G236" s="79"/>
      <c r="H236" s="754"/>
      <c r="I236" s="754"/>
      <c r="J236" s="754"/>
      <c r="K236" s="79"/>
      <c r="L236" s="754"/>
      <c r="M236" s="754"/>
      <c r="N236" s="754"/>
      <c r="O236" s="78"/>
      <c r="P236" s="658"/>
      <c r="Q236" s="318"/>
      <c r="R236" s="318"/>
      <c r="S236" s="79"/>
      <c r="W236" s="79"/>
      <c r="AA236" s="78"/>
      <c r="AB236" s="658"/>
      <c r="AC236" s="318"/>
      <c r="AD236" s="318"/>
      <c r="AE236" s="79"/>
      <c r="AF236" s="318"/>
      <c r="AG236" s="318"/>
      <c r="AH236" s="318"/>
      <c r="AI236" s="79"/>
      <c r="AJ236" s="658"/>
      <c r="AK236" s="318"/>
      <c r="AL236" s="318"/>
      <c r="AM236" s="79"/>
      <c r="AQ236" s="79"/>
      <c r="AU236" s="79"/>
      <c r="AY236" s="79"/>
      <c r="BC236" s="318"/>
      <c r="BD236" s="364"/>
      <c r="BE236" s="363"/>
      <c r="BF236" s="363"/>
      <c r="BG236" s="843"/>
      <c r="BH236" s="364"/>
      <c r="BI236" s="363"/>
      <c r="BJ236" s="363"/>
      <c r="BK236" s="843"/>
      <c r="BL236" s="364"/>
      <c r="BM236" s="363"/>
      <c r="BN236" s="363"/>
      <c r="BO236" s="843"/>
      <c r="BP236" s="657"/>
      <c r="BQ236" s="8"/>
      <c r="BR236" s="8"/>
      <c r="BS236" s="8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224"/>
      <c r="CG236" s="658"/>
      <c r="CH236" s="363"/>
    </row>
    <row r="237" spans="1:86" ht="14.25" hidden="1" customHeight="1" outlineLevel="3">
      <c r="A237" s="672"/>
      <c r="B237" s="824" t="s">
        <v>355</v>
      </c>
      <c r="C237" s="274"/>
      <c r="D237" s="754"/>
      <c r="E237" s="754"/>
      <c r="F237" s="754"/>
      <c r="G237" s="79"/>
      <c r="H237" s="754"/>
      <c r="I237" s="754"/>
      <c r="J237" s="754"/>
      <c r="K237" s="79"/>
      <c r="L237" s="754"/>
      <c r="M237" s="632"/>
      <c r="N237" s="632"/>
      <c r="O237" s="632"/>
      <c r="P237" s="742"/>
      <c r="Q237" s="632"/>
      <c r="R237" s="632"/>
      <c r="S237" s="743"/>
      <c r="T237" s="632"/>
      <c r="U237" s="632"/>
      <c r="V237" s="632"/>
      <c r="W237" s="743"/>
      <c r="X237" s="632"/>
      <c r="Y237" s="632"/>
      <c r="Z237" s="632"/>
      <c r="AA237" s="632"/>
      <c r="AB237" s="742"/>
      <c r="AC237" s="632"/>
      <c r="AD237" s="318"/>
      <c r="AE237" s="79"/>
      <c r="AF237" s="632"/>
      <c r="AG237" s="632"/>
      <c r="AH237" s="318"/>
      <c r="AI237" s="79"/>
      <c r="AJ237" s="658"/>
      <c r="AK237" s="318"/>
      <c r="AL237" s="318"/>
      <c r="AM237" s="79"/>
      <c r="AQ237" s="79"/>
      <c r="AU237" s="79"/>
      <c r="AY237" s="79"/>
      <c r="BC237" s="78"/>
      <c r="BD237" s="364"/>
      <c r="BE237" s="363"/>
      <c r="BF237" s="363"/>
      <c r="BG237" s="79"/>
      <c r="BH237" s="364"/>
      <c r="BI237" s="363"/>
      <c r="BJ237" s="363"/>
      <c r="BK237" s="79"/>
      <c r="BL237" s="364"/>
      <c r="BM237" s="363"/>
      <c r="BN237" s="363"/>
      <c r="BO237" s="79"/>
      <c r="BP237" s="657"/>
      <c r="BQ237" s="8"/>
      <c r="BR237" s="8"/>
      <c r="BS237" s="8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224"/>
      <c r="CG237" s="658"/>
      <c r="CH237" s="363"/>
    </row>
    <row r="238" spans="1:86" ht="14.25" hidden="1" customHeight="1" outlineLevel="3">
      <c r="A238" s="672"/>
      <c r="B238" s="705" t="s">
        <v>261</v>
      </c>
      <c r="C238" s="274"/>
      <c r="D238" s="754"/>
      <c r="E238" s="754"/>
      <c r="F238" s="754"/>
      <c r="G238" s="79"/>
      <c r="H238" s="754"/>
      <c r="I238" s="754"/>
      <c r="J238" s="754"/>
      <c r="K238" s="79"/>
      <c r="L238" s="687">
        <f t="shared" ref="L238:AG238" si="614">L$433</f>
        <v>19</v>
      </c>
      <c r="M238" s="687">
        <f t="shared" si="614"/>
        <v>20</v>
      </c>
      <c r="N238" s="687">
        <f t="shared" si="614"/>
        <v>21</v>
      </c>
      <c r="O238" s="687">
        <f t="shared" si="614"/>
        <v>22</v>
      </c>
      <c r="P238" s="688">
        <f t="shared" si="614"/>
        <v>20</v>
      </c>
      <c r="Q238" s="687">
        <f t="shared" si="614"/>
        <v>20</v>
      </c>
      <c r="R238" s="687">
        <f t="shared" si="614"/>
        <v>21</v>
      </c>
      <c r="S238" s="689">
        <f t="shared" si="614"/>
        <v>17</v>
      </c>
      <c r="T238" s="687">
        <f t="shared" si="614"/>
        <v>6</v>
      </c>
      <c r="U238" s="687">
        <f t="shared" si="614"/>
        <v>12</v>
      </c>
      <c r="V238" s="687">
        <f t="shared" si="614"/>
        <v>18</v>
      </c>
      <c r="W238" s="689">
        <f t="shared" si="614"/>
        <v>19</v>
      </c>
      <c r="X238" s="687">
        <f t="shared" si="614"/>
        <v>18</v>
      </c>
      <c r="Y238" s="687">
        <f t="shared" si="614"/>
        <v>20</v>
      </c>
      <c r="Z238" s="687">
        <f t="shared" si="614"/>
        <v>22</v>
      </c>
      <c r="AA238" s="687">
        <f t="shared" si="614"/>
        <v>22</v>
      </c>
      <c r="AB238" s="688">
        <f t="shared" si="614"/>
        <v>25</v>
      </c>
      <c r="AC238" s="687">
        <f t="shared" si="614"/>
        <v>27</v>
      </c>
      <c r="AD238" s="687">
        <f t="shared" si="614"/>
        <v>27</v>
      </c>
      <c r="AE238" s="689">
        <f t="shared" si="614"/>
        <v>22</v>
      </c>
      <c r="AF238" s="687">
        <f t="shared" si="614"/>
        <v>20</v>
      </c>
      <c r="AG238" s="687">
        <f t="shared" si="614"/>
        <v>0</v>
      </c>
      <c r="AH238" s="687"/>
      <c r="AI238" s="689"/>
      <c r="AJ238" s="688"/>
      <c r="AK238" s="687"/>
      <c r="AL238" s="687"/>
      <c r="AM238" s="689"/>
      <c r="AN238" s="687"/>
      <c r="AO238" s="687"/>
      <c r="AP238" s="687"/>
      <c r="AQ238" s="689"/>
      <c r="AR238" s="687"/>
      <c r="AS238" s="687"/>
      <c r="AT238" s="687"/>
      <c r="AU238" s="689"/>
      <c r="AV238" s="687"/>
      <c r="AW238" s="687"/>
      <c r="AX238" s="687"/>
      <c r="AY238" s="689"/>
      <c r="AZ238" s="687"/>
      <c r="BA238" s="687"/>
      <c r="BB238" s="687"/>
      <c r="BC238" s="687"/>
      <c r="BD238" s="688"/>
      <c r="BE238" s="687"/>
      <c r="BF238" s="687"/>
      <c r="BG238" s="689"/>
      <c r="BH238" s="688"/>
      <c r="BI238" s="687"/>
      <c r="BJ238" s="687"/>
      <c r="BK238" s="689"/>
      <c r="BL238" s="688"/>
      <c r="BM238" s="687"/>
      <c r="BN238" s="687"/>
      <c r="BO238" s="689"/>
      <c r="BP238" s="657"/>
      <c r="BQ238" s="8"/>
      <c r="BR238" s="8"/>
      <c r="BS238" s="273">
        <f>SUM(L238:O238)</f>
        <v>82</v>
      </c>
      <c r="BT238" s="691">
        <f>SUM(P238:S238)</f>
        <v>78</v>
      </c>
      <c r="BU238" s="691">
        <f>SUM(T238:W238)</f>
        <v>55</v>
      </c>
      <c r="BV238" s="691">
        <f>SUM(X238:AA238)</f>
        <v>82</v>
      </c>
      <c r="BW238" s="691">
        <f>SUM(AB238:AE238)</f>
        <v>101</v>
      </c>
      <c r="BX238" s="691">
        <f>SUM(AF238:AI238)</f>
        <v>20</v>
      </c>
      <c r="BY238" s="691">
        <f>SUM(AJ238:AM238)</f>
        <v>0</v>
      </c>
      <c r="BZ238" s="691">
        <f>+SUM(AN238:AQ238)</f>
        <v>0</v>
      </c>
      <c r="CA238" s="691">
        <f>+SUM(AR238:AU238)</f>
        <v>0</v>
      </c>
      <c r="CB238" s="691">
        <f>SUM(AV238:AY238)</f>
        <v>0</v>
      </c>
      <c r="CC238" s="691">
        <f>SUM(AZ238:BC238)</f>
        <v>0</v>
      </c>
      <c r="CD238" s="691">
        <f>SUM(BD238:BG238)</f>
        <v>0</v>
      </c>
      <c r="CE238" s="691">
        <f>SUM(BH238:BK238)</f>
        <v>0</v>
      </c>
      <c r="CF238" s="692">
        <f>SUM(BL238:BO238)</f>
        <v>0</v>
      </c>
      <c r="CG238" s="658"/>
      <c r="CH238" s="363"/>
    </row>
    <row r="239" spans="1:86" ht="14.25" hidden="1" customHeight="1" outlineLevel="3">
      <c r="A239" s="672"/>
      <c r="B239" s="651" t="s">
        <v>268</v>
      </c>
      <c r="C239" s="274"/>
      <c r="D239" s="754"/>
      <c r="E239" s="754"/>
      <c r="F239" s="754"/>
      <c r="G239" s="79"/>
      <c r="H239" s="754"/>
      <c r="I239" s="754"/>
      <c r="J239" s="754"/>
      <c r="K239" s="79"/>
      <c r="L239" s="765"/>
      <c r="M239" s="765">
        <f t="shared" ref="M239:AG239" si="615">IF(ISERROR(M238/L238-1),"NA",M238/L238-1)</f>
        <v>5.2631578947368363E-2</v>
      </c>
      <c r="N239" s="765">
        <f t="shared" si="615"/>
        <v>5.0000000000000044E-2</v>
      </c>
      <c r="O239" s="46">
        <f t="shared" si="615"/>
        <v>4.7619047619047672E-2</v>
      </c>
      <c r="P239" s="760">
        <f t="shared" si="615"/>
        <v>-9.0909090909090939E-2</v>
      </c>
      <c r="Q239" s="46">
        <f t="shared" si="615"/>
        <v>0</v>
      </c>
      <c r="R239" s="46">
        <f t="shared" si="615"/>
        <v>5.0000000000000044E-2</v>
      </c>
      <c r="S239" s="749">
        <f t="shared" si="615"/>
        <v>-0.19047619047619047</v>
      </c>
      <c r="T239" s="765">
        <f t="shared" si="615"/>
        <v>-0.64705882352941169</v>
      </c>
      <c r="U239" s="765">
        <f t="shared" si="615"/>
        <v>1</v>
      </c>
      <c r="V239" s="765">
        <f t="shared" si="615"/>
        <v>0.5</v>
      </c>
      <c r="W239" s="749">
        <f t="shared" si="615"/>
        <v>5.555555555555558E-2</v>
      </c>
      <c r="X239" s="765">
        <f t="shared" si="615"/>
        <v>-5.2631578947368474E-2</v>
      </c>
      <c r="Y239" s="765">
        <f t="shared" si="615"/>
        <v>0.11111111111111116</v>
      </c>
      <c r="Z239" s="765">
        <f t="shared" si="615"/>
        <v>0.10000000000000009</v>
      </c>
      <c r="AA239" s="46">
        <f t="shared" si="615"/>
        <v>0</v>
      </c>
      <c r="AB239" s="760">
        <f t="shared" si="615"/>
        <v>0.13636363636363646</v>
      </c>
      <c r="AC239" s="46">
        <f t="shared" si="615"/>
        <v>8.0000000000000071E-2</v>
      </c>
      <c r="AD239" s="46">
        <f t="shared" si="615"/>
        <v>0</v>
      </c>
      <c r="AE239" s="749">
        <f t="shared" si="615"/>
        <v>-0.18518518518518523</v>
      </c>
      <c r="AF239" s="46">
        <f t="shared" si="615"/>
        <v>-9.0909090909090939E-2</v>
      </c>
      <c r="AG239" s="46">
        <f t="shared" si="615"/>
        <v>-1</v>
      </c>
      <c r="AH239" s="46"/>
      <c r="AI239" s="749"/>
      <c r="AJ239" s="760"/>
      <c r="AK239" s="46"/>
      <c r="AL239" s="46"/>
      <c r="AM239" s="749"/>
      <c r="AN239" s="765"/>
      <c r="AO239" s="765"/>
      <c r="AP239" s="765"/>
      <c r="AQ239" s="749"/>
      <c r="AR239" s="765"/>
      <c r="AS239" s="765"/>
      <c r="AT239" s="765"/>
      <c r="AU239" s="749"/>
      <c r="AV239" s="765"/>
      <c r="AW239" s="765"/>
      <c r="AX239" s="765"/>
      <c r="AY239" s="749"/>
      <c r="AZ239" s="765"/>
      <c r="BA239" s="765"/>
      <c r="BB239" s="765"/>
      <c r="BC239" s="46"/>
      <c r="BD239" s="760"/>
      <c r="BE239" s="46"/>
      <c r="BF239" s="46"/>
      <c r="BG239" s="749"/>
      <c r="BH239" s="760"/>
      <c r="BI239" s="46"/>
      <c r="BJ239" s="46"/>
      <c r="BK239" s="749"/>
      <c r="BL239" s="760"/>
      <c r="BM239" s="46"/>
      <c r="BN239" s="46"/>
      <c r="BO239" s="749"/>
      <c r="BP239" s="657"/>
      <c r="BQ239" s="8"/>
      <c r="BR239" s="8"/>
      <c r="BS239" s="8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224"/>
      <c r="CG239" s="658"/>
      <c r="CH239" s="363"/>
    </row>
    <row r="240" spans="1:86" ht="14.25" hidden="1" customHeight="1" outlineLevel="3">
      <c r="A240" s="672"/>
      <c r="B240" s="750" t="s">
        <v>269</v>
      </c>
      <c r="C240" s="274"/>
      <c r="D240" s="754"/>
      <c r="E240" s="754"/>
      <c r="F240" s="754"/>
      <c r="G240" s="79"/>
      <c r="H240" s="754"/>
      <c r="I240" s="754"/>
      <c r="J240" s="754"/>
      <c r="K240" s="79"/>
      <c r="L240" s="765"/>
      <c r="M240" s="765"/>
      <c r="N240" s="765"/>
      <c r="O240" s="46"/>
      <c r="P240" s="760">
        <f t="shared" ref="P240:AG240" si="616">IF(ISERROR(P238/L238-1),"NA",P238/L238-1)</f>
        <v>5.2631578947368363E-2</v>
      </c>
      <c r="Q240" s="46">
        <f t="shared" si="616"/>
        <v>0</v>
      </c>
      <c r="R240" s="46">
        <f t="shared" si="616"/>
        <v>0</v>
      </c>
      <c r="S240" s="749">
        <f t="shared" si="616"/>
        <v>-0.22727272727272729</v>
      </c>
      <c r="T240" s="765">
        <f t="shared" si="616"/>
        <v>-0.7</v>
      </c>
      <c r="U240" s="765">
        <f t="shared" si="616"/>
        <v>-0.4</v>
      </c>
      <c r="V240" s="765">
        <f t="shared" si="616"/>
        <v>-0.1428571428571429</v>
      </c>
      <c r="W240" s="749">
        <f t="shared" si="616"/>
        <v>0.11764705882352944</v>
      </c>
      <c r="X240" s="765">
        <f t="shared" si="616"/>
        <v>2</v>
      </c>
      <c r="Y240" s="765">
        <f t="shared" si="616"/>
        <v>0.66666666666666674</v>
      </c>
      <c r="Z240" s="765">
        <f t="shared" si="616"/>
        <v>0.22222222222222232</v>
      </c>
      <c r="AA240" s="46">
        <f t="shared" si="616"/>
        <v>0.15789473684210531</v>
      </c>
      <c r="AB240" s="760">
        <f t="shared" si="616"/>
        <v>0.38888888888888884</v>
      </c>
      <c r="AC240" s="46">
        <f t="shared" si="616"/>
        <v>0.35000000000000009</v>
      </c>
      <c r="AD240" s="46">
        <f t="shared" si="616"/>
        <v>0.22727272727272729</v>
      </c>
      <c r="AE240" s="749">
        <f t="shared" si="616"/>
        <v>0</v>
      </c>
      <c r="AF240" s="46">
        <f t="shared" si="616"/>
        <v>-0.19999999999999996</v>
      </c>
      <c r="AG240" s="46">
        <f t="shared" si="616"/>
        <v>-1</v>
      </c>
      <c r="AH240" s="46"/>
      <c r="AI240" s="749"/>
      <c r="AJ240" s="760"/>
      <c r="AK240" s="46"/>
      <c r="AL240" s="46"/>
      <c r="AM240" s="749"/>
      <c r="AN240" s="765"/>
      <c r="AO240" s="765"/>
      <c r="AP240" s="765"/>
      <c r="AQ240" s="749"/>
      <c r="AR240" s="765"/>
      <c r="AS240" s="765"/>
      <c r="AT240" s="765"/>
      <c r="AU240" s="749"/>
      <c r="AV240" s="765"/>
      <c r="AW240" s="765"/>
      <c r="AX240" s="765"/>
      <c r="AY240" s="749"/>
      <c r="AZ240" s="765"/>
      <c r="BA240" s="765"/>
      <c r="BB240" s="765"/>
      <c r="BC240" s="46"/>
      <c r="BD240" s="760"/>
      <c r="BE240" s="46"/>
      <c r="BF240" s="46"/>
      <c r="BG240" s="749"/>
      <c r="BH240" s="760"/>
      <c r="BI240" s="46"/>
      <c r="BJ240" s="46"/>
      <c r="BK240" s="749"/>
      <c r="BL240" s="760"/>
      <c r="BM240" s="46"/>
      <c r="BN240" s="46"/>
      <c r="BO240" s="749"/>
      <c r="BP240" s="657"/>
      <c r="BQ240" s="8"/>
      <c r="BR240" s="751"/>
      <c r="BS240" s="751" t="str">
        <f t="shared" ref="BS240:BZ240" si="617">IF(ISERROR(BS238/BR238-1),"NA",BS238/BR238-1)</f>
        <v>NA</v>
      </c>
      <c r="BT240" s="752">
        <f t="shared" si="617"/>
        <v>-4.8780487804878092E-2</v>
      </c>
      <c r="BU240" s="752">
        <f t="shared" si="617"/>
        <v>-0.29487179487179482</v>
      </c>
      <c r="BV240" s="752">
        <f t="shared" si="617"/>
        <v>0.49090909090909096</v>
      </c>
      <c r="BW240" s="752">
        <f t="shared" si="617"/>
        <v>0.23170731707317072</v>
      </c>
      <c r="BX240" s="752">
        <f t="shared" si="617"/>
        <v>-0.80198019801980203</v>
      </c>
      <c r="BY240" s="752">
        <f t="shared" si="617"/>
        <v>-1</v>
      </c>
      <c r="BZ240" s="752" t="str">
        <f t="shared" si="617"/>
        <v>NA</v>
      </c>
      <c r="CA240" s="752" t="str">
        <f t="shared" ref="CA240:CF240" si="618">IF(ISERROR(CA238/BZ238-1),"NA",CA238/BZ238-1)</f>
        <v>NA</v>
      </c>
      <c r="CB240" s="752" t="str">
        <f t="shared" si="618"/>
        <v>NA</v>
      </c>
      <c r="CC240" s="752" t="str">
        <f t="shared" si="618"/>
        <v>NA</v>
      </c>
      <c r="CD240" s="752" t="str">
        <f t="shared" si="618"/>
        <v>NA</v>
      </c>
      <c r="CE240" s="752" t="str">
        <f t="shared" si="618"/>
        <v>NA</v>
      </c>
      <c r="CF240" s="753" t="str">
        <f t="shared" si="618"/>
        <v>NA</v>
      </c>
      <c r="CG240" s="658"/>
      <c r="CH240" s="363"/>
    </row>
    <row r="241" spans="1:86" ht="14.25" hidden="1" customHeight="1" outlineLevel="3">
      <c r="A241" s="672"/>
      <c r="B241" s="651" t="s">
        <v>270</v>
      </c>
      <c r="C241" s="274"/>
      <c r="D241" s="754"/>
      <c r="E241" s="754"/>
      <c r="F241" s="754"/>
      <c r="G241" s="79"/>
      <c r="H241" s="754"/>
      <c r="I241" s="754"/>
      <c r="J241" s="754"/>
      <c r="K241" s="79"/>
      <c r="L241" s="765" t="e">
        <f>L238/#REF!</f>
        <v>#REF!</v>
      </c>
      <c r="M241" s="765" t="e">
        <f>M238/#REF!</f>
        <v>#REF!</v>
      </c>
      <c r="N241" s="765" t="e">
        <f>N238/#REF!</f>
        <v>#REF!</v>
      </c>
      <c r="O241" s="46" t="e">
        <f>O238/#REF!</f>
        <v>#REF!</v>
      </c>
      <c r="P241" s="760" t="e">
        <f>P238/#REF!</f>
        <v>#REF!</v>
      </c>
      <c r="Q241" s="46" t="e">
        <f>Q238/#REF!</f>
        <v>#REF!</v>
      </c>
      <c r="R241" s="46" t="e">
        <f>R238/#REF!</f>
        <v>#REF!</v>
      </c>
      <c r="S241" s="749" t="e">
        <f>S238/#REF!</f>
        <v>#REF!</v>
      </c>
      <c r="T241" s="765" t="e">
        <f>T238/#REF!</f>
        <v>#REF!</v>
      </c>
      <c r="U241" s="765" t="e">
        <f>U238/#REF!</f>
        <v>#REF!</v>
      </c>
      <c r="V241" s="765" t="e">
        <f>V238/#REF!</f>
        <v>#REF!</v>
      </c>
      <c r="W241" s="749" t="e">
        <f>W238/#REF!</f>
        <v>#REF!</v>
      </c>
      <c r="X241" s="765" t="e">
        <f>X238/#REF!</f>
        <v>#REF!</v>
      </c>
      <c r="Y241" s="765" t="e">
        <f>Y238/#REF!</f>
        <v>#REF!</v>
      </c>
      <c r="Z241" s="765" t="e">
        <f>Z238/#REF!</f>
        <v>#REF!</v>
      </c>
      <c r="AA241" s="46" t="e">
        <f>AA238/#REF!</f>
        <v>#REF!</v>
      </c>
      <c r="AB241" s="760" t="e">
        <f>AB238/#REF!</f>
        <v>#REF!</v>
      </c>
      <c r="AC241" s="46" t="e">
        <f>AC238/#REF!</f>
        <v>#REF!</v>
      </c>
      <c r="AD241" s="46" t="e">
        <f>AD238/#REF!</f>
        <v>#REF!</v>
      </c>
      <c r="AE241" s="749" t="e">
        <f>AE238/#REF!</f>
        <v>#REF!</v>
      </c>
      <c r="AF241" s="46" t="e">
        <f>AF238/#REF!</f>
        <v>#REF!</v>
      </c>
      <c r="AG241" s="46" t="e">
        <f>AG238/#REF!</f>
        <v>#REF!</v>
      </c>
      <c r="AH241" s="46"/>
      <c r="AI241" s="749"/>
      <c r="AJ241" s="760"/>
      <c r="AK241" s="46"/>
      <c r="AL241" s="46"/>
      <c r="AM241" s="749"/>
      <c r="AN241" s="765"/>
      <c r="AO241" s="765"/>
      <c r="AP241" s="765"/>
      <c r="AQ241" s="749"/>
      <c r="AR241" s="765"/>
      <c r="AS241" s="765"/>
      <c r="AT241" s="765"/>
      <c r="AU241" s="749"/>
      <c r="AV241" s="765"/>
      <c r="AW241" s="765"/>
      <c r="AX241" s="765"/>
      <c r="AY241" s="749"/>
      <c r="AZ241" s="765"/>
      <c r="BA241" s="765"/>
      <c r="BB241" s="765"/>
      <c r="BC241" s="46"/>
      <c r="BD241" s="760"/>
      <c r="BE241" s="46"/>
      <c r="BF241" s="46"/>
      <c r="BG241" s="749"/>
      <c r="BH241" s="760"/>
      <c r="BI241" s="46"/>
      <c r="BJ241" s="46"/>
      <c r="BK241" s="749"/>
      <c r="BL241" s="760"/>
      <c r="BM241" s="46"/>
      <c r="BN241" s="46"/>
      <c r="BO241" s="749"/>
      <c r="BP241" s="657"/>
      <c r="BQ241" s="8"/>
      <c r="BR241" s="751" t="str">
        <f t="shared" ref="BR241:CE241" si="619">IF(ISERROR(BR238/BR14),"NA",BR238/BR14)</f>
        <v>NA</v>
      </c>
      <c r="BS241" s="751">
        <f t="shared" si="619"/>
        <v>5.9274251843284657E-3</v>
      </c>
      <c r="BT241" s="752">
        <f t="shared" si="619"/>
        <v>6.239500839932805E-3</v>
      </c>
      <c r="BU241" s="752">
        <f t="shared" si="619"/>
        <v>5.2742616033755272E-3</v>
      </c>
      <c r="BV241" s="752">
        <f t="shared" si="619"/>
        <v>5.8714019762279822E-3</v>
      </c>
      <c r="BW241" s="752">
        <f t="shared" si="619"/>
        <v>7.3529411764705881E-3</v>
      </c>
      <c r="BX241" s="752">
        <f t="shared" si="619"/>
        <v>1.5594541910331384E-3</v>
      </c>
      <c r="BY241" s="752">
        <f t="shared" si="619"/>
        <v>0</v>
      </c>
      <c r="BZ241" s="752">
        <f t="shared" si="619"/>
        <v>0</v>
      </c>
      <c r="CA241" s="752">
        <f t="shared" si="619"/>
        <v>0</v>
      </c>
      <c r="CB241" s="752">
        <f t="shared" si="619"/>
        <v>0</v>
      </c>
      <c r="CC241" s="752">
        <f t="shared" si="619"/>
        <v>0</v>
      </c>
      <c r="CD241" s="752">
        <f t="shared" si="619"/>
        <v>0</v>
      </c>
      <c r="CE241" s="752">
        <f t="shared" si="619"/>
        <v>0</v>
      </c>
      <c r="CF241" s="753">
        <f>IF(ISERROR(CF238/CF14),"NA",CF238/CF14)</f>
        <v>0</v>
      </c>
      <c r="CG241" s="658"/>
      <c r="CH241" s="363"/>
    </row>
    <row r="242" spans="1:86" ht="14.25" hidden="1" customHeight="1" outlineLevel="3">
      <c r="A242" s="672"/>
      <c r="B242" s="824"/>
      <c r="C242" s="274"/>
      <c r="D242" s="754"/>
      <c r="E242" s="754"/>
      <c r="F242" s="754"/>
      <c r="G242" s="79"/>
      <c r="H242" s="754"/>
      <c r="I242" s="754"/>
      <c r="J242" s="754"/>
      <c r="K242" s="79"/>
      <c r="L242" s="754"/>
      <c r="M242" s="754"/>
      <c r="N242" s="754"/>
      <c r="O242" s="78"/>
      <c r="P242" s="658"/>
      <c r="Q242" s="318"/>
      <c r="R242" s="318"/>
      <c r="S242" s="79"/>
      <c r="W242" s="79"/>
      <c r="AA242" s="78"/>
      <c r="AB242" s="658"/>
      <c r="AC242" s="318"/>
      <c r="AD242" s="318"/>
      <c r="AE242" s="79"/>
      <c r="AF242" s="318"/>
      <c r="AG242" s="318"/>
      <c r="AH242" s="318"/>
      <c r="AI242" s="79"/>
      <c r="AJ242" s="658"/>
      <c r="AK242" s="318"/>
      <c r="AL242" s="318"/>
      <c r="AM242" s="79"/>
      <c r="AQ242" s="79"/>
      <c r="AU242" s="79"/>
      <c r="AY242" s="79"/>
      <c r="BC242" s="318"/>
      <c r="BD242" s="364"/>
      <c r="BE242" s="363"/>
      <c r="BF242" s="363"/>
      <c r="BG242" s="843"/>
      <c r="BH242" s="364"/>
      <c r="BI242" s="363"/>
      <c r="BJ242" s="363"/>
      <c r="BK242" s="843"/>
      <c r="BL242" s="364"/>
      <c r="BM242" s="363"/>
      <c r="BN242" s="363"/>
      <c r="BO242" s="843"/>
      <c r="BP242" s="657"/>
      <c r="BQ242" s="8"/>
      <c r="BR242" s="8"/>
      <c r="BS242" s="8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224"/>
      <c r="CG242" s="658"/>
      <c r="CH242" s="363"/>
    </row>
    <row r="243" spans="1:86" ht="14.25" hidden="1" customHeight="1" outlineLevel="3">
      <c r="A243" s="672"/>
      <c r="B243" s="824" t="s">
        <v>362</v>
      </c>
      <c r="C243" s="274"/>
      <c r="D243" s="754"/>
      <c r="E243" s="754"/>
      <c r="F243" s="754"/>
      <c r="G243" s="79"/>
      <c r="H243" s="754"/>
      <c r="I243" s="754"/>
      <c r="J243" s="754"/>
      <c r="K243" s="79"/>
      <c r="L243" s="754"/>
      <c r="M243" s="754"/>
      <c r="N243" s="754"/>
      <c r="O243" s="78"/>
      <c r="P243" s="658"/>
      <c r="Q243" s="318"/>
      <c r="R243" s="318"/>
      <c r="S243" s="79"/>
      <c r="W243" s="79"/>
      <c r="AA243" s="78"/>
      <c r="AB243" s="658"/>
      <c r="AC243" s="318"/>
      <c r="AD243" s="318"/>
      <c r="AE243" s="79"/>
      <c r="AF243" s="318"/>
      <c r="AG243" s="318"/>
      <c r="AH243" s="318"/>
      <c r="AI243" s="79"/>
      <c r="AJ243" s="658"/>
      <c r="AK243" s="318"/>
      <c r="AL243" s="318"/>
      <c r="AM243" s="79"/>
      <c r="AQ243" s="79"/>
      <c r="AU243" s="79"/>
      <c r="AY243" s="79"/>
      <c r="BC243" s="78"/>
      <c r="BD243" s="364"/>
      <c r="BE243" s="363"/>
      <c r="BF243" s="363"/>
      <c r="BG243" s="79"/>
      <c r="BH243" s="364"/>
      <c r="BI243" s="363"/>
      <c r="BJ243" s="363"/>
      <c r="BK243" s="79"/>
      <c r="BL243" s="364"/>
      <c r="BM243" s="363"/>
      <c r="BN243" s="363"/>
      <c r="BO243" s="79"/>
      <c r="BP243" s="657"/>
      <c r="BQ243" s="8"/>
      <c r="BR243" s="8"/>
      <c r="BS243" s="8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224"/>
      <c r="CG243" s="658"/>
      <c r="CH243" s="363"/>
    </row>
    <row r="244" spans="1:86" ht="14.25" hidden="1" customHeight="1" outlineLevel="3">
      <c r="A244" s="672"/>
      <c r="B244" s="705" t="s">
        <v>261</v>
      </c>
      <c r="C244" s="274"/>
      <c r="D244" s="754"/>
      <c r="E244" s="754"/>
      <c r="F244" s="754"/>
      <c r="G244" s="79"/>
      <c r="H244" s="754"/>
      <c r="I244" s="754"/>
      <c r="J244" s="754"/>
      <c r="K244" s="79"/>
      <c r="L244" s="687">
        <f t="shared" ref="L244:AG244" si="620">L$434</f>
        <v>0</v>
      </c>
      <c r="M244" s="687">
        <f t="shared" si="620"/>
        <v>10</v>
      </c>
      <c r="N244" s="687">
        <f t="shared" si="620"/>
        <v>20</v>
      </c>
      <c r="O244" s="687">
        <f t="shared" si="620"/>
        <v>25</v>
      </c>
      <c r="P244" s="688">
        <f t="shared" si="620"/>
        <v>15</v>
      </c>
      <c r="Q244" s="687">
        <f t="shared" si="620"/>
        <v>15</v>
      </c>
      <c r="R244" s="687">
        <f t="shared" si="620"/>
        <v>15</v>
      </c>
      <c r="S244" s="689">
        <f t="shared" si="620"/>
        <v>12</v>
      </c>
      <c r="T244" s="687">
        <f t="shared" si="620"/>
        <v>18</v>
      </c>
      <c r="U244" s="687">
        <f t="shared" si="620"/>
        <v>21</v>
      </c>
      <c r="V244" s="687">
        <f t="shared" si="620"/>
        <v>24</v>
      </c>
      <c r="W244" s="689">
        <f t="shared" si="620"/>
        <v>25</v>
      </c>
      <c r="X244" s="687">
        <f t="shared" si="620"/>
        <v>24</v>
      </c>
      <c r="Y244" s="687">
        <f t="shared" si="620"/>
        <v>24</v>
      </c>
      <c r="Z244" s="687">
        <f t="shared" si="620"/>
        <v>27</v>
      </c>
      <c r="AA244" s="687">
        <f t="shared" si="620"/>
        <v>27</v>
      </c>
      <c r="AB244" s="688">
        <f t="shared" si="620"/>
        <v>27.111108262203832</v>
      </c>
      <c r="AC244" s="687">
        <f t="shared" si="620"/>
        <v>27.037543774490146</v>
      </c>
      <c r="AD244" s="687">
        <f t="shared" si="620"/>
        <v>27.243024405451457</v>
      </c>
      <c r="AE244" s="689">
        <f t="shared" si="620"/>
        <v>27.731576739209491</v>
      </c>
      <c r="AF244" s="687">
        <f t="shared" si="620"/>
        <v>20</v>
      </c>
      <c r="AG244" s="687">
        <f t="shared" si="620"/>
        <v>0</v>
      </c>
      <c r="AH244" s="860"/>
      <c r="AI244" s="861"/>
      <c r="AJ244" s="862"/>
      <c r="AK244" s="860"/>
      <c r="AL244" s="860"/>
      <c r="AM244" s="861"/>
      <c r="AN244" s="860"/>
      <c r="AO244" s="860"/>
      <c r="AP244" s="860"/>
      <c r="AQ244" s="861"/>
      <c r="AR244" s="860"/>
      <c r="AS244" s="860"/>
      <c r="AT244" s="860"/>
      <c r="AU244" s="861"/>
      <c r="AV244" s="860"/>
      <c r="AW244" s="860"/>
      <c r="AX244" s="860"/>
      <c r="AY244" s="861"/>
      <c r="AZ244" s="860"/>
      <c r="BA244" s="860"/>
      <c r="BB244" s="860"/>
      <c r="BC244" s="860"/>
      <c r="BD244" s="862"/>
      <c r="BE244" s="860"/>
      <c r="BF244" s="860"/>
      <c r="BG244" s="861"/>
      <c r="BH244" s="862"/>
      <c r="BI244" s="860"/>
      <c r="BJ244" s="860"/>
      <c r="BK244" s="861"/>
      <c r="BL244" s="862"/>
      <c r="BM244" s="860"/>
      <c r="BN244" s="860"/>
      <c r="BO244" s="861"/>
      <c r="BP244" s="657"/>
      <c r="BQ244" s="8"/>
      <c r="BR244" s="8"/>
      <c r="BS244" s="273">
        <f>SUM(L244:O244)</f>
        <v>55</v>
      </c>
      <c r="BT244" s="691">
        <f>SUM(P244:S244)</f>
        <v>57</v>
      </c>
      <c r="BU244" s="691">
        <f>SUM(T244:W244)</f>
        <v>88</v>
      </c>
      <c r="BV244" s="691">
        <f>SUM(X244:AA244)</f>
        <v>102</v>
      </c>
      <c r="BW244" s="691">
        <f>SUM(AB244:AE244)</f>
        <v>109.12325318135493</v>
      </c>
      <c r="BX244" s="691">
        <f>SUM(AF244:AI244)</f>
        <v>20</v>
      </c>
      <c r="BY244" s="691">
        <f>SUM(AJ244:AM244)</f>
        <v>0</v>
      </c>
      <c r="BZ244" s="691">
        <f>+SUM(AN244:AQ244)</f>
        <v>0</v>
      </c>
      <c r="CA244" s="691">
        <f>+SUM(AR244:AU244)</f>
        <v>0</v>
      </c>
      <c r="CB244" s="691">
        <f>SUM(AV244:AY244)</f>
        <v>0</v>
      </c>
      <c r="CC244" s="691">
        <f>SUM(AZ244:BC244)</f>
        <v>0</v>
      </c>
      <c r="CD244" s="691">
        <f>SUM(BD244:BG244)</f>
        <v>0</v>
      </c>
      <c r="CE244" s="691">
        <f>SUM(BH244:BK244)</f>
        <v>0</v>
      </c>
      <c r="CF244" s="692">
        <f>SUM(BL244:BO244)</f>
        <v>0</v>
      </c>
      <c r="CG244" s="658"/>
      <c r="CH244" s="363"/>
    </row>
    <row r="245" spans="1:86" ht="14.25" hidden="1" customHeight="1" outlineLevel="3">
      <c r="A245" s="672"/>
      <c r="B245" s="651" t="s">
        <v>268</v>
      </c>
      <c r="C245" s="274"/>
      <c r="D245" s="754"/>
      <c r="E245" s="754"/>
      <c r="F245" s="754"/>
      <c r="G245" s="79"/>
      <c r="H245" s="754"/>
      <c r="I245" s="754"/>
      <c r="J245" s="754"/>
      <c r="K245" s="79"/>
      <c r="L245" s="765"/>
      <c r="M245" s="765" t="str">
        <f t="shared" ref="M245:AG245" si="621">IF(ISERROR(M244/L244-1),"NA",M244/L244-1)</f>
        <v>NA</v>
      </c>
      <c r="N245" s="765">
        <f t="shared" si="621"/>
        <v>1</v>
      </c>
      <c r="O245" s="46">
        <f t="shared" si="621"/>
        <v>0.25</v>
      </c>
      <c r="P245" s="760">
        <f t="shared" si="621"/>
        <v>-0.4</v>
      </c>
      <c r="Q245" s="46">
        <f t="shared" si="621"/>
        <v>0</v>
      </c>
      <c r="R245" s="46">
        <f t="shared" si="621"/>
        <v>0</v>
      </c>
      <c r="S245" s="749">
        <f t="shared" si="621"/>
        <v>-0.19999999999999996</v>
      </c>
      <c r="T245" s="765">
        <f t="shared" si="621"/>
        <v>0.5</v>
      </c>
      <c r="U245" s="765">
        <f t="shared" si="621"/>
        <v>0.16666666666666674</v>
      </c>
      <c r="V245" s="765">
        <f t="shared" si="621"/>
        <v>0.14285714285714279</v>
      </c>
      <c r="W245" s="749">
        <f t="shared" si="621"/>
        <v>4.1666666666666741E-2</v>
      </c>
      <c r="X245" s="765">
        <f t="shared" si="621"/>
        <v>-4.0000000000000036E-2</v>
      </c>
      <c r="Y245" s="765">
        <f t="shared" si="621"/>
        <v>0</v>
      </c>
      <c r="Z245" s="765">
        <f t="shared" si="621"/>
        <v>0.125</v>
      </c>
      <c r="AA245" s="46">
        <f t="shared" si="621"/>
        <v>0</v>
      </c>
      <c r="AB245" s="760">
        <f t="shared" si="621"/>
        <v>4.1151208223642044E-3</v>
      </c>
      <c r="AC245" s="46">
        <f t="shared" si="621"/>
        <v>-2.7134445040833954E-3</v>
      </c>
      <c r="AD245" s="46">
        <f t="shared" si="621"/>
        <v>7.5998261038483506E-3</v>
      </c>
      <c r="AE245" s="749">
        <f t="shared" si="621"/>
        <v>1.7933116620497902E-2</v>
      </c>
      <c r="AF245" s="46">
        <f t="shared" si="621"/>
        <v>-0.27880047398379137</v>
      </c>
      <c r="AG245" s="46">
        <f t="shared" si="621"/>
        <v>-1</v>
      </c>
      <c r="AH245" s="873"/>
      <c r="AI245" s="874"/>
      <c r="AJ245" s="875"/>
      <c r="AK245" s="873"/>
      <c r="AL245" s="873"/>
      <c r="AM245" s="874"/>
      <c r="AN245" s="876"/>
      <c r="AO245" s="876"/>
      <c r="AP245" s="876"/>
      <c r="AQ245" s="874"/>
      <c r="AR245" s="876"/>
      <c r="AS245" s="876"/>
      <c r="AT245" s="876"/>
      <c r="AU245" s="874"/>
      <c r="AV245" s="876"/>
      <c r="AW245" s="876"/>
      <c r="AX245" s="876"/>
      <c r="AY245" s="874"/>
      <c r="AZ245" s="876"/>
      <c r="BA245" s="876"/>
      <c r="BB245" s="876"/>
      <c r="BC245" s="873"/>
      <c r="BD245" s="875"/>
      <c r="BE245" s="873"/>
      <c r="BF245" s="873"/>
      <c r="BG245" s="874"/>
      <c r="BH245" s="875"/>
      <c r="BI245" s="873"/>
      <c r="BJ245" s="873"/>
      <c r="BK245" s="874"/>
      <c r="BL245" s="875"/>
      <c r="BM245" s="873"/>
      <c r="BN245" s="873"/>
      <c r="BO245" s="874"/>
      <c r="BP245" s="657"/>
      <c r="BQ245" s="8"/>
      <c r="BR245" s="8"/>
      <c r="BS245" s="8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224"/>
      <c r="CG245" s="658"/>
      <c r="CH245" s="363"/>
    </row>
    <row r="246" spans="1:86" ht="14.25" hidden="1" customHeight="1" outlineLevel="3">
      <c r="A246" s="672"/>
      <c r="P246" s="658"/>
      <c r="Q246" s="318"/>
      <c r="R246" s="318"/>
      <c r="S246" s="843"/>
      <c r="AB246" s="658"/>
      <c r="AC246" s="318"/>
      <c r="AD246" s="318"/>
      <c r="AE246" s="843"/>
      <c r="AF246" s="318"/>
      <c r="AG246" s="318"/>
      <c r="AH246" s="318"/>
      <c r="AI246" s="843"/>
      <c r="AJ246" s="658"/>
      <c r="AK246" s="318"/>
      <c r="AL246" s="318"/>
      <c r="AM246" s="843"/>
      <c r="AQ246" s="843"/>
      <c r="AU246" s="843"/>
      <c r="AY246" s="843"/>
      <c r="BC246" s="318"/>
      <c r="BD246" s="364"/>
      <c r="BE246" s="363"/>
      <c r="BF246" s="363"/>
      <c r="BG246" s="843"/>
      <c r="BH246" s="364"/>
      <c r="BI246" s="363"/>
      <c r="BJ246" s="363"/>
      <c r="BK246" s="843"/>
      <c r="BL246" s="364"/>
      <c r="BM246" s="363"/>
      <c r="BN246" s="363"/>
      <c r="BO246" s="843"/>
      <c r="BT246" s="363"/>
      <c r="BU246" s="363"/>
      <c r="BV246" s="363"/>
      <c r="BW246" s="363"/>
      <c r="BX246" s="363"/>
      <c r="BY246" s="363"/>
      <c r="BZ246" s="363"/>
      <c r="CA246" s="363"/>
      <c r="CB246" s="363"/>
      <c r="CC246" s="363"/>
      <c r="CD246" s="363"/>
      <c r="CE246" s="363"/>
      <c r="CF246" s="365"/>
      <c r="CG246" s="364"/>
      <c r="CH246" s="363"/>
    </row>
    <row r="247" spans="1:86" ht="14.25" hidden="1" customHeight="1" outlineLevel="3">
      <c r="A247" s="672"/>
      <c r="B247" s="651" t="s">
        <v>270</v>
      </c>
      <c r="C247" s="274"/>
      <c r="D247" s="754"/>
      <c r="E247" s="754"/>
      <c r="F247" s="754"/>
      <c r="G247" s="79"/>
      <c r="H247" s="754"/>
      <c r="I247" s="754"/>
      <c r="J247" s="754"/>
      <c r="K247" s="79"/>
      <c r="L247" s="765" t="e">
        <f>L244/#REF!</f>
        <v>#REF!</v>
      </c>
      <c r="M247" s="765" t="e">
        <f>M244/#REF!</f>
        <v>#REF!</v>
      </c>
      <c r="N247" s="765" t="e">
        <f>N244/#REF!</f>
        <v>#REF!</v>
      </c>
      <c r="O247" s="46" t="e">
        <f>O244/#REF!</f>
        <v>#REF!</v>
      </c>
      <c r="P247" s="760" t="e">
        <f>P244/#REF!</f>
        <v>#REF!</v>
      </c>
      <c r="Q247" s="46" t="e">
        <f>Q244/#REF!</f>
        <v>#REF!</v>
      </c>
      <c r="R247" s="46" t="e">
        <f>R244/#REF!</f>
        <v>#REF!</v>
      </c>
      <c r="S247" s="749" t="e">
        <f>S244/#REF!</f>
        <v>#REF!</v>
      </c>
      <c r="T247" s="765" t="e">
        <f>T244/#REF!</f>
        <v>#REF!</v>
      </c>
      <c r="U247" s="765" t="e">
        <f>U244/#REF!</f>
        <v>#REF!</v>
      </c>
      <c r="V247" s="765" t="e">
        <f>V244/#REF!</f>
        <v>#REF!</v>
      </c>
      <c r="W247" s="749" t="e">
        <f>W244/#REF!</f>
        <v>#REF!</v>
      </c>
      <c r="X247" s="765" t="e">
        <f>X244/#REF!</f>
        <v>#REF!</v>
      </c>
      <c r="Y247" s="765" t="e">
        <f>Y244/#REF!</f>
        <v>#REF!</v>
      </c>
      <c r="Z247" s="765" t="e">
        <f>Z244/#REF!</f>
        <v>#REF!</v>
      </c>
      <c r="AA247" s="46" t="e">
        <f>AA244/#REF!</f>
        <v>#REF!</v>
      </c>
      <c r="AB247" s="760" t="e">
        <f>AB244/#REF!</f>
        <v>#REF!</v>
      </c>
      <c r="AC247" s="46" t="e">
        <f>AC244/#REF!</f>
        <v>#REF!</v>
      </c>
      <c r="AD247" s="46" t="e">
        <f>AD244/#REF!</f>
        <v>#REF!</v>
      </c>
      <c r="AE247" s="749" t="e">
        <f>AE244/#REF!</f>
        <v>#REF!</v>
      </c>
      <c r="AF247" s="46" t="e">
        <f>AF244/#REF!</f>
        <v>#REF!</v>
      </c>
      <c r="AG247" s="46" t="e">
        <f>AG244/#REF!</f>
        <v>#REF!</v>
      </c>
      <c r="AH247" s="46"/>
      <c r="AI247" s="749"/>
      <c r="AJ247" s="760"/>
      <c r="AK247" s="46"/>
      <c r="AL247" s="46"/>
      <c r="AM247" s="749"/>
      <c r="AN247" s="765"/>
      <c r="AO247" s="765"/>
      <c r="AP247" s="765"/>
      <c r="AQ247" s="749"/>
      <c r="AR247" s="765"/>
      <c r="AS247" s="765"/>
      <c r="AT247" s="765"/>
      <c r="AU247" s="749"/>
      <c r="AV247" s="765"/>
      <c r="AW247" s="765"/>
      <c r="AX247" s="765"/>
      <c r="AY247" s="749"/>
      <c r="AZ247" s="765"/>
      <c r="BA247" s="765"/>
      <c r="BB247" s="765"/>
      <c r="BC247" s="46"/>
      <c r="BD247" s="760"/>
      <c r="BE247" s="46"/>
      <c r="BF247" s="46"/>
      <c r="BG247" s="749"/>
      <c r="BH247" s="760"/>
      <c r="BI247" s="46"/>
      <c r="BJ247" s="46"/>
      <c r="BK247" s="749"/>
      <c r="BL247" s="760"/>
      <c r="BM247" s="46"/>
      <c r="BN247" s="46"/>
      <c r="BO247" s="749"/>
      <c r="BP247" s="657"/>
      <c r="BQ247" s="8"/>
      <c r="BR247" s="751" t="str">
        <f t="shared" ref="BR247:CE247" si="622">IF(ISERROR(BR244/BR14),"NA",BR244/BR14)</f>
        <v>NA</v>
      </c>
      <c r="BS247" s="751">
        <f t="shared" si="622"/>
        <v>3.9757120138788496E-3</v>
      </c>
      <c r="BT247" s="752">
        <f t="shared" si="622"/>
        <v>4.5596352291816652E-3</v>
      </c>
      <c r="BU247" s="752">
        <f t="shared" si="622"/>
        <v>8.4388185654008432E-3</v>
      </c>
      <c r="BV247" s="752">
        <f t="shared" si="622"/>
        <v>7.3034512387226119E-3</v>
      </c>
      <c r="BW247" s="752">
        <f t="shared" si="622"/>
        <v>7.9443253626496017E-3</v>
      </c>
      <c r="BX247" s="752">
        <f t="shared" si="622"/>
        <v>1.5594541910331384E-3</v>
      </c>
      <c r="BY247" s="752">
        <f t="shared" si="622"/>
        <v>0</v>
      </c>
      <c r="BZ247" s="752">
        <f t="shared" si="622"/>
        <v>0</v>
      </c>
      <c r="CA247" s="752">
        <f t="shared" si="622"/>
        <v>0</v>
      </c>
      <c r="CB247" s="752">
        <f t="shared" si="622"/>
        <v>0</v>
      </c>
      <c r="CC247" s="752">
        <f t="shared" si="622"/>
        <v>0</v>
      </c>
      <c r="CD247" s="752">
        <f t="shared" si="622"/>
        <v>0</v>
      </c>
      <c r="CE247" s="752">
        <f t="shared" si="622"/>
        <v>0</v>
      </c>
      <c r="CF247" s="753">
        <f>IF(ISERROR(CF244/CF14),"NA",CF244/CF14)</f>
        <v>0</v>
      </c>
      <c r="CG247" s="658"/>
      <c r="CH247" s="363"/>
    </row>
    <row r="248" spans="1:86" ht="14.25" hidden="1" customHeight="1" outlineLevel="3">
      <c r="A248" s="672"/>
      <c r="B248" s="824"/>
      <c r="C248" s="274"/>
      <c r="D248" s="754"/>
      <c r="E248" s="754"/>
      <c r="F248" s="754"/>
      <c r="G248" s="79"/>
      <c r="H248" s="754"/>
      <c r="I248" s="754"/>
      <c r="J248" s="754"/>
      <c r="K248" s="79"/>
      <c r="L248" s="754"/>
      <c r="M248" s="754"/>
      <c r="N248" s="754"/>
      <c r="O248" s="78"/>
      <c r="P248" s="658"/>
      <c r="Q248" s="318"/>
      <c r="R248" s="318"/>
      <c r="S248" s="79"/>
      <c r="W248" s="79"/>
      <c r="AA248" s="78"/>
      <c r="AB248" s="658"/>
      <c r="AC248" s="318"/>
      <c r="AD248" s="318"/>
      <c r="AE248" s="79"/>
      <c r="AF248" s="318"/>
      <c r="AG248" s="318"/>
      <c r="AH248" s="318"/>
      <c r="AI248" s="79"/>
      <c r="AJ248" s="658"/>
      <c r="AK248" s="318"/>
      <c r="AL248" s="318"/>
      <c r="AM248" s="79"/>
      <c r="AQ248" s="79"/>
      <c r="AU248" s="79"/>
      <c r="AY248" s="79"/>
      <c r="BC248" s="318"/>
      <c r="BD248" s="364"/>
      <c r="BE248" s="363"/>
      <c r="BF248" s="363"/>
      <c r="BG248" s="843"/>
      <c r="BH248" s="364"/>
      <c r="BI248" s="363"/>
      <c r="BJ248" s="363"/>
      <c r="BK248" s="843"/>
      <c r="BL248" s="364"/>
      <c r="BM248" s="363"/>
      <c r="BN248" s="363"/>
      <c r="BO248" s="843"/>
      <c r="BP248" s="657"/>
      <c r="BQ248" s="8"/>
      <c r="BR248" s="8"/>
      <c r="BS248" s="8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224"/>
      <c r="CG248" s="658"/>
      <c r="CH248" s="363"/>
    </row>
    <row r="249" spans="1:86" ht="14.25" hidden="1" customHeight="1" outlineLevel="3">
      <c r="A249" s="672"/>
      <c r="B249" s="824" t="s">
        <v>370</v>
      </c>
      <c r="C249" s="274"/>
      <c r="D249" s="754"/>
      <c r="E249" s="754"/>
      <c r="F249" s="754"/>
      <c r="G249" s="79"/>
      <c r="H249" s="754"/>
      <c r="I249" s="754"/>
      <c r="J249" s="754"/>
      <c r="K249" s="79"/>
      <c r="L249" s="754"/>
      <c r="M249" s="754"/>
      <c r="N249" s="754"/>
      <c r="O249" s="78"/>
      <c r="P249" s="658"/>
      <c r="Q249" s="318"/>
      <c r="R249" s="318"/>
      <c r="S249" s="79"/>
      <c r="W249" s="79"/>
      <c r="AA249" s="78"/>
      <c r="AB249" s="658"/>
      <c r="AC249" s="318"/>
      <c r="AD249" s="318"/>
      <c r="AE249" s="79"/>
      <c r="AF249" s="318"/>
      <c r="AG249" s="318"/>
      <c r="AH249" s="318"/>
      <c r="AI249" s="79"/>
      <c r="AJ249" s="658"/>
      <c r="AK249" s="318"/>
      <c r="AL249" s="318"/>
      <c r="AM249" s="79"/>
      <c r="AQ249" s="79"/>
      <c r="AU249" s="79"/>
      <c r="AY249" s="79"/>
      <c r="BC249" s="78"/>
      <c r="BD249" s="364"/>
      <c r="BE249" s="363"/>
      <c r="BF249" s="363"/>
      <c r="BG249" s="79"/>
      <c r="BH249" s="364"/>
      <c r="BI249" s="363"/>
      <c r="BJ249" s="363"/>
      <c r="BK249" s="79"/>
      <c r="BL249" s="364"/>
      <c r="BM249" s="363"/>
      <c r="BN249" s="363"/>
      <c r="BO249" s="79"/>
      <c r="BP249" s="657"/>
      <c r="BQ249" s="8"/>
      <c r="BR249" s="8"/>
      <c r="BS249" s="8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224"/>
      <c r="CG249" s="658"/>
      <c r="CH249" s="363"/>
    </row>
    <row r="250" spans="1:86" ht="14.25" hidden="1" customHeight="1" outlineLevel="3">
      <c r="A250" s="672"/>
      <c r="B250" s="705" t="s">
        <v>261</v>
      </c>
      <c r="C250" s="274"/>
      <c r="D250" s="754"/>
      <c r="E250" s="754"/>
      <c r="F250" s="754"/>
      <c r="G250" s="79"/>
      <c r="H250" s="754"/>
      <c r="I250" s="754"/>
      <c r="J250" s="754"/>
      <c r="K250" s="79"/>
      <c r="L250" s="687">
        <f t="shared" ref="L250:AG250" si="623">L$435</f>
        <v>0</v>
      </c>
      <c r="M250" s="687">
        <f t="shared" si="623"/>
        <v>0</v>
      </c>
      <c r="N250" s="687">
        <f t="shared" si="623"/>
        <v>0</v>
      </c>
      <c r="O250" s="687">
        <f t="shared" si="623"/>
        <v>0</v>
      </c>
      <c r="P250" s="688">
        <f t="shared" si="623"/>
        <v>0</v>
      </c>
      <c r="Q250" s="687">
        <f t="shared" si="623"/>
        <v>0</v>
      </c>
      <c r="R250" s="687">
        <f t="shared" si="623"/>
        <v>0</v>
      </c>
      <c r="S250" s="689">
        <f t="shared" si="623"/>
        <v>0</v>
      </c>
      <c r="T250" s="687">
        <f t="shared" si="623"/>
        <v>0</v>
      </c>
      <c r="U250" s="687">
        <f t="shared" si="623"/>
        <v>0</v>
      </c>
      <c r="V250" s="687">
        <f t="shared" si="623"/>
        <v>0</v>
      </c>
      <c r="W250" s="689">
        <f t="shared" si="623"/>
        <v>0</v>
      </c>
      <c r="X250" s="687">
        <f t="shared" si="623"/>
        <v>0</v>
      </c>
      <c r="Y250" s="687">
        <f t="shared" si="623"/>
        <v>0</v>
      </c>
      <c r="Z250" s="687">
        <f t="shared" si="623"/>
        <v>0</v>
      </c>
      <c r="AA250" s="687">
        <f t="shared" si="623"/>
        <v>0</v>
      </c>
      <c r="AB250" s="688">
        <f t="shared" si="623"/>
        <v>0</v>
      </c>
      <c r="AC250" s="687">
        <f t="shared" si="623"/>
        <v>0</v>
      </c>
      <c r="AD250" s="687">
        <f t="shared" si="623"/>
        <v>0</v>
      </c>
      <c r="AE250" s="689">
        <f t="shared" si="623"/>
        <v>0.64867925481108424</v>
      </c>
      <c r="AF250" s="687">
        <f t="shared" si="623"/>
        <v>0.79462716458033</v>
      </c>
      <c r="AG250" s="687">
        <f t="shared" si="623"/>
        <v>0</v>
      </c>
      <c r="AH250" s="687"/>
      <c r="AI250" s="689"/>
      <c r="AJ250" s="688"/>
      <c r="AK250" s="687"/>
      <c r="AL250" s="687"/>
      <c r="AM250" s="689"/>
      <c r="AN250" s="687"/>
      <c r="AO250" s="687"/>
      <c r="AP250" s="687"/>
      <c r="AQ250" s="689"/>
      <c r="AR250" s="687"/>
      <c r="AS250" s="687"/>
      <c r="AT250" s="687"/>
      <c r="AU250" s="689"/>
      <c r="AV250" s="687"/>
      <c r="AW250" s="687"/>
      <c r="AX250" s="687"/>
      <c r="AY250" s="689"/>
      <c r="AZ250" s="687"/>
      <c r="BA250" s="687"/>
      <c r="BB250" s="687"/>
      <c r="BC250" s="687"/>
      <c r="BD250" s="688"/>
      <c r="BE250" s="687"/>
      <c r="BF250" s="687"/>
      <c r="BG250" s="689"/>
      <c r="BH250" s="688"/>
      <c r="BI250" s="687"/>
      <c r="BJ250" s="687"/>
      <c r="BK250" s="689"/>
      <c r="BL250" s="688"/>
      <c r="BM250" s="687"/>
      <c r="BN250" s="687"/>
      <c r="BO250" s="689"/>
      <c r="BP250" s="657"/>
      <c r="BQ250" s="8"/>
      <c r="BR250" s="8"/>
      <c r="BS250" s="273">
        <f>SUM(L250:O250)</f>
        <v>0</v>
      </c>
      <c r="BT250" s="691">
        <f>SUM(P250:S250)</f>
        <v>0</v>
      </c>
      <c r="BU250" s="691">
        <f>SUM(T250:W250)</f>
        <v>0</v>
      </c>
      <c r="BV250" s="691">
        <f>SUM(X250:AA250)</f>
        <v>0</v>
      </c>
      <c r="BW250" s="691">
        <f>SUM(AB250:AE250)</f>
        <v>0.64867925481108424</v>
      </c>
      <c r="BX250" s="691">
        <f>SUM(AF250:AI250)</f>
        <v>0.79462716458033</v>
      </c>
      <c r="BY250" s="691">
        <f>SUM(AJ250:AM250)</f>
        <v>0</v>
      </c>
      <c r="BZ250" s="691">
        <f>+SUM(AN250:AQ250)</f>
        <v>0</v>
      </c>
      <c r="CA250" s="691">
        <f>+SUM(AR250:AU250)</f>
        <v>0</v>
      </c>
      <c r="CB250" s="691">
        <f>SUM(AV250:AY250)</f>
        <v>0</v>
      </c>
      <c r="CC250" s="691">
        <f>SUM(AZ250:BC250)</f>
        <v>0</v>
      </c>
      <c r="CD250" s="691">
        <f>SUM(BD250:BG250)</f>
        <v>0</v>
      </c>
      <c r="CE250" s="691">
        <f>SUM(BH250:BK250)</f>
        <v>0</v>
      </c>
      <c r="CF250" s="692">
        <f>SUM(BL250:BO250)</f>
        <v>0</v>
      </c>
      <c r="CG250" s="658"/>
      <c r="CH250" s="363"/>
    </row>
    <row r="251" spans="1:86" ht="14.25" hidden="1" customHeight="1" outlineLevel="3">
      <c r="A251" s="672"/>
      <c r="B251" s="651" t="s">
        <v>268</v>
      </c>
      <c r="C251" s="274"/>
      <c r="D251" s="754"/>
      <c r="E251" s="754"/>
      <c r="F251" s="754"/>
      <c r="G251" s="79"/>
      <c r="H251" s="754"/>
      <c r="I251" s="754"/>
      <c r="J251" s="754"/>
      <c r="K251" s="79"/>
      <c r="L251" s="765"/>
      <c r="M251" s="765" t="str">
        <f t="shared" ref="M251:AG251" si="624">IF(ISERROR(M250/L250-1),"NA",M250/L250-1)</f>
        <v>NA</v>
      </c>
      <c r="N251" s="765" t="str">
        <f t="shared" si="624"/>
        <v>NA</v>
      </c>
      <c r="O251" s="46" t="str">
        <f t="shared" si="624"/>
        <v>NA</v>
      </c>
      <c r="P251" s="760" t="str">
        <f t="shared" si="624"/>
        <v>NA</v>
      </c>
      <c r="Q251" s="46" t="str">
        <f t="shared" si="624"/>
        <v>NA</v>
      </c>
      <c r="R251" s="46" t="str">
        <f t="shared" si="624"/>
        <v>NA</v>
      </c>
      <c r="S251" s="749" t="str">
        <f t="shared" si="624"/>
        <v>NA</v>
      </c>
      <c r="T251" s="765" t="str">
        <f t="shared" si="624"/>
        <v>NA</v>
      </c>
      <c r="U251" s="765" t="str">
        <f t="shared" si="624"/>
        <v>NA</v>
      </c>
      <c r="V251" s="765" t="str">
        <f t="shared" si="624"/>
        <v>NA</v>
      </c>
      <c r="W251" s="749" t="str">
        <f t="shared" si="624"/>
        <v>NA</v>
      </c>
      <c r="X251" s="765" t="str">
        <f t="shared" si="624"/>
        <v>NA</v>
      </c>
      <c r="Y251" s="765" t="str">
        <f t="shared" si="624"/>
        <v>NA</v>
      </c>
      <c r="Z251" s="765" t="str">
        <f t="shared" si="624"/>
        <v>NA</v>
      </c>
      <c r="AA251" s="46" t="str">
        <f t="shared" si="624"/>
        <v>NA</v>
      </c>
      <c r="AB251" s="760" t="str">
        <f t="shared" si="624"/>
        <v>NA</v>
      </c>
      <c r="AC251" s="46" t="str">
        <f t="shared" si="624"/>
        <v>NA</v>
      </c>
      <c r="AD251" s="46" t="str">
        <f t="shared" si="624"/>
        <v>NA</v>
      </c>
      <c r="AE251" s="749" t="str">
        <f t="shared" si="624"/>
        <v>NA</v>
      </c>
      <c r="AF251" s="46">
        <f t="shared" si="624"/>
        <v>0.2249924114063897</v>
      </c>
      <c r="AG251" s="46">
        <f t="shared" si="624"/>
        <v>-1</v>
      </c>
      <c r="AH251" s="46"/>
      <c r="AI251" s="749"/>
      <c r="AJ251" s="760"/>
      <c r="AK251" s="46"/>
      <c r="AL251" s="46"/>
      <c r="AM251" s="749"/>
      <c r="AN251" s="765"/>
      <c r="AO251" s="765"/>
      <c r="AP251" s="765"/>
      <c r="AQ251" s="749"/>
      <c r="AR251" s="765"/>
      <c r="AS251" s="765"/>
      <c r="AT251" s="765"/>
      <c r="AU251" s="749"/>
      <c r="AV251" s="765"/>
      <c r="AW251" s="765"/>
      <c r="AX251" s="765"/>
      <c r="AY251" s="749"/>
      <c r="AZ251" s="765"/>
      <c r="BA251" s="765"/>
      <c r="BB251" s="765"/>
      <c r="BC251" s="46"/>
      <c r="BD251" s="760"/>
      <c r="BE251" s="46"/>
      <c r="BF251" s="46"/>
      <c r="BG251" s="749"/>
      <c r="BH251" s="760"/>
      <c r="BI251" s="46"/>
      <c r="BJ251" s="46"/>
      <c r="BK251" s="749"/>
      <c r="BL251" s="760"/>
      <c r="BM251" s="46"/>
      <c r="BN251" s="46"/>
      <c r="BO251" s="749"/>
      <c r="BP251" s="657"/>
      <c r="BQ251" s="8"/>
      <c r="BR251" s="8"/>
      <c r="BS251" s="8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224"/>
      <c r="CG251" s="658"/>
      <c r="CH251" s="363"/>
    </row>
    <row r="252" spans="1:86" ht="14.25" hidden="1" customHeight="1" outlineLevel="3">
      <c r="A252" s="672"/>
      <c r="B252" s="750" t="s">
        <v>269</v>
      </c>
      <c r="C252" s="274"/>
      <c r="D252" s="754"/>
      <c r="E252" s="754"/>
      <c r="F252" s="754"/>
      <c r="G252" s="79"/>
      <c r="H252" s="754"/>
      <c r="I252" s="754"/>
      <c r="J252" s="754"/>
      <c r="K252" s="79"/>
      <c r="L252" s="765"/>
      <c r="M252" s="765"/>
      <c r="N252" s="765"/>
      <c r="O252" s="46"/>
      <c r="P252" s="760" t="str">
        <f t="shared" ref="P252:AG252" si="625">IF(ISERROR(P250/L250-1),"NA",P250/L250-1)</f>
        <v>NA</v>
      </c>
      <c r="Q252" s="46" t="str">
        <f t="shared" si="625"/>
        <v>NA</v>
      </c>
      <c r="R252" s="46" t="str">
        <f t="shared" si="625"/>
        <v>NA</v>
      </c>
      <c r="S252" s="749" t="str">
        <f t="shared" si="625"/>
        <v>NA</v>
      </c>
      <c r="T252" s="765" t="str">
        <f t="shared" si="625"/>
        <v>NA</v>
      </c>
      <c r="U252" s="765" t="str">
        <f t="shared" si="625"/>
        <v>NA</v>
      </c>
      <c r="V252" s="765" t="str">
        <f t="shared" si="625"/>
        <v>NA</v>
      </c>
      <c r="W252" s="749" t="str">
        <f t="shared" si="625"/>
        <v>NA</v>
      </c>
      <c r="X252" s="765" t="str">
        <f t="shared" si="625"/>
        <v>NA</v>
      </c>
      <c r="Y252" s="765" t="str">
        <f t="shared" si="625"/>
        <v>NA</v>
      </c>
      <c r="Z252" s="765" t="str">
        <f t="shared" si="625"/>
        <v>NA</v>
      </c>
      <c r="AA252" s="46" t="str">
        <f t="shared" si="625"/>
        <v>NA</v>
      </c>
      <c r="AB252" s="760" t="str">
        <f t="shared" si="625"/>
        <v>NA</v>
      </c>
      <c r="AC252" s="46" t="str">
        <f t="shared" si="625"/>
        <v>NA</v>
      </c>
      <c r="AD252" s="46" t="str">
        <f t="shared" si="625"/>
        <v>NA</v>
      </c>
      <c r="AE252" s="749" t="str">
        <f t="shared" si="625"/>
        <v>NA</v>
      </c>
      <c r="AF252" s="46" t="str">
        <f t="shared" si="625"/>
        <v>NA</v>
      </c>
      <c r="AG252" s="46" t="str">
        <f t="shared" si="625"/>
        <v>NA</v>
      </c>
      <c r="AH252" s="46"/>
      <c r="AI252" s="749"/>
      <c r="AJ252" s="760"/>
      <c r="AK252" s="46"/>
      <c r="AL252" s="46"/>
      <c r="AM252" s="749"/>
      <c r="AN252" s="765"/>
      <c r="AO252" s="765"/>
      <c r="AP252" s="765"/>
      <c r="AQ252" s="749"/>
      <c r="AR252" s="765"/>
      <c r="AS252" s="765"/>
      <c r="AT252" s="765"/>
      <c r="AU252" s="749"/>
      <c r="AV252" s="765"/>
      <c r="AW252" s="765"/>
      <c r="AX252" s="765"/>
      <c r="AY252" s="749"/>
      <c r="AZ252" s="765"/>
      <c r="BA252" s="765"/>
      <c r="BB252" s="765"/>
      <c r="BC252" s="46"/>
      <c r="BD252" s="760"/>
      <c r="BE252" s="46"/>
      <c r="BF252" s="46"/>
      <c r="BG252" s="749"/>
      <c r="BH252" s="760"/>
      <c r="BI252" s="46"/>
      <c r="BJ252" s="46"/>
      <c r="BK252" s="749"/>
      <c r="BL252" s="760"/>
      <c r="BM252" s="46"/>
      <c r="BN252" s="46"/>
      <c r="BO252" s="749"/>
      <c r="BP252" s="657"/>
      <c r="BQ252" s="8"/>
      <c r="BR252" s="751"/>
      <c r="BS252" s="751" t="str">
        <f t="shared" ref="BS252:BZ252" si="626">IF(ISERROR(BS250/BR250-1),"NA",BS250/BR250-1)</f>
        <v>NA</v>
      </c>
      <c r="BT252" s="752" t="str">
        <f t="shared" si="626"/>
        <v>NA</v>
      </c>
      <c r="BU252" s="752" t="str">
        <f t="shared" si="626"/>
        <v>NA</v>
      </c>
      <c r="BV252" s="752" t="str">
        <f t="shared" si="626"/>
        <v>NA</v>
      </c>
      <c r="BW252" s="752" t="str">
        <f t="shared" si="626"/>
        <v>NA</v>
      </c>
      <c r="BX252" s="752">
        <f t="shared" si="626"/>
        <v>0.2249924114063897</v>
      </c>
      <c r="BY252" s="752">
        <f t="shared" si="626"/>
        <v>-1</v>
      </c>
      <c r="BZ252" s="752" t="str">
        <f t="shared" si="626"/>
        <v>NA</v>
      </c>
      <c r="CA252" s="752" t="str">
        <f t="shared" ref="CA252:CF252" si="627">IF(ISERROR(CA250/BZ250-1),"NA",CA250/BZ250-1)</f>
        <v>NA</v>
      </c>
      <c r="CB252" s="752" t="str">
        <f t="shared" si="627"/>
        <v>NA</v>
      </c>
      <c r="CC252" s="752" t="str">
        <f t="shared" si="627"/>
        <v>NA</v>
      </c>
      <c r="CD252" s="752" t="str">
        <f t="shared" si="627"/>
        <v>NA</v>
      </c>
      <c r="CE252" s="752" t="str">
        <f t="shared" si="627"/>
        <v>NA</v>
      </c>
      <c r="CF252" s="753" t="str">
        <f t="shared" si="627"/>
        <v>NA</v>
      </c>
      <c r="CG252" s="658"/>
      <c r="CH252" s="363"/>
    </row>
    <row r="253" spans="1:86" ht="14.25" hidden="1" customHeight="1" outlineLevel="3">
      <c r="A253" s="672"/>
      <c r="B253" s="651" t="s">
        <v>270</v>
      </c>
      <c r="C253" s="274"/>
      <c r="D253" s="754"/>
      <c r="E253" s="754"/>
      <c r="F253" s="754"/>
      <c r="G253" s="79"/>
      <c r="H253" s="754"/>
      <c r="I253" s="754"/>
      <c r="J253" s="754"/>
      <c r="K253" s="79"/>
      <c r="L253" s="765" t="e">
        <f>L250/#REF!</f>
        <v>#REF!</v>
      </c>
      <c r="M253" s="765" t="e">
        <f>M250/#REF!</f>
        <v>#REF!</v>
      </c>
      <c r="N253" s="765" t="e">
        <f>N250/#REF!</f>
        <v>#REF!</v>
      </c>
      <c r="O253" s="46" t="e">
        <f>O250/#REF!</f>
        <v>#REF!</v>
      </c>
      <c r="P253" s="760" t="e">
        <f>P250/#REF!</f>
        <v>#REF!</v>
      </c>
      <c r="Q253" s="46" t="e">
        <f>Q250/#REF!</f>
        <v>#REF!</v>
      </c>
      <c r="R253" s="46" t="e">
        <f>R250/#REF!</f>
        <v>#REF!</v>
      </c>
      <c r="S253" s="749" t="e">
        <f>S250/#REF!</f>
        <v>#REF!</v>
      </c>
      <c r="T253" s="765" t="e">
        <f>T250/#REF!</f>
        <v>#REF!</v>
      </c>
      <c r="U253" s="765" t="e">
        <f>U250/#REF!</f>
        <v>#REF!</v>
      </c>
      <c r="V253" s="765" t="e">
        <f>V250/#REF!</f>
        <v>#REF!</v>
      </c>
      <c r="W253" s="749" t="e">
        <f>W250/#REF!</f>
        <v>#REF!</v>
      </c>
      <c r="X253" s="765" t="e">
        <f>X250/#REF!</f>
        <v>#REF!</v>
      </c>
      <c r="Y253" s="765" t="e">
        <f>Y250/#REF!</f>
        <v>#REF!</v>
      </c>
      <c r="Z253" s="765" t="e">
        <f>Z250/#REF!</f>
        <v>#REF!</v>
      </c>
      <c r="AA253" s="46" t="e">
        <f>AA250/#REF!</f>
        <v>#REF!</v>
      </c>
      <c r="AB253" s="760" t="e">
        <f>AB250/#REF!</f>
        <v>#REF!</v>
      </c>
      <c r="AC253" s="46" t="e">
        <f>AC250/#REF!</f>
        <v>#REF!</v>
      </c>
      <c r="AD253" s="46" t="e">
        <f>AD250/#REF!</f>
        <v>#REF!</v>
      </c>
      <c r="AE253" s="749" t="e">
        <f>AE250/#REF!</f>
        <v>#REF!</v>
      </c>
      <c r="AF253" s="46" t="e">
        <f>AF250/#REF!</f>
        <v>#REF!</v>
      </c>
      <c r="AG253" s="46" t="e">
        <f>AG250/#REF!</f>
        <v>#REF!</v>
      </c>
      <c r="AH253" s="46"/>
      <c r="AI253" s="749"/>
      <c r="AJ253" s="760"/>
      <c r="AK253" s="46"/>
      <c r="AL253" s="46"/>
      <c r="AM253" s="749"/>
      <c r="AN253" s="765"/>
      <c r="AO253" s="765"/>
      <c r="AP253" s="765"/>
      <c r="AQ253" s="749"/>
      <c r="AR253" s="765"/>
      <c r="AS253" s="765"/>
      <c r="AT253" s="765"/>
      <c r="AU253" s="749"/>
      <c r="AV253" s="765"/>
      <c r="AW253" s="765"/>
      <c r="AX253" s="765"/>
      <c r="AY253" s="749"/>
      <c r="AZ253" s="765"/>
      <c r="BA253" s="765"/>
      <c r="BB253" s="765"/>
      <c r="BC253" s="46"/>
      <c r="BD253" s="760"/>
      <c r="BE253" s="46"/>
      <c r="BF253" s="46"/>
      <c r="BG253" s="749"/>
      <c r="BH253" s="760"/>
      <c r="BI253" s="46"/>
      <c r="BJ253" s="46"/>
      <c r="BK253" s="749"/>
      <c r="BL253" s="760"/>
      <c r="BM253" s="46"/>
      <c r="BN253" s="46"/>
      <c r="BO253" s="749"/>
      <c r="BP253" s="657"/>
      <c r="BQ253" s="8"/>
      <c r="BR253" s="751" t="str">
        <f t="shared" ref="BR253:CE253" si="628">IF(ISERROR(BR250/BR14),"NA",BR250/BR14)</f>
        <v>NA</v>
      </c>
      <c r="BS253" s="751">
        <f t="shared" si="628"/>
        <v>0</v>
      </c>
      <c r="BT253" s="752">
        <f t="shared" si="628"/>
        <v>0</v>
      </c>
      <c r="BU253" s="752">
        <f t="shared" si="628"/>
        <v>0</v>
      </c>
      <c r="BV253" s="752">
        <f t="shared" si="628"/>
        <v>0</v>
      </c>
      <c r="BW253" s="752">
        <f t="shared" si="628"/>
        <v>4.7224756465571072E-5</v>
      </c>
      <c r="BX253" s="752">
        <f t="shared" si="628"/>
        <v>6.1959233105678756E-5</v>
      </c>
      <c r="BY253" s="752">
        <f t="shared" si="628"/>
        <v>0</v>
      </c>
      <c r="BZ253" s="752">
        <f t="shared" si="628"/>
        <v>0</v>
      </c>
      <c r="CA253" s="752">
        <f t="shared" si="628"/>
        <v>0</v>
      </c>
      <c r="CB253" s="752">
        <f t="shared" si="628"/>
        <v>0</v>
      </c>
      <c r="CC253" s="752">
        <f t="shared" si="628"/>
        <v>0</v>
      </c>
      <c r="CD253" s="752">
        <f t="shared" si="628"/>
        <v>0</v>
      </c>
      <c r="CE253" s="752">
        <f t="shared" si="628"/>
        <v>0</v>
      </c>
      <c r="CF253" s="753">
        <f>IF(ISERROR(CF250/CF14),"NA",CF250/CF14)</f>
        <v>0</v>
      </c>
      <c r="CG253" s="658"/>
      <c r="CH253" s="363"/>
    </row>
    <row r="254" spans="1:86" ht="14.25" hidden="1" customHeight="1" outlineLevel="3">
      <c r="A254" s="672"/>
      <c r="B254" s="824"/>
      <c r="C254" s="274"/>
      <c r="D254" s="754"/>
      <c r="E254" s="754"/>
      <c r="F254" s="754"/>
      <c r="G254" s="79"/>
      <c r="H254" s="754"/>
      <c r="I254" s="754"/>
      <c r="J254" s="754"/>
      <c r="K254" s="79"/>
      <c r="L254" s="754"/>
      <c r="M254" s="754"/>
      <c r="N254" s="754"/>
      <c r="O254" s="78"/>
      <c r="P254" s="658"/>
      <c r="Q254" s="318"/>
      <c r="R254" s="318"/>
      <c r="S254" s="79"/>
      <c r="W254" s="79"/>
      <c r="AA254" s="78"/>
      <c r="AB254" s="658"/>
      <c r="AC254" s="318"/>
      <c r="AD254" s="318"/>
      <c r="AE254" s="79"/>
      <c r="AF254" s="318"/>
      <c r="AG254" s="318"/>
      <c r="AH254" s="318"/>
      <c r="AI254" s="79"/>
      <c r="AJ254" s="658"/>
      <c r="AK254" s="318"/>
      <c r="AL254" s="318"/>
      <c r="AM254" s="79"/>
      <c r="AQ254" s="79"/>
      <c r="AU254" s="79"/>
      <c r="AY254" s="79"/>
      <c r="BC254" s="318"/>
      <c r="BD254" s="364"/>
      <c r="BE254" s="363"/>
      <c r="BF254" s="363"/>
      <c r="BG254" s="843"/>
      <c r="BH254" s="364"/>
      <c r="BI254" s="363"/>
      <c r="BJ254" s="363"/>
      <c r="BK254" s="843"/>
      <c r="BL254" s="364"/>
      <c r="BM254" s="363"/>
      <c r="BN254" s="363"/>
      <c r="BO254" s="843"/>
      <c r="BP254" s="657"/>
      <c r="BQ254" s="8"/>
      <c r="BR254" s="8"/>
      <c r="BS254" s="8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224"/>
      <c r="CG254" s="658"/>
      <c r="CH254" s="363"/>
    </row>
    <row r="255" spans="1:86" ht="14.25" hidden="1" customHeight="1" outlineLevel="3">
      <c r="A255" s="672"/>
      <c r="B255" s="824"/>
      <c r="C255" s="274"/>
      <c r="D255" s="754"/>
      <c r="E255" s="754"/>
      <c r="F255" s="754"/>
      <c r="G255" s="79"/>
      <c r="H255" s="754"/>
      <c r="I255" s="754"/>
      <c r="J255" s="754"/>
      <c r="K255" s="79"/>
      <c r="L255" s="754"/>
      <c r="M255" s="754"/>
      <c r="N255" s="754"/>
      <c r="O255" s="78"/>
      <c r="P255" s="658"/>
      <c r="Q255" s="318"/>
      <c r="R255" s="318"/>
      <c r="S255" s="79"/>
      <c r="W255" s="79"/>
      <c r="AA255" s="78"/>
      <c r="AB255" s="658"/>
      <c r="AC255" s="318"/>
      <c r="AD255" s="318"/>
      <c r="AE255" s="79"/>
      <c r="AF255" s="318"/>
      <c r="AG255" s="318"/>
      <c r="AH255" s="318"/>
      <c r="AI255" s="79"/>
      <c r="AJ255" s="658"/>
      <c r="AK255" s="311"/>
      <c r="AL255" s="311"/>
      <c r="AM255" s="790"/>
      <c r="AQ255" s="790"/>
      <c r="AU255" s="790"/>
      <c r="AY255" s="790"/>
      <c r="BC255" s="318"/>
      <c r="BD255" s="364"/>
      <c r="BE255" s="363"/>
      <c r="BF255" s="363"/>
      <c r="BG255" s="843"/>
      <c r="BH255" s="364"/>
      <c r="BI255" s="363"/>
      <c r="BJ255" s="363"/>
      <c r="BK255" s="843"/>
      <c r="BL255" s="364"/>
      <c r="BM255" s="363"/>
      <c r="BN255" s="363"/>
      <c r="BO255" s="843"/>
      <c r="BP255" s="657"/>
      <c r="BQ255" s="8"/>
      <c r="BR255" s="8"/>
      <c r="BS255" s="8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224"/>
      <c r="CG255" s="658"/>
      <c r="CH255" s="363"/>
    </row>
    <row r="256" spans="1:86" ht="14.25" hidden="1" customHeight="1" outlineLevel="3">
      <c r="A256" s="786"/>
      <c r="B256" s="787" t="s">
        <v>482</v>
      </c>
      <c r="C256" s="877"/>
      <c r="D256" s="878"/>
      <c r="E256" s="878"/>
      <c r="F256" s="878"/>
      <c r="G256" s="879"/>
      <c r="H256" s="878"/>
      <c r="I256" s="878"/>
      <c r="J256" s="878"/>
      <c r="K256" s="879"/>
      <c r="L256" s="878"/>
      <c r="M256" s="878"/>
      <c r="N256" s="878"/>
      <c r="O256" s="880"/>
      <c r="P256" s="793"/>
      <c r="Q256" s="881"/>
      <c r="R256" s="881"/>
      <c r="S256" s="879"/>
      <c r="T256" s="882"/>
      <c r="U256" s="882"/>
      <c r="V256" s="882"/>
      <c r="W256" s="879"/>
      <c r="X256" s="445">
        <f>+X126</f>
        <v>34</v>
      </c>
      <c r="Y256" s="445">
        <f t="shared" ref="Y256:AI256" si="629">+Y126</f>
        <v>27</v>
      </c>
      <c r="Z256" s="445">
        <f t="shared" si="629"/>
        <v>23</v>
      </c>
      <c r="AA256" s="445">
        <f t="shared" si="629"/>
        <v>25</v>
      </c>
      <c r="AB256" s="444">
        <f t="shared" si="629"/>
        <v>27</v>
      </c>
      <c r="AC256" s="445">
        <f t="shared" si="629"/>
        <v>34</v>
      </c>
      <c r="AD256" s="445">
        <f t="shared" si="629"/>
        <v>33</v>
      </c>
      <c r="AE256" s="446">
        <f t="shared" si="629"/>
        <v>32</v>
      </c>
      <c r="AF256" s="445">
        <f t="shared" si="629"/>
        <v>34</v>
      </c>
      <c r="AG256" s="445">
        <f t="shared" si="629"/>
        <v>37</v>
      </c>
      <c r="AH256" s="445">
        <f t="shared" si="629"/>
        <v>39</v>
      </c>
      <c r="AI256" s="446">
        <f t="shared" si="629"/>
        <v>47</v>
      </c>
      <c r="AJ256" s="444">
        <v>0</v>
      </c>
      <c r="AK256" s="445">
        <v>0</v>
      </c>
      <c r="AL256" s="445">
        <v>0</v>
      </c>
      <c r="AM256" s="446">
        <v>0</v>
      </c>
      <c r="AN256" s="445"/>
      <c r="AO256" s="445"/>
      <c r="AP256" s="445"/>
      <c r="AQ256" s="446"/>
      <c r="AR256" s="445"/>
      <c r="AS256" s="445"/>
      <c r="AT256" s="445"/>
      <c r="AU256" s="446"/>
      <c r="AV256" s="445"/>
      <c r="AW256" s="445"/>
      <c r="AX256" s="445"/>
      <c r="AY256" s="446"/>
      <c r="AZ256" s="445"/>
      <c r="BA256" s="445"/>
      <c r="BB256" s="445"/>
      <c r="BC256" s="445"/>
      <c r="BD256" s="444"/>
      <c r="BE256" s="445"/>
      <c r="BF256" s="445"/>
      <c r="BG256" s="446"/>
      <c r="BH256" s="444"/>
      <c r="BI256" s="445"/>
      <c r="BJ256" s="445"/>
      <c r="BK256" s="446"/>
      <c r="BL256" s="444"/>
      <c r="BM256" s="445"/>
      <c r="BN256" s="445"/>
      <c r="BO256" s="446"/>
      <c r="BP256" s="791"/>
      <c r="BQ256" s="438"/>
      <c r="BR256" s="438"/>
      <c r="BS256" s="438"/>
      <c r="BT256" s="440"/>
      <c r="BU256" s="440"/>
      <c r="BV256" s="440"/>
      <c r="BW256" s="440"/>
      <c r="BX256" s="440"/>
      <c r="BY256" s="440"/>
      <c r="BZ256" s="440"/>
      <c r="CA256" s="440"/>
      <c r="CB256" s="440"/>
      <c r="CC256" s="440"/>
      <c r="CD256" s="440"/>
      <c r="CE256" s="440"/>
      <c r="CF256" s="442"/>
      <c r="CG256" s="793"/>
      <c r="CH256" s="363"/>
    </row>
    <row r="257" spans="1:86" ht="14.25" hidden="1" customHeight="1" outlineLevel="3">
      <c r="A257" s="794"/>
      <c r="B257" s="795" t="s">
        <v>88</v>
      </c>
      <c r="C257" s="883"/>
      <c r="D257" s="884"/>
      <c r="E257" s="884"/>
      <c r="F257" s="884"/>
      <c r="G257" s="885"/>
      <c r="H257" s="884"/>
      <c r="I257" s="884"/>
      <c r="J257" s="884"/>
      <c r="K257" s="885"/>
      <c r="L257" s="884"/>
      <c r="M257" s="884"/>
      <c r="N257" s="884"/>
      <c r="O257" s="886"/>
      <c r="P257" s="802"/>
      <c r="Q257" s="887"/>
      <c r="R257" s="887"/>
      <c r="S257" s="885"/>
      <c r="T257" s="646"/>
      <c r="U257" s="646"/>
      <c r="V257" s="646"/>
      <c r="W257" s="885"/>
      <c r="X257" s="454">
        <f>+X258-X256</f>
        <v>259</v>
      </c>
      <c r="Y257" s="454">
        <f t="shared" ref="Y257:AI257" si="630">+Y258-Y256</f>
        <v>284</v>
      </c>
      <c r="Z257" s="454">
        <f t="shared" si="630"/>
        <v>306</v>
      </c>
      <c r="AA257" s="454">
        <f t="shared" si="630"/>
        <v>307</v>
      </c>
      <c r="AB257" s="453">
        <f t="shared" si="630"/>
        <v>297</v>
      </c>
      <c r="AC257" s="454">
        <f t="shared" si="630"/>
        <v>296</v>
      </c>
      <c r="AD257" s="454">
        <f t="shared" si="630"/>
        <v>284</v>
      </c>
      <c r="AE257" s="455">
        <f t="shared" si="630"/>
        <v>411</v>
      </c>
      <c r="AF257" s="454">
        <f t="shared" si="630"/>
        <v>252</v>
      </c>
      <c r="AG257" s="454">
        <f t="shared" si="630"/>
        <v>215</v>
      </c>
      <c r="AH257" s="454">
        <f t="shared" si="630"/>
        <v>232</v>
      </c>
      <c r="AI257" s="455">
        <f t="shared" si="630"/>
        <v>206</v>
      </c>
      <c r="AJ257" s="453">
        <f>+AI257-80</f>
        <v>126</v>
      </c>
      <c r="AK257" s="797">
        <v>65.75</v>
      </c>
      <c r="AL257" s="797">
        <v>36.489499999999992</v>
      </c>
      <c r="AM257" s="799">
        <v>54</v>
      </c>
      <c r="AN257" s="797">
        <v>0</v>
      </c>
      <c r="AO257" s="797">
        <v>0</v>
      </c>
      <c r="AP257" s="797">
        <v>0</v>
      </c>
      <c r="AQ257" s="799">
        <v>0</v>
      </c>
      <c r="AR257" s="797">
        <v>0</v>
      </c>
      <c r="AS257" s="797">
        <v>0</v>
      </c>
      <c r="AT257" s="797">
        <v>0</v>
      </c>
      <c r="AU257" s="799">
        <v>0</v>
      </c>
      <c r="AV257" s="797">
        <v>0</v>
      </c>
      <c r="AW257" s="797">
        <v>0</v>
      </c>
      <c r="AX257" s="797">
        <v>0</v>
      </c>
      <c r="AY257" s="799">
        <v>0</v>
      </c>
      <c r="AZ257" s="797">
        <v>0</v>
      </c>
      <c r="BA257" s="797">
        <v>0</v>
      </c>
      <c r="BB257" s="797">
        <v>0</v>
      </c>
      <c r="BC257" s="797">
        <v>0</v>
      </c>
      <c r="BD257" s="798">
        <v>0</v>
      </c>
      <c r="BE257" s="797">
        <v>0</v>
      </c>
      <c r="BF257" s="797">
        <v>0</v>
      </c>
      <c r="BG257" s="799">
        <v>0</v>
      </c>
      <c r="BH257" s="798">
        <v>0</v>
      </c>
      <c r="BI257" s="797">
        <v>0</v>
      </c>
      <c r="BJ257" s="797">
        <v>0</v>
      </c>
      <c r="BK257" s="799">
        <v>0</v>
      </c>
      <c r="BL257" s="798">
        <v>0</v>
      </c>
      <c r="BM257" s="797">
        <v>0</v>
      </c>
      <c r="BN257" s="797">
        <v>0</v>
      </c>
      <c r="BO257" s="799">
        <v>0</v>
      </c>
      <c r="BP257" s="800"/>
      <c r="BQ257" s="447"/>
      <c r="BR257" s="447"/>
      <c r="BS257" s="447"/>
      <c r="BT257" s="449"/>
      <c r="BU257" s="449"/>
      <c r="BV257" s="449"/>
      <c r="BW257" s="449"/>
      <c r="BX257" s="449"/>
      <c r="BY257" s="449"/>
      <c r="BZ257" s="449"/>
      <c r="CA257" s="449"/>
      <c r="CB257" s="449"/>
      <c r="CC257" s="449"/>
      <c r="CD257" s="449"/>
      <c r="CE257" s="449"/>
      <c r="CF257" s="451"/>
      <c r="CG257" s="802"/>
      <c r="CH257" s="363"/>
    </row>
    <row r="258" spans="1:86" ht="14.25" hidden="1" customHeight="1" outlineLevel="3">
      <c r="A258" s="786"/>
      <c r="B258" s="888" t="s">
        <v>20</v>
      </c>
      <c r="C258" s="877"/>
      <c r="D258" s="878"/>
      <c r="E258" s="878"/>
      <c r="F258" s="878"/>
      <c r="G258" s="879"/>
      <c r="H258" s="878"/>
      <c r="I258" s="878"/>
      <c r="J258" s="878"/>
      <c r="K258" s="879"/>
      <c r="L258" s="445">
        <f t="shared" ref="L258:AI258" si="631">+L120-L130</f>
        <v>195</v>
      </c>
      <c r="M258" s="445">
        <f t="shared" si="631"/>
        <v>236</v>
      </c>
      <c r="N258" s="445">
        <f t="shared" si="631"/>
        <v>265</v>
      </c>
      <c r="O258" s="445">
        <f t="shared" si="631"/>
        <v>243</v>
      </c>
      <c r="P258" s="444">
        <f t="shared" si="631"/>
        <v>217</v>
      </c>
      <c r="Q258" s="445">
        <f t="shared" si="631"/>
        <v>239</v>
      </c>
      <c r="R258" s="445">
        <f t="shared" si="631"/>
        <v>261</v>
      </c>
      <c r="S258" s="446">
        <f t="shared" si="631"/>
        <v>195</v>
      </c>
      <c r="T258" s="445">
        <f t="shared" si="631"/>
        <v>163</v>
      </c>
      <c r="U258" s="445">
        <f t="shared" si="631"/>
        <v>204</v>
      </c>
      <c r="V258" s="445">
        <f t="shared" si="631"/>
        <v>241</v>
      </c>
      <c r="W258" s="446">
        <f t="shared" si="631"/>
        <v>293</v>
      </c>
      <c r="X258" s="445">
        <f t="shared" si="631"/>
        <v>293</v>
      </c>
      <c r="Y258" s="445">
        <f t="shared" si="631"/>
        <v>311</v>
      </c>
      <c r="Z258" s="445">
        <f t="shared" si="631"/>
        <v>329</v>
      </c>
      <c r="AA258" s="445">
        <f t="shared" si="631"/>
        <v>332</v>
      </c>
      <c r="AB258" s="444">
        <f t="shared" si="631"/>
        <v>324</v>
      </c>
      <c r="AC258" s="445">
        <f t="shared" si="631"/>
        <v>330</v>
      </c>
      <c r="AD258" s="445">
        <f t="shared" si="631"/>
        <v>317</v>
      </c>
      <c r="AE258" s="446">
        <f t="shared" si="631"/>
        <v>443</v>
      </c>
      <c r="AF258" s="445">
        <f t="shared" si="631"/>
        <v>286</v>
      </c>
      <c r="AG258" s="445">
        <f t="shared" si="631"/>
        <v>252</v>
      </c>
      <c r="AH258" s="445">
        <f t="shared" si="631"/>
        <v>271</v>
      </c>
      <c r="AI258" s="446">
        <f t="shared" si="631"/>
        <v>253</v>
      </c>
      <c r="AJ258" s="789">
        <f t="shared" ref="AJ258:AQ258" si="632">+SUM(AJ256:AJ257)</f>
        <v>126</v>
      </c>
      <c r="AK258" s="445">
        <f t="shared" si="632"/>
        <v>65.75</v>
      </c>
      <c r="AL258" s="445">
        <f t="shared" si="632"/>
        <v>36.489499999999992</v>
      </c>
      <c r="AM258" s="446">
        <f t="shared" si="632"/>
        <v>54</v>
      </c>
      <c r="AN258" s="445">
        <f t="shared" si="632"/>
        <v>0</v>
      </c>
      <c r="AO258" s="445">
        <f t="shared" si="632"/>
        <v>0</v>
      </c>
      <c r="AP258" s="445">
        <f t="shared" si="632"/>
        <v>0</v>
      </c>
      <c r="AQ258" s="446">
        <f t="shared" si="632"/>
        <v>0</v>
      </c>
      <c r="AR258" s="445">
        <f t="shared" ref="AR258:AV258" si="633">+SUM(AR256:AR257)</f>
        <v>0</v>
      </c>
      <c r="AS258" s="445">
        <f t="shared" si="633"/>
        <v>0</v>
      </c>
      <c r="AT258" s="445">
        <f t="shared" si="633"/>
        <v>0</v>
      </c>
      <c r="AU258" s="446">
        <f t="shared" si="633"/>
        <v>0</v>
      </c>
      <c r="AV258" s="445">
        <f t="shared" si="633"/>
        <v>0</v>
      </c>
      <c r="AW258" s="445">
        <f>+SUM(AW256:AW257)</f>
        <v>0</v>
      </c>
      <c r="AX258" s="445">
        <f>+SUM(AX256:AX257)</f>
        <v>0</v>
      </c>
      <c r="AY258" s="446">
        <f t="shared" ref="AY258" si="634">+SUM(AY256:AY257)</f>
        <v>0</v>
      </c>
      <c r="AZ258" s="445">
        <f t="shared" ref="AZ258:BG258" si="635">+SUM(AZ256:AZ257)</f>
        <v>0</v>
      </c>
      <c r="BA258" s="445">
        <f t="shared" si="635"/>
        <v>0</v>
      </c>
      <c r="BB258" s="445">
        <f t="shared" si="635"/>
        <v>0</v>
      </c>
      <c r="BC258" s="445">
        <f t="shared" si="635"/>
        <v>0</v>
      </c>
      <c r="BD258" s="444">
        <f t="shared" si="635"/>
        <v>0</v>
      </c>
      <c r="BE258" s="445">
        <f t="shared" si="635"/>
        <v>0</v>
      </c>
      <c r="BF258" s="445">
        <f t="shared" si="635"/>
        <v>0</v>
      </c>
      <c r="BG258" s="446">
        <f t="shared" si="635"/>
        <v>0</v>
      </c>
      <c r="BH258" s="444">
        <f t="shared" ref="BH258:BK258" si="636">+SUM(BH256:BH257)</f>
        <v>0</v>
      </c>
      <c r="BI258" s="445">
        <f t="shared" si="636"/>
        <v>0</v>
      </c>
      <c r="BJ258" s="445">
        <f t="shared" si="636"/>
        <v>0</v>
      </c>
      <c r="BK258" s="446">
        <f t="shared" si="636"/>
        <v>0</v>
      </c>
      <c r="BL258" s="444">
        <f t="shared" ref="BL258:BO258" si="637">+SUM(BL256:BL257)</f>
        <v>0</v>
      </c>
      <c r="BM258" s="445">
        <f t="shared" si="637"/>
        <v>0</v>
      </c>
      <c r="BN258" s="445">
        <f t="shared" si="637"/>
        <v>0</v>
      </c>
      <c r="BO258" s="446">
        <f t="shared" si="637"/>
        <v>0</v>
      </c>
      <c r="BP258" s="791"/>
      <c r="BQ258" s="438"/>
      <c r="BR258" s="438"/>
      <c r="BS258" s="440">
        <f>SUM(L258:O258)</f>
        <v>939</v>
      </c>
      <c r="BT258" s="691">
        <f>SUM(P258:S258)</f>
        <v>912</v>
      </c>
      <c r="BU258" s="691">
        <f>SUM(T258:W258)</f>
        <v>901</v>
      </c>
      <c r="BV258" s="691">
        <f>SUM(X258:AA258)</f>
        <v>1265</v>
      </c>
      <c r="BW258" s="691">
        <f>SUM(AB258:AE258)</f>
        <v>1414</v>
      </c>
      <c r="BX258" s="691">
        <f>SUM(AF258:AI258)</f>
        <v>1062</v>
      </c>
      <c r="BY258" s="691">
        <f>SUM(AJ258:AM258)</f>
        <v>282.23950000000002</v>
      </c>
      <c r="BZ258" s="691">
        <f>+SUM(AN258:AQ258)</f>
        <v>0</v>
      </c>
      <c r="CA258" s="691">
        <f>+SUM(AR258:AU258)</f>
        <v>0</v>
      </c>
      <c r="CB258" s="691">
        <f>SUM(AV258:AY258)</f>
        <v>0</v>
      </c>
      <c r="CC258" s="691">
        <f>SUM(AZ258:BC258)</f>
        <v>0</v>
      </c>
      <c r="CD258" s="691">
        <f>SUM(BD258:BG258)</f>
        <v>0</v>
      </c>
      <c r="CE258" s="691">
        <f>SUM(BH258:BK258)</f>
        <v>0</v>
      </c>
      <c r="CF258" s="692">
        <f>SUM(BL258:BO258)</f>
        <v>0</v>
      </c>
      <c r="CG258" s="793"/>
      <c r="CH258" s="363"/>
    </row>
    <row r="259" spans="1:86" ht="14.25" hidden="1" customHeight="1" outlineLevel="3">
      <c r="A259" s="730"/>
      <c r="B259" s="731" t="s">
        <v>268</v>
      </c>
      <c r="C259" s="889"/>
      <c r="D259" s="247"/>
      <c r="E259" s="247"/>
      <c r="F259" s="247"/>
      <c r="G259" s="77"/>
      <c r="H259" s="247"/>
      <c r="I259" s="247"/>
      <c r="J259" s="247"/>
      <c r="K259" s="77"/>
      <c r="L259" s="247"/>
      <c r="M259" s="247">
        <f t="shared" ref="M259:AN259" si="638">+M258/L258-1</f>
        <v>0.21025641025641018</v>
      </c>
      <c r="N259" s="247">
        <f t="shared" si="638"/>
        <v>0.12288135593220328</v>
      </c>
      <c r="O259" s="76">
        <f t="shared" si="638"/>
        <v>-8.3018867924528283E-2</v>
      </c>
      <c r="P259" s="522">
        <f t="shared" si="638"/>
        <v>-0.10699588477366251</v>
      </c>
      <c r="Q259" s="76">
        <f t="shared" si="638"/>
        <v>0.10138248847926268</v>
      </c>
      <c r="R259" s="76">
        <f t="shared" si="638"/>
        <v>9.2050209205020828E-2</v>
      </c>
      <c r="S259" s="77">
        <f t="shared" si="638"/>
        <v>-0.25287356321839083</v>
      </c>
      <c r="T259" s="247">
        <f t="shared" si="638"/>
        <v>-0.16410256410256407</v>
      </c>
      <c r="U259" s="247">
        <f t="shared" si="638"/>
        <v>0.25153374233128845</v>
      </c>
      <c r="V259" s="247">
        <f t="shared" si="638"/>
        <v>0.18137254901960786</v>
      </c>
      <c r="W259" s="77">
        <f t="shared" si="638"/>
        <v>0.21576763485477168</v>
      </c>
      <c r="X259" s="247">
        <f t="shared" si="638"/>
        <v>0</v>
      </c>
      <c r="Y259" s="247">
        <f t="shared" si="638"/>
        <v>6.1433447098976135E-2</v>
      </c>
      <c r="Z259" s="247">
        <f t="shared" si="638"/>
        <v>5.7877813504823239E-2</v>
      </c>
      <c r="AA259" s="76">
        <f t="shared" si="638"/>
        <v>9.1185410334346795E-3</v>
      </c>
      <c r="AB259" s="522">
        <f t="shared" si="638"/>
        <v>-2.4096385542168641E-2</v>
      </c>
      <c r="AC259" s="76">
        <f t="shared" si="638"/>
        <v>1.8518518518518601E-2</v>
      </c>
      <c r="AD259" s="76">
        <f t="shared" si="638"/>
        <v>-3.9393939393939426E-2</v>
      </c>
      <c r="AE259" s="77">
        <f t="shared" si="638"/>
        <v>0.39747634069400628</v>
      </c>
      <c r="AF259" s="76">
        <f t="shared" si="638"/>
        <v>-0.35440180586907444</v>
      </c>
      <c r="AG259" s="76">
        <f t="shared" si="638"/>
        <v>-0.11888111888111885</v>
      </c>
      <c r="AH259" s="231">
        <f t="shared" si="638"/>
        <v>7.5396825396825351E-2</v>
      </c>
      <c r="AI259" s="276">
        <f t="shared" si="638"/>
        <v>-6.6420664206642055E-2</v>
      </c>
      <c r="AJ259" s="231">
        <f t="shared" si="638"/>
        <v>-0.50197628458498023</v>
      </c>
      <c r="AK259" s="231">
        <f t="shared" si="638"/>
        <v>-0.47817460317460314</v>
      </c>
      <c r="AL259" s="231">
        <f t="shared" si="638"/>
        <v>-0.44502661596958182</v>
      </c>
      <c r="AM259" s="276">
        <f t="shared" si="638"/>
        <v>0.47987777305800328</v>
      </c>
      <c r="AN259" s="275">
        <f t="shared" si="638"/>
        <v>-1</v>
      </c>
      <c r="AO259" s="275"/>
      <c r="AP259" s="275"/>
      <c r="AQ259" s="276"/>
      <c r="AR259" s="275"/>
      <c r="AS259" s="275"/>
      <c r="AT259" s="275"/>
      <c r="AU259" s="276"/>
      <c r="AV259" s="275"/>
      <c r="AW259" s="275"/>
      <c r="AX259" s="275"/>
      <c r="AY259" s="276"/>
      <c r="AZ259" s="275"/>
      <c r="BA259" s="275"/>
      <c r="BB259" s="275"/>
      <c r="BC259" s="231"/>
      <c r="BD259" s="734"/>
      <c r="BE259" s="231"/>
      <c r="BF259" s="231"/>
      <c r="BG259" s="276"/>
      <c r="BH259" s="734"/>
      <c r="BI259" s="231"/>
      <c r="BJ259" s="231"/>
      <c r="BK259" s="276"/>
      <c r="BL259" s="734"/>
      <c r="BM259" s="231"/>
      <c r="BN259" s="231"/>
      <c r="BO259" s="276"/>
      <c r="BP259" s="733"/>
      <c r="BQ259" s="275"/>
      <c r="BR259" s="275"/>
      <c r="BS259" s="275"/>
      <c r="BT259" s="231"/>
      <c r="BU259" s="231"/>
      <c r="BV259" s="231"/>
      <c r="BW259" s="231"/>
      <c r="BX259" s="231"/>
      <c r="BY259" s="231"/>
      <c r="BZ259" s="231"/>
      <c r="CA259" s="231"/>
      <c r="CB259" s="231"/>
      <c r="CC259" s="231"/>
      <c r="CD259" s="231"/>
      <c r="CE259" s="231"/>
      <c r="CF259" s="276"/>
      <c r="CG259" s="1170"/>
      <c r="CH259" s="363"/>
    </row>
    <row r="260" spans="1:86" ht="14.25" hidden="1" customHeight="1" outlineLevel="3">
      <c r="A260" s="730"/>
      <c r="B260" s="890" t="s">
        <v>269</v>
      </c>
      <c r="C260" s="889"/>
      <c r="D260" s="247"/>
      <c r="E260" s="247"/>
      <c r="F260" s="247"/>
      <c r="G260" s="77"/>
      <c r="H260" s="247"/>
      <c r="I260" s="247"/>
      <c r="J260" s="247"/>
      <c r="K260" s="77"/>
      <c r="L260" s="247"/>
      <c r="M260" s="247"/>
      <c r="N260" s="247"/>
      <c r="O260" s="76"/>
      <c r="P260" s="522">
        <f>+P258/L258-1</f>
        <v>0.11282051282051286</v>
      </c>
      <c r="Q260" s="76">
        <f t="shared" ref="Q260:AQ260" si="639">+Q258/M258-1</f>
        <v>1.2711864406779627E-2</v>
      </c>
      <c r="R260" s="76">
        <f t="shared" si="639"/>
        <v>-1.5094339622641506E-2</v>
      </c>
      <c r="S260" s="77">
        <f t="shared" si="639"/>
        <v>-0.19753086419753085</v>
      </c>
      <c r="T260" s="247">
        <f t="shared" si="639"/>
        <v>-0.24884792626728114</v>
      </c>
      <c r="U260" s="247">
        <f t="shared" si="639"/>
        <v>-0.14644351464435146</v>
      </c>
      <c r="V260" s="247">
        <f t="shared" si="639"/>
        <v>-7.6628352490421436E-2</v>
      </c>
      <c r="W260" s="77">
        <f t="shared" si="639"/>
        <v>0.50256410256410255</v>
      </c>
      <c r="X260" s="247">
        <f t="shared" si="639"/>
        <v>0.79754601226993871</v>
      </c>
      <c r="Y260" s="247">
        <f t="shared" si="639"/>
        <v>0.52450980392156854</v>
      </c>
      <c r="Z260" s="247">
        <f t="shared" si="639"/>
        <v>0.36514522821576767</v>
      </c>
      <c r="AA260" s="76">
        <f t="shared" si="639"/>
        <v>0.13310580204778155</v>
      </c>
      <c r="AB260" s="522">
        <f t="shared" si="639"/>
        <v>0.10580204778156999</v>
      </c>
      <c r="AC260" s="76">
        <f t="shared" si="639"/>
        <v>6.1093247588424493E-2</v>
      </c>
      <c r="AD260" s="76">
        <f t="shared" si="639"/>
        <v>-3.6474164133738607E-2</v>
      </c>
      <c r="AE260" s="77">
        <f t="shared" si="639"/>
        <v>0.3343373493975903</v>
      </c>
      <c r="AF260" s="76">
        <f t="shared" si="639"/>
        <v>-0.11728395061728392</v>
      </c>
      <c r="AG260" s="76">
        <f t="shared" si="639"/>
        <v>-0.23636363636363633</v>
      </c>
      <c r="AH260" s="231">
        <f t="shared" si="639"/>
        <v>-0.14511041009463721</v>
      </c>
      <c r="AI260" s="276">
        <f t="shared" si="639"/>
        <v>-0.42889390519187354</v>
      </c>
      <c r="AJ260" s="231">
        <f t="shared" si="639"/>
        <v>-0.55944055944055937</v>
      </c>
      <c r="AK260" s="231">
        <f t="shared" si="639"/>
        <v>-0.73908730158730163</v>
      </c>
      <c r="AL260" s="231">
        <f t="shared" si="639"/>
        <v>-0.86535239852398527</v>
      </c>
      <c r="AM260" s="276">
        <f t="shared" si="639"/>
        <v>-0.7865612648221344</v>
      </c>
      <c r="AN260" s="275">
        <f t="shared" si="639"/>
        <v>-1</v>
      </c>
      <c r="AO260" s="275">
        <f t="shared" si="639"/>
        <v>-1</v>
      </c>
      <c r="AP260" s="275">
        <f t="shared" si="639"/>
        <v>-1</v>
      </c>
      <c r="AQ260" s="276">
        <f t="shared" si="639"/>
        <v>-1</v>
      </c>
      <c r="AR260" s="275"/>
      <c r="AS260" s="275"/>
      <c r="AT260" s="275"/>
      <c r="AU260" s="276" t="e">
        <f>+AU258/AQ258-1</f>
        <v>#DIV/0!</v>
      </c>
      <c r="AV260" s="275"/>
      <c r="AW260" s="275"/>
      <c r="AX260" s="275"/>
      <c r="AY260" s="276" t="e">
        <f>+AY258/AU258-1</f>
        <v>#DIV/0!</v>
      </c>
      <c r="AZ260" s="275"/>
      <c r="BA260" s="275"/>
      <c r="BB260" s="275"/>
      <c r="BC260" s="231"/>
      <c r="BD260" s="734"/>
      <c r="BE260" s="231"/>
      <c r="BF260" s="231"/>
      <c r="BG260" s="276"/>
      <c r="BH260" s="734"/>
      <c r="BI260" s="231"/>
      <c r="BJ260" s="231"/>
      <c r="BK260" s="276"/>
      <c r="BL260" s="734"/>
      <c r="BM260" s="231"/>
      <c r="BN260" s="231"/>
      <c r="BO260" s="276"/>
      <c r="BP260" s="733"/>
      <c r="BQ260" s="275"/>
      <c r="BR260" s="275"/>
      <c r="BS260" s="275" t="str">
        <f t="shared" ref="BS260:BZ260" si="640">IF(ISERROR(BS258/BR258-1),"NA",BS258/BR258-1)</f>
        <v>NA</v>
      </c>
      <c r="BT260" s="231">
        <f t="shared" si="640"/>
        <v>-2.8753993610223683E-2</v>
      </c>
      <c r="BU260" s="231">
        <f t="shared" si="640"/>
        <v>-1.206140350877194E-2</v>
      </c>
      <c r="BV260" s="231">
        <f t="shared" si="640"/>
        <v>0.40399556048834628</v>
      </c>
      <c r="BW260" s="231">
        <f t="shared" si="640"/>
        <v>0.11778656126482212</v>
      </c>
      <c r="BX260" s="231">
        <f t="shared" si="640"/>
        <v>-0.24893917963224899</v>
      </c>
      <c r="BY260" s="231">
        <f t="shared" si="640"/>
        <v>-0.73423775894538612</v>
      </c>
      <c r="BZ260" s="231">
        <f t="shared" si="640"/>
        <v>-1</v>
      </c>
      <c r="CA260" s="231" t="str">
        <f t="shared" ref="CA260:CF260" si="641">IF(ISERROR(CA258/BZ258-1),"NA",CA258/BZ258-1)</f>
        <v>NA</v>
      </c>
      <c r="CB260" s="231" t="str">
        <f t="shared" si="641"/>
        <v>NA</v>
      </c>
      <c r="CC260" s="231" t="str">
        <f t="shared" si="641"/>
        <v>NA</v>
      </c>
      <c r="CD260" s="231" t="str">
        <f t="shared" si="641"/>
        <v>NA</v>
      </c>
      <c r="CE260" s="231" t="str">
        <f t="shared" si="641"/>
        <v>NA</v>
      </c>
      <c r="CF260" s="276" t="str">
        <f t="shared" si="641"/>
        <v>NA</v>
      </c>
      <c r="CG260" s="1170"/>
      <c r="CH260" s="363"/>
    </row>
    <row r="261" spans="1:86" ht="14.25" hidden="1" customHeight="1" outlineLevel="3">
      <c r="A261" s="672"/>
      <c r="B261" s="705"/>
      <c r="C261" s="274"/>
      <c r="D261" s="754"/>
      <c r="E261" s="754"/>
      <c r="F261" s="754"/>
      <c r="G261" s="79"/>
      <c r="H261" s="754"/>
      <c r="I261" s="754"/>
      <c r="J261" s="754"/>
      <c r="K261" s="79"/>
      <c r="L261" s="754"/>
      <c r="M261" s="754"/>
      <c r="N261" s="754"/>
      <c r="O261" s="78"/>
      <c r="P261" s="658"/>
      <c r="Q261" s="318"/>
      <c r="R261" s="318"/>
      <c r="S261" s="79"/>
      <c r="W261" s="79"/>
      <c r="AA261" s="78"/>
      <c r="AB261" s="603"/>
      <c r="AC261" s="221"/>
      <c r="AD261" s="221"/>
      <c r="AE261" s="220"/>
      <c r="AF261" s="221"/>
      <c r="AG261" s="221"/>
      <c r="AH261" s="221"/>
      <c r="AI261" s="220"/>
      <c r="AJ261" s="688"/>
      <c r="AK261" s="687"/>
      <c r="AL261" s="687"/>
      <c r="AM261" s="689"/>
      <c r="AN261" s="758"/>
      <c r="AO261" s="758"/>
      <c r="AP261" s="758"/>
      <c r="AQ261" s="689"/>
      <c r="AR261" s="758"/>
      <c r="AS261" s="758"/>
      <c r="AT261" s="758"/>
      <c r="AU261" s="689"/>
      <c r="AV261" s="758"/>
      <c r="AW261" s="758"/>
      <c r="AX261" s="758"/>
      <c r="AY261" s="689"/>
      <c r="AZ261" s="758"/>
      <c r="BA261" s="758"/>
      <c r="BB261" s="758"/>
      <c r="BC261" s="758"/>
      <c r="BD261" s="757"/>
      <c r="BE261" s="758"/>
      <c r="BF261" s="758"/>
      <c r="BG261" s="745"/>
      <c r="BH261" s="757"/>
      <c r="BI261" s="758"/>
      <c r="BJ261" s="758"/>
      <c r="BK261" s="745"/>
      <c r="BL261" s="757"/>
      <c r="BM261" s="758"/>
      <c r="BN261" s="758"/>
      <c r="BO261" s="745"/>
      <c r="BP261" s="657"/>
      <c r="BQ261" s="8"/>
      <c r="BR261" s="8"/>
      <c r="BS261" s="8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224"/>
      <c r="CG261" s="658"/>
      <c r="CH261" s="363"/>
    </row>
    <row r="262" spans="1:86" ht="14.25" hidden="1" customHeight="1" outlineLevel="3">
      <c r="A262" s="672"/>
      <c r="B262" s="755" t="s">
        <v>532</v>
      </c>
      <c r="C262" s="274"/>
      <c r="D262" s="754"/>
      <c r="E262" s="754"/>
      <c r="F262" s="754"/>
      <c r="G262" s="79"/>
      <c r="H262" s="754"/>
      <c r="I262" s="754"/>
      <c r="J262" s="754"/>
      <c r="K262" s="79"/>
      <c r="L262" s="687">
        <f t="shared" ref="L262:AF262" si="642">L250+L244+L238+L232</f>
        <v>55</v>
      </c>
      <c r="M262" s="687">
        <f t="shared" si="642"/>
        <v>74</v>
      </c>
      <c r="N262" s="687">
        <f t="shared" si="642"/>
        <v>82</v>
      </c>
      <c r="O262" s="687">
        <f t="shared" si="642"/>
        <v>84</v>
      </c>
      <c r="P262" s="688">
        <f t="shared" si="642"/>
        <v>87</v>
      </c>
      <c r="Q262" s="687">
        <f t="shared" si="642"/>
        <v>87</v>
      </c>
      <c r="R262" s="687">
        <f t="shared" si="642"/>
        <v>91</v>
      </c>
      <c r="S262" s="689">
        <f t="shared" si="642"/>
        <v>72</v>
      </c>
      <c r="T262" s="687">
        <f t="shared" si="642"/>
        <v>65</v>
      </c>
      <c r="U262" s="687">
        <f t="shared" si="642"/>
        <v>95</v>
      </c>
      <c r="V262" s="687">
        <f t="shared" si="642"/>
        <v>124</v>
      </c>
      <c r="W262" s="689">
        <f t="shared" si="642"/>
        <v>139</v>
      </c>
      <c r="X262" s="687">
        <f t="shared" si="642"/>
        <v>139</v>
      </c>
      <c r="Y262" s="687">
        <f t="shared" si="642"/>
        <v>146</v>
      </c>
      <c r="Z262" s="687">
        <f t="shared" si="642"/>
        <v>162</v>
      </c>
      <c r="AA262" s="687">
        <f t="shared" si="642"/>
        <v>162</v>
      </c>
      <c r="AB262" s="688">
        <f t="shared" si="642"/>
        <v>188.35974228919201</v>
      </c>
      <c r="AC262" s="687">
        <f t="shared" si="642"/>
        <v>189.71171855964309</v>
      </c>
      <c r="AD262" s="687">
        <f t="shared" si="642"/>
        <v>199.56891059719959</v>
      </c>
      <c r="AE262" s="689">
        <f t="shared" si="642"/>
        <v>199.61349053341638</v>
      </c>
      <c r="AF262" s="687">
        <f t="shared" si="642"/>
        <v>140.79462716458033</v>
      </c>
      <c r="AG262" s="632">
        <f>0.4*($AG$120-$AG$130)</f>
        <v>100.80000000000001</v>
      </c>
      <c r="AH262" s="632">
        <v>75</v>
      </c>
      <c r="AI262" s="689">
        <f>+AI258-AI267</f>
        <v>57</v>
      </c>
      <c r="AJ262" s="688">
        <f>+AJ258-AJ267</f>
        <v>-50.400000000000006</v>
      </c>
      <c r="AK262" s="687">
        <f>AJ262*(1+AK263)</f>
        <v>-42.84</v>
      </c>
      <c r="AL262" s="687">
        <f>AK262*(1+AL263)</f>
        <v>-36.414000000000001</v>
      </c>
      <c r="AM262" s="689">
        <f>AL262*(1+AM263)</f>
        <v>-30.951900000000002</v>
      </c>
      <c r="AN262" s="758">
        <f t="shared" ref="AN262:AY262" si="643">+AM262*(1+AN263)</f>
        <v>-31.570938000000002</v>
      </c>
      <c r="AO262" s="758">
        <f t="shared" si="643"/>
        <v>-32.202356760000001</v>
      </c>
      <c r="AP262" s="758">
        <f t="shared" si="643"/>
        <v>-32.846403895199998</v>
      </c>
      <c r="AQ262" s="689">
        <f t="shared" si="643"/>
        <v>-33.503331973103997</v>
      </c>
      <c r="AR262" s="758">
        <f t="shared" si="643"/>
        <v>-34.173398612566075</v>
      </c>
      <c r="AS262" s="758">
        <f t="shared" si="643"/>
        <v>-34.856866584817396</v>
      </c>
      <c r="AT262" s="758">
        <f t="shared" si="643"/>
        <v>-34.856866584817396</v>
      </c>
      <c r="AU262" s="689">
        <f t="shared" si="643"/>
        <v>-35.554003916513743</v>
      </c>
      <c r="AV262" s="758">
        <f t="shared" ref="AV262:BC262" si="644">+AU262*(1+AV263)</f>
        <v>-36.265083994844019</v>
      </c>
      <c r="AW262" s="758">
        <f t="shared" si="643"/>
        <v>-36.990385674740899</v>
      </c>
      <c r="AX262" s="758">
        <f t="shared" si="643"/>
        <v>-36.990385674740899</v>
      </c>
      <c r="AY262" s="689">
        <f t="shared" si="643"/>
        <v>-37.730193388235719</v>
      </c>
      <c r="AZ262" s="758">
        <f t="shared" si="644"/>
        <v>-38.484797256000434</v>
      </c>
      <c r="BA262" s="758">
        <f t="shared" si="644"/>
        <v>-39.254493201120439</v>
      </c>
      <c r="BB262" s="758">
        <f t="shared" si="644"/>
        <v>-40.03958306514285</v>
      </c>
      <c r="BC262" s="758">
        <f t="shared" si="644"/>
        <v>-40.84037472644571</v>
      </c>
      <c r="BD262" s="757">
        <f t="shared" ref="BD262" si="645">+BC262*(1+BD263)</f>
        <v>-41.657182220974626</v>
      </c>
      <c r="BE262" s="758">
        <f t="shared" ref="BE262" si="646">+BD262*(1+BE263)</f>
        <v>-42.490325865394119</v>
      </c>
      <c r="BF262" s="758">
        <f t="shared" ref="BF262" si="647">+BE262*(1+BF263)</f>
        <v>-43.340132382702002</v>
      </c>
      <c r="BG262" s="745">
        <f t="shared" ref="BG262" si="648">+BF262*(1+BG263)</f>
        <v>-44.206935030356043</v>
      </c>
      <c r="BH262" s="757">
        <f t="shared" ref="BH262" si="649">+BG262*(1+BH263)</f>
        <v>-45.091073730963167</v>
      </c>
      <c r="BI262" s="758">
        <f t="shared" ref="BI262" si="650">+BH262*(1+BI263)</f>
        <v>-45.992895205582428</v>
      </c>
      <c r="BJ262" s="758">
        <f t="shared" ref="BJ262" si="651">+BI262*(1+BJ263)</f>
        <v>-46.91275310969408</v>
      </c>
      <c r="BK262" s="745">
        <f t="shared" ref="BK262" si="652">+BJ262*(1+BK263)</f>
        <v>-47.851008171887962</v>
      </c>
      <c r="BL262" s="757">
        <f t="shared" ref="BL262" si="653">+BK262*(1+BL263)</f>
        <v>-48.808028335325723</v>
      </c>
      <c r="BM262" s="758">
        <f t="shared" ref="BM262" si="654">+BL262*(1+BM263)</f>
        <v>-49.784188902032241</v>
      </c>
      <c r="BN262" s="758">
        <f t="shared" ref="BN262" si="655">+BM262*(1+BN263)</f>
        <v>-50.779872680072884</v>
      </c>
      <c r="BO262" s="745">
        <f t="shared" ref="BO262" si="656">+BN262*(1+BO263)</f>
        <v>-51.795470133674343</v>
      </c>
      <c r="BP262" s="657"/>
      <c r="BQ262" s="8"/>
      <c r="BR262" s="8"/>
      <c r="BS262" s="273">
        <f>SUM(L262:O262)</f>
        <v>295</v>
      </c>
      <c r="BT262" s="691">
        <f>SUM(P262:S262)</f>
        <v>337</v>
      </c>
      <c r="BU262" s="691">
        <f>SUM(T262:W262)</f>
        <v>423</v>
      </c>
      <c r="BV262" s="691">
        <f>SUM(X262:AA262)</f>
        <v>609</v>
      </c>
      <c r="BW262" s="691">
        <f>SUM(AB262:AE262)</f>
        <v>777.25386197945113</v>
      </c>
      <c r="BX262" s="691">
        <f>SUM(AF262:AI262)</f>
        <v>373.59462716458034</v>
      </c>
      <c r="BY262" s="691">
        <f>SUM(AJ262:AM262)</f>
        <v>-160.60589999999999</v>
      </c>
      <c r="BZ262" s="691">
        <f>+SUM(AN262:AQ262)</f>
        <v>-130.12303062830398</v>
      </c>
      <c r="CA262" s="691">
        <f>+SUM(AR262:AU262)</f>
        <v>-139.44113569871462</v>
      </c>
      <c r="CB262" s="691">
        <f>SUM(AV262:AY262)</f>
        <v>-147.97604873256154</v>
      </c>
      <c r="CC262" s="691">
        <f>SUM(AZ262:BC262)</f>
        <v>-158.61924824870943</v>
      </c>
      <c r="CD262" s="691">
        <f>SUM(BD262:BG262)</f>
        <v>-171.6945754994268</v>
      </c>
      <c r="CE262" s="691">
        <f>SUM(BH262:BK262)</f>
        <v>-185.84773021812765</v>
      </c>
      <c r="CF262" s="692">
        <f>SUM(BL262:BO262)</f>
        <v>-201.1675600511052</v>
      </c>
      <c r="CG262" s="658"/>
      <c r="CH262" s="363"/>
    </row>
    <row r="263" spans="1:86" ht="14.25" hidden="1" customHeight="1" outlineLevel="3">
      <c r="A263" s="672"/>
      <c r="B263" s="759" t="s">
        <v>268</v>
      </c>
      <c r="C263" s="274"/>
      <c r="D263" s="754"/>
      <c r="E263" s="754"/>
      <c r="F263" s="754"/>
      <c r="G263" s="79"/>
      <c r="H263" s="754"/>
      <c r="I263" s="754"/>
      <c r="J263" s="754"/>
      <c r="K263" s="79"/>
      <c r="L263" s="247"/>
      <c r="M263" s="247">
        <f t="shared" ref="M263:AI263" si="657">IF(ISERROR(M262/L262-1),"NA",M262/L262-1)</f>
        <v>0.34545454545454546</v>
      </c>
      <c r="N263" s="247">
        <f t="shared" si="657"/>
        <v>0.10810810810810811</v>
      </c>
      <c r="O263" s="76">
        <f t="shared" si="657"/>
        <v>2.4390243902439046E-2</v>
      </c>
      <c r="P263" s="760">
        <f t="shared" si="657"/>
        <v>3.5714285714285809E-2</v>
      </c>
      <c r="Q263" s="46">
        <f t="shared" si="657"/>
        <v>0</v>
      </c>
      <c r="R263" s="46">
        <f t="shared" si="657"/>
        <v>4.5977011494252817E-2</v>
      </c>
      <c r="S263" s="749">
        <f t="shared" si="657"/>
        <v>-0.20879120879120883</v>
      </c>
      <c r="T263" s="765">
        <f t="shared" si="657"/>
        <v>-9.722222222222221E-2</v>
      </c>
      <c r="U263" s="765">
        <f t="shared" si="657"/>
        <v>0.46153846153846145</v>
      </c>
      <c r="V263" s="765">
        <f t="shared" si="657"/>
        <v>0.3052631578947369</v>
      </c>
      <c r="W263" s="749">
        <f t="shared" si="657"/>
        <v>0.12096774193548376</v>
      </c>
      <c r="X263" s="765">
        <f t="shared" si="657"/>
        <v>0</v>
      </c>
      <c r="Y263" s="765">
        <f t="shared" si="657"/>
        <v>5.0359712230215736E-2</v>
      </c>
      <c r="Z263" s="765">
        <f t="shared" si="657"/>
        <v>0.1095890410958904</v>
      </c>
      <c r="AA263" s="46">
        <f t="shared" si="657"/>
        <v>0</v>
      </c>
      <c r="AB263" s="760">
        <f t="shared" si="657"/>
        <v>0.16271445857525935</v>
      </c>
      <c r="AC263" s="46">
        <f t="shared" si="657"/>
        <v>7.1776285846438803E-3</v>
      </c>
      <c r="AD263" s="46">
        <f t="shared" si="657"/>
        <v>5.1958793649626411E-2</v>
      </c>
      <c r="AE263" s="749">
        <f t="shared" si="657"/>
        <v>2.2338116735420854E-4</v>
      </c>
      <c r="AF263" s="46">
        <f t="shared" si="657"/>
        <v>-0.29466376852414922</v>
      </c>
      <c r="AG263" s="46">
        <f>IF(ISERROR(AG262/AF262-1),"NA",AG262/AF262-1)</f>
        <v>-0.28406358942823184</v>
      </c>
      <c r="AH263" s="46">
        <f t="shared" si="657"/>
        <v>-0.25595238095238104</v>
      </c>
      <c r="AI263" s="749">
        <f t="shared" si="657"/>
        <v>-0.24</v>
      </c>
      <c r="AJ263" s="891">
        <f>IF(ISERROR(AJ262/AI262-1),"NA",AJ262/AI262-1)</f>
        <v>-1.8842105263157896</v>
      </c>
      <c r="AK263" s="761">
        <v>-0.15</v>
      </c>
      <c r="AL263" s="761">
        <v>-0.15</v>
      </c>
      <c r="AM263" s="762">
        <v>-0.15</v>
      </c>
      <c r="AN263" s="761">
        <v>0.02</v>
      </c>
      <c r="AO263" s="761">
        <v>0.02</v>
      </c>
      <c r="AP263" s="761">
        <v>0.02</v>
      </c>
      <c r="AQ263" s="762">
        <v>0.02</v>
      </c>
      <c r="AR263" s="761">
        <v>0.02</v>
      </c>
      <c r="AS263" s="761">
        <v>0.02</v>
      </c>
      <c r="AT263" s="761">
        <v>0</v>
      </c>
      <c r="AU263" s="762">
        <v>0.02</v>
      </c>
      <c r="AV263" s="761">
        <v>0.02</v>
      </c>
      <c r="AW263" s="761">
        <v>0.02</v>
      </c>
      <c r="AX263" s="761">
        <v>0</v>
      </c>
      <c r="AY263" s="762">
        <v>0.02</v>
      </c>
      <c r="AZ263" s="761">
        <v>0.02</v>
      </c>
      <c r="BA263" s="761">
        <v>0.02</v>
      </c>
      <c r="BB263" s="761">
        <v>0.02</v>
      </c>
      <c r="BC263" s="761">
        <v>0.02</v>
      </c>
      <c r="BD263" s="891">
        <v>0.02</v>
      </c>
      <c r="BE263" s="761">
        <v>0.02</v>
      </c>
      <c r="BF263" s="761">
        <v>0.02</v>
      </c>
      <c r="BG263" s="762">
        <v>0.02</v>
      </c>
      <c r="BH263" s="891">
        <v>0.02</v>
      </c>
      <c r="BI263" s="761">
        <v>0.02</v>
      </c>
      <c r="BJ263" s="761">
        <v>0.02</v>
      </c>
      <c r="BK263" s="762">
        <v>0.02</v>
      </c>
      <c r="BL263" s="891">
        <v>0.02</v>
      </c>
      <c r="BM263" s="761">
        <v>0.02</v>
      </c>
      <c r="BN263" s="761">
        <v>0.02</v>
      </c>
      <c r="BO263" s="762">
        <v>0.02</v>
      </c>
      <c r="BP263" s="657"/>
      <c r="BQ263" s="8"/>
      <c r="BR263" s="8"/>
      <c r="BS263" s="8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224"/>
      <c r="CG263" s="658"/>
      <c r="CH263" s="363"/>
    </row>
    <row r="264" spans="1:86" ht="14.25" hidden="1" customHeight="1" outlineLevel="3">
      <c r="A264" s="672"/>
      <c r="B264" s="764" t="s">
        <v>269</v>
      </c>
      <c r="C264" s="274"/>
      <c r="D264" s="754"/>
      <c r="E264" s="754"/>
      <c r="F264" s="754"/>
      <c r="G264" s="79"/>
      <c r="H264" s="754"/>
      <c r="I264" s="754"/>
      <c r="J264" s="754"/>
      <c r="K264" s="79"/>
      <c r="L264" s="247"/>
      <c r="M264" s="247"/>
      <c r="N264" s="247"/>
      <c r="O264" s="76"/>
      <c r="P264" s="760">
        <f t="shared" ref="P264:AQ264" si="658">IF(ISERROR(P262/L262-1),"NA",P262/L262-1)</f>
        <v>0.58181818181818179</v>
      </c>
      <c r="Q264" s="46">
        <f t="shared" si="658"/>
        <v>0.17567567567567566</v>
      </c>
      <c r="R264" s="46">
        <f t="shared" si="658"/>
        <v>0.10975609756097571</v>
      </c>
      <c r="S264" s="749">
        <f t="shared" si="658"/>
        <v>-0.1428571428571429</v>
      </c>
      <c r="T264" s="765">
        <f t="shared" si="658"/>
        <v>-0.25287356321839083</v>
      </c>
      <c r="U264" s="765">
        <f t="shared" si="658"/>
        <v>9.1954022988505857E-2</v>
      </c>
      <c r="V264" s="765">
        <f t="shared" si="658"/>
        <v>0.36263736263736268</v>
      </c>
      <c r="W264" s="749">
        <f t="shared" si="658"/>
        <v>0.93055555555555558</v>
      </c>
      <c r="X264" s="765">
        <f t="shared" si="658"/>
        <v>1.1384615384615384</v>
      </c>
      <c r="Y264" s="765">
        <f t="shared" si="658"/>
        <v>0.53684210526315779</v>
      </c>
      <c r="Z264" s="765">
        <f t="shared" si="658"/>
        <v>0.30645161290322576</v>
      </c>
      <c r="AA264" s="46">
        <f t="shared" si="658"/>
        <v>0.16546762589928066</v>
      </c>
      <c r="AB264" s="760">
        <f t="shared" si="658"/>
        <v>0.35510605963447484</v>
      </c>
      <c r="AC264" s="46">
        <f t="shared" si="658"/>
        <v>0.29939533260029516</v>
      </c>
      <c r="AD264" s="46">
        <f t="shared" si="658"/>
        <v>0.23190685553826906</v>
      </c>
      <c r="AE264" s="749">
        <f t="shared" si="658"/>
        <v>0.23218204032973078</v>
      </c>
      <c r="AF264" s="46">
        <f t="shared" si="658"/>
        <v>-0.25252272352116578</v>
      </c>
      <c r="AG264" s="46">
        <f>IF(ISERROR(AG262/AC262-1),"NA",AG262/AC262-1)</f>
        <v>-0.46866750896935394</v>
      </c>
      <c r="AH264" s="46">
        <f t="shared" si="658"/>
        <v>-0.62418996137441241</v>
      </c>
      <c r="AI264" s="749">
        <f t="shared" si="658"/>
        <v>-0.71444815754846047</v>
      </c>
      <c r="AJ264" s="760">
        <f t="shared" si="658"/>
        <v>-1.3579682052858841</v>
      </c>
      <c r="AK264" s="46">
        <f t="shared" si="658"/>
        <v>-1.425</v>
      </c>
      <c r="AL264" s="46">
        <f t="shared" si="658"/>
        <v>-1.48552</v>
      </c>
      <c r="AM264" s="749">
        <f t="shared" si="658"/>
        <v>-1.5430157894736842</v>
      </c>
      <c r="AN264" s="765">
        <f t="shared" si="658"/>
        <v>-0.37359249999999999</v>
      </c>
      <c r="AO264" s="765">
        <f t="shared" si="658"/>
        <v>-0.24831100000000006</v>
      </c>
      <c r="AP264" s="765">
        <f t="shared" si="658"/>
        <v>-9.7973200000000094E-2</v>
      </c>
      <c r="AQ264" s="749">
        <f t="shared" si="658"/>
        <v>8.2432159999999755E-2</v>
      </c>
      <c r="AR264" s="765">
        <f t="shared" ref="AR264:AY264" si="659">IF(ISERROR(AR262/AN262-1),"NA",AR262/AN262-1)</f>
        <v>8.2432159999999755E-2</v>
      </c>
      <c r="AS264" s="765">
        <f t="shared" si="659"/>
        <v>8.2432159999999755E-2</v>
      </c>
      <c r="AT264" s="765">
        <f t="shared" si="659"/>
        <v>6.1207999999999929E-2</v>
      </c>
      <c r="AU264" s="749">
        <f t="shared" si="659"/>
        <v>6.1207999999999929E-2</v>
      </c>
      <c r="AV264" s="765">
        <f t="shared" si="659"/>
        <v>6.1207999999999929E-2</v>
      </c>
      <c r="AW264" s="765">
        <f t="shared" si="659"/>
        <v>6.1207999999999929E-2</v>
      </c>
      <c r="AX264" s="765">
        <f t="shared" si="659"/>
        <v>6.1207999999999929E-2</v>
      </c>
      <c r="AY264" s="749">
        <f t="shared" si="659"/>
        <v>6.1208000000000151E-2</v>
      </c>
      <c r="AZ264" s="765">
        <f t="shared" ref="AZ264:BG264" si="660">IF(ISERROR(AZ262/AV262-1),"NA",AZ262/AV262-1)</f>
        <v>6.1208000000000151E-2</v>
      </c>
      <c r="BA264" s="765">
        <f t="shared" si="660"/>
        <v>6.1207999999999929E-2</v>
      </c>
      <c r="BB264" s="765">
        <f t="shared" si="660"/>
        <v>8.2432159999999977E-2</v>
      </c>
      <c r="BC264" s="46">
        <f t="shared" si="660"/>
        <v>8.2432159999999977E-2</v>
      </c>
      <c r="BD264" s="760">
        <f t="shared" si="660"/>
        <v>8.2432160000000199E-2</v>
      </c>
      <c r="BE264" s="46">
        <f t="shared" si="660"/>
        <v>8.2432160000000199E-2</v>
      </c>
      <c r="BF264" s="46">
        <f t="shared" si="660"/>
        <v>8.2432160000000199E-2</v>
      </c>
      <c r="BG264" s="749">
        <f t="shared" si="660"/>
        <v>8.2432160000000199E-2</v>
      </c>
      <c r="BH264" s="760">
        <f t="shared" ref="BH264" si="661">IF(ISERROR(BH262/BD262-1),"NA",BH262/BD262-1)</f>
        <v>8.2432160000000199E-2</v>
      </c>
      <c r="BI264" s="46">
        <f t="shared" ref="BI264" si="662">IF(ISERROR(BI262/BE262-1),"NA",BI262/BE262-1)</f>
        <v>8.2432159999999977E-2</v>
      </c>
      <c r="BJ264" s="46">
        <f t="shared" ref="BJ264" si="663">IF(ISERROR(BJ262/BF262-1),"NA",BJ262/BF262-1)</f>
        <v>8.2432160000000199E-2</v>
      </c>
      <c r="BK264" s="749">
        <f t="shared" ref="BK264" si="664">IF(ISERROR(BK262/BG262-1),"NA",BK262/BG262-1)</f>
        <v>8.2432160000000199E-2</v>
      </c>
      <c r="BL264" s="760">
        <f t="shared" ref="BL264" si="665">IF(ISERROR(BL262/BH262-1),"NA",BL262/BH262-1)</f>
        <v>8.2432159999999977E-2</v>
      </c>
      <c r="BM264" s="46">
        <f t="shared" ref="BM264" si="666">IF(ISERROR(BM262/BI262-1),"NA",BM262/BI262-1)</f>
        <v>8.2432160000000199E-2</v>
      </c>
      <c r="BN264" s="46">
        <f t="shared" ref="BN264" si="667">IF(ISERROR(BN262/BJ262-1),"NA",BN262/BJ262-1)</f>
        <v>8.2432160000000199E-2</v>
      </c>
      <c r="BO264" s="749">
        <f t="shared" ref="BO264" si="668">IF(ISERROR(BO262/BK262-1),"NA",BO262/BK262-1)</f>
        <v>8.2432160000000199E-2</v>
      </c>
      <c r="BP264" s="657"/>
      <c r="BQ264" s="8"/>
      <c r="BR264" s="751"/>
      <c r="BS264" s="751" t="str">
        <f t="shared" ref="BS264:BZ264" si="669">IF(ISERROR(BS262/BR262-1),"NA",BS262/BR262-1)</f>
        <v>NA</v>
      </c>
      <c r="BT264" s="752">
        <f t="shared" si="669"/>
        <v>0.14237288135593218</v>
      </c>
      <c r="BU264" s="752">
        <f t="shared" si="669"/>
        <v>0.25519287833827886</v>
      </c>
      <c r="BV264" s="752">
        <f t="shared" si="669"/>
        <v>0.43971631205673756</v>
      </c>
      <c r="BW264" s="752">
        <f t="shared" si="669"/>
        <v>0.27627891950648786</v>
      </c>
      <c r="BX264" s="752">
        <f t="shared" si="669"/>
        <v>-0.51934027550131701</v>
      </c>
      <c r="BY264" s="752">
        <f t="shared" si="669"/>
        <v>-1.4298934950401414</v>
      </c>
      <c r="BZ264" s="752">
        <f t="shared" si="669"/>
        <v>-0.18979918777389881</v>
      </c>
      <c r="CA264" s="752">
        <f t="shared" ref="CA264:CF264" si="670">IF(ISERROR(CA262/BZ262-1),"NA",CA262/BZ262-1)</f>
        <v>7.1609960399921624E-2</v>
      </c>
      <c r="CB264" s="752">
        <f t="shared" si="670"/>
        <v>6.1207999999999929E-2</v>
      </c>
      <c r="CC264" s="752">
        <f t="shared" si="670"/>
        <v>7.1925150099009905E-2</v>
      </c>
      <c r="CD264" s="752">
        <f t="shared" si="670"/>
        <v>8.2432160000000199E-2</v>
      </c>
      <c r="CE264" s="752">
        <f t="shared" si="670"/>
        <v>8.2432160000000199E-2</v>
      </c>
      <c r="CF264" s="753">
        <f t="shared" si="670"/>
        <v>8.2432159999999977E-2</v>
      </c>
      <c r="CG264" s="658"/>
      <c r="CH264" s="363"/>
    </row>
    <row r="265" spans="1:86" ht="14.25" hidden="1" customHeight="1" outlineLevel="3">
      <c r="A265" s="672"/>
      <c r="B265" s="759" t="s">
        <v>270</v>
      </c>
      <c r="C265" s="274"/>
      <c r="D265" s="754"/>
      <c r="E265" s="754"/>
      <c r="F265" s="754"/>
      <c r="G265" s="79"/>
      <c r="H265" s="754"/>
      <c r="I265" s="754"/>
      <c r="J265" s="754"/>
      <c r="K265" s="79"/>
      <c r="L265" s="247" t="e">
        <f>L262/#REF!</f>
        <v>#REF!</v>
      </c>
      <c r="M265" s="247" t="e">
        <f>M262/#REF!</f>
        <v>#REF!</v>
      </c>
      <c r="N265" s="247" t="e">
        <f>N262/#REF!</f>
        <v>#REF!</v>
      </c>
      <c r="O265" s="76" t="e">
        <f>O262/#REF!</f>
        <v>#REF!</v>
      </c>
      <c r="P265" s="522" t="e">
        <f>P262/#REF!</f>
        <v>#REF!</v>
      </c>
      <c r="Q265" s="46" t="e">
        <f>Q262/#REF!</f>
        <v>#REF!</v>
      </c>
      <c r="R265" s="46" t="e">
        <f>R262/#REF!</f>
        <v>#REF!</v>
      </c>
      <c r="S265" s="749" t="e">
        <f>S262/#REF!</f>
        <v>#REF!</v>
      </c>
      <c r="T265" s="247" t="e">
        <f>T262/#REF!</f>
        <v>#REF!</v>
      </c>
      <c r="U265" s="765" t="e">
        <f>U262/#REF!</f>
        <v>#REF!</v>
      </c>
      <c r="V265" s="765" t="e">
        <f>V262/#REF!</f>
        <v>#REF!</v>
      </c>
      <c r="W265" s="749" t="e">
        <f>W262/#REF!</f>
        <v>#REF!</v>
      </c>
      <c r="X265" s="247" t="e">
        <f>X262/#REF!</f>
        <v>#REF!</v>
      </c>
      <c r="Y265" s="765" t="e">
        <f>Y262/#REF!</f>
        <v>#REF!</v>
      </c>
      <c r="Z265" s="765" t="e">
        <f>Z262/#REF!</f>
        <v>#REF!</v>
      </c>
      <c r="AA265" s="46" t="e">
        <f>AA262/#REF!</f>
        <v>#REF!</v>
      </c>
      <c r="AB265" s="522" t="e">
        <f>AB262/#REF!</f>
        <v>#REF!</v>
      </c>
      <c r="AC265" s="46" t="e">
        <f>AC262/#REF!</f>
        <v>#REF!</v>
      </c>
      <c r="AD265" s="46" t="e">
        <f>AD262/#REF!</f>
        <v>#REF!</v>
      </c>
      <c r="AE265" s="749" t="e">
        <f>AE262/#REF!</f>
        <v>#REF!</v>
      </c>
      <c r="AF265" s="76">
        <f>+AF262/AF$14</f>
        <v>4.5112024083492575E-2</v>
      </c>
      <c r="AG265" s="46">
        <f t="shared" ref="AG265:AQ265" si="671">+AG262/AG$14</f>
        <v>3.0224887556221894E-2</v>
      </c>
      <c r="AH265" s="76">
        <f t="shared" si="671"/>
        <v>2.2123893805309734E-2</v>
      </c>
      <c r="AI265" s="77">
        <f t="shared" si="671"/>
        <v>1.9133937562940583E-2</v>
      </c>
      <c r="AJ265" s="522">
        <f t="shared" si="671"/>
        <v>-1.7469670710571927E-2</v>
      </c>
      <c r="AK265" s="46">
        <f t="shared" si="671"/>
        <v>-1.4059730882835577E-2</v>
      </c>
      <c r="AL265" s="46">
        <f t="shared" si="671"/>
        <v>-1.1225030826140568E-2</v>
      </c>
      <c r="AM265" s="749">
        <f t="shared" si="671"/>
        <v>-1.0221469637211702E-2</v>
      </c>
      <c r="AN265" s="247">
        <f t="shared" si="671"/>
        <v>-1.0585400936068313E-2</v>
      </c>
      <c r="AO265" s="765">
        <f t="shared" si="671"/>
        <v>-9.7828350422479726E-3</v>
      </c>
      <c r="AP265" s="765">
        <f t="shared" si="671"/>
        <v>-9.3809592320488119E-3</v>
      </c>
      <c r="AQ265" s="749">
        <f t="shared" si="671"/>
        <v>-1.0248801460111348E-2</v>
      </c>
      <c r="AR265" s="247">
        <f t="shared" ref="AR265:AV265" si="672">+AR262/AR$14</f>
        <v>-1.0848697972243198E-2</v>
      </c>
      <c r="AS265" s="765">
        <f t="shared" si="672"/>
        <v>-1.0458286716529128E-2</v>
      </c>
      <c r="AT265" s="765">
        <f t="shared" si="672"/>
        <v>-1.015227320560832E-2</v>
      </c>
      <c r="AU265" s="749">
        <f t="shared" si="672"/>
        <v>-1.1148557311839136E-2</v>
      </c>
      <c r="AV265" s="247">
        <f t="shared" si="672"/>
        <v>-1.2057851981203025E-2</v>
      </c>
      <c r="AW265" s="765">
        <f>+AW262/AW$14</f>
        <v>-1.130308938197684E-2</v>
      </c>
      <c r="AX265" s="765">
        <f>+AX262/AX$14</f>
        <v>-1.006649117385673E-2</v>
      </c>
      <c r="AY265" s="749">
        <f t="shared" ref="AY265" si="673">+AY262/AY$14</f>
        <v>-1.105182052736681E-2</v>
      </c>
      <c r="AZ265" s="247">
        <f t="shared" ref="AZ265:BG265" si="674">+AZ262/AZ$14</f>
        <v>-1.1311982054328233E-2</v>
      </c>
      <c r="BA265" s="765">
        <f t="shared" si="674"/>
        <v>-1.0629046064463634E-2</v>
      </c>
      <c r="BB265" s="765">
        <f t="shared" si="674"/>
        <v>-9.7277898603359697E-3</v>
      </c>
      <c r="BC265" s="46">
        <f t="shared" si="674"/>
        <v>-1.0890160092007252E-2</v>
      </c>
      <c r="BD265" s="522">
        <f t="shared" si="674"/>
        <v>-1.0994727668386495E-2</v>
      </c>
      <c r="BE265" s="46">
        <f t="shared" si="674"/>
        <v>-1.0772380673410608E-2</v>
      </c>
      <c r="BF265" s="46">
        <f t="shared" si="674"/>
        <v>-1.032642467562879E-2</v>
      </c>
      <c r="BG265" s="749">
        <f t="shared" si="674"/>
        <v>-1.1178495915413426E-2</v>
      </c>
      <c r="BH265" s="522">
        <f t="shared" ref="BH265:BK265" si="675">+BH262/BH$14</f>
        <v>-1.1710117479020832E-2</v>
      </c>
      <c r="BI265" s="46">
        <f t="shared" si="675"/>
        <v>-1.1246892202998701E-2</v>
      </c>
      <c r="BJ265" s="46">
        <f t="shared" si="675"/>
        <v>-1.080756283216951E-2</v>
      </c>
      <c r="BK265" s="749">
        <f t="shared" si="675"/>
        <v>-1.1737351311517853E-2</v>
      </c>
      <c r="BL265" s="522">
        <f t="shared" ref="BL265:BO265" si="676">+BL262/BL$14</f>
        <v>-1.2281666968027348E-2</v>
      </c>
      <c r="BM265" s="46">
        <f t="shared" si="676"/>
        <v>-1.1799326735028589E-2</v>
      </c>
      <c r="BN265" s="46">
        <f t="shared" si="676"/>
        <v>-1.1344936701671806E-2</v>
      </c>
      <c r="BO265" s="749">
        <f t="shared" si="676"/>
        <v>-1.2314011914003163E-2</v>
      </c>
      <c r="BP265" s="657"/>
      <c r="BQ265" s="8"/>
      <c r="BR265" s="751" t="str">
        <f t="shared" ref="BR265:CE265" si="677">IF(ISERROR(BR262/BR14),"NA",BR262/BR14)</f>
        <v>NA</v>
      </c>
      <c r="BS265" s="751">
        <f t="shared" si="677"/>
        <v>2.1324273528986554E-2</v>
      </c>
      <c r="BT265" s="752">
        <f t="shared" si="677"/>
        <v>2.6957843372530196E-2</v>
      </c>
      <c r="BU265" s="752">
        <f t="shared" si="677"/>
        <v>4.0563866513233598E-2</v>
      </c>
      <c r="BV265" s="752">
        <f t="shared" si="677"/>
        <v>4.3605900042961478E-2</v>
      </c>
      <c r="BW265" s="752">
        <f t="shared" si="677"/>
        <v>5.6585167587321718E-2</v>
      </c>
      <c r="BX265" s="752">
        <f t="shared" si="677"/>
        <v>2.9130185353963379E-2</v>
      </c>
      <c r="BY265" s="752">
        <f t="shared" si="677"/>
        <v>-1.3159967160458551E-2</v>
      </c>
      <c r="BZ265" s="752">
        <f t="shared" si="677"/>
        <v>-9.9752341542248719E-3</v>
      </c>
      <c r="CA265" s="752">
        <f t="shared" si="677"/>
        <v>-1.0639926866678681E-2</v>
      </c>
      <c r="CB265" s="752">
        <f t="shared" si="677"/>
        <v>-1.1068825456892764E-2</v>
      </c>
      <c r="CC265" s="752">
        <f t="shared" si="677"/>
        <v>-1.0601849300081961E-2</v>
      </c>
      <c r="CD265" s="752">
        <f t="shared" si="677"/>
        <v>-1.080869150471651E-2</v>
      </c>
      <c r="CE265" s="752">
        <f t="shared" si="677"/>
        <v>-1.1361591462089949E-2</v>
      </c>
      <c r="CF265" s="753">
        <f>IF(ISERROR(CF262/CF14),"NA",CF262/CF14)</f>
        <v>-1.58300611687688E-2</v>
      </c>
      <c r="CG265" s="658"/>
      <c r="CH265" s="363"/>
    </row>
    <row r="266" spans="1:86" ht="14.25" hidden="1" customHeight="1" outlineLevel="3">
      <c r="A266" s="672"/>
      <c r="B266" s="892"/>
      <c r="C266" s="274"/>
      <c r="D266" s="754"/>
      <c r="E266" s="754"/>
      <c r="F266" s="754"/>
      <c r="G266" s="79"/>
      <c r="H266" s="754"/>
      <c r="I266" s="754"/>
      <c r="J266" s="754"/>
      <c r="K266" s="79"/>
      <c r="L266" s="754"/>
      <c r="M266" s="754"/>
      <c r="N266" s="754"/>
      <c r="O266" s="78"/>
      <c r="P266" s="522"/>
      <c r="Q266" s="76"/>
      <c r="R266" s="76"/>
      <c r="S266" s="77"/>
      <c r="T266" s="247"/>
      <c r="U266" s="247"/>
      <c r="V266" s="247"/>
      <c r="W266" s="77"/>
      <c r="X266" s="247"/>
      <c r="Y266" s="247"/>
      <c r="Z266" s="247"/>
      <c r="AA266" s="76"/>
      <c r="AB266" s="522"/>
      <c r="AC266" s="76"/>
      <c r="AD266" s="278"/>
      <c r="AE266" s="279"/>
      <c r="AF266" s="76"/>
      <c r="AG266" s="278"/>
      <c r="AH266" s="278"/>
      <c r="AI266" s="79"/>
      <c r="AJ266" s="342"/>
      <c r="AK266" s="54"/>
      <c r="AL266" s="54"/>
      <c r="AM266" s="79"/>
      <c r="AN266" s="12"/>
      <c r="AO266" s="12"/>
      <c r="AP266" s="12"/>
      <c r="AQ266" s="79"/>
      <c r="AR266" s="12"/>
      <c r="AS266" s="12"/>
      <c r="AT266" s="12"/>
      <c r="AU266" s="79"/>
      <c r="AV266" s="12"/>
      <c r="AW266" s="12"/>
      <c r="AX266" s="12"/>
      <c r="AY266" s="79"/>
      <c r="AZ266" s="12"/>
      <c r="BA266" s="12"/>
      <c r="BB266" s="12"/>
      <c r="BC266" s="78"/>
      <c r="BD266" s="342"/>
      <c r="BE266" s="54"/>
      <c r="BF266" s="54"/>
      <c r="BG266" s="79"/>
      <c r="BH266" s="342"/>
      <c r="BI266" s="54"/>
      <c r="BJ266" s="54"/>
      <c r="BK266" s="79"/>
      <c r="BL266" s="342"/>
      <c r="BM266" s="54"/>
      <c r="BN266" s="54"/>
      <c r="BO266" s="79"/>
      <c r="BP266" s="657"/>
      <c r="BQ266" s="8"/>
      <c r="BR266" s="8"/>
      <c r="BS266" s="8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224"/>
      <c r="CG266" s="658"/>
      <c r="CH266" s="363"/>
    </row>
    <row r="267" spans="1:86" ht="14.25" hidden="1" customHeight="1" outlineLevel="3">
      <c r="A267" s="672"/>
      <c r="B267" s="755" t="s">
        <v>341</v>
      </c>
      <c r="C267" s="274"/>
      <c r="D267" s="754"/>
      <c r="E267" s="754"/>
      <c r="F267" s="754"/>
      <c r="G267" s="79"/>
      <c r="H267" s="754"/>
      <c r="I267" s="754"/>
      <c r="J267" s="754"/>
      <c r="K267" s="79"/>
      <c r="L267" s="687">
        <f t="shared" ref="L267:AF267" si="678">L$436</f>
        <v>140</v>
      </c>
      <c r="M267" s="687">
        <f t="shared" si="678"/>
        <v>162</v>
      </c>
      <c r="N267" s="687">
        <f t="shared" si="678"/>
        <v>183</v>
      </c>
      <c r="O267" s="687">
        <f t="shared" si="678"/>
        <v>159</v>
      </c>
      <c r="P267" s="688">
        <f t="shared" si="678"/>
        <v>130</v>
      </c>
      <c r="Q267" s="687">
        <f t="shared" si="678"/>
        <v>152</v>
      </c>
      <c r="R267" s="687">
        <f t="shared" si="678"/>
        <v>170</v>
      </c>
      <c r="S267" s="689">
        <f t="shared" si="678"/>
        <v>123</v>
      </c>
      <c r="T267" s="687">
        <f t="shared" si="678"/>
        <v>98</v>
      </c>
      <c r="U267" s="687">
        <f t="shared" si="678"/>
        <v>109</v>
      </c>
      <c r="V267" s="687">
        <f t="shared" si="678"/>
        <v>117</v>
      </c>
      <c r="W267" s="689">
        <f t="shared" si="678"/>
        <v>154</v>
      </c>
      <c r="X267" s="687">
        <f t="shared" si="678"/>
        <v>154</v>
      </c>
      <c r="Y267" s="687">
        <f t="shared" si="678"/>
        <v>165</v>
      </c>
      <c r="Z267" s="687">
        <f t="shared" si="678"/>
        <v>167</v>
      </c>
      <c r="AA267" s="687">
        <f t="shared" si="678"/>
        <v>170</v>
      </c>
      <c r="AB267" s="688">
        <f t="shared" si="678"/>
        <v>135.64025771080799</v>
      </c>
      <c r="AC267" s="687">
        <f t="shared" si="678"/>
        <v>140.28828144035691</v>
      </c>
      <c r="AD267" s="687">
        <f t="shared" si="678"/>
        <v>117.43108940280041</v>
      </c>
      <c r="AE267" s="689">
        <f t="shared" si="678"/>
        <v>243.38650946658368</v>
      </c>
      <c r="AF267" s="687">
        <f t="shared" si="678"/>
        <v>145.20537283541967</v>
      </c>
      <c r="AG267" s="632">
        <f>0.6*($AG$120-$AG$130)</f>
        <v>151.19999999999999</v>
      </c>
      <c r="AH267" s="687">
        <f>+AH258-AH262</f>
        <v>196</v>
      </c>
      <c r="AI267" s="689">
        <f>+AH267*(1+AI268)</f>
        <v>196</v>
      </c>
      <c r="AJ267" s="688">
        <f>AI267*(1+AJ268)</f>
        <v>176.4</v>
      </c>
      <c r="AK267" s="687">
        <f>AJ267*(1+AK268)</f>
        <v>105.84</v>
      </c>
      <c r="AL267" s="687">
        <f>AK267*(1+AL268)</f>
        <v>74.087999999999994</v>
      </c>
      <c r="AM267" s="689">
        <f>AL267*(1+AM268)</f>
        <v>51.861599999999996</v>
      </c>
      <c r="AN267" s="758">
        <f t="shared" ref="AN267:AY267" si="679">+AM267*(1+AN268)</f>
        <v>52.898831999999999</v>
      </c>
      <c r="AO267" s="758">
        <f t="shared" si="679"/>
        <v>53.956808639999998</v>
      </c>
      <c r="AP267" s="758">
        <f t="shared" si="679"/>
        <v>55.035944812799997</v>
      </c>
      <c r="AQ267" s="689">
        <f t="shared" si="679"/>
        <v>56.136663709055995</v>
      </c>
      <c r="AR267" s="758">
        <f t="shared" si="679"/>
        <v>57.259396983237117</v>
      </c>
      <c r="AS267" s="758">
        <f t="shared" si="679"/>
        <v>58.404584922901861</v>
      </c>
      <c r="AT267" s="758">
        <f t="shared" si="679"/>
        <v>58.404584922901861</v>
      </c>
      <c r="AU267" s="689">
        <f t="shared" si="679"/>
        <v>59.572676621359896</v>
      </c>
      <c r="AV267" s="758">
        <f t="shared" ref="AV267:BC267" si="680">+AU267*(1+AV268)</f>
        <v>60.764130153787093</v>
      </c>
      <c r="AW267" s="758">
        <f t="shared" si="679"/>
        <v>61.979412756862835</v>
      </c>
      <c r="AX267" s="758">
        <f t="shared" si="679"/>
        <v>61.979412756862835</v>
      </c>
      <c r="AY267" s="689">
        <f t="shared" si="679"/>
        <v>63.219001012000092</v>
      </c>
      <c r="AZ267" s="758">
        <f t="shared" si="680"/>
        <v>64.483381032240089</v>
      </c>
      <c r="BA267" s="758">
        <f t="shared" si="680"/>
        <v>65.773048652884896</v>
      </c>
      <c r="BB267" s="758">
        <f t="shared" si="680"/>
        <v>67.088509625942592</v>
      </c>
      <c r="BC267" s="758">
        <f t="shared" si="680"/>
        <v>68.430279818461443</v>
      </c>
      <c r="BD267" s="757">
        <f t="shared" ref="BD267" si="681">+BC267*(1+BD268)</f>
        <v>69.798885414830679</v>
      </c>
      <c r="BE267" s="758">
        <f t="shared" ref="BE267" si="682">+BD267*(1+BE268)</f>
        <v>71.194863123127291</v>
      </c>
      <c r="BF267" s="758">
        <f t="shared" ref="BF267" si="683">+BE267*(1+BF268)</f>
        <v>72.618760385589837</v>
      </c>
      <c r="BG267" s="745">
        <f t="shared" ref="BG267" si="684">+BF267*(1+BG268)</f>
        <v>74.071135593301634</v>
      </c>
      <c r="BH267" s="757">
        <f t="shared" ref="BH267" si="685">+BG267*(1+BH268)</f>
        <v>75.552558305167665</v>
      </c>
      <c r="BI267" s="758">
        <f t="shared" ref="BI267" si="686">+BH267*(1+BI268)</f>
        <v>77.063609471271022</v>
      </c>
      <c r="BJ267" s="758">
        <f t="shared" ref="BJ267" si="687">+BI267*(1+BJ268)</f>
        <v>78.604881660696449</v>
      </c>
      <c r="BK267" s="745">
        <f t="shared" ref="BK267" si="688">+BJ267*(1+BK268)</f>
        <v>80.176979293910378</v>
      </c>
      <c r="BL267" s="757">
        <f t="shared" ref="BL267" si="689">+BK267*(1+BL268)</f>
        <v>81.780518879788588</v>
      </c>
      <c r="BM267" s="758">
        <f t="shared" ref="BM267" si="690">+BL267*(1+BM268)</f>
        <v>83.416129257384355</v>
      </c>
      <c r="BN267" s="758">
        <f t="shared" ref="BN267" si="691">+BM267*(1+BN268)</f>
        <v>85.084451842532047</v>
      </c>
      <c r="BO267" s="745">
        <f t="shared" ref="BO267" si="692">+BN267*(1+BO268)</f>
        <v>86.786140879382685</v>
      </c>
      <c r="BP267" s="657"/>
      <c r="BQ267" s="8"/>
      <c r="BR267" s="8"/>
      <c r="BS267" s="273">
        <f>SUM(L267:O267)</f>
        <v>644</v>
      </c>
      <c r="BT267" s="691">
        <f>SUM(P267:S267)</f>
        <v>575</v>
      </c>
      <c r="BU267" s="691">
        <f>SUM(T267:W267)</f>
        <v>478</v>
      </c>
      <c r="BV267" s="691">
        <f>SUM(X267:AA267)</f>
        <v>656</v>
      </c>
      <c r="BW267" s="691">
        <f>SUM(AB267:AE267)</f>
        <v>636.74613802054898</v>
      </c>
      <c r="BX267" s="691">
        <f>SUM(AF267:AI267)</f>
        <v>688.40537283541971</v>
      </c>
      <c r="BY267" s="691">
        <f>SUM(AJ267:AM267)</f>
        <v>408.18959999999998</v>
      </c>
      <c r="BZ267" s="691">
        <f>+SUM(AN267:AQ267)</f>
        <v>218.02824916185597</v>
      </c>
      <c r="CA267" s="691">
        <f>+SUM(AR267:AU267)</f>
        <v>233.64124345040074</v>
      </c>
      <c r="CB267" s="691">
        <f>SUM(AV267:AY267)</f>
        <v>247.94195667951286</v>
      </c>
      <c r="CC267" s="691">
        <f>SUM(AZ267:BC267)</f>
        <v>265.77521912952903</v>
      </c>
      <c r="CD267" s="691">
        <f>SUM(BD267:BG267)</f>
        <v>287.68364451684943</v>
      </c>
      <c r="CE267" s="691">
        <f>SUM(BH267:BK267)</f>
        <v>311.39802873104554</v>
      </c>
      <c r="CF267" s="692">
        <f>SUM(BL267:BO267)</f>
        <v>337.06724085908763</v>
      </c>
      <c r="CG267" s="658"/>
      <c r="CH267" s="363"/>
    </row>
    <row r="268" spans="1:86" ht="14.25" hidden="1" customHeight="1" outlineLevel="3">
      <c r="A268" s="672"/>
      <c r="B268" s="759" t="s">
        <v>268</v>
      </c>
      <c r="C268" s="274"/>
      <c r="D268" s="754"/>
      <c r="E268" s="754"/>
      <c r="F268" s="754"/>
      <c r="G268" s="79"/>
      <c r="H268" s="754"/>
      <c r="I268" s="754"/>
      <c r="J268" s="754"/>
      <c r="K268" s="79"/>
      <c r="L268" s="754"/>
      <c r="M268" s="754"/>
      <c r="N268" s="754"/>
      <c r="O268" s="78"/>
      <c r="P268" s="760">
        <f>IF(ISERROR(P267/O267-1),"NA",P267/O267-1)</f>
        <v>-0.1823899371069182</v>
      </c>
      <c r="Q268" s="46">
        <f>IF(ISERROR(Q267/P267-1),"NA",Q267/P267-1)</f>
        <v>0.1692307692307693</v>
      </c>
      <c r="R268" s="46">
        <f>IF(ISERROR(R267/Q267-1),"NA",R267/Q267-1)</f>
        <v>0.11842105263157898</v>
      </c>
      <c r="S268" s="749">
        <f>IF(ISERROR(S267/R267-1),"NA",S267/R267-1)</f>
        <v>-0.27647058823529413</v>
      </c>
      <c r="T268" s="247">
        <f t="shared" ref="T268:AG268" si="693">T267/S267-1</f>
        <v>-0.2032520325203252</v>
      </c>
      <c r="U268" s="247">
        <f t="shared" si="693"/>
        <v>0.11224489795918369</v>
      </c>
      <c r="V268" s="247">
        <f t="shared" si="693"/>
        <v>7.3394495412844041E-2</v>
      </c>
      <c r="W268" s="77">
        <f t="shared" si="693"/>
        <v>0.31623931623931623</v>
      </c>
      <c r="X268" s="247">
        <f t="shared" si="693"/>
        <v>0</v>
      </c>
      <c r="Y268" s="247">
        <f t="shared" si="693"/>
        <v>7.1428571428571397E-2</v>
      </c>
      <c r="Z268" s="247">
        <f t="shared" si="693"/>
        <v>1.2121212121212199E-2</v>
      </c>
      <c r="AA268" s="76">
        <f t="shared" si="693"/>
        <v>1.7964071856287456E-2</v>
      </c>
      <c r="AB268" s="522">
        <f t="shared" si="693"/>
        <v>-0.20211613111289417</v>
      </c>
      <c r="AC268" s="76">
        <f t="shared" si="693"/>
        <v>3.4267287662183232E-2</v>
      </c>
      <c r="AD268" s="231">
        <f t="shared" si="693"/>
        <v>-0.16293015926119359</v>
      </c>
      <c r="AE268" s="276">
        <f t="shared" si="693"/>
        <v>1.0725900671136888</v>
      </c>
      <c r="AF268" s="76">
        <f t="shared" si="693"/>
        <v>-0.40339596819208268</v>
      </c>
      <c r="AG268" s="76">
        <f t="shared" si="693"/>
        <v>4.1283783427041865E-2</v>
      </c>
      <c r="AH268" s="76">
        <f>AH267/AG267-1</f>
        <v>0.2962962962962965</v>
      </c>
      <c r="AI268" s="762">
        <v>0</v>
      </c>
      <c r="AJ268" s="891">
        <v>-0.1</v>
      </c>
      <c r="AK268" s="761">
        <v>-0.4</v>
      </c>
      <c r="AL268" s="761">
        <v>-0.3</v>
      </c>
      <c r="AM268" s="762">
        <v>-0.3</v>
      </c>
      <c r="AN268" s="761">
        <v>0.02</v>
      </c>
      <c r="AO268" s="761">
        <v>0.02</v>
      </c>
      <c r="AP268" s="761">
        <v>0.02</v>
      </c>
      <c r="AQ268" s="762">
        <v>0.02</v>
      </c>
      <c r="AR268" s="761">
        <v>0.02</v>
      </c>
      <c r="AS268" s="761">
        <v>0.02</v>
      </c>
      <c r="AT268" s="761">
        <v>0</v>
      </c>
      <c r="AU268" s="762">
        <v>0.02</v>
      </c>
      <c r="AV268" s="761">
        <v>0.02</v>
      </c>
      <c r="AW268" s="761">
        <v>0.02</v>
      </c>
      <c r="AX268" s="761">
        <v>0</v>
      </c>
      <c r="AY268" s="762">
        <v>0.02</v>
      </c>
      <c r="AZ268" s="761">
        <v>0.02</v>
      </c>
      <c r="BA268" s="761">
        <v>0.02</v>
      </c>
      <c r="BB268" s="761">
        <v>0.02</v>
      </c>
      <c r="BC268" s="761">
        <v>0.02</v>
      </c>
      <c r="BD268" s="891">
        <v>0.02</v>
      </c>
      <c r="BE268" s="761">
        <v>0.02</v>
      </c>
      <c r="BF268" s="761">
        <v>0.02</v>
      </c>
      <c r="BG268" s="762">
        <v>0.02</v>
      </c>
      <c r="BH268" s="891">
        <v>0.02</v>
      </c>
      <c r="BI268" s="761">
        <v>0.02</v>
      </c>
      <c r="BJ268" s="761">
        <v>0.02</v>
      </c>
      <c r="BK268" s="762">
        <v>0.02</v>
      </c>
      <c r="BL268" s="891">
        <v>0.02</v>
      </c>
      <c r="BM268" s="761">
        <v>0.02</v>
      </c>
      <c r="BN268" s="761">
        <v>0.02</v>
      </c>
      <c r="BO268" s="762">
        <v>0.02</v>
      </c>
      <c r="BP268" s="657"/>
      <c r="BQ268" s="8"/>
      <c r="BR268" s="8"/>
      <c r="BS268" s="8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224"/>
      <c r="CG268" s="658"/>
      <c r="CH268" s="363"/>
    </row>
    <row r="269" spans="1:86" ht="14.25" hidden="1" customHeight="1" outlineLevel="3">
      <c r="A269" s="672"/>
      <c r="B269" s="759" t="s">
        <v>499</v>
      </c>
      <c r="C269" s="274"/>
      <c r="D269" s="754"/>
      <c r="E269" s="754"/>
      <c r="F269" s="754"/>
      <c r="G269" s="79"/>
      <c r="H269" s="754"/>
      <c r="I269" s="754"/>
      <c r="J269" s="754"/>
      <c r="K269" s="79"/>
      <c r="L269" s="754"/>
      <c r="M269" s="754"/>
      <c r="N269" s="754"/>
      <c r="O269" s="78"/>
      <c r="P269" s="760"/>
      <c r="Q269" s="46"/>
      <c r="R269" s="46"/>
      <c r="S269" s="749"/>
      <c r="T269" s="247"/>
      <c r="U269" s="247"/>
      <c r="V269" s="247"/>
      <c r="W269" s="77"/>
      <c r="X269" s="247"/>
      <c r="Y269" s="247"/>
      <c r="Z269" s="247"/>
      <c r="AA269" s="76"/>
      <c r="AB269" s="522"/>
      <c r="AC269" s="76"/>
      <c r="AD269" s="231"/>
      <c r="AE269" s="276"/>
      <c r="AF269" s="46">
        <f>+AVERAGE(AF268,AB268,X268,T268,P268)</f>
        <v>-0.19823081378644405</v>
      </c>
      <c r="AG269" s="76"/>
      <c r="AH269" s="76"/>
      <c r="AI269" s="749">
        <f>+AVERAGE(O268,AE268,AA268,W268,S268)</f>
        <v>0.2825807167434996</v>
      </c>
      <c r="AJ269" s="760">
        <f t="shared" ref="AJ269:AQ269" si="694">+AF269</f>
        <v>-0.19823081378644405</v>
      </c>
      <c r="AK269" s="46">
        <f t="shared" si="694"/>
        <v>0</v>
      </c>
      <c r="AL269" s="46">
        <f t="shared" si="694"/>
        <v>0</v>
      </c>
      <c r="AM269" s="749">
        <f t="shared" si="694"/>
        <v>0.2825807167434996</v>
      </c>
      <c r="AN269" s="46">
        <f t="shared" si="694"/>
        <v>-0.19823081378644405</v>
      </c>
      <c r="AO269" s="46">
        <f t="shared" si="694"/>
        <v>0</v>
      </c>
      <c r="AP269" s="46">
        <f t="shared" si="694"/>
        <v>0</v>
      </c>
      <c r="AQ269" s="749">
        <f t="shared" si="694"/>
        <v>0.2825807167434996</v>
      </c>
      <c r="AR269" s="46">
        <f t="shared" ref="AR269:AY269" si="695">+AN269</f>
        <v>-0.19823081378644405</v>
      </c>
      <c r="AS269" s="46">
        <f t="shared" si="695"/>
        <v>0</v>
      </c>
      <c r="AT269" s="46">
        <f t="shared" si="695"/>
        <v>0</v>
      </c>
      <c r="AU269" s="749">
        <f t="shared" si="695"/>
        <v>0.2825807167434996</v>
      </c>
      <c r="AV269" s="46">
        <f t="shared" si="695"/>
        <v>-0.19823081378644405</v>
      </c>
      <c r="AW269" s="46">
        <f t="shared" si="695"/>
        <v>0</v>
      </c>
      <c r="AX269" s="46">
        <f t="shared" si="695"/>
        <v>0</v>
      </c>
      <c r="AY269" s="749">
        <f t="shared" si="695"/>
        <v>0.2825807167434996</v>
      </c>
      <c r="AZ269" s="46">
        <f t="shared" ref="AZ269:BG269" si="696">+AV269</f>
        <v>-0.19823081378644405</v>
      </c>
      <c r="BA269" s="46">
        <f t="shared" si="696"/>
        <v>0</v>
      </c>
      <c r="BB269" s="46">
        <f t="shared" si="696"/>
        <v>0</v>
      </c>
      <c r="BC269" s="46">
        <f t="shared" si="696"/>
        <v>0.2825807167434996</v>
      </c>
      <c r="BD269" s="760">
        <f t="shared" si="696"/>
        <v>-0.19823081378644405</v>
      </c>
      <c r="BE269" s="46">
        <f t="shared" si="696"/>
        <v>0</v>
      </c>
      <c r="BF269" s="46">
        <f t="shared" si="696"/>
        <v>0</v>
      </c>
      <c r="BG269" s="749">
        <f t="shared" si="696"/>
        <v>0.2825807167434996</v>
      </c>
      <c r="BH269" s="760">
        <f t="shared" ref="BH269" si="697">+BD269</f>
        <v>-0.19823081378644405</v>
      </c>
      <c r="BI269" s="46">
        <f t="shared" ref="BI269" si="698">+BE269</f>
        <v>0</v>
      </c>
      <c r="BJ269" s="46">
        <f t="shared" ref="BJ269" si="699">+BF269</f>
        <v>0</v>
      </c>
      <c r="BK269" s="749">
        <f t="shared" ref="BK269" si="700">+BG269</f>
        <v>0.2825807167434996</v>
      </c>
      <c r="BL269" s="760">
        <f t="shared" ref="BL269" si="701">+BH269</f>
        <v>-0.19823081378644405</v>
      </c>
      <c r="BM269" s="46">
        <f t="shared" ref="BM269" si="702">+BI269</f>
        <v>0</v>
      </c>
      <c r="BN269" s="46">
        <f t="shared" ref="BN269" si="703">+BJ269</f>
        <v>0</v>
      </c>
      <c r="BO269" s="749">
        <f t="shared" ref="BO269" si="704">+BK269</f>
        <v>0.2825807167434996</v>
      </c>
      <c r="BP269" s="657"/>
      <c r="BQ269" s="8"/>
      <c r="BR269" s="8"/>
      <c r="BS269" s="8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224"/>
      <c r="CG269" s="658"/>
      <c r="CH269" s="363"/>
    </row>
    <row r="270" spans="1:86" ht="14.25" hidden="1" customHeight="1" outlineLevel="3">
      <c r="A270" s="672"/>
      <c r="B270" s="764" t="s">
        <v>269</v>
      </c>
      <c r="C270" s="274"/>
      <c r="D270" s="754"/>
      <c r="E270" s="754"/>
      <c r="F270" s="754"/>
      <c r="G270" s="79"/>
      <c r="H270" s="754"/>
      <c r="I270" s="754"/>
      <c r="J270" s="754"/>
      <c r="K270" s="79"/>
      <c r="L270" s="754"/>
      <c r="M270" s="754"/>
      <c r="N270" s="754"/>
      <c r="O270" s="78"/>
      <c r="P270" s="760">
        <f>IF(ISERROR(P267/L267-1),"NA",P267/L267-1)</f>
        <v>-7.1428571428571397E-2</v>
      </c>
      <c r="Q270" s="46">
        <f>IF(ISERROR(Q267/M267-1),"NA",Q267/M267-1)</f>
        <v>-6.1728395061728447E-2</v>
      </c>
      <c r="R270" s="46">
        <f>IF(ISERROR(R267/N267-1),"NA",R267/N267-1)</f>
        <v>-7.1038251366120186E-2</v>
      </c>
      <c r="S270" s="749">
        <f>IF(ISERROR(S267/O267-1),"NA",S267/O267-1)</f>
        <v>-0.22641509433962259</v>
      </c>
      <c r="T270" s="247">
        <f t="shared" ref="T270:AQ270" si="705">T267/P267-1</f>
        <v>-0.24615384615384617</v>
      </c>
      <c r="U270" s="247">
        <f t="shared" si="705"/>
        <v>-0.28289473684210531</v>
      </c>
      <c r="V270" s="247">
        <f t="shared" si="705"/>
        <v>-0.31176470588235294</v>
      </c>
      <c r="W270" s="77">
        <f t="shared" si="705"/>
        <v>0.25203252032520318</v>
      </c>
      <c r="X270" s="247">
        <f t="shared" si="705"/>
        <v>0.5714285714285714</v>
      </c>
      <c r="Y270" s="247">
        <f t="shared" si="705"/>
        <v>0.51376146788990829</v>
      </c>
      <c r="Z270" s="247">
        <f t="shared" si="705"/>
        <v>0.42735042735042739</v>
      </c>
      <c r="AA270" s="76">
        <f t="shared" si="705"/>
        <v>0.10389610389610393</v>
      </c>
      <c r="AB270" s="522">
        <f t="shared" si="705"/>
        <v>-0.1192191057739741</v>
      </c>
      <c r="AC270" s="76">
        <f t="shared" si="705"/>
        <v>-0.14976799127056417</v>
      </c>
      <c r="AD270" s="231">
        <f t="shared" si="705"/>
        <v>-0.29681982393532691</v>
      </c>
      <c r="AE270" s="276">
        <f t="shared" si="705"/>
        <v>0.43168534980343343</v>
      </c>
      <c r="AF270" s="76">
        <f t="shared" si="705"/>
        <v>7.0518261215670952E-2</v>
      </c>
      <c r="AG270" s="76">
        <f t="shared" si="705"/>
        <v>7.778068451342568E-2</v>
      </c>
      <c r="AH270" s="76">
        <f>AH267/AD267-1</f>
        <v>0.66906396761508669</v>
      </c>
      <c r="AI270" s="276">
        <f t="shared" si="705"/>
        <v>-0.19469653256640229</v>
      </c>
      <c r="AJ270" s="734">
        <f t="shared" si="705"/>
        <v>0.21483108066488232</v>
      </c>
      <c r="AK270" s="231">
        <f t="shared" si="705"/>
        <v>-0.29999999999999993</v>
      </c>
      <c r="AL270" s="231">
        <f t="shared" si="705"/>
        <v>-0.62200000000000011</v>
      </c>
      <c r="AM270" s="276">
        <f t="shared" si="705"/>
        <v>-0.73540000000000005</v>
      </c>
      <c r="AN270" s="275">
        <f t="shared" si="705"/>
        <v>-0.70012000000000008</v>
      </c>
      <c r="AO270" s="275">
        <f t="shared" si="705"/>
        <v>-0.49020400000000008</v>
      </c>
      <c r="AP270" s="275">
        <f t="shared" si="705"/>
        <v>-0.25715440000000001</v>
      </c>
      <c r="AQ270" s="276">
        <f t="shared" si="705"/>
        <v>8.2432159999999977E-2</v>
      </c>
      <c r="AR270" s="275">
        <f t="shared" ref="AR270:AY270" si="706">AR267/AN267-1</f>
        <v>8.2432159999999977E-2</v>
      </c>
      <c r="AS270" s="275">
        <f t="shared" si="706"/>
        <v>8.2432159999999977E-2</v>
      </c>
      <c r="AT270" s="275">
        <f t="shared" si="706"/>
        <v>6.1208000000000151E-2</v>
      </c>
      <c r="AU270" s="276">
        <f t="shared" si="706"/>
        <v>6.1208000000000151E-2</v>
      </c>
      <c r="AV270" s="275">
        <f t="shared" si="706"/>
        <v>6.1207999999999929E-2</v>
      </c>
      <c r="AW270" s="275">
        <f t="shared" si="706"/>
        <v>6.1207999999999929E-2</v>
      </c>
      <c r="AX270" s="275">
        <f t="shared" si="706"/>
        <v>6.1207999999999929E-2</v>
      </c>
      <c r="AY270" s="276">
        <f t="shared" si="706"/>
        <v>6.1207999999999929E-2</v>
      </c>
      <c r="AZ270" s="275">
        <f t="shared" ref="AZ270:BG270" si="707">AZ267/AV267-1</f>
        <v>6.1207999999999929E-2</v>
      </c>
      <c r="BA270" s="275">
        <f t="shared" si="707"/>
        <v>6.1207999999999929E-2</v>
      </c>
      <c r="BB270" s="275">
        <f t="shared" si="707"/>
        <v>8.2432159999999977E-2</v>
      </c>
      <c r="BC270" s="231">
        <f t="shared" si="707"/>
        <v>8.2432159999999977E-2</v>
      </c>
      <c r="BD270" s="734">
        <f t="shared" si="707"/>
        <v>8.2432160000000199E-2</v>
      </c>
      <c r="BE270" s="231">
        <f t="shared" si="707"/>
        <v>8.2432159999999977E-2</v>
      </c>
      <c r="BF270" s="231">
        <f t="shared" si="707"/>
        <v>8.2432159999999977E-2</v>
      </c>
      <c r="BG270" s="276">
        <f t="shared" si="707"/>
        <v>8.2432159999999977E-2</v>
      </c>
      <c r="BH270" s="734">
        <f t="shared" ref="BH270" si="708">BH267/BD267-1</f>
        <v>8.2432159999999977E-2</v>
      </c>
      <c r="BI270" s="231">
        <f t="shared" ref="BI270" si="709">BI267/BE267-1</f>
        <v>8.2432159999999977E-2</v>
      </c>
      <c r="BJ270" s="231">
        <f t="shared" ref="BJ270" si="710">BJ267/BF267-1</f>
        <v>8.2432160000000199E-2</v>
      </c>
      <c r="BK270" s="276">
        <f t="shared" ref="BK270" si="711">BK267/BG267-1</f>
        <v>8.2432160000000199E-2</v>
      </c>
      <c r="BL270" s="734">
        <f t="shared" ref="BL270" si="712">BL267/BH267-1</f>
        <v>8.2432160000000199E-2</v>
      </c>
      <c r="BM270" s="231">
        <f t="shared" ref="BM270" si="713">BM267/BI267-1</f>
        <v>8.2432159999999977E-2</v>
      </c>
      <c r="BN270" s="231">
        <f t="shared" ref="BN270" si="714">BN267/BJ267-1</f>
        <v>8.2432159999999977E-2</v>
      </c>
      <c r="BO270" s="276">
        <f t="shared" ref="BO270" si="715">BO267/BK267-1</f>
        <v>8.2432159999999977E-2</v>
      </c>
      <c r="BP270" s="657"/>
      <c r="BQ270" s="8"/>
      <c r="BR270" s="751"/>
      <c r="BS270" s="751" t="str">
        <f t="shared" ref="BS270:BZ270" si="716">IF(ISERROR(BS267/BR267-1),"NA",BS267/BR267-1)</f>
        <v>NA</v>
      </c>
      <c r="BT270" s="752">
        <f t="shared" si="716"/>
        <v>-0.1071428571428571</v>
      </c>
      <c r="BU270" s="752">
        <f t="shared" si="716"/>
        <v>-0.16869565217391302</v>
      </c>
      <c r="BV270" s="752">
        <f t="shared" si="716"/>
        <v>0.37238493723849375</v>
      </c>
      <c r="BW270" s="752">
        <f t="shared" si="716"/>
        <v>-2.9350399358919255E-2</v>
      </c>
      <c r="BX270" s="752">
        <f t="shared" si="716"/>
        <v>8.1130032410504427E-2</v>
      </c>
      <c r="BY270" s="752">
        <f t="shared" si="716"/>
        <v>-0.4070505314060241</v>
      </c>
      <c r="BZ270" s="752">
        <f t="shared" si="716"/>
        <v>-0.46586525192739847</v>
      </c>
      <c r="CA270" s="752">
        <f t="shared" ref="CA270:CF270" si="717">IF(ISERROR(CA267/BZ267-1),"NA",CA267/BZ267-1)</f>
        <v>7.1609960399921624E-2</v>
      </c>
      <c r="CB270" s="752">
        <f t="shared" si="717"/>
        <v>6.1207999999999929E-2</v>
      </c>
      <c r="CC270" s="752">
        <f t="shared" si="717"/>
        <v>7.1925150099009905E-2</v>
      </c>
      <c r="CD270" s="752">
        <f t="shared" si="717"/>
        <v>8.2432159999999977E-2</v>
      </c>
      <c r="CE270" s="752">
        <f t="shared" si="717"/>
        <v>8.2432160000000199E-2</v>
      </c>
      <c r="CF270" s="753">
        <f t="shared" si="717"/>
        <v>8.2432159999999755E-2</v>
      </c>
      <c r="CG270" s="658"/>
      <c r="CH270" s="363"/>
    </row>
    <row r="271" spans="1:86" ht="14.25" hidden="1" customHeight="1" outlineLevel="3">
      <c r="A271" s="672"/>
      <c r="B271" s="759" t="s">
        <v>270</v>
      </c>
      <c r="C271" s="274"/>
      <c r="D271" s="754"/>
      <c r="E271" s="754"/>
      <c r="F271" s="754"/>
      <c r="G271" s="79"/>
      <c r="H271" s="754"/>
      <c r="I271" s="754"/>
      <c r="J271" s="754"/>
      <c r="K271" s="79"/>
      <c r="L271" s="754"/>
      <c r="M271" s="754"/>
      <c r="N271" s="754"/>
      <c r="O271" s="78"/>
      <c r="P271" s="522" t="e">
        <f>P267/#REF!</f>
        <v>#REF!</v>
      </c>
      <c r="Q271" s="46" t="e">
        <f>Q267/#REF!</f>
        <v>#REF!</v>
      </c>
      <c r="R271" s="46" t="e">
        <f>R267/#REF!</f>
        <v>#REF!</v>
      </c>
      <c r="S271" s="749" t="e">
        <f>S267/#REF!</f>
        <v>#REF!</v>
      </c>
      <c r="T271" s="247" t="e">
        <f>T267/#REF!</f>
        <v>#REF!</v>
      </c>
      <c r="U271" s="247" t="e">
        <f>U267/#REF!</f>
        <v>#REF!</v>
      </c>
      <c r="V271" s="247" t="e">
        <f>V267/#REF!</f>
        <v>#REF!</v>
      </c>
      <c r="W271" s="77" t="e">
        <f>W267/#REF!</f>
        <v>#REF!</v>
      </c>
      <c r="X271" s="247" t="e">
        <f>X267/#REF!</f>
        <v>#REF!</v>
      </c>
      <c r="Y271" s="247" t="e">
        <f>Y267/#REF!</f>
        <v>#REF!</v>
      </c>
      <c r="Z271" s="247" t="e">
        <f>Z267/#REF!</f>
        <v>#REF!</v>
      </c>
      <c r="AA271" s="76" t="e">
        <f>AA267/#REF!</f>
        <v>#REF!</v>
      </c>
      <c r="AB271" s="522" t="e">
        <f>AB267/#REF!</f>
        <v>#REF!</v>
      </c>
      <c r="AC271" s="76" t="e">
        <f>AC267/#REF!</f>
        <v>#REF!</v>
      </c>
      <c r="AD271" s="76" t="e">
        <f>AD267/#REF!</f>
        <v>#REF!</v>
      </c>
      <c r="AE271" s="77" t="e">
        <f>AE267/#REF!</f>
        <v>#REF!</v>
      </c>
      <c r="AF271" s="76">
        <f>+AF267/AF$14</f>
        <v>4.6525271655052762E-2</v>
      </c>
      <c r="AG271" s="46">
        <f t="shared" ref="AG271:AQ271" si="718">+AG267/AG$14</f>
        <v>4.5337331334332827E-2</v>
      </c>
      <c r="AH271" s="46">
        <f>+AH267/AH$14</f>
        <v>5.7817109144542772E-2</v>
      </c>
      <c r="AI271" s="77">
        <f t="shared" si="718"/>
        <v>6.5793890567304461E-2</v>
      </c>
      <c r="AJ271" s="522">
        <f t="shared" si="718"/>
        <v>6.1143847487001732E-2</v>
      </c>
      <c r="AK271" s="76">
        <f t="shared" si="718"/>
        <v>3.4735805710534952E-2</v>
      </c>
      <c r="AL271" s="76">
        <f t="shared" si="718"/>
        <v>2.2838471023427866E-2</v>
      </c>
      <c r="AM271" s="77">
        <f t="shared" si="718"/>
        <v>1.7126630989930128E-2</v>
      </c>
      <c r="AN271" s="247">
        <f t="shared" si="718"/>
        <v>1.7736417770346905E-2</v>
      </c>
      <c r="AO271" s="247">
        <f t="shared" si="718"/>
        <v>1.6391674754281559E-2</v>
      </c>
      <c r="AP271" s="247">
        <f t="shared" si="718"/>
        <v>1.5718309871407658E-2</v>
      </c>
      <c r="AQ271" s="77">
        <f t="shared" si="718"/>
        <v>1.717242695290792E-2</v>
      </c>
      <c r="AR271" s="247">
        <f t="shared" ref="AR271:AV271" si="719">+AR267/AR$14</f>
        <v>1.8177586343884798E-2</v>
      </c>
      <c r="AS271" s="247">
        <f t="shared" si="719"/>
        <v>1.7523430948599185E-2</v>
      </c>
      <c r="AT271" s="247">
        <f t="shared" si="719"/>
        <v>1.7010688587129594E-2</v>
      </c>
      <c r="AU271" s="77">
        <f t="shared" si="719"/>
        <v>1.8680017054968408E-2</v>
      </c>
      <c r="AV271" s="247">
        <f t="shared" si="719"/>
        <v>2.020358996728339E-2</v>
      </c>
      <c r="AW271" s="247">
        <f>+AW267/AW$14</f>
        <v>1.8938943983804874E-2</v>
      </c>
      <c r="AX271" s="247">
        <f>+AX267/AX$14</f>
        <v>1.6866956104862326E-2</v>
      </c>
      <c r="AY271" s="77">
        <f t="shared" ref="AY271" si="720">+AY267/AY$14</f>
        <v>1.8517929285830161E-2</v>
      </c>
      <c r="AZ271" s="247">
        <f t="shared" ref="AZ271:BG271" si="721">+AZ267/AZ$14</f>
        <v>1.8953844142322412E-2</v>
      </c>
      <c r="BA271" s="247">
        <f t="shared" si="721"/>
        <v>1.7809547568219956E-2</v>
      </c>
      <c r="BB271" s="247">
        <f t="shared" si="721"/>
        <v>1.6299443543717831E-2</v>
      </c>
      <c r="BC271" s="76">
        <f t="shared" si="721"/>
        <v>1.8247058391492713E-2</v>
      </c>
      <c r="BD271" s="522">
        <f t="shared" si="721"/>
        <v>1.8422267080431026E-2</v>
      </c>
      <c r="BE271" s="76">
        <f t="shared" si="721"/>
        <v>1.8049712538879735E-2</v>
      </c>
      <c r="BF271" s="76">
        <f t="shared" si="721"/>
        <v>1.7302488892688008E-2</v>
      </c>
      <c r="BG271" s="77">
        <f t="shared" si="721"/>
        <v>1.8730180821429538E-2</v>
      </c>
      <c r="BH271" s="522">
        <f t="shared" ref="BH271:BK271" si="722">+BH267/BH$14</f>
        <v>1.9620941804864539E-2</v>
      </c>
      <c r="BI271" s="76">
        <f t="shared" si="722"/>
        <v>1.8844782539199124E-2</v>
      </c>
      <c r="BJ271" s="76">
        <f t="shared" si="722"/>
        <v>1.8108662168617833E-2</v>
      </c>
      <c r="BK271" s="77">
        <f t="shared" si="722"/>
        <v>1.9666573579567467E-2</v>
      </c>
      <c r="BL271" s="522">
        <f t="shared" ref="BL271:BO271" si="723">+BL267/BL$14</f>
        <v>2.0578604209403852E-2</v>
      </c>
      <c r="BM271" s="76">
        <f t="shared" si="723"/>
        <v>1.9770416788673993E-2</v>
      </c>
      <c r="BN271" s="76">
        <f t="shared" si="723"/>
        <v>1.9009061454948566E-2</v>
      </c>
      <c r="BO271" s="77">
        <f t="shared" si="723"/>
        <v>2.0632799934067581E-2</v>
      </c>
      <c r="BP271" s="657"/>
      <c r="BQ271" s="8"/>
      <c r="BR271" s="751" t="str">
        <f t="shared" ref="BR271:CE271" si="724">IF(ISERROR(BR267/BR14),"NA",BR267/BR14)</f>
        <v>NA</v>
      </c>
      <c r="BS271" s="751">
        <f t="shared" si="724"/>
        <v>4.6551973398872341E-2</v>
      </c>
      <c r="BT271" s="752">
        <f t="shared" si="724"/>
        <v>4.5996320294376447E-2</v>
      </c>
      <c r="BU271" s="752">
        <f t="shared" si="724"/>
        <v>4.5838128116609131E-2</v>
      </c>
      <c r="BV271" s="752">
        <f t="shared" si="724"/>
        <v>4.6971215809823857E-2</v>
      </c>
      <c r="BW271" s="752">
        <f t="shared" si="724"/>
        <v>4.6356008883266527E-2</v>
      </c>
      <c r="BX271" s="752">
        <f t="shared" si="724"/>
        <v>5.3676832189896273E-2</v>
      </c>
      <c r="BY271" s="752">
        <f t="shared" si="724"/>
        <v>3.3446851773444884E-2</v>
      </c>
      <c r="BZ271" s="752">
        <f t="shared" si="724"/>
        <v>1.6714049981188511E-2</v>
      </c>
      <c r="CA271" s="752">
        <f t="shared" si="724"/>
        <v>1.7827778946977187E-2</v>
      </c>
      <c r="CB271" s="752">
        <f t="shared" si="724"/>
        <v>1.8546421974586044E-2</v>
      </c>
      <c r="CC271" s="752">
        <f t="shared" si="724"/>
        <v>1.7763977903170105E-2</v>
      </c>
      <c r="CD271" s="752">
        <f t="shared" si="724"/>
        <v>1.8110553321153328E-2</v>
      </c>
      <c r="CE271" s="752">
        <f t="shared" si="724"/>
        <v>1.9036967416227246E-2</v>
      </c>
      <c r="CF271" s="753">
        <f>IF(ISERROR(CF267/CF14),"NA",CF267/CF14)</f>
        <v>2.652413261577544E-2</v>
      </c>
      <c r="CG271" s="658"/>
      <c r="CH271" s="363"/>
    </row>
    <row r="272" spans="1:86" ht="14.25" hidden="1" customHeight="1" outlineLevel="3">
      <c r="A272" s="672"/>
      <c r="B272" s="651"/>
      <c r="C272" s="274"/>
      <c r="D272" s="754"/>
      <c r="E272" s="754"/>
      <c r="F272" s="754"/>
      <c r="G272" s="79"/>
      <c r="H272" s="754"/>
      <c r="I272" s="754"/>
      <c r="J272" s="754"/>
      <c r="K272" s="79"/>
      <c r="L272" s="754"/>
      <c r="M272" s="754"/>
      <c r="N272" s="754"/>
      <c r="O272" s="78"/>
      <c r="P272" s="522"/>
      <c r="Q272" s="78"/>
      <c r="R272" s="78"/>
      <c r="S272" s="79"/>
      <c r="T272" s="754"/>
      <c r="U272" s="754"/>
      <c r="V272" s="754"/>
      <c r="W272" s="79"/>
      <c r="X272" s="754"/>
      <c r="Y272" s="754"/>
      <c r="Z272" s="754"/>
      <c r="AA272" s="78"/>
      <c r="AB272" s="770"/>
      <c r="AC272" s="78"/>
      <c r="AD272" s="813"/>
      <c r="AE272" s="79"/>
      <c r="AF272" s="893"/>
      <c r="AG272" s="893"/>
      <c r="AH272" s="894"/>
      <c r="AI272" s="895"/>
      <c r="AJ272" s="839"/>
      <c r="AK272" s="839"/>
      <c r="AL272" s="839"/>
      <c r="AM272" s="279"/>
      <c r="AN272" s="8"/>
      <c r="AO272" s="8"/>
      <c r="AP272" s="8"/>
      <c r="AQ272" s="279"/>
      <c r="AR272" s="8"/>
      <c r="AS272" s="8"/>
      <c r="AT272" s="8"/>
      <c r="AU272" s="279"/>
      <c r="AV272" s="8"/>
      <c r="AW272" s="8"/>
      <c r="AX272" s="8"/>
      <c r="AY272" s="279"/>
      <c r="AZ272" s="8"/>
      <c r="BA272" s="8"/>
      <c r="BB272" s="8"/>
      <c r="BC272" s="278"/>
      <c r="BD272" s="297"/>
      <c r="BE272" s="14"/>
      <c r="BF272" s="14"/>
      <c r="BG272" s="279"/>
      <c r="BH272" s="297"/>
      <c r="BI272" s="14"/>
      <c r="BJ272" s="14"/>
      <c r="BK272" s="279"/>
      <c r="BL272" s="297"/>
      <c r="BM272" s="14"/>
      <c r="BN272" s="14"/>
      <c r="BO272" s="279"/>
      <c r="BP272" s="657"/>
      <c r="BQ272" s="8"/>
      <c r="BR272" s="8"/>
      <c r="BS272" s="8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224"/>
      <c r="CG272" s="658"/>
      <c r="CH272" s="363"/>
    </row>
    <row r="273" spans="1:86" ht="14.25" hidden="1" customHeight="1" outlineLevel="3">
      <c r="A273" s="672"/>
      <c r="B273" s="769" t="s">
        <v>335</v>
      </c>
      <c r="C273" s="274"/>
      <c r="D273" s="754"/>
      <c r="E273" s="754"/>
      <c r="F273" s="754"/>
      <c r="G273" s="79"/>
      <c r="H273" s="754"/>
      <c r="I273" s="754"/>
      <c r="J273" s="754"/>
      <c r="K273" s="79"/>
      <c r="L273" s="687">
        <f t="shared" ref="L273:AH273" si="725">L$597</f>
        <v>122</v>
      </c>
      <c r="M273" s="685">
        <f t="shared" si="725"/>
        <v>172</v>
      </c>
      <c r="N273" s="685">
        <f t="shared" si="725"/>
        <v>203</v>
      </c>
      <c r="O273" s="685">
        <f t="shared" si="725"/>
        <v>250</v>
      </c>
      <c r="P273" s="811">
        <f t="shared" si="725"/>
        <v>149</v>
      </c>
      <c r="Q273" s="685">
        <f t="shared" si="725"/>
        <v>122</v>
      </c>
      <c r="R273" s="685">
        <f t="shared" si="725"/>
        <v>149</v>
      </c>
      <c r="S273" s="686">
        <f t="shared" si="725"/>
        <v>-97</v>
      </c>
      <c r="T273" s="685">
        <f t="shared" si="725"/>
        <v>-22</v>
      </c>
      <c r="U273" s="685">
        <f t="shared" si="725"/>
        <v>51</v>
      </c>
      <c r="V273" s="685">
        <f t="shared" si="725"/>
        <v>105</v>
      </c>
      <c r="W273" s="686">
        <f t="shared" si="725"/>
        <v>181</v>
      </c>
      <c r="X273" s="685">
        <f t="shared" si="725"/>
        <v>158</v>
      </c>
      <c r="Y273" s="685">
        <f t="shared" si="725"/>
        <v>165</v>
      </c>
      <c r="Z273" s="685">
        <f t="shared" si="725"/>
        <v>180</v>
      </c>
      <c r="AA273" s="685">
        <f t="shared" si="725"/>
        <v>180</v>
      </c>
      <c r="AB273" s="811">
        <f t="shared" si="725"/>
        <v>141</v>
      </c>
      <c r="AC273" s="685">
        <f t="shared" si="725"/>
        <v>82</v>
      </c>
      <c r="AD273" s="685">
        <f t="shared" si="725"/>
        <v>78</v>
      </c>
      <c r="AE273" s="686">
        <f t="shared" si="725"/>
        <v>112</v>
      </c>
      <c r="AF273" s="685">
        <f t="shared" si="725"/>
        <v>-25</v>
      </c>
      <c r="AG273" s="685">
        <f t="shared" si="725"/>
        <v>-51</v>
      </c>
      <c r="AH273" s="685">
        <f t="shared" si="725"/>
        <v>-53</v>
      </c>
      <c r="AI273" s="689">
        <v>-75</v>
      </c>
      <c r="AJ273" s="688"/>
      <c r="AK273" s="687"/>
      <c r="AL273" s="687"/>
      <c r="AM273" s="689"/>
      <c r="AN273" s="687"/>
      <c r="AO273" s="687"/>
      <c r="AP273" s="687"/>
      <c r="AQ273" s="689"/>
      <c r="AR273" s="687"/>
      <c r="AS273" s="687"/>
      <c r="AT273" s="687"/>
      <c r="AU273" s="689"/>
      <c r="AV273" s="687"/>
      <c r="AW273" s="687"/>
      <c r="AX273" s="687"/>
      <c r="AY273" s="689"/>
      <c r="AZ273" s="687"/>
      <c r="BA273" s="687"/>
      <c r="BB273" s="687"/>
      <c r="BC273" s="687"/>
      <c r="BD273" s="688"/>
      <c r="BE273" s="687"/>
      <c r="BF273" s="687"/>
      <c r="BG273" s="689"/>
      <c r="BH273" s="688"/>
      <c r="BI273" s="687"/>
      <c r="BJ273" s="687"/>
      <c r="BK273" s="689"/>
      <c r="BL273" s="688"/>
      <c r="BM273" s="687"/>
      <c r="BN273" s="687"/>
      <c r="BO273" s="689"/>
      <c r="BP273" s="657"/>
      <c r="BQ273" s="8"/>
      <c r="BR273" s="690">
        <v>609</v>
      </c>
      <c r="BS273" s="273">
        <f>SUM(L273:O273)</f>
        <v>747</v>
      </c>
      <c r="BT273" s="691">
        <f>SUM(P273:S273)</f>
        <v>323</v>
      </c>
      <c r="BU273" s="691">
        <f>SUM(T273:W273)</f>
        <v>315</v>
      </c>
      <c r="BV273" s="691">
        <f>SUM(X273:AA273)</f>
        <v>683</v>
      </c>
      <c r="BW273" s="691">
        <f>SUM(AB273:AE273)</f>
        <v>413</v>
      </c>
      <c r="BX273" s="691">
        <f>SUM(AF273:AI273)</f>
        <v>-204</v>
      </c>
      <c r="BY273" s="691">
        <f>SUM(AJ273:AM273)</f>
        <v>0</v>
      </c>
      <c r="BZ273" s="691">
        <f>+SUM(AN273:AQ273)</f>
        <v>0</v>
      </c>
      <c r="CA273" s="691">
        <f>+SUM(AR273:AU273)</f>
        <v>0</v>
      </c>
      <c r="CB273" s="691">
        <f>SUM(AV273:AY273)</f>
        <v>0</v>
      </c>
      <c r="CC273" s="691">
        <f>SUM(AZ273:BC273)</f>
        <v>0</v>
      </c>
      <c r="CD273" s="691">
        <f>SUM(BD273:BG273)</f>
        <v>0</v>
      </c>
      <c r="CE273" s="691">
        <f>SUM(BH273:BK273)</f>
        <v>0</v>
      </c>
      <c r="CF273" s="692">
        <f>SUM(BL273:BO273)</f>
        <v>0</v>
      </c>
      <c r="CG273" s="658"/>
      <c r="CH273" s="363"/>
    </row>
    <row r="274" spans="1:86" ht="14.25" hidden="1" customHeight="1" outlineLevel="3">
      <c r="A274" s="672"/>
      <c r="B274" s="651" t="s">
        <v>268</v>
      </c>
      <c r="C274" s="274"/>
      <c r="D274" s="754"/>
      <c r="E274" s="754"/>
      <c r="F274" s="754"/>
      <c r="G274" s="79"/>
      <c r="H274" s="754"/>
      <c r="I274" s="754"/>
      <c r="J274" s="754"/>
      <c r="K274" s="79"/>
      <c r="L274" s="78"/>
      <c r="M274" s="247">
        <f t="shared" ref="M274:AI274" si="726">M273/L273-1</f>
        <v>0.4098360655737705</v>
      </c>
      <c r="N274" s="247">
        <f t="shared" si="726"/>
        <v>0.18023255813953498</v>
      </c>
      <c r="O274" s="76">
        <f t="shared" si="726"/>
        <v>0.23152709359605916</v>
      </c>
      <c r="P274" s="522">
        <f t="shared" si="726"/>
        <v>-0.40400000000000003</v>
      </c>
      <c r="Q274" s="76">
        <f t="shared" si="726"/>
        <v>-0.18120805369127513</v>
      </c>
      <c r="R274" s="76">
        <f t="shared" si="726"/>
        <v>0.22131147540983598</v>
      </c>
      <c r="S274" s="77">
        <f t="shared" si="726"/>
        <v>-1.651006711409396</v>
      </c>
      <c r="T274" s="247">
        <f t="shared" si="726"/>
        <v>-0.77319587628865982</v>
      </c>
      <c r="U274" s="247">
        <f t="shared" si="726"/>
        <v>-3.3181818181818183</v>
      </c>
      <c r="V274" s="247">
        <f t="shared" si="726"/>
        <v>1.0588235294117645</v>
      </c>
      <c r="W274" s="77">
        <f t="shared" si="726"/>
        <v>0.7238095238095239</v>
      </c>
      <c r="X274" s="247">
        <f t="shared" si="726"/>
        <v>-0.1270718232044199</v>
      </c>
      <c r="Y274" s="247">
        <f t="shared" si="726"/>
        <v>4.4303797468354444E-2</v>
      </c>
      <c r="Z274" s="247">
        <f t="shared" si="726"/>
        <v>9.0909090909090828E-2</v>
      </c>
      <c r="AA274" s="76">
        <f t="shared" si="726"/>
        <v>0</v>
      </c>
      <c r="AB274" s="522">
        <f t="shared" si="726"/>
        <v>-0.21666666666666667</v>
      </c>
      <c r="AC274" s="76">
        <f t="shared" si="726"/>
        <v>-0.41843971631205679</v>
      </c>
      <c r="AD274" s="231">
        <f t="shared" si="726"/>
        <v>-4.8780487804878092E-2</v>
      </c>
      <c r="AE274" s="77">
        <f t="shared" si="726"/>
        <v>0.4358974358974359</v>
      </c>
      <c r="AF274" s="76">
        <f t="shared" si="726"/>
        <v>-1.2232142857142858</v>
      </c>
      <c r="AG274" s="231">
        <f t="shared" si="726"/>
        <v>1.04</v>
      </c>
      <c r="AH274" s="231">
        <f t="shared" si="726"/>
        <v>3.9215686274509887E-2</v>
      </c>
      <c r="AI274" s="77">
        <f t="shared" si="726"/>
        <v>0.41509433962264142</v>
      </c>
      <c r="AJ274" s="522"/>
      <c r="AK274" s="896"/>
      <c r="AL274" s="896"/>
      <c r="AM274" s="77"/>
      <c r="AN274" s="247"/>
      <c r="AO274" s="247"/>
      <c r="AP274" s="247"/>
      <c r="AQ274" s="77"/>
      <c r="AR274" s="247"/>
      <c r="AS274" s="247"/>
      <c r="AT274" s="247"/>
      <c r="AU274" s="77"/>
      <c r="AV274" s="247"/>
      <c r="AW274" s="247"/>
      <c r="AX274" s="247"/>
      <c r="AY274" s="77"/>
      <c r="AZ274" s="247"/>
      <c r="BA274" s="247"/>
      <c r="BB274" s="247"/>
      <c r="BC274" s="76"/>
      <c r="BD274" s="522"/>
      <c r="BE274" s="76"/>
      <c r="BF274" s="76"/>
      <c r="BG274" s="77"/>
      <c r="BH274" s="522"/>
      <c r="BI274" s="76"/>
      <c r="BJ274" s="76"/>
      <c r="BK274" s="77"/>
      <c r="BL274" s="522"/>
      <c r="BM274" s="76"/>
      <c r="BN274" s="76"/>
      <c r="BO274" s="77"/>
      <c r="BP274" s="657"/>
      <c r="BQ274" s="8"/>
      <c r="BR274" s="8"/>
      <c r="BS274" s="275"/>
      <c r="BT274" s="231"/>
      <c r="BU274" s="231"/>
      <c r="BV274" s="231"/>
      <c r="BW274" s="231"/>
      <c r="BX274" s="231"/>
      <c r="BY274" s="231"/>
      <c r="BZ274" s="231"/>
      <c r="CA274" s="231"/>
      <c r="CB274" s="231"/>
      <c r="CC274" s="231"/>
      <c r="CD274" s="231"/>
      <c r="CE274" s="231"/>
      <c r="CF274" s="276"/>
      <c r="CG274" s="658"/>
      <c r="CH274" s="363"/>
    </row>
    <row r="275" spans="1:86" ht="14.25" hidden="1" customHeight="1" outlineLevel="3">
      <c r="A275" s="672"/>
      <c r="B275" s="750" t="s">
        <v>269</v>
      </c>
      <c r="C275" s="274"/>
      <c r="D275" s="754"/>
      <c r="E275" s="754"/>
      <c r="F275" s="754"/>
      <c r="G275" s="79"/>
      <c r="H275" s="754"/>
      <c r="I275" s="754"/>
      <c r="J275" s="754"/>
      <c r="K275" s="79"/>
      <c r="L275" s="78"/>
      <c r="M275" s="247"/>
      <c r="N275" s="247"/>
      <c r="O275" s="76"/>
      <c r="P275" s="522">
        <f t="shared" ref="P275:AI275" si="727">P273/L273-1</f>
        <v>0.22131147540983598</v>
      </c>
      <c r="Q275" s="76">
        <f t="shared" si="727"/>
        <v>-0.29069767441860461</v>
      </c>
      <c r="R275" s="76">
        <f t="shared" si="727"/>
        <v>-0.26600985221674878</v>
      </c>
      <c r="S275" s="77">
        <f t="shared" si="727"/>
        <v>-1.3879999999999999</v>
      </c>
      <c r="T275" s="247">
        <f t="shared" si="727"/>
        <v>-1.1476510067114094</v>
      </c>
      <c r="U275" s="247">
        <f t="shared" si="727"/>
        <v>-0.58196721311475408</v>
      </c>
      <c r="V275" s="247">
        <f t="shared" si="727"/>
        <v>-0.29530201342281881</v>
      </c>
      <c r="W275" s="77">
        <f t="shared" si="727"/>
        <v>-2.865979381443299</v>
      </c>
      <c r="X275" s="247">
        <f t="shared" si="727"/>
        <v>-8.1818181818181817</v>
      </c>
      <c r="Y275" s="247">
        <f t="shared" si="727"/>
        <v>2.2352941176470589</v>
      </c>
      <c r="Z275" s="247">
        <f t="shared" si="727"/>
        <v>0.71428571428571419</v>
      </c>
      <c r="AA275" s="76">
        <f t="shared" si="727"/>
        <v>-5.5248618784530246E-3</v>
      </c>
      <c r="AB275" s="522">
        <f t="shared" si="727"/>
        <v>-0.10759493670886078</v>
      </c>
      <c r="AC275" s="76">
        <f t="shared" si="727"/>
        <v>-0.50303030303030305</v>
      </c>
      <c r="AD275" s="231">
        <f t="shared" si="727"/>
        <v>-0.56666666666666665</v>
      </c>
      <c r="AE275" s="77">
        <f t="shared" si="727"/>
        <v>-0.37777777777777777</v>
      </c>
      <c r="AF275" s="76">
        <f t="shared" si="727"/>
        <v>-1.177304964539007</v>
      </c>
      <c r="AG275" s="231">
        <f t="shared" si="727"/>
        <v>-1.6219512195121952</v>
      </c>
      <c r="AH275" s="231">
        <f t="shared" si="727"/>
        <v>-1.6794871794871795</v>
      </c>
      <c r="AI275" s="77">
        <f t="shared" si="727"/>
        <v>-1.6696428571428572</v>
      </c>
      <c r="AJ275" s="522"/>
      <c r="AK275" s="897"/>
      <c r="AL275" s="897"/>
      <c r="AM275" s="77"/>
      <c r="AN275" s="247"/>
      <c r="AO275" s="247"/>
      <c r="AP275" s="247"/>
      <c r="AQ275" s="77"/>
      <c r="AR275" s="247"/>
      <c r="AS275" s="247"/>
      <c r="AT275" s="247"/>
      <c r="AU275" s="77"/>
      <c r="AV275" s="247"/>
      <c r="AW275" s="247"/>
      <c r="AX275" s="247"/>
      <c r="AY275" s="77"/>
      <c r="AZ275" s="247"/>
      <c r="BA275" s="247"/>
      <c r="BB275" s="247"/>
      <c r="BC275" s="76"/>
      <c r="BD275" s="522"/>
      <c r="BE275" s="76"/>
      <c r="BF275" s="76"/>
      <c r="BG275" s="77"/>
      <c r="BH275" s="522"/>
      <c r="BI275" s="76"/>
      <c r="BJ275" s="76"/>
      <c r="BK275" s="77"/>
      <c r="BL275" s="522"/>
      <c r="BM275" s="76"/>
      <c r="BN275" s="76"/>
      <c r="BO275" s="77"/>
      <c r="BP275" s="657"/>
      <c r="BQ275" s="8"/>
      <c r="BR275" s="8"/>
      <c r="BS275" s="275">
        <f t="shared" ref="BS275:BY275" si="728">BS273/BR273-1</f>
        <v>0.22660098522167482</v>
      </c>
      <c r="BT275" s="231">
        <f t="shared" si="728"/>
        <v>-0.56760374832663985</v>
      </c>
      <c r="BU275" s="231">
        <f t="shared" si="728"/>
        <v>-2.4767801857585092E-2</v>
      </c>
      <c r="BV275" s="231">
        <f t="shared" si="728"/>
        <v>1.1682539682539681</v>
      </c>
      <c r="BW275" s="231">
        <f t="shared" si="728"/>
        <v>-0.39531478770131767</v>
      </c>
      <c r="BX275" s="231">
        <f t="shared" si="728"/>
        <v>-1.4939467312348669</v>
      </c>
      <c r="BY275" s="231">
        <f t="shared" si="728"/>
        <v>-1</v>
      </c>
      <c r="BZ275" s="231"/>
      <c r="CA275" s="231"/>
      <c r="CB275" s="231"/>
      <c r="CC275" s="231"/>
      <c r="CD275" s="231"/>
      <c r="CE275" s="231"/>
      <c r="CF275" s="276"/>
      <c r="CG275" s="658"/>
      <c r="CH275" s="363"/>
    </row>
    <row r="276" spans="1:86" ht="14.25" hidden="1" customHeight="1" outlineLevel="3">
      <c r="A276" s="672"/>
      <c r="B276" s="651" t="s">
        <v>334</v>
      </c>
      <c r="C276" s="274"/>
      <c r="D276" s="754"/>
      <c r="E276" s="754"/>
      <c r="F276" s="754"/>
      <c r="G276" s="79"/>
      <c r="H276" s="754"/>
      <c r="I276" s="754"/>
      <c r="J276" s="754"/>
      <c r="K276" s="79"/>
      <c r="L276" s="247">
        <f t="shared" ref="L276:AI276" si="729">L273/L120</f>
        <v>0.12603305785123967</v>
      </c>
      <c r="M276" s="247">
        <f t="shared" si="729"/>
        <v>0.16602316602316602</v>
      </c>
      <c r="N276" s="247">
        <f t="shared" si="729"/>
        <v>0.1822262118491921</v>
      </c>
      <c r="O276" s="76">
        <f t="shared" si="729"/>
        <v>0.21968365553602812</v>
      </c>
      <c r="P276" s="522">
        <f t="shared" si="729"/>
        <v>0.15901814300960512</v>
      </c>
      <c r="Q276" s="76">
        <f t="shared" si="729"/>
        <v>0.13260869565217392</v>
      </c>
      <c r="R276" s="76">
        <f t="shared" si="729"/>
        <v>0.15952890792291222</v>
      </c>
      <c r="S276" s="77">
        <f t="shared" si="729"/>
        <v>-0.14719271623672231</v>
      </c>
      <c r="T276" s="247">
        <f t="shared" si="729"/>
        <v>-3.9076376554174071E-2</v>
      </c>
      <c r="U276" s="247">
        <f t="shared" si="729"/>
        <v>8.3061889250814328E-2</v>
      </c>
      <c r="V276" s="247">
        <f t="shared" si="729"/>
        <v>0.15195369030390737</v>
      </c>
      <c r="W276" s="77">
        <f t="shared" si="729"/>
        <v>0.23878627968337732</v>
      </c>
      <c r="X276" s="247">
        <f t="shared" si="729"/>
        <v>0.2203626220362622</v>
      </c>
      <c r="Y276" s="247">
        <f t="shared" si="729"/>
        <v>0.22696011004126548</v>
      </c>
      <c r="Z276" s="247">
        <f t="shared" si="729"/>
        <v>0.23468057366362452</v>
      </c>
      <c r="AA276" s="76">
        <f t="shared" si="729"/>
        <v>0.23468057366362452</v>
      </c>
      <c r="AB276" s="522">
        <f t="shared" si="729"/>
        <v>0.21428571428571427</v>
      </c>
      <c r="AC276" s="76">
        <f t="shared" si="729"/>
        <v>0.14695340501792115</v>
      </c>
      <c r="AD276" s="76">
        <f t="shared" si="729"/>
        <v>0.13448275862068965</v>
      </c>
      <c r="AE276" s="77">
        <f t="shared" si="729"/>
        <v>0.15512465373961218</v>
      </c>
      <c r="AF276" s="76">
        <f t="shared" si="729"/>
        <v>-6.7024128686327081E-2</v>
      </c>
      <c r="AG276" s="76">
        <f t="shared" si="729"/>
        <v>-0.14912280701754385</v>
      </c>
      <c r="AH276" s="76">
        <f t="shared" si="729"/>
        <v>-0.16307692307692306</v>
      </c>
      <c r="AI276" s="77">
        <f t="shared" si="729"/>
        <v>-0.23659305993690852</v>
      </c>
      <c r="AJ276" s="770"/>
      <c r="AK276" s="78"/>
      <c r="AL276" s="78"/>
      <c r="AM276" s="79"/>
      <c r="AN276" s="754"/>
      <c r="AO276" s="754"/>
      <c r="AP276" s="754"/>
      <c r="AQ276" s="79"/>
      <c r="AR276" s="754"/>
      <c r="AS276" s="754"/>
      <c r="AT276" s="754"/>
      <c r="AU276" s="79"/>
      <c r="AV276" s="754"/>
      <c r="AW276" s="754"/>
      <c r="AX276" s="754"/>
      <c r="AY276" s="79"/>
      <c r="AZ276" s="754"/>
      <c r="BA276" s="754"/>
      <c r="BB276" s="754"/>
      <c r="BC276" s="78"/>
      <c r="BD276" s="770"/>
      <c r="BE276" s="78"/>
      <c r="BF276" s="78"/>
      <c r="BG276" s="79"/>
      <c r="BH276" s="770"/>
      <c r="BI276" s="78"/>
      <c r="BJ276" s="78"/>
      <c r="BK276" s="79"/>
      <c r="BL276" s="770"/>
      <c r="BM276" s="78"/>
      <c r="BN276" s="78"/>
      <c r="BO276" s="79"/>
      <c r="BP276" s="657"/>
      <c r="BQ276" s="8"/>
      <c r="BR276" s="247">
        <f t="shared" ref="BR276:BZ276" si="730">BR273/BR120</f>
        <v>0.13980716253443526</v>
      </c>
      <c r="BS276" s="247">
        <f t="shared" si="730"/>
        <v>0.17551691729323307</v>
      </c>
      <c r="BT276" s="76">
        <f t="shared" si="730"/>
        <v>9.36231884057971E-2</v>
      </c>
      <c r="BU276" s="76">
        <f t="shared" si="730"/>
        <v>0.11995430312261995</v>
      </c>
      <c r="BV276" s="76">
        <f t="shared" si="730"/>
        <v>0.22934855607790464</v>
      </c>
      <c r="BW276" s="76">
        <f t="shared" si="730"/>
        <v>0.16401906274821287</v>
      </c>
      <c r="BX276" s="76">
        <f t="shared" si="730"/>
        <v>-0.15033161385408991</v>
      </c>
      <c r="BY276" s="76">
        <f t="shared" si="730"/>
        <v>0</v>
      </c>
      <c r="BZ276" s="76">
        <f t="shared" si="730"/>
        <v>0</v>
      </c>
      <c r="CA276" s="76">
        <f t="shared" ref="CA276:CF276" si="731">CA273/CA120</f>
        <v>0</v>
      </c>
      <c r="CB276" s="76">
        <f t="shared" si="731"/>
        <v>0</v>
      </c>
      <c r="CC276" s="76">
        <f t="shared" si="731"/>
        <v>0</v>
      </c>
      <c r="CD276" s="76">
        <f t="shared" si="731"/>
        <v>0</v>
      </c>
      <c r="CE276" s="76">
        <f t="shared" si="731"/>
        <v>0</v>
      </c>
      <c r="CF276" s="77">
        <f t="shared" si="731"/>
        <v>0</v>
      </c>
      <c r="CG276" s="658"/>
      <c r="CH276" s="363"/>
    </row>
    <row r="277" spans="1:86" ht="14.25" hidden="1" customHeight="1" outlineLevel="3">
      <c r="A277" s="672"/>
      <c r="B277" s="651"/>
      <c r="C277" s="274"/>
      <c r="D277" s="754"/>
      <c r="E277" s="754"/>
      <c r="F277" s="754"/>
      <c r="G277" s="79"/>
      <c r="H277" s="754"/>
      <c r="I277" s="754"/>
      <c r="J277" s="754"/>
      <c r="K277" s="79"/>
      <c r="L277" s="754"/>
      <c r="M277" s="754"/>
      <c r="N277" s="754"/>
      <c r="O277" s="78"/>
      <c r="P277" s="770"/>
      <c r="Q277" s="78"/>
      <c r="R277" s="78"/>
      <c r="S277" s="79"/>
      <c r="T277" s="754"/>
      <c r="U277" s="754"/>
      <c r="V277" s="754"/>
      <c r="W277" s="79"/>
      <c r="X277" s="754"/>
      <c r="Y277" s="754"/>
      <c r="Z277" s="754"/>
      <c r="AA277" s="78"/>
      <c r="AB277" s="770"/>
      <c r="AC277" s="78"/>
      <c r="AD277" s="278"/>
      <c r="AE277" s="79"/>
      <c r="AF277" s="78"/>
      <c r="AG277" s="278"/>
      <c r="AH277" s="278"/>
      <c r="AI277" s="79"/>
      <c r="AJ277" s="342"/>
      <c r="AK277" s="54"/>
      <c r="AL277" s="54"/>
      <c r="AM277" s="79"/>
      <c r="AN277" s="12"/>
      <c r="AO277" s="12"/>
      <c r="AP277" s="12"/>
      <c r="AQ277" s="79"/>
      <c r="AR277" s="12"/>
      <c r="AS277" s="12"/>
      <c r="AT277" s="12"/>
      <c r="AU277" s="79"/>
      <c r="AV277" s="12"/>
      <c r="AW277" s="12"/>
      <c r="AX277" s="12"/>
      <c r="AY277" s="79"/>
      <c r="AZ277" s="12"/>
      <c r="BA277" s="12"/>
      <c r="BB277" s="12"/>
      <c r="BC277" s="78"/>
      <c r="BD277" s="342"/>
      <c r="BE277" s="54"/>
      <c r="BF277" s="54"/>
      <c r="BG277" s="79"/>
      <c r="BH277" s="342"/>
      <c r="BI277" s="54"/>
      <c r="BJ277" s="54"/>
      <c r="BK277" s="79"/>
      <c r="BL277" s="342"/>
      <c r="BM277" s="54"/>
      <c r="BN277" s="54"/>
      <c r="BO277" s="79"/>
      <c r="BP277" s="657"/>
      <c r="BQ277" s="8"/>
      <c r="BR277" s="8"/>
      <c r="BS277" s="8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224"/>
      <c r="CG277" s="658"/>
      <c r="CH277" s="363"/>
    </row>
    <row r="278" spans="1:86" ht="14.25" hidden="1" customHeight="1" outlineLevel="3">
      <c r="A278" s="672"/>
      <c r="B278" s="769" t="s">
        <v>337</v>
      </c>
      <c r="C278" s="274"/>
      <c r="D278" s="78"/>
      <c r="E278" s="78"/>
      <c r="F278" s="78"/>
      <c r="G278" s="79"/>
      <c r="H278" s="78"/>
      <c r="I278" s="78"/>
      <c r="J278" s="78"/>
      <c r="K278" s="79"/>
      <c r="L278" s="687">
        <f t="shared" ref="L278:AI278" si="732">L$609</f>
        <v>5</v>
      </c>
      <c r="M278" s="687">
        <f t="shared" si="732"/>
        <v>7</v>
      </c>
      <c r="N278" s="687">
        <f t="shared" si="732"/>
        <v>6</v>
      </c>
      <c r="O278" s="687">
        <f t="shared" si="732"/>
        <v>2</v>
      </c>
      <c r="P278" s="688">
        <f t="shared" si="732"/>
        <v>0</v>
      </c>
      <c r="Q278" s="687">
        <f t="shared" si="732"/>
        <v>0</v>
      </c>
      <c r="R278" s="687">
        <f t="shared" si="732"/>
        <v>0</v>
      </c>
      <c r="S278" s="689">
        <f t="shared" si="732"/>
        <v>132</v>
      </c>
      <c r="T278" s="687">
        <f t="shared" si="732"/>
        <v>34</v>
      </c>
      <c r="U278" s="687">
        <f t="shared" si="732"/>
        <v>24</v>
      </c>
      <c r="V278" s="687">
        <f t="shared" si="732"/>
        <v>3</v>
      </c>
      <c r="W278" s="689">
        <f t="shared" si="732"/>
        <v>1</v>
      </c>
      <c r="X278" s="687">
        <f t="shared" si="732"/>
        <v>3</v>
      </c>
      <c r="Y278" s="687">
        <f t="shared" si="732"/>
        <v>5</v>
      </c>
      <c r="Z278" s="687">
        <f t="shared" si="732"/>
        <v>1</v>
      </c>
      <c r="AA278" s="687">
        <f t="shared" si="732"/>
        <v>0</v>
      </c>
      <c r="AB278" s="688">
        <f t="shared" si="732"/>
        <v>0</v>
      </c>
      <c r="AC278" s="687">
        <f t="shared" si="732"/>
        <v>0</v>
      </c>
      <c r="AD278" s="687">
        <f t="shared" si="732"/>
        <v>0</v>
      </c>
      <c r="AE278" s="689">
        <f t="shared" si="732"/>
        <v>0</v>
      </c>
      <c r="AF278" s="687">
        <f t="shared" si="732"/>
        <v>0</v>
      </c>
      <c r="AG278" s="687">
        <f t="shared" si="732"/>
        <v>0</v>
      </c>
      <c r="AH278" s="687">
        <f t="shared" si="732"/>
        <v>0</v>
      </c>
      <c r="AI278" s="689">
        <f t="shared" si="732"/>
        <v>0</v>
      </c>
      <c r="AJ278" s="742"/>
      <c r="AK278" s="632"/>
      <c r="AL278" s="632"/>
      <c r="AM278" s="743"/>
      <c r="AN278" s="632"/>
      <c r="AO278" s="632"/>
      <c r="AP278" s="632"/>
      <c r="AQ278" s="743"/>
      <c r="AR278" s="632"/>
      <c r="AS278" s="632"/>
      <c r="AT278" s="632"/>
      <c r="AU278" s="743"/>
      <c r="AV278" s="632"/>
      <c r="AW278" s="632"/>
      <c r="AX278" s="632"/>
      <c r="AY278" s="743"/>
      <c r="AZ278" s="632"/>
      <c r="BA278" s="632"/>
      <c r="BB278" s="632"/>
      <c r="BC278" s="632"/>
      <c r="BD278" s="742"/>
      <c r="BE278" s="632"/>
      <c r="BF278" s="632"/>
      <c r="BG278" s="743"/>
      <c r="BH278" s="742"/>
      <c r="BI278" s="632"/>
      <c r="BJ278" s="632"/>
      <c r="BK278" s="743"/>
      <c r="BL278" s="742"/>
      <c r="BM278" s="632"/>
      <c r="BN278" s="632"/>
      <c r="BO278" s="743"/>
      <c r="BP278" s="657"/>
      <c r="BQ278" s="8"/>
      <c r="BR278" s="690">
        <v>0</v>
      </c>
      <c r="BS278" s="273">
        <f>SUM(L278:O278)</f>
        <v>20</v>
      </c>
      <c r="BT278" s="691">
        <f>SUM(P278:S278)</f>
        <v>132</v>
      </c>
      <c r="BU278" s="691">
        <f>SUM(T278:W278)</f>
        <v>62</v>
      </c>
      <c r="BV278" s="691">
        <f>SUM(X278:AA278)</f>
        <v>9</v>
      </c>
      <c r="BW278" s="691">
        <f>SUM(AB278:AE278)</f>
        <v>0</v>
      </c>
      <c r="BX278" s="691">
        <f>SUM(AF278:AI278)</f>
        <v>0</v>
      </c>
      <c r="BY278" s="691">
        <f>SUM(AJ278:AM278)</f>
        <v>0</v>
      </c>
      <c r="BZ278" s="691">
        <f>+SUM(AN278:AQ278)</f>
        <v>0</v>
      </c>
      <c r="CA278" s="691">
        <f>+SUM(AR278:AU278)</f>
        <v>0</v>
      </c>
      <c r="CB278" s="691">
        <f>SUM(AV278:AY278)</f>
        <v>0</v>
      </c>
      <c r="CC278" s="691">
        <f>SUM(AZ278:BC278)</f>
        <v>0</v>
      </c>
      <c r="CD278" s="691">
        <f>SUM(BD278:BG278)</f>
        <v>0</v>
      </c>
      <c r="CE278" s="691">
        <f>SUM(BH278:BK278)</f>
        <v>0</v>
      </c>
      <c r="CF278" s="692">
        <f>SUM(BL278:BO278)</f>
        <v>0</v>
      </c>
      <c r="CG278" s="658"/>
      <c r="CH278" s="363"/>
    </row>
    <row r="279" spans="1:86" ht="14.25" hidden="1" customHeight="1" outlineLevel="3">
      <c r="A279" s="672"/>
      <c r="B279" s="769"/>
      <c r="C279" s="274"/>
      <c r="D279" s="78"/>
      <c r="E279" s="78"/>
      <c r="F279" s="78"/>
      <c r="G279" s="79"/>
      <c r="H279" s="78"/>
      <c r="I279" s="78"/>
      <c r="J279" s="78"/>
      <c r="K279" s="79"/>
      <c r="L279" s="632"/>
      <c r="M279" s="632"/>
      <c r="N279" s="632"/>
      <c r="O279" s="632"/>
      <c r="P279" s="742"/>
      <c r="Q279" s="632"/>
      <c r="R279" s="632"/>
      <c r="S279" s="743"/>
      <c r="T279" s="632"/>
      <c r="U279" s="632"/>
      <c r="V279" s="632"/>
      <c r="W279" s="743"/>
      <c r="X279" s="632"/>
      <c r="Y279" s="632"/>
      <c r="Z279" s="632"/>
      <c r="AA279" s="632"/>
      <c r="AB279" s="742"/>
      <c r="AC279" s="632"/>
      <c r="AD279" s="687"/>
      <c r="AE279" s="743"/>
      <c r="AF279" s="632"/>
      <c r="AG279" s="687"/>
      <c r="AH279" s="687"/>
      <c r="AI279" s="743"/>
      <c r="AJ279" s="688"/>
      <c r="AK279" s="687"/>
      <c r="AL279" s="687"/>
      <c r="AM279" s="689"/>
      <c r="AN279" s="687"/>
      <c r="AO279" s="687"/>
      <c r="AP279" s="687"/>
      <c r="AQ279" s="689"/>
      <c r="AR279" s="687"/>
      <c r="AS279" s="687"/>
      <c r="AT279" s="687"/>
      <c r="AU279" s="689"/>
      <c r="AV279" s="687"/>
      <c r="AW279" s="687"/>
      <c r="AX279" s="687"/>
      <c r="AY279" s="689"/>
      <c r="AZ279" s="687"/>
      <c r="BA279" s="687"/>
      <c r="BB279" s="687"/>
      <c r="BC279" s="687"/>
      <c r="BD279" s="688"/>
      <c r="BE279" s="687"/>
      <c r="BF279" s="687"/>
      <c r="BG279" s="689"/>
      <c r="BH279" s="688"/>
      <c r="BI279" s="687"/>
      <c r="BJ279" s="687"/>
      <c r="BK279" s="689"/>
      <c r="BL279" s="688"/>
      <c r="BM279" s="687"/>
      <c r="BN279" s="687"/>
      <c r="BO279" s="689"/>
      <c r="BP279" s="657"/>
      <c r="BQ279" s="8"/>
      <c r="BR279" s="8"/>
      <c r="BS279" s="273"/>
      <c r="BT279" s="273"/>
      <c r="BU279" s="273"/>
      <c r="BV279" s="273"/>
      <c r="BW279" s="273"/>
      <c r="BX279" s="273"/>
      <c r="BY279" s="273"/>
      <c r="BZ279" s="273"/>
      <c r="CA279" s="273"/>
      <c r="CB279" s="273"/>
      <c r="CC279" s="273"/>
      <c r="CD279" s="273"/>
      <c r="CE279" s="273"/>
      <c r="CF279" s="717"/>
      <c r="CG279" s="658"/>
      <c r="CH279" s="363"/>
    </row>
    <row r="280" spans="1:86" ht="14.25" hidden="1" customHeight="1" outlineLevel="3">
      <c r="A280" s="672"/>
      <c r="B280" s="769" t="s">
        <v>336</v>
      </c>
      <c r="C280" s="274"/>
      <c r="D280" s="78"/>
      <c r="E280" s="78"/>
      <c r="F280" s="78"/>
      <c r="G280" s="79"/>
      <c r="H280" s="78"/>
      <c r="I280" s="78"/>
      <c r="J280" s="78"/>
      <c r="K280" s="79"/>
      <c r="L280" s="687">
        <f t="shared" ref="L280:AG280" si="733">L278+L273</f>
        <v>127</v>
      </c>
      <c r="M280" s="687">
        <f t="shared" si="733"/>
        <v>179</v>
      </c>
      <c r="N280" s="687">
        <f t="shared" si="733"/>
        <v>209</v>
      </c>
      <c r="O280" s="687">
        <f t="shared" si="733"/>
        <v>252</v>
      </c>
      <c r="P280" s="688">
        <f t="shared" si="733"/>
        <v>149</v>
      </c>
      <c r="Q280" s="687">
        <f t="shared" si="733"/>
        <v>122</v>
      </c>
      <c r="R280" s="687">
        <f t="shared" si="733"/>
        <v>149</v>
      </c>
      <c r="S280" s="689">
        <f t="shared" si="733"/>
        <v>35</v>
      </c>
      <c r="T280" s="687">
        <f t="shared" si="733"/>
        <v>12</v>
      </c>
      <c r="U280" s="687">
        <f t="shared" si="733"/>
        <v>75</v>
      </c>
      <c r="V280" s="687">
        <f t="shared" si="733"/>
        <v>108</v>
      </c>
      <c r="W280" s="689">
        <f t="shared" si="733"/>
        <v>182</v>
      </c>
      <c r="X280" s="687">
        <f t="shared" si="733"/>
        <v>161</v>
      </c>
      <c r="Y280" s="687">
        <f t="shared" si="733"/>
        <v>170</v>
      </c>
      <c r="Z280" s="687">
        <f t="shared" si="733"/>
        <v>181</v>
      </c>
      <c r="AA280" s="687">
        <f t="shared" si="733"/>
        <v>180</v>
      </c>
      <c r="AB280" s="688">
        <f t="shared" si="733"/>
        <v>141</v>
      </c>
      <c r="AC280" s="687">
        <f t="shared" si="733"/>
        <v>82</v>
      </c>
      <c r="AD280" s="687">
        <f t="shared" si="733"/>
        <v>78</v>
      </c>
      <c r="AE280" s="689">
        <f t="shared" si="733"/>
        <v>112</v>
      </c>
      <c r="AF280" s="687">
        <f t="shared" si="733"/>
        <v>-25</v>
      </c>
      <c r="AG280" s="687">
        <f t="shared" si="733"/>
        <v>-51</v>
      </c>
      <c r="AH280" s="687">
        <f>AH278+AH273</f>
        <v>-53</v>
      </c>
      <c r="AI280" s="689">
        <f>AI278+AI273</f>
        <v>-75</v>
      </c>
      <c r="AJ280" s="688"/>
      <c r="AK280" s="687"/>
      <c r="AL280" s="687"/>
      <c r="AM280" s="689"/>
      <c r="AN280" s="687"/>
      <c r="AO280" s="687"/>
      <c r="AP280" s="687"/>
      <c r="AQ280" s="689"/>
      <c r="AR280" s="687"/>
      <c r="AS280" s="687"/>
      <c r="AT280" s="687"/>
      <c r="AU280" s="689"/>
      <c r="AV280" s="687"/>
      <c r="AW280" s="687"/>
      <c r="AX280" s="687"/>
      <c r="AY280" s="689"/>
      <c r="AZ280" s="687"/>
      <c r="BA280" s="687"/>
      <c r="BB280" s="687"/>
      <c r="BC280" s="687"/>
      <c r="BD280" s="688"/>
      <c r="BE280" s="687"/>
      <c r="BF280" s="687"/>
      <c r="BG280" s="689"/>
      <c r="BH280" s="688"/>
      <c r="BI280" s="687"/>
      <c r="BJ280" s="687"/>
      <c r="BK280" s="689"/>
      <c r="BL280" s="688"/>
      <c r="BM280" s="687"/>
      <c r="BN280" s="687"/>
      <c r="BO280" s="689"/>
      <c r="BP280" s="657"/>
      <c r="BQ280" s="8"/>
      <c r="BR280" s="273">
        <f>BR278+BR273</f>
        <v>609</v>
      </c>
      <c r="BS280" s="273">
        <f>SUM(L280:O280)</f>
        <v>767</v>
      </c>
      <c r="BT280" s="691">
        <f>SUM(P280:S280)</f>
        <v>455</v>
      </c>
      <c r="BU280" s="691">
        <f>SUM(T280:W280)</f>
        <v>377</v>
      </c>
      <c r="BV280" s="691">
        <f>SUM(X280:AA280)</f>
        <v>692</v>
      </c>
      <c r="BW280" s="691">
        <f>SUM(AB280:AE280)</f>
        <v>413</v>
      </c>
      <c r="BX280" s="691">
        <f>SUM(AF280:AI280)</f>
        <v>-204</v>
      </c>
      <c r="BY280" s="691">
        <f>SUM(AJ280:AM280)</f>
        <v>0</v>
      </c>
      <c r="BZ280" s="691">
        <f>+SUM(AN280:AQ280)</f>
        <v>0</v>
      </c>
      <c r="CA280" s="691">
        <f>+SUM(AR280:AU280)</f>
        <v>0</v>
      </c>
      <c r="CB280" s="691">
        <f>SUM(AV280:AY280)</f>
        <v>0</v>
      </c>
      <c r="CC280" s="691">
        <f>SUM(AZ280:BC280)</f>
        <v>0</v>
      </c>
      <c r="CD280" s="691">
        <f>SUM(BD280:BG280)</f>
        <v>0</v>
      </c>
      <c r="CE280" s="691">
        <f>SUM(BH280:BK280)</f>
        <v>0</v>
      </c>
      <c r="CF280" s="692">
        <f>SUM(BL280:BO280)</f>
        <v>0</v>
      </c>
      <c r="CG280" s="658"/>
      <c r="CH280" s="363"/>
    </row>
    <row r="281" spans="1:86" ht="14.25" hidden="1" customHeight="1" outlineLevel="3">
      <c r="A281" s="672"/>
      <c r="B281" s="651" t="s">
        <v>268</v>
      </c>
      <c r="C281" s="274"/>
      <c r="D281" s="78"/>
      <c r="E281" s="78"/>
      <c r="F281" s="78"/>
      <c r="G281" s="79"/>
      <c r="H281" s="78"/>
      <c r="I281" s="78"/>
      <c r="J281" s="78"/>
      <c r="K281" s="79"/>
      <c r="L281" s="78"/>
      <c r="M281" s="247">
        <f t="shared" ref="M281:AI281" si="734">M280/L280-1</f>
        <v>0.40944881889763773</v>
      </c>
      <c r="N281" s="247">
        <f t="shared" si="734"/>
        <v>0.16759776536312843</v>
      </c>
      <c r="O281" s="76">
        <f t="shared" si="734"/>
        <v>0.20574162679425845</v>
      </c>
      <c r="P281" s="522">
        <f t="shared" si="734"/>
        <v>-0.40873015873015872</v>
      </c>
      <c r="Q281" s="76">
        <f t="shared" si="734"/>
        <v>-0.18120805369127513</v>
      </c>
      <c r="R281" s="76">
        <f t="shared" si="734"/>
        <v>0.22131147540983598</v>
      </c>
      <c r="S281" s="77">
        <f t="shared" si="734"/>
        <v>-0.7651006711409396</v>
      </c>
      <c r="T281" s="247">
        <f t="shared" si="734"/>
        <v>-0.65714285714285714</v>
      </c>
      <c r="U281" s="247">
        <f t="shared" si="734"/>
        <v>5.25</v>
      </c>
      <c r="V281" s="247">
        <f t="shared" si="734"/>
        <v>0.43999999999999995</v>
      </c>
      <c r="W281" s="77">
        <f t="shared" si="734"/>
        <v>0.68518518518518512</v>
      </c>
      <c r="X281" s="247">
        <f t="shared" si="734"/>
        <v>-0.11538461538461542</v>
      </c>
      <c r="Y281" s="247">
        <f t="shared" si="734"/>
        <v>5.5900621118012417E-2</v>
      </c>
      <c r="Z281" s="247">
        <f t="shared" si="734"/>
        <v>6.4705882352941169E-2</v>
      </c>
      <c r="AA281" s="76">
        <f t="shared" si="734"/>
        <v>-5.5248618784530246E-3</v>
      </c>
      <c r="AB281" s="522">
        <f t="shared" si="734"/>
        <v>-0.21666666666666667</v>
      </c>
      <c r="AC281" s="76">
        <f t="shared" si="734"/>
        <v>-0.41843971631205679</v>
      </c>
      <c r="AD281" s="231">
        <f t="shared" si="734"/>
        <v>-4.8780487804878092E-2</v>
      </c>
      <c r="AE281" s="77">
        <f t="shared" si="734"/>
        <v>0.4358974358974359</v>
      </c>
      <c r="AF281" s="76">
        <f t="shared" si="734"/>
        <v>-1.2232142857142858</v>
      </c>
      <c r="AG281" s="231">
        <f t="shared" si="734"/>
        <v>1.04</v>
      </c>
      <c r="AH281" s="231">
        <f t="shared" si="734"/>
        <v>3.9215686274509887E-2</v>
      </c>
      <c r="AI281" s="77">
        <f t="shared" si="734"/>
        <v>0.41509433962264142</v>
      </c>
      <c r="AJ281" s="522"/>
      <c r="AK281" s="76"/>
      <c r="AL281" s="76"/>
      <c r="AM281" s="77"/>
      <c r="AN281" s="247"/>
      <c r="AO281" s="247"/>
      <c r="AP281" s="247"/>
      <c r="AQ281" s="77"/>
      <c r="AR281" s="247"/>
      <c r="AS281" s="247"/>
      <c r="AT281" s="247"/>
      <c r="AU281" s="77"/>
      <c r="AV281" s="247"/>
      <c r="AW281" s="247"/>
      <c r="AX281" s="247"/>
      <c r="AY281" s="77"/>
      <c r="AZ281" s="247"/>
      <c r="BA281" s="247"/>
      <c r="BB281" s="247"/>
      <c r="BC281" s="76"/>
      <c r="BD281" s="522"/>
      <c r="BE281" s="76"/>
      <c r="BF281" s="76"/>
      <c r="BG281" s="77"/>
      <c r="BH281" s="522"/>
      <c r="BI281" s="76"/>
      <c r="BJ281" s="76"/>
      <c r="BK281" s="77"/>
      <c r="BL281" s="522"/>
      <c r="BM281" s="76"/>
      <c r="BN281" s="76"/>
      <c r="BO281" s="77"/>
      <c r="BP281" s="657"/>
      <c r="BQ281" s="8"/>
      <c r="BR281" s="8"/>
      <c r="BS281" s="275"/>
      <c r="BT281" s="231"/>
      <c r="BU281" s="231"/>
      <c r="BV281" s="231"/>
      <c r="BW281" s="231"/>
      <c r="BX281" s="231"/>
      <c r="BY281" s="231"/>
      <c r="BZ281" s="231"/>
      <c r="CA281" s="231"/>
      <c r="CB281" s="231"/>
      <c r="CC281" s="231"/>
      <c r="CD281" s="231"/>
      <c r="CE281" s="231"/>
      <c r="CF281" s="276"/>
      <c r="CG281" s="658"/>
      <c r="CH281" s="363"/>
    </row>
    <row r="282" spans="1:86" ht="14.25" hidden="1" customHeight="1" outlineLevel="3">
      <c r="A282" s="672"/>
      <c r="B282" s="750" t="s">
        <v>269</v>
      </c>
      <c r="C282" s="274"/>
      <c r="D282" s="78"/>
      <c r="E282" s="78"/>
      <c r="F282" s="78"/>
      <c r="G282" s="79"/>
      <c r="H282" s="78"/>
      <c r="I282" s="78"/>
      <c r="J282" s="78"/>
      <c r="K282" s="79"/>
      <c r="L282" s="78"/>
      <c r="M282" s="247"/>
      <c r="N282" s="247"/>
      <c r="O282" s="76"/>
      <c r="P282" s="522">
        <f t="shared" ref="P282:AI282" si="735">P280/L280-1</f>
        <v>0.17322834645669283</v>
      </c>
      <c r="Q282" s="76">
        <f t="shared" si="735"/>
        <v>-0.31843575418994419</v>
      </c>
      <c r="R282" s="76">
        <f t="shared" si="735"/>
        <v>-0.28708133971291872</v>
      </c>
      <c r="S282" s="77">
        <f t="shared" si="735"/>
        <v>-0.86111111111111116</v>
      </c>
      <c r="T282" s="247">
        <f t="shared" si="735"/>
        <v>-0.91946308724832215</v>
      </c>
      <c r="U282" s="247">
        <f t="shared" si="735"/>
        <v>-0.38524590163934425</v>
      </c>
      <c r="V282" s="247">
        <f t="shared" si="735"/>
        <v>-0.27516778523489938</v>
      </c>
      <c r="W282" s="77">
        <f t="shared" si="735"/>
        <v>4.2</v>
      </c>
      <c r="X282" s="247">
        <f t="shared" si="735"/>
        <v>12.416666666666666</v>
      </c>
      <c r="Y282" s="247">
        <f t="shared" si="735"/>
        <v>1.2666666666666666</v>
      </c>
      <c r="Z282" s="247">
        <f t="shared" si="735"/>
        <v>0.67592592592592582</v>
      </c>
      <c r="AA282" s="76">
        <f t="shared" si="735"/>
        <v>-1.098901098901095E-2</v>
      </c>
      <c r="AB282" s="522">
        <f t="shared" si="735"/>
        <v>-0.12422360248447206</v>
      </c>
      <c r="AC282" s="76">
        <f t="shared" si="735"/>
        <v>-0.51764705882352935</v>
      </c>
      <c r="AD282" s="231">
        <f t="shared" si="735"/>
        <v>-0.56906077348066297</v>
      </c>
      <c r="AE282" s="77">
        <f t="shared" si="735"/>
        <v>-0.37777777777777777</v>
      </c>
      <c r="AF282" s="76">
        <f t="shared" si="735"/>
        <v>-1.177304964539007</v>
      </c>
      <c r="AG282" s="231">
        <f t="shared" si="735"/>
        <v>-1.6219512195121952</v>
      </c>
      <c r="AH282" s="231">
        <f t="shared" si="735"/>
        <v>-1.6794871794871795</v>
      </c>
      <c r="AI282" s="77">
        <f t="shared" si="735"/>
        <v>-1.6696428571428572</v>
      </c>
      <c r="AJ282" s="522"/>
      <c r="AK282" s="76"/>
      <c r="AL282" s="76"/>
      <c r="AM282" s="77"/>
      <c r="AN282" s="247"/>
      <c r="AO282" s="247"/>
      <c r="AP282" s="247"/>
      <c r="AQ282" s="77"/>
      <c r="AR282" s="247"/>
      <c r="AS282" s="247"/>
      <c r="AT282" s="247"/>
      <c r="AU282" s="77"/>
      <c r="AV282" s="247"/>
      <c r="AW282" s="247"/>
      <c r="AX282" s="247"/>
      <c r="AY282" s="77"/>
      <c r="AZ282" s="247"/>
      <c r="BA282" s="247"/>
      <c r="BB282" s="247"/>
      <c r="BC282" s="76"/>
      <c r="BD282" s="522"/>
      <c r="BE282" s="76"/>
      <c r="BF282" s="76"/>
      <c r="BG282" s="77"/>
      <c r="BH282" s="522"/>
      <c r="BI282" s="76"/>
      <c r="BJ282" s="76"/>
      <c r="BK282" s="77"/>
      <c r="BL282" s="522"/>
      <c r="BM282" s="76"/>
      <c r="BN282" s="76"/>
      <c r="BO282" s="77"/>
      <c r="BP282" s="657"/>
      <c r="BQ282" s="8"/>
      <c r="BR282" s="8"/>
      <c r="BS282" s="275">
        <f t="shared" ref="BS282:BY282" si="736">BS280/BR280-1</f>
        <v>0.25944170771756969</v>
      </c>
      <c r="BT282" s="231">
        <f t="shared" si="736"/>
        <v>-0.40677966101694918</v>
      </c>
      <c r="BU282" s="231">
        <f t="shared" si="736"/>
        <v>-0.17142857142857137</v>
      </c>
      <c r="BV282" s="231">
        <f t="shared" si="736"/>
        <v>0.83554376657824925</v>
      </c>
      <c r="BW282" s="231">
        <f t="shared" si="736"/>
        <v>-0.40317919075144504</v>
      </c>
      <c r="BX282" s="231">
        <f t="shared" si="736"/>
        <v>-1.4939467312348669</v>
      </c>
      <c r="BY282" s="231">
        <f t="shared" si="736"/>
        <v>-1</v>
      </c>
      <c r="BZ282" s="231"/>
      <c r="CA282" s="231"/>
      <c r="CB282" s="231"/>
      <c r="CC282" s="231"/>
      <c r="CD282" s="231"/>
      <c r="CE282" s="231"/>
      <c r="CF282" s="276"/>
      <c r="CG282" s="658"/>
      <c r="CH282" s="363"/>
    </row>
    <row r="283" spans="1:86" ht="14.25" hidden="1" customHeight="1" outlineLevel="3">
      <c r="A283" s="672"/>
      <c r="B283" s="651" t="s">
        <v>334</v>
      </c>
      <c r="C283" s="274"/>
      <c r="D283" s="78"/>
      <c r="E283" s="78"/>
      <c r="F283" s="78"/>
      <c r="G283" s="79"/>
      <c r="H283" s="78"/>
      <c r="I283" s="78"/>
      <c r="J283" s="78"/>
      <c r="K283" s="79"/>
      <c r="L283" s="247">
        <f t="shared" ref="L283:AI283" si="737">L280/L120</f>
        <v>0.13119834710743802</v>
      </c>
      <c r="M283" s="247">
        <f t="shared" si="737"/>
        <v>0.17277992277992277</v>
      </c>
      <c r="N283" s="247">
        <f t="shared" si="737"/>
        <v>0.18761220825852784</v>
      </c>
      <c r="O283" s="76">
        <f t="shared" si="737"/>
        <v>0.22144112478031636</v>
      </c>
      <c r="P283" s="522">
        <f t="shared" si="737"/>
        <v>0.15901814300960512</v>
      </c>
      <c r="Q283" s="76">
        <f t="shared" si="737"/>
        <v>0.13260869565217392</v>
      </c>
      <c r="R283" s="76">
        <f t="shared" si="737"/>
        <v>0.15952890792291222</v>
      </c>
      <c r="S283" s="77">
        <f t="shared" si="737"/>
        <v>5.3110773899848251E-2</v>
      </c>
      <c r="T283" s="247">
        <f t="shared" si="737"/>
        <v>2.1314387211367674E-2</v>
      </c>
      <c r="U283" s="247">
        <f t="shared" si="737"/>
        <v>0.12214983713355049</v>
      </c>
      <c r="V283" s="247">
        <f t="shared" si="737"/>
        <v>0.15629522431259044</v>
      </c>
      <c r="W283" s="77">
        <f t="shared" si="737"/>
        <v>0.24010554089709762</v>
      </c>
      <c r="X283" s="247">
        <f t="shared" si="737"/>
        <v>0.22454672245467225</v>
      </c>
      <c r="Y283" s="247">
        <f t="shared" si="737"/>
        <v>0.23383768913342504</v>
      </c>
      <c r="Z283" s="247">
        <f t="shared" si="737"/>
        <v>0.23598435462842243</v>
      </c>
      <c r="AA283" s="76">
        <f t="shared" si="737"/>
        <v>0.23468057366362452</v>
      </c>
      <c r="AB283" s="522">
        <f t="shared" si="737"/>
        <v>0.21428571428571427</v>
      </c>
      <c r="AC283" s="76">
        <f t="shared" si="737"/>
        <v>0.14695340501792115</v>
      </c>
      <c r="AD283" s="76">
        <f t="shared" si="737"/>
        <v>0.13448275862068965</v>
      </c>
      <c r="AE283" s="77">
        <f t="shared" si="737"/>
        <v>0.15512465373961218</v>
      </c>
      <c r="AF283" s="76">
        <f t="shared" si="737"/>
        <v>-6.7024128686327081E-2</v>
      </c>
      <c r="AG283" s="76">
        <f t="shared" si="737"/>
        <v>-0.14912280701754385</v>
      </c>
      <c r="AH283" s="76">
        <f t="shared" si="737"/>
        <v>-0.16307692307692306</v>
      </c>
      <c r="AI283" s="77">
        <f t="shared" si="737"/>
        <v>-0.23659305993690852</v>
      </c>
      <c r="AJ283" s="522"/>
      <c r="AK283" s="76"/>
      <c r="AL283" s="76"/>
      <c r="AM283" s="77"/>
      <c r="AN283" s="247"/>
      <c r="AO283" s="247"/>
      <c r="AP283" s="247"/>
      <c r="AQ283" s="77"/>
      <c r="AR283" s="247"/>
      <c r="AS283" s="247"/>
      <c r="AT283" s="247"/>
      <c r="AU283" s="77"/>
      <c r="AV283" s="247"/>
      <c r="AW283" s="247"/>
      <c r="AX283" s="247"/>
      <c r="AY283" s="77"/>
      <c r="AZ283" s="247"/>
      <c r="BA283" s="247"/>
      <c r="BB283" s="247"/>
      <c r="BC283" s="76"/>
      <c r="BD283" s="522"/>
      <c r="BE283" s="76"/>
      <c r="BF283" s="76"/>
      <c r="BG283" s="77"/>
      <c r="BH283" s="522"/>
      <c r="BI283" s="76"/>
      <c r="BJ283" s="76"/>
      <c r="BK283" s="77"/>
      <c r="BL283" s="522"/>
      <c r="BM283" s="76"/>
      <c r="BN283" s="76"/>
      <c r="BO283" s="77"/>
      <c r="BP283" s="657"/>
      <c r="BQ283" s="8"/>
      <c r="BR283" s="247">
        <f t="shared" ref="BR283:BZ283" si="738">BR280/BR120</f>
        <v>0.13980716253443526</v>
      </c>
      <c r="BS283" s="247">
        <f t="shared" si="738"/>
        <v>0.18021616541353383</v>
      </c>
      <c r="BT283" s="76">
        <f t="shared" si="738"/>
        <v>0.13188405797101449</v>
      </c>
      <c r="BU283" s="76">
        <f t="shared" si="738"/>
        <v>0.14356435643564355</v>
      </c>
      <c r="BV283" s="76">
        <f t="shared" si="738"/>
        <v>0.23237071860308933</v>
      </c>
      <c r="BW283" s="76">
        <f t="shared" si="738"/>
        <v>0.16401906274821287</v>
      </c>
      <c r="BX283" s="76">
        <f t="shared" si="738"/>
        <v>-0.15033161385408991</v>
      </c>
      <c r="BY283" s="76">
        <f t="shared" si="738"/>
        <v>0</v>
      </c>
      <c r="BZ283" s="76">
        <f t="shared" si="738"/>
        <v>0</v>
      </c>
      <c r="CA283" s="76">
        <f t="shared" ref="CA283:CF283" si="739">CA280/CA120</f>
        <v>0</v>
      </c>
      <c r="CB283" s="76">
        <f t="shared" si="739"/>
        <v>0</v>
      </c>
      <c r="CC283" s="76">
        <f t="shared" si="739"/>
        <v>0</v>
      </c>
      <c r="CD283" s="76">
        <f t="shared" si="739"/>
        <v>0</v>
      </c>
      <c r="CE283" s="76">
        <f t="shared" si="739"/>
        <v>0</v>
      </c>
      <c r="CF283" s="77">
        <f t="shared" si="739"/>
        <v>0</v>
      </c>
      <c r="CG283" s="658"/>
      <c r="CH283" s="363"/>
    </row>
    <row r="284" spans="1:86" ht="14.25" hidden="1" customHeight="1" outlineLevel="2">
      <c r="A284" s="672"/>
      <c r="B284" s="651"/>
      <c r="C284" s="274"/>
      <c r="D284" s="754"/>
      <c r="E284" s="754"/>
      <c r="F284" s="754"/>
      <c r="G284" s="79"/>
      <c r="H284" s="754"/>
      <c r="I284" s="754"/>
      <c r="J284" s="754"/>
      <c r="K284" s="79"/>
      <c r="L284" s="754"/>
      <c r="M284" s="754"/>
      <c r="N284" s="754"/>
      <c r="O284" s="78"/>
      <c r="P284" s="522"/>
      <c r="Q284" s="78"/>
      <c r="R284" s="78"/>
      <c r="S284" s="79"/>
      <c r="T284" s="754"/>
      <c r="U284" s="754"/>
      <c r="V284" s="754"/>
      <c r="W284" s="79"/>
      <c r="X284" s="754"/>
      <c r="Y284" s="754"/>
      <c r="Z284" s="754"/>
      <c r="AA284" s="78"/>
      <c r="AB284" s="770"/>
      <c r="AC284" s="78"/>
      <c r="AD284" s="278"/>
      <c r="AE284" s="279"/>
      <c r="AF284" s="78"/>
      <c r="AG284" s="278"/>
      <c r="AH284" s="278"/>
      <c r="AI284" s="279"/>
      <c r="AJ284" s="297"/>
      <c r="AK284" s="14"/>
      <c r="AL284" s="14"/>
      <c r="AM284" s="279"/>
      <c r="AN284" s="8"/>
      <c r="AO284" s="8"/>
      <c r="AP284" s="8"/>
      <c r="AQ284" s="279"/>
      <c r="AR284" s="8"/>
      <c r="AS284" s="8"/>
      <c r="AT284" s="8"/>
      <c r="AU284" s="279"/>
      <c r="AV284" s="8"/>
      <c r="AW284" s="8"/>
      <c r="AX284" s="8"/>
      <c r="AY284" s="279"/>
      <c r="AZ284" s="8"/>
      <c r="BA284" s="8"/>
      <c r="BB284" s="8"/>
      <c r="BC284" s="278"/>
      <c r="BD284" s="297"/>
      <c r="BE284" s="14"/>
      <c r="BF284" s="14"/>
      <c r="BG284" s="279"/>
      <c r="BH284" s="297"/>
      <c r="BI284" s="14"/>
      <c r="BJ284" s="14"/>
      <c r="BK284" s="279"/>
      <c r="BL284" s="297"/>
      <c r="BM284" s="14"/>
      <c r="BN284" s="14"/>
      <c r="BO284" s="279"/>
      <c r="BP284" s="657"/>
      <c r="BQ284" s="8"/>
      <c r="BR284" s="8"/>
      <c r="BS284" s="8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224"/>
      <c r="CG284" s="658"/>
      <c r="CH284" s="363"/>
    </row>
    <row r="285" spans="1:86" ht="14.25" customHeight="1" collapsed="1">
      <c r="A285" s="672"/>
      <c r="B285" s="898" t="s">
        <v>293</v>
      </c>
      <c r="C285" s="771"/>
      <c r="D285" s="834"/>
      <c r="E285" s="834"/>
      <c r="F285" s="834"/>
      <c r="G285" s="773"/>
      <c r="H285" s="834"/>
      <c r="I285" s="834"/>
      <c r="J285" s="834"/>
      <c r="K285" s="773"/>
      <c r="L285" s="834"/>
      <c r="M285" s="834"/>
      <c r="N285" s="834"/>
      <c r="O285" s="899">
        <f>+SUM(L286:O286)</f>
        <v>3124</v>
      </c>
      <c r="P285" s="900"/>
      <c r="Q285" s="772"/>
      <c r="R285" s="772"/>
      <c r="S285" s="899">
        <f>+SUM(P286:S286)</f>
        <v>2630</v>
      </c>
      <c r="T285" s="834"/>
      <c r="U285" s="834"/>
      <c r="V285" s="834"/>
      <c r="W285" s="899">
        <f>+SUM(T286:W286)</f>
        <v>2128</v>
      </c>
      <c r="X285" s="901"/>
      <c r="Y285" s="901"/>
      <c r="Z285" s="901"/>
      <c r="AA285" s="899">
        <f>+SUM(X286:AA286)</f>
        <v>2937</v>
      </c>
      <c r="AB285" s="902"/>
      <c r="AC285" s="903"/>
      <c r="AD285" s="903"/>
      <c r="AE285" s="904">
        <f>+SUM(AB286:AE286)</f>
        <v>2732</v>
      </c>
      <c r="AF285" s="903"/>
      <c r="AG285" s="903"/>
      <c r="AH285" s="903"/>
      <c r="AI285" s="904"/>
      <c r="AJ285" s="780"/>
      <c r="AK285" s="781"/>
      <c r="AL285" s="781"/>
      <c r="AM285" s="773"/>
      <c r="AN285" s="779"/>
      <c r="AO285" s="779"/>
      <c r="AP285" s="779"/>
      <c r="AQ285" s="773"/>
      <c r="AR285" s="779"/>
      <c r="AS285" s="779"/>
      <c r="AT285" s="779"/>
      <c r="AU285" s="773"/>
      <c r="AV285" s="779"/>
      <c r="AW285" s="779"/>
      <c r="AX285" s="779"/>
      <c r="AY285" s="773"/>
      <c r="AZ285" s="779"/>
      <c r="BA285" s="779"/>
      <c r="BB285" s="779"/>
      <c r="BC285" s="772"/>
      <c r="BD285" s="780"/>
      <c r="BE285" s="781"/>
      <c r="BF285" s="781"/>
      <c r="BG285" s="773"/>
      <c r="BH285" s="780"/>
      <c r="BI285" s="781"/>
      <c r="BJ285" s="781"/>
      <c r="BK285" s="773"/>
      <c r="BL285" s="780"/>
      <c r="BM285" s="781"/>
      <c r="BN285" s="781"/>
      <c r="BO285" s="773"/>
      <c r="BP285" s="657"/>
      <c r="BQ285" s="779"/>
      <c r="BR285" s="779"/>
      <c r="BS285" s="779"/>
      <c r="BT285" s="781"/>
      <c r="BU285" s="781"/>
      <c r="BV285" s="781"/>
      <c r="BW285" s="781"/>
      <c r="BX285" s="781"/>
      <c r="BY285" s="781"/>
      <c r="BZ285" s="781"/>
      <c r="CA285" s="781"/>
      <c r="CB285" s="781"/>
      <c r="CC285" s="781"/>
      <c r="CD285" s="781"/>
      <c r="CE285" s="781"/>
      <c r="CF285" s="782"/>
      <c r="CG285" s="658"/>
      <c r="CH285" s="363"/>
    </row>
    <row r="286" spans="1:86" ht="14.25" hidden="1" customHeight="1" outlineLevel="1">
      <c r="A286" s="786"/>
      <c r="B286" s="810" t="s">
        <v>63</v>
      </c>
      <c r="C286" s="458"/>
      <c r="D286" s="462"/>
      <c r="E286" s="462"/>
      <c r="F286" s="462"/>
      <c r="G286" s="463"/>
      <c r="H286" s="462"/>
      <c r="I286" s="462"/>
      <c r="J286" s="462"/>
      <c r="K286" s="463"/>
      <c r="L286" s="788">
        <v>719</v>
      </c>
      <c r="M286" s="788">
        <v>835</v>
      </c>
      <c r="N286" s="788">
        <v>871</v>
      </c>
      <c r="O286" s="788">
        <v>699</v>
      </c>
      <c r="P286" s="789">
        <v>661</v>
      </c>
      <c r="Q286" s="788">
        <v>723</v>
      </c>
      <c r="R286" s="788">
        <v>756</v>
      </c>
      <c r="S286" s="790">
        <v>490</v>
      </c>
      <c r="T286" s="788">
        <v>405</v>
      </c>
      <c r="U286" s="788">
        <v>523</v>
      </c>
      <c r="V286" s="788">
        <v>628</v>
      </c>
      <c r="W286" s="790">
        <v>572</v>
      </c>
      <c r="X286" s="788">
        <v>681</v>
      </c>
      <c r="Y286" s="788">
        <v>741</v>
      </c>
      <c r="Z286" s="788">
        <v>813</v>
      </c>
      <c r="AA286" s="788">
        <v>702</v>
      </c>
      <c r="AB286" s="789">
        <v>665</v>
      </c>
      <c r="AC286" s="788">
        <v>716</v>
      </c>
      <c r="AD286" s="788">
        <v>790</v>
      </c>
      <c r="AE286" s="790">
        <v>561</v>
      </c>
      <c r="AF286" s="788">
        <v>589</v>
      </c>
      <c r="AG286" s="788">
        <v>684</v>
      </c>
      <c r="AH286" s="788">
        <v>702</v>
      </c>
      <c r="AI286" s="790">
        <v>524</v>
      </c>
      <c r="AJ286" s="444"/>
      <c r="AK286" s="445"/>
      <c r="AL286" s="445"/>
      <c r="AM286" s="446"/>
      <c r="AN286" s="445"/>
      <c r="AO286" s="445"/>
      <c r="AP286" s="445"/>
      <c r="AQ286" s="446"/>
      <c r="AR286" s="445"/>
      <c r="AS286" s="445"/>
      <c r="AT286" s="445"/>
      <c r="AU286" s="446"/>
      <c r="AV286" s="445"/>
      <c r="AW286" s="445"/>
      <c r="AX286" s="445"/>
      <c r="AY286" s="446"/>
      <c r="AZ286" s="445"/>
      <c r="BA286" s="445"/>
      <c r="BB286" s="445"/>
      <c r="BC286" s="445"/>
      <c r="BD286" s="444"/>
      <c r="BE286" s="445"/>
      <c r="BF286" s="445"/>
      <c r="BG286" s="446"/>
      <c r="BH286" s="444"/>
      <c r="BI286" s="445"/>
      <c r="BJ286" s="445"/>
      <c r="BK286" s="446"/>
      <c r="BL286" s="444"/>
      <c r="BM286" s="445"/>
      <c r="BN286" s="445"/>
      <c r="BO286" s="446"/>
      <c r="BP286" s="791"/>
      <c r="BQ286" s="440"/>
      <c r="BR286" s="792">
        <v>3647</v>
      </c>
      <c r="BS286" s="440">
        <f>SUM(L286:O286)</f>
        <v>3124</v>
      </c>
      <c r="BT286" s="691">
        <f>SUM(P286:S286)</f>
        <v>2630</v>
      </c>
      <c r="BU286" s="691">
        <f>SUM(T286:W286)</f>
        <v>2128</v>
      </c>
      <c r="BV286" s="691">
        <f>SUM(X286:AA286)</f>
        <v>2937</v>
      </c>
      <c r="BW286" s="691">
        <f>SUM(AB286:AE286)</f>
        <v>2732</v>
      </c>
      <c r="BX286" s="691">
        <f>SUM(AF286:AI286)</f>
        <v>2499</v>
      </c>
      <c r="BY286" s="691">
        <f>SUM(AJ286:AM286)</f>
        <v>0</v>
      </c>
      <c r="BZ286" s="691">
        <f>+SUM(AN286:AQ286)</f>
        <v>0</v>
      </c>
      <c r="CA286" s="691">
        <f>+SUM(AR286:AU286)</f>
        <v>0</v>
      </c>
      <c r="CB286" s="691">
        <f>SUM(AV286:AY286)</f>
        <v>0</v>
      </c>
      <c r="CC286" s="691">
        <f>SUM(AZ286:BC286)</f>
        <v>0</v>
      </c>
      <c r="CD286" s="691">
        <f>SUM(BD286:BG286)</f>
        <v>0</v>
      </c>
      <c r="CE286" s="691">
        <f>SUM(BH286:BK286)</f>
        <v>0</v>
      </c>
      <c r="CF286" s="692">
        <f>SUM(BL286:BO286)</f>
        <v>0</v>
      </c>
      <c r="CG286" s="793"/>
      <c r="CH286" s="363"/>
    </row>
    <row r="287" spans="1:86" ht="14.25" hidden="1" customHeight="1" outlineLevel="1">
      <c r="A287" s="786"/>
      <c r="B287" s="905" t="s">
        <v>535</v>
      </c>
      <c r="C287" s="458"/>
      <c r="D287" s="462"/>
      <c r="E287" s="462"/>
      <c r="F287" s="462"/>
      <c r="G287" s="463"/>
      <c r="H287" s="462"/>
      <c r="I287" s="462"/>
      <c r="J287" s="462"/>
      <c r="K287" s="463"/>
      <c r="L287" s="788"/>
      <c r="M287" s="788"/>
      <c r="N287" s="788"/>
      <c r="O287" s="788"/>
      <c r="P287" s="789"/>
      <c r="Q287" s="788"/>
      <c r="R287" s="788"/>
      <c r="S287" s="790"/>
      <c r="T287" s="788"/>
      <c r="U287" s="788"/>
      <c r="V287" s="788"/>
      <c r="W287" s="790"/>
      <c r="X287" s="788"/>
      <c r="Y287" s="788"/>
      <c r="Z287" s="788"/>
      <c r="AA287" s="788"/>
      <c r="AB287" s="789"/>
      <c r="AC287" s="788"/>
      <c r="AD287" s="788"/>
      <c r="AE287" s="790"/>
      <c r="AF287" s="788"/>
      <c r="AG287" s="788"/>
      <c r="AH287" s="788"/>
      <c r="AI287" s="790"/>
      <c r="AJ287" s="789"/>
      <c r="AK287" s="788"/>
      <c r="AL287" s="788">
        <v>645</v>
      </c>
      <c r="AM287" s="446"/>
      <c r="AN287" s="445">
        <v>490</v>
      </c>
      <c r="AO287" s="788">
        <v>594</v>
      </c>
      <c r="AP287" s="788">
        <v>641</v>
      </c>
      <c r="AQ287" s="790">
        <v>476</v>
      </c>
      <c r="AR287" s="788">
        <v>443</v>
      </c>
      <c r="AS287" s="788">
        <v>594</v>
      </c>
      <c r="AT287" s="788">
        <v>522</v>
      </c>
      <c r="AU287" s="790">
        <v>416</v>
      </c>
      <c r="AV287" s="788">
        <v>400</v>
      </c>
      <c r="AW287" s="788">
        <v>474</v>
      </c>
      <c r="AX287" s="788">
        <v>557</v>
      </c>
      <c r="AY287" s="790">
        <v>416</v>
      </c>
      <c r="AZ287" s="788">
        <v>343</v>
      </c>
      <c r="BA287" s="788">
        <v>417</v>
      </c>
      <c r="BB287" s="788">
        <v>487</v>
      </c>
      <c r="BC287" s="790">
        <v>319</v>
      </c>
      <c r="BD287" s="444"/>
      <c r="BE287" s="445"/>
      <c r="BF287" s="445"/>
      <c r="BG287" s="446"/>
      <c r="BH287" s="444"/>
      <c r="BI287" s="445"/>
      <c r="BJ287" s="445"/>
      <c r="BK287" s="446"/>
      <c r="BL287" s="444"/>
      <c r="BM287" s="445"/>
      <c r="BN287" s="445"/>
      <c r="BO287" s="446"/>
      <c r="BP287" s="791"/>
      <c r="BQ287" s="440"/>
      <c r="BR287" s="792"/>
      <c r="BS287" s="440"/>
      <c r="BT287" s="440"/>
      <c r="BU287" s="440"/>
      <c r="BV287" s="440"/>
      <c r="BW287" s="440"/>
      <c r="BX287" s="440"/>
      <c r="BY287" s="440"/>
      <c r="BZ287" s="440"/>
      <c r="CA287" s="440"/>
      <c r="CB287" s="440"/>
      <c r="CC287" s="440"/>
      <c r="CD287" s="440"/>
      <c r="CE287" s="440"/>
      <c r="CF287" s="442"/>
      <c r="CG287" s="793"/>
      <c r="CH287" s="363"/>
    </row>
    <row r="288" spans="1:86" s="281" customFormat="1" ht="14.25" customHeight="1" collapsed="1">
      <c r="A288" s="803"/>
      <c r="B288" s="812" t="s">
        <v>850</v>
      </c>
      <c r="C288" s="458"/>
      <c r="D288" s="462"/>
      <c r="E288" s="462"/>
      <c r="F288" s="462"/>
      <c r="G288" s="463"/>
      <c r="H288" s="462"/>
      <c r="I288" s="462"/>
      <c r="J288" s="462"/>
      <c r="K288" s="463"/>
      <c r="L288" s="805"/>
      <c r="M288" s="805"/>
      <c r="N288" s="805"/>
      <c r="O288" s="805"/>
      <c r="P288" s="806"/>
      <c r="Q288" s="805"/>
      <c r="R288" s="805"/>
      <c r="S288" s="807"/>
      <c r="T288" s="805"/>
      <c r="U288" s="805"/>
      <c r="V288" s="805"/>
      <c r="W288" s="807"/>
      <c r="X288" s="805">
        <v>1324</v>
      </c>
      <c r="Y288" s="805">
        <v>1394</v>
      </c>
      <c r="Z288" s="805">
        <v>1512</v>
      </c>
      <c r="AA288" s="805">
        <v>1399</v>
      </c>
      <c r="AB288" s="806">
        <v>1254</v>
      </c>
      <c r="AC288" s="805">
        <v>1203</v>
      </c>
      <c r="AD288" s="805">
        <v>1301</v>
      </c>
      <c r="AE288" s="807">
        <v>1221</v>
      </c>
      <c r="AF288" s="805">
        <v>895</v>
      </c>
      <c r="AG288" s="805">
        <v>955</v>
      </c>
      <c r="AH288" s="805">
        <v>956</v>
      </c>
      <c r="AI288" s="807">
        <v>764</v>
      </c>
      <c r="AJ288" s="806">
        <v>676</v>
      </c>
      <c r="AK288" s="805">
        <v>684</v>
      </c>
      <c r="AL288" s="805">
        <v>645</v>
      </c>
      <c r="AM288" s="463">
        <v>555</v>
      </c>
      <c r="AN288" s="462">
        <f t="shared" ref="AN288:AT288" si="740">+AN296+AN299+AN305+AN311+AN322+AN329</f>
        <v>489.49808303682909</v>
      </c>
      <c r="AO288" s="462">
        <f t="shared" si="740"/>
        <v>593.72030612102662</v>
      </c>
      <c r="AP288" s="462">
        <f t="shared" si="740"/>
        <v>641.39075148995255</v>
      </c>
      <c r="AQ288" s="463">
        <f t="shared" si="740"/>
        <v>475.99999999999994</v>
      </c>
      <c r="AR288" s="462">
        <f>+AR296+AR299+AR305+AR311+AR322+AR329</f>
        <v>443.00000000000006</v>
      </c>
      <c r="AS288" s="462">
        <f>+AS296+AS299+AS305+AS311+AS322+AS329</f>
        <v>593.94233841636458</v>
      </c>
      <c r="AT288" s="462">
        <f t="shared" si="740"/>
        <v>526.40509843270991</v>
      </c>
      <c r="AU288" s="463">
        <f t="shared" ref="AU288:BG288" si="741">+AU296+AU299+AU305+AU311+AU322+AU329</f>
        <v>416.11253914059421</v>
      </c>
      <c r="AV288" s="462">
        <f t="shared" si="741"/>
        <v>399.59074264451323</v>
      </c>
      <c r="AW288" s="462">
        <f t="shared" si="741"/>
        <v>473.59074264451323</v>
      </c>
      <c r="AX288" s="462">
        <f t="shared" si="741"/>
        <v>556.60568294214647</v>
      </c>
      <c r="AY288" s="463">
        <f t="shared" si="741"/>
        <v>379.93468115114763</v>
      </c>
      <c r="AZ288" s="462">
        <f>+AZ296+AZ299+AZ305+AZ311+AZ322+AZ329</f>
        <v>343.12679538995872</v>
      </c>
      <c r="BA288" s="462">
        <f t="shared" si="741"/>
        <v>414.13416867775288</v>
      </c>
      <c r="BB288" s="1146">
        <v>487</v>
      </c>
      <c r="BC288" s="1146">
        <f>+BC296+BC299+BC305+BC311+BC322+BC329</f>
        <v>319.20884738142519</v>
      </c>
      <c r="BD288" s="461">
        <f>+BD296+BD299+BD305+BD311+BD322+BD329</f>
        <v>296.83256387994987</v>
      </c>
      <c r="BE288" s="462">
        <f t="shared" si="741"/>
        <v>378.83256387994987</v>
      </c>
      <c r="BF288" s="462">
        <f t="shared" si="741"/>
        <v>429.29151723253568</v>
      </c>
      <c r="BG288" s="463">
        <f t="shared" si="741"/>
        <v>333.29788859877368</v>
      </c>
      <c r="BH288" s="461">
        <f t="shared" ref="BH288:BK288" si="742">+BH296+BH299+BH305+BH311+BH322+BH329</f>
        <v>332.50186026877043</v>
      </c>
      <c r="BI288" s="462">
        <f t="shared" si="742"/>
        <v>393.06827866229497</v>
      </c>
      <c r="BJ288" s="462">
        <f t="shared" si="742"/>
        <v>446.40363569982537</v>
      </c>
      <c r="BK288" s="463">
        <f t="shared" si="742"/>
        <v>348.48095046791116</v>
      </c>
      <c r="BL288" s="461">
        <f t="shared" ref="BL288:BO288" si="743">+BL296+BL299+BL305+BL311+BL322+BL329</f>
        <v>350.36953271019507</v>
      </c>
      <c r="BM288" s="462">
        <f t="shared" si="743"/>
        <v>410.98170452662276</v>
      </c>
      <c r="BN288" s="462">
        <f t="shared" si="743"/>
        <v>465.34989256142228</v>
      </c>
      <c r="BO288" s="463">
        <f t="shared" si="743"/>
        <v>366.80910103380796</v>
      </c>
      <c r="BP288" s="808"/>
      <c r="BQ288" s="458"/>
      <c r="BR288" s="1132"/>
      <c r="BS288" s="458"/>
      <c r="BT288" s="714"/>
      <c r="BU288" s="714"/>
      <c r="BV288" s="714">
        <f>SUM(X288:AA288)</f>
        <v>5629</v>
      </c>
      <c r="BW288" s="714">
        <f>SUM(AB288:AE288)</f>
        <v>4979</v>
      </c>
      <c r="BX288" s="714">
        <f>SUM(AF288:AI288)</f>
        <v>3570</v>
      </c>
      <c r="BY288" s="714">
        <f>SUM(AJ288:AM288)</f>
        <v>2560</v>
      </c>
      <c r="BZ288" s="714">
        <f>+SUM(AN288:AQ288)</f>
        <v>2200.6091406478081</v>
      </c>
      <c r="CA288" s="714">
        <f>+SUM(AR288:AU288)</f>
        <v>1979.4599759896689</v>
      </c>
      <c r="CB288" s="714">
        <f>SUM(AV288:AY288)</f>
        <v>1809.7218493823207</v>
      </c>
      <c r="CC288" s="714">
        <f>SUM(AZ288:BC288)</f>
        <v>1563.4698114491366</v>
      </c>
      <c r="CD288" s="714">
        <f>SUM(BD288:BG288)</f>
        <v>1438.2545335912091</v>
      </c>
      <c r="CE288" s="714">
        <f>SUM(BH288:BK288)</f>
        <v>1520.4547250988021</v>
      </c>
      <c r="CF288" s="715">
        <f>SUM(BL288:BO288)</f>
        <v>1593.5102308320481</v>
      </c>
      <c r="CG288" s="1174"/>
      <c r="CH288" s="1171"/>
    </row>
    <row r="289" spans="1:86" ht="14.25" customHeight="1">
      <c r="A289" s="672"/>
      <c r="B289" s="651" t="s">
        <v>268</v>
      </c>
      <c r="C289" s="274"/>
      <c r="D289" s="247"/>
      <c r="E289" s="247"/>
      <c r="F289" s="247"/>
      <c r="G289" s="77"/>
      <c r="H289" s="247"/>
      <c r="I289" s="247"/>
      <c r="J289" s="247"/>
      <c r="K289" s="77"/>
      <c r="L289" s="247"/>
      <c r="M289" s="247"/>
      <c r="N289" s="247"/>
      <c r="O289" s="76"/>
      <c r="P289" s="760"/>
      <c r="Q289" s="46"/>
      <c r="R289" s="46"/>
      <c r="S289" s="749"/>
      <c r="T289" s="247"/>
      <c r="U289" s="247"/>
      <c r="V289" s="247"/>
      <c r="W289" s="77"/>
      <c r="X289" s="247"/>
      <c r="Y289" s="247">
        <f t="shared" ref="Y289:BC289" si="744">Y288/X288-1</f>
        <v>5.2870090634441036E-2</v>
      </c>
      <c r="Z289" s="247">
        <f t="shared" si="744"/>
        <v>8.4648493543759029E-2</v>
      </c>
      <c r="AA289" s="76">
        <f t="shared" si="744"/>
        <v>-7.4735449735449766E-2</v>
      </c>
      <c r="AB289" s="522">
        <f t="shared" si="744"/>
        <v>-0.10364546104360262</v>
      </c>
      <c r="AC289" s="76">
        <f t="shared" si="744"/>
        <v>-4.0669856459330189E-2</v>
      </c>
      <c r="AD289" s="231">
        <f t="shared" si="744"/>
        <v>8.1463009143807108E-2</v>
      </c>
      <c r="AE289" s="77">
        <f t="shared" si="744"/>
        <v>-6.1491160645657184E-2</v>
      </c>
      <c r="AF289" s="76">
        <f t="shared" si="744"/>
        <v>-0.26699426699426698</v>
      </c>
      <c r="AG289" s="231">
        <f t="shared" si="744"/>
        <v>6.7039106145251326E-2</v>
      </c>
      <c r="AH289" s="231">
        <f t="shared" si="744"/>
        <v>1.0471204188482464E-3</v>
      </c>
      <c r="AI289" s="276">
        <f t="shared" si="744"/>
        <v>-0.20083682008368198</v>
      </c>
      <c r="AJ289" s="734">
        <f t="shared" si="744"/>
        <v>-0.11518324607329844</v>
      </c>
      <c r="AK289" s="231">
        <f t="shared" si="744"/>
        <v>1.1834319526627279E-2</v>
      </c>
      <c r="AL289" s="231">
        <f t="shared" si="744"/>
        <v>-5.7017543859649078E-2</v>
      </c>
      <c r="AM289" s="276">
        <f t="shared" si="744"/>
        <v>-0.13953488372093026</v>
      </c>
      <c r="AN289" s="247">
        <f t="shared" si="744"/>
        <v>-0.11802147200571333</v>
      </c>
      <c r="AO289" s="231">
        <f t="shared" si="744"/>
        <v>0.21291650916711768</v>
      </c>
      <c r="AP289" s="247">
        <f t="shared" si="744"/>
        <v>8.0291081301181899E-2</v>
      </c>
      <c r="AQ289" s="276">
        <f t="shared" si="744"/>
        <v>-0.25786270086643659</v>
      </c>
      <c r="AR289" s="247">
        <f t="shared" si="744"/>
        <v>-6.9327731092436728E-2</v>
      </c>
      <c r="AS289" s="231">
        <f t="shared" si="744"/>
        <v>0.34072762622204178</v>
      </c>
      <c r="AT289" s="247">
        <f t="shared" si="744"/>
        <v>-0.11371009543406185</v>
      </c>
      <c r="AU289" s="276">
        <f t="shared" si="744"/>
        <v>-0.20952030977757397</v>
      </c>
      <c r="AV289" s="247">
        <f t="shared" si="744"/>
        <v>-3.9705115664631974E-2</v>
      </c>
      <c r="AW289" s="231">
        <f t="shared" si="744"/>
        <v>0.1851894753874026</v>
      </c>
      <c r="AX289" s="247">
        <f t="shared" si="744"/>
        <v>0.17528835093794459</v>
      </c>
      <c r="AY289" s="276">
        <f t="shared" si="744"/>
        <v>-0.31740782964546554</v>
      </c>
      <c r="AZ289" s="247">
        <f t="shared" si="744"/>
        <v>-9.687951005069162E-2</v>
      </c>
      <c r="BA289" s="247">
        <f t="shared" si="744"/>
        <v>0.20694208159142824</v>
      </c>
      <c r="BB289" s="247">
        <f t="shared" si="744"/>
        <v>0.17594740263739417</v>
      </c>
      <c r="BC289" s="231">
        <f t="shared" si="744"/>
        <v>-0.34454035445292575</v>
      </c>
      <c r="BD289" s="522">
        <f t="shared" ref="BD289:BE289" si="745">BD288/BC288-1</f>
        <v>-7.009919582441182E-2</v>
      </c>
      <c r="BE289" s="76">
        <f t="shared" si="745"/>
        <v>0.27625001424427231</v>
      </c>
      <c r="BF289" s="76">
        <f t="shared" ref="BF289" si="746">BF288/BE288-1</f>
        <v>0.13319592390842083</v>
      </c>
      <c r="BG289" s="276">
        <f t="shared" ref="BG289" si="747">BG288/BF288-1</f>
        <v>-0.22360942338808165</v>
      </c>
      <c r="BH289" s="522">
        <f t="shared" ref="BH289" si="748">BH288/BG288-1</f>
        <v>-2.3883389521303089E-3</v>
      </c>
      <c r="BI289" s="76">
        <f t="shared" ref="BI289" si="749">BI288/BH288-1</f>
        <v>0.18215362267316948</v>
      </c>
      <c r="BJ289" s="76">
        <f t="shared" ref="BJ289" si="750">BJ288/BI288-1</f>
        <v>0.13568980233928651</v>
      </c>
      <c r="BK289" s="276">
        <f t="shared" ref="BK289" si="751">BK288/BJ288-1</f>
        <v>-0.21935906744666445</v>
      </c>
      <c r="BL289" s="522">
        <f t="shared" ref="BL289" si="752">BL288/BK288-1</f>
        <v>5.4194705327452741E-3</v>
      </c>
      <c r="BM289" s="76">
        <f t="shared" ref="BM289" si="753">BM288/BL288-1</f>
        <v>0.17299498431720806</v>
      </c>
      <c r="BN289" s="76">
        <f t="shared" ref="BN289" si="754">BN288/BM288-1</f>
        <v>0.13228858471308813</v>
      </c>
      <c r="BO289" s="276">
        <f t="shared" ref="BO289" si="755">BO288/BN288-1</f>
        <v>-0.21175634313616554</v>
      </c>
      <c r="BP289" s="657"/>
      <c r="BQ289" s="275"/>
      <c r="BR289" s="275"/>
      <c r="BS289" s="275"/>
      <c r="BT289" s="231"/>
      <c r="BU289" s="231"/>
      <c r="BV289" s="231"/>
      <c r="BW289" s="231"/>
      <c r="BX289" s="231"/>
      <c r="BY289" s="231"/>
      <c r="BZ289" s="231"/>
      <c r="CA289" s="231"/>
      <c r="CB289" s="231"/>
      <c r="CC289" s="231"/>
      <c r="CD289" s="231"/>
      <c r="CE289" s="231"/>
      <c r="CF289" s="276"/>
      <c r="CG289" s="658"/>
      <c r="CH289" s="363"/>
    </row>
    <row r="290" spans="1:86" ht="14.25" customHeight="1">
      <c r="A290" s="672"/>
      <c r="B290" s="750" t="s">
        <v>269</v>
      </c>
      <c r="C290" s="277"/>
      <c r="D290" s="247"/>
      <c r="E290" s="247"/>
      <c r="F290" s="247"/>
      <c r="G290" s="77"/>
      <c r="H290" s="247"/>
      <c r="I290" s="247"/>
      <c r="J290" s="247"/>
      <c r="K290" s="77"/>
      <c r="L290" s="247"/>
      <c r="M290" s="247"/>
      <c r="N290" s="247"/>
      <c r="O290" s="76"/>
      <c r="P290" s="760"/>
      <c r="Q290" s="46"/>
      <c r="R290" s="46"/>
      <c r="S290" s="749"/>
      <c r="T290" s="247"/>
      <c r="U290" s="247"/>
      <c r="V290" s="247"/>
      <c r="W290" s="77"/>
      <c r="X290" s="247"/>
      <c r="Y290" s="247"/>
      <c r="Z290" s="247"/>
      <c r="AA290" s="76"/>
      <c r="AB290" s="522">
        <f t="shared" ref="AB290:BC290" si="756">AB288/X288-1</f>
        <v>-5.2870090634441036E-2</v>
      </c>
      <c r="AC290" s="76">
        <f t="shared" si="756"/>
        <v>-0.13701578192252506</v>
      </c>
      <c r="AD290" s="231">
        <f t="shared" si="756"/>
        <v>-0.13955026455026454</v>
      </c>
      <c r="AE290" s="77">
        <f t="shared" si="756"/>
        <v>-0.12723373838456042</v>
      </c>
      <c r="AF290" s="76">
        <f t="shared" si="756"/>
        <v>-0.28628389154704947</v>
      </c>
      <c r="AG290" s="231">
        <f t="shared" si="756"/>
        <v>-0.20615128844555275</v>
      </c>
      <c r="AH290" s="231">
        <f t="shared" si="756"/>
        <v>-0.26518063028439665</v>
      </c>
      <c r="AI290" s="276">
        <f t="shared" si="756"/>
        <v>-0.37428337428337433</v>
      </c>
      <c r="AJ290" s="734">
        <f t="shared" si="756"/>
        <v>-0.24469273743016762</v>
      </c>
      <c r="AK290" s="231">
        <f t="shared" si="756"/>
        <v>-0.28376963350785345</v>
      </c>
      <c r="AL290" s="231">
        <f t="shared" si="756"/>
        <v>-0.32531380753138073</v>
      </c>
      <c r="AM290" s="276">
        <f t="shared" si="756"/>
        <v>-0.27356020942408377</v>
      </c>
      <c r="AN290" s="275">
        <f t="shared" si="756"/>
        <v>-0.27589040970883272</v>
      </c>
      <c r="AO290" s="231">
        <f t="shared" si="756"/>
        <v>-0.13198785654820666</v>
      </c>
      <c r="AP290" s="275">
        <f t="shared" si="756"/>
        <v>-5.5957341241045233E-3</v>
      </c>
      <c r="AQ290" s="276">
        <f t="shared" si="756"/>
        <v>-0.14234234234234244</v>
      </c>
      <c r="AR290" s="275">
        <f t="shared" si="756"/>
        <v>-9.4991348583750357E-2</v>
      </c>
      <c r="AS290" s="231">
        <f t="shared" si="756"/>
        <v>3.739678313996464E-4</v>
      </c>
      <c r="AT290" s="275">
        <f t="shared" si="756"/>
        <v>-0.1792755084012837</v>
      </c>
      <c r="AU290" s="276">
        <f t="shared" si="756"/>
        <v>-0.12581399340211286</v>
      </c>
      <c r="AV290" s="275">
        <f t="shared" si="756"/>
        <v>-9.7989294256177972E-2</v>
      </c>
      <c r="AW290" s="231">
        <f t="shared" si="756"/>
        <v>-0.20263178424482453</v>
      </c>
      <c r="AX290" s="275">
        <f t="shared" si="756"/>
        <v>5.7371375390082857E-2</v>
      </c>
      <c r="AY290" s="276">
        <f t="shared" si="756"/>
        <v>-8.6942484511919438E-2</v>
      </c>
      <c r="AZ290" s="275">
        <f t="shared" si="756"/>
        <v>-0.14130444284287735</v>
      </c>
      <c r="BA290" s="275">
        <f t="shared" si="756"/>
        <v>-0.12554420644870934</v>
      </c>
      <c r="BB290" s="275">
        <f t="shared" si="756"/>
        <v>-0.12505384884721216</v>
      </c>
      <c r="BC290" s="231">
        <f t="shared" si="756"/>
        <v>-0.15983229955668132</v>
      </c>
      <c r="BD290" s="734">
        <f t="shared" ref="BD290" si="757">BD288/AZ288-1</f>
        <v>-0.13491873013705069</v>
      </c>
      <c r="BE290" s="231">
        <f t="shared" ref="BE290" si="758">BE288/BA288-1</f>
        <v>-8.5241951685643191E-2</v>
      </c>
      <c r="BF290" s="231">
        <f t="shared" ref="BF290" si="759">BF288/BB288-1</f>
        <v>-0.11849791122682607</v>
      </c>
      <c r="BG290" s="276">
        <f t="shared" ref="BG290" si="760">BG288/BC288-1</f>
        <v>4.4137376933394812E-2</v>
      </c>
      <c r="BH290" s="734">
        <f t="shared" ref="BH290" si="761">BH288/BD288-1</f>
        <v>0.12016638579871763</v>
      </c>
      <c r="BI290" s="231">
        <f t="shared" ref="BI290" si="762">BI288/BE288-1</f>
        <v>3.7577854016943357E-2</v>
      </c>
      <c r="BJ290" s="231">
        <f t="shared" ref="BJ290" si="763">BJ288/BF288-1</f>
        <v>3.9861301191331355E-2</v>
      </c>
      <c r="BK290" s="276">
        <f t="shared" ref="BK290" si="764">BK288/BG288-1</f>
        <v>4.5554029558869891E-2</v>
      </c>
      <c r="BL290" s="734">
        <f t="shared" ref="BL290" si="765">BL288/BH288-1</f>
        <v>5.3737060078345777E-2</v>
      </c>
      <c r="BM290" s="231">
        <f t="shared" ref="BM290" si="766">BM288/BI288-1</f>
        <v>4.557331852189006E-2</v>
      </c>
      <c r="BN290" s="231">
        <f t="shared" ref="BN290" si="767">BN288/BJ288-1</f>
        <v>4.2441986010922417E-2</v>
      </c>
      <c r="BO290" s="276">
        <f t="shared" ref="BO290" si="768">BO288/BK288-1</f>
        <v>5.25944116637862E-2</v>
      </c>
      <c r="BP290" s="657"/>
      <c r="BQ290" s="275"/>
      <c r="BR290" s="751"/>
      <c r="BS290" s="751" t="str">
        <f t="shared" ref="BS290:CE290" si="769">IF(ISERROR(BS288/BR288-1),"NA",BS288/BR288-1)</f>
        <v>NA</v>
      </c>
      <c r="BT290" s="752" t="str">
        <f t="shared" si="769"/>
        <v>NA</v>
      </c>
      <c r="BU290" s="752" t="str">
        <f t="shared" si="769"/>
        <v>NA</v>
      </c>
      <c r="BV290" s="752" t="str">
        <f t="shared" si="769"/>
        <v>NA</v>
      </c>
      <c r="BW290" s="752">
        <f t="shared" si="769"/>
        <v>-0.11547344110854507</v>
      </c>
      <c r="BX290" s="752">
        <f t="shared" si="769"/>
        <v>-0.28298855191805583</v>
      </c>
      <c r="BY290" s="752">
        <f t="shared" si="769"/>
        <v>-0.28291316526610644</v>
      </c>
      <c r="BZ290" s="752">
        <f t="shared" si="769"/>
        <v>-0.14038705443444999</v>
      </c>
      <c r="CA290" s="752">
        <f t="shared" si="769"/>
        <v>-0.10049452243620061</v>
      </c>
      <c r="CB290" s="752">
        <f t="shared" si="769"/>
        <v>-8.574971389481334E-2</v>
      </c>
      <c r="CC290" s="752">
        <f t="shared" si="769"/>
        <v>-0.13607176042950064</v>
      </c>
      <c r="CD290" s="752">
        <f t="shared" si="769"/>
        <v>-8.0088068820381553E-2</v>
      </c>
      <c r="CE290" s="752">
        <f t="shared" si="769"/>
        <v>5.7152742847502491E-2</v>
      </c>
      <c r="CF290" s="753">
        <f>IF(ISERROR(CF288/CE288-1),"NA",CF288/CE288-1)</f>
        <v>4.8048458482378598E-2</v>
      </c>
      <c r="CG290" s="658"/>
      <c r="CH290" s="363"/>
    </row>
    <row r="291" spans="1:86" ht="14.25" customHeight="1">
      <c r="A291" s="672"/>
      <c r="B291" s="651" t="s">
        <v>270</v>
      </c>
      <c r="C291" s="274"/>
      <c r="D291" s="754"/>
      <c r="E291" s="754"/>
      <c r="F291" s="754"/>
      <c r="G291" s="79"/>
      <c r="H291" s="754"/>
      <c r="I291" s="754"/>
      <c r="J291" s="754"/>
      <c r="K291" s="79"/>
      <c r="L291" s="247">
        <f t="shared" ref="L291:AF291" si="770">L286/L14</f>
        <v>0.22532121591977436</v>
      </c>
      <c r="M291" s="247">
        <f t="shared" si="770"/>
        <v>0.24386682242990654</v>
      </c>
      <c r="N291" s="247">
        <f t="shared" si="770"/>
        <v>0.23778323778323779</v>
      </c>
      <c r="O291" s="76">
        <f t="shared" si="770"/>
        <v>0.19656917885264341</v>
      </c>
      <c r="P291" s="522">
        <f t="shared" si="770"/>
        <v>0.20201711491442542</v>
      </c>
      <c r="Q291" s="46">
        <f t="shared" si="770"/>
        <v>0.21575649059982094</v>
      </c>
      <c r="R291" s="46">
        <f t="shared" si="770"/>
        <v>0.22320637732506643</v>
      </c>
      <c r="S291" s="749">
        <f t="shared" si="770"/>
        <v>0.19670814933761541</v>
      </c>
      <c r="T291" s="247">
        <f t="shared" si="770"/>
        <v>0.19415148609779481</v>
      </c>
      <c r="U291" s="247">
        <f t="shared" si="770"/>
        <v>0.21286121286121287</v>
      </c>
      <c r="V291" s="247">
        <f t="shared" si="770"/>
        <v>0.21805555555555556</v>
      </c>
      <c r="W291" s="77">
        <f t="shared" si="770"/>
        <v>0.1903494176372712</v>
      </c>
      <c r="X291" s="247">
        <f t="shared" si="770"/>
        <v>0.21248049921996881</v>
      </c>
      <c r="Y291" s="247">
        <f t="shared" si="770"/>
        <v>0.21195652173913043</v>
      </c>
      <c r="Z291" s="247">
        <f t="shared" si="770"/>
        <v>0.21737967914438502</v>
      </c>
      <c r="AA291" s="76">
        <f t="shared" si="770"/>
        <v>0.19914893617021276</v>
      </c>
      <c r="AB291" s="522">
        <f t="shared" si="770"/>
        <v>0.19604952830188679</v>
      </c>
      <c r="AC291" s="76">
        <f t="shared" si="770"/>
        <v>0.2070561017929439</v>
      </c>
      <c r="AD291" s="76">
        <f t="shared" si="770"/>
        <v>0.22792844777841892</v>
      </c>
      <c r="AE291" s="77">
        <f t="shared" si="770"/>
        <v>0.16403508771929826</v>
      </c>
      <c r="AF291" s="76">
        <f t="shared" si="770"/>
        <v>0.18872156360140979</v>
      </c>
      <c r="AG291" s="231">
        <f t="shared" ref="AG291:BC291" si="771">1-AG123-AG70-AG42</f>
        <v>0.20509745127436274</v>
      </c>
      <c r="AH291" s="231">
        <f t="shared" si="771"/>
        <v>0.20707964601769924</v>
      </c>
      <c r="AI291" s="276">
        <f t="shared" si="771"/>
        <v>0.17589795233299754</v>
      </c>
      <c r="AJ291" s="734">
        <f t="shared" si="771"/>
        <v>0.36512998266897745</v>
      </c>
      <c r="AK291" s="231">
        <f t="shared" si="771"/>
        <v>0.39717755169018709</v>
      </c>
      <c r="AL291" s="231">
        <f t="shared" si="771"/>
        <v>0.38869482120838472</v>
      </c>
      <c r="AM291" s="276">
        <f t="shared" si="771"/>
        <v>0.37346207710890877</v>
      </c>
      <c r="AN291" s="275">
        <f t="shared" si="771"/>
        <v>0.37692235090799464</v>
      </c>
      <c r="AO291" s="231">
        <f t="shared" si="771"/>
        <v>0.38732508708902125</v>
      </c>
      <c r="AP291" s="275">
        <f t="shared" si="771"/>
        <v>0.37990652999991792</v>
      </c>
      <c r="AQ291" s="276">
        <f t="shared" si="771"/>
        <v>0.34364229680760106</v>
      </c>
      <c r="AR291" s="275">
        <f t="shared" si="771"/>
        <v>0.34663936559661235</v>
      </c>
      <c r="AS291" s="231">
        <f t="shared" si="771"/>
        <v>0.37816274393668392</v>
      </c>
      <c r="AT291" s="275">
        <f t="shared" si="771"/>
        <v>0.35762088797943503</v>
      </c>
      <c r="AU291" s="276">
        <f t="shared" si="771"/>
        <v>0.34244444278220632</v>
      </c>
      <c r="AV291" s="275">
        <f t="shared" si="771"/>
        <v>0.36710170730036396</v>
      </c>
      <c r="AW291" s="231">
        <f t="shared" si="771"/>
        <v>0.36778253384344217</v>
      </c>
      <c r="AX291" s="275">
        <f t="shared" si="771"/>
        <v>0.36102286077069423</v>
      </c>
      <c r="AY291" s="276">
        <f t="shared" ref="AY291" si="772">1-AY123-AY70-AY42</f>
        <v>0.32175362920446904</v>
      </c>
      <c r="AZ291" s="275">
        <f t="shared" si="771"/>
        <v>0.32924352294322046</v>
      </c>
      <c r="BA291" s="275">
        <f t="shared" si="771"/>
        <v>0.33998646024699786</v>
      </c>
      <c r="BB291" s="275">
        <f t="shared" si="771"/>
        <v>0.33793757858095241</v>
      </c>
      <c r="BC291" s="231">
        <f t="shared" si="771"/>
        <v>0.31668074782519418</v>
      </c>
      <c r="BD291" s="734">
        <f t="shared" ref="BD291:BG291" si="773">1-BD123-BD70-BD42</f>
        <v>0.31531899088796678</v>
      </c>
      <c r="BE291" s="231">
        <f t="shared" si="773"/>
        <v>0.32916533337909093</v>
      </c>
      <c r="BF291" s="231">
        <f t="shared" si="773"/>
        <v>0.32575585674494689</v>
      </c>
      <c r="BG291" s="276">
        <f t="shared" si="773"/>
        <v>0.30907049046454704</v>
      </c>
      <c r="BH291" s="734">
        <f t="shared" ref="BH291:BK291" si="774">1-BH123-BH70-BH42</f>
        <v>0.32183124496105786</v>
      </c>
      <c r="BI291" s="231">
        <f t="shared" si="774"/>
        <v>0.33603560615141903</v>
      </c>
      <c r="BJ291" s="231">
        <f t="shared" si="774"/>
        <v>0.33105357010685643</v>
      </c>
      <c r="BK291" s="276">
        <f t="shared" si="774"/>
        <v>0.31577192956059397</v>
      </c>
      <c r="BL291" s="734">
        <f t="shared" ref="BL291:BO291" si="775">1-BL123-BL70-BL42</f>
        <v>0.32913719291391441</v>
      </c>
      <c r="BM291" s="231">
        <f t="shared" si="775"/>
        <v>0.34300284450971319</v>
      </c>
      <c r="BN291" s="231">
        <f t="shared" si="775"/>
        <v>0.33771387849008505</v>
      </c>
      <c r="BO291" s="276">
        <f t="shared" si="775"/>
        <v>0.32293836755069594</v>
      </c>
      <c r="BP291" s="657"/>
      <c r="BQ291" s="275"/>
      <c r="BR291" s="751" t="str">
        <f t="shared" ref="BR291:BY291" si="776">IF(ISERROR(BR286/BR14),"NA",BR286/BR14)</f>
        <v>NA</v>
      </c>
      <c r="BS291" s="751">
        <f t="shared" si="776"/>
        <v>0.22582044238831864</v>
      </c>
      <c r="BT291" s="752">
        <f t="shared" si="776"/>
        <v>0.21038316934645229</v>
      </c>
      <c r="BU291" s="752">
        <f t="shared" si="776"/>
        <v>0.20406597621787495</v>
      </c>
      <c r="BV291" s="752">
        <f t="shared" si="776"/>
        <v>0.2102964341973364</v>
      </c>
      <c r="BW291" s="752">
        <f t="shared" si="776"/>
        <v>0.19889341875364008</v>
      </c>
      <c r="BX291" s="752">
        <f t="shared" si="776"/>
        <v>0.19485380116959064</v>
      </c>
      <c r="BY291" s="752">
        <f t="shared" si="776"/>
        <v>0</v>
      </c>
      <c r="BZ291" s="752">
        <f t="shared" ref="BZ291:CC291" si="777">IF(ISERROR(BZ288/BZ14),"NA",BZ288/BZ14)</f>
        <v>0.16869874113671784</v>
      </c>
      <c r="CA291" s="752">
        <f t="shared" si="777"/>
        <v>0.15104086232884692</v>
      </c>
      <c r="CB291" s="752">
        <f t="shared" si="777"/>
        <v>0.13536984834985821</v>
      </c>
      <c r="CC291" s="752">
        <f t="shared" si="777"/>
        <v>0.10449974709387876</v>
      </c>
      <c r="CD291" s="752">
        <f>IF(ISERROR(CD288/CD14),"NA",CD288/CD14)</f>
        <v>9.054246188982952E-2</v>
      </c>
      <c r="CE291" s="752">
        <f>IF(ISERROR(CE288/CE14),"NA",CE288/CE14)</f>
        <v>9.2951285457732652E-2</v>
      </c>
      <c r="CF291" s="753">
        <f>IF(ISERROR(CF288/CF14),"NA",CF288/CF14)</f>
        <v>0.12539479238462647</v>
      </c>
      <c r="CG291" s="658"/>
      <c r="CH291" s="363"/>
    </row>
    <row r="292" spans="1:86" ht="14.25" customHeight="1">
      <c r="A292" s="672"/>
      <c r="B292" s="824"/>
      <c r="C292" s="274"/>
      <c r="D292" s="754"/>
      <c r="E292" s="754"/>
      <c r="F292" s="754"/>
      <c r="G292" s="79"/>
      <c r="H292" s="754"/>
      <c r="I292" s="754"/>
      <c r="J292" s="754"/>
      <c r="K292" s="79"/>
      <c r="L292" s="754"/>
      <c r="M292" s="754"/>
      <c r="N292" s="754"/>
      <c r="O292" s="78"/>
      <c r="P292" s="522"/>
      <c r="Q292" s="76"/>
      <c r="R292" s="76"/>
      <c r="S292" s="77"/>
      <c r="T292" s="247"/>
      <c r="U292" s="247"/>
      <c r="V292" s="247"/>
      <c r="W292" s="77"/>
      <c r="X292" s="247"/>
      <c r="Y292" s="247"/>
      <c r="Z292" s="247"/>
      <c r="AA292" s="76"/>
      <c r="AB292" s="522"/>
      <c r="AC292" s="76"/>
      <c r="AD292" s="278"/>
      <c r="AE292" s="279"/>
      <c r="AF292" s="76"/>
      <c r="AG292" s="278"/>
      <c r="AH292" s="906"/>
      <c r="AI292" s="279"/>
      <c r="AJ292" s="907"/>
      <c r="AK292" s="792"/>
      <c r="AL292" s="792"/>
      <c r="AM292" s="838"/>
      <c r="AN292" s="8"/>
      <c r="AO292" s="8"/>
      <c r="AP292" s="8"/>
      <c r="AQ292" s="838"/>
      <c r="AR292" s="8"/>
      <c r="AS292" s="8"/>
      <c r="AT292" s="8"/>
      <c r="AU292" s="838"/>
      <c r="AV292" s="8"/>
      <c r="AW292" s="8"/>
      <c r="AX292" s="8"/>
      <c r="AY292" s="838"/>
      <c r="AZ292" s="8"/>
      <c r="BA292" s="8"/>
      <c r="BB292" s="1145"/>
      <c r="BC292" s="278"/>
      <c r="BD292" s="297"/>
      <c r="BE292" s="14"/>
      <c r="BF292" s="14"/>
      <c r="BG292" s="279"/>
      <c r="BH292" s="297"/>
      <c r="BI292" s="14"/>
      <c r="BJ292" s="14"/>
      <c r="BK292" s="279"/>
      <c r="BL292" s="297"/>
      <c r="BM292" s="14"/>
      <c r="BN292" s="14"/>
      <c r="BO292" s="279"/>
      <c r="BP292" s="657"/>
      <c r="BQ292" s="8"/>
      <c r="BR292" s="8"/>
      <c r="BS292" s="8"/>
      <c r="BT292" s="54"/>
      <c r="BU292" s="54"/>
      <c r="BV292" s="54"/>
      <c r="BW292" s="54"/>
      <c r="BX292" s="54"/>
      <c r="BY292" s="54"/>
      <c r="BZ292" s="54"/>
      <c r="CA292" s="54"/>
      <c r="CB292" s="54"/>
      <c r="CC292" s="54"/>
      <c r="CD292" s="54"/>
      <c r="CE292" s="54"/>
      <c r="CF292" s="21"/>
      <c r="CG292" s="658"/>
      <c r="CH292" s="363"/>
    </row>
    <row r="293" spans="1:86" ht="14.25" customHeight="1">
      <c r="A293" s="672"/>
      <c r="B293" s="755" t="s">
        <v>83</v>
      </c>
      <c r="C293" s="274"/>
      <c r="D293" s="754"/>
      <c r="E293" s="754"/>
      <c r="F293" s="754"/>
      <c r="G293" s="79"/>
      <c r="H293" s="754"/>
      <c r="I293" s="754"/>
      <c r="J293" s="754"/>
      <c r="K293" s="79"/>
      <c r="L293" s="754"/>
      <c r="M293" s="754"/>
      <c r="N293" s="754"/>
      <c r="O293" s="78"/>
      <c r="P293" s="522"/>
      <c r="Q293" s="76"/>
      <c r="R293" s="76"/>
      <c r="S293" s="77"/>
      <c r="T293" s="247"/>
      <c r="U293" s="247"/>
      <c r="V293" s="247"/>
      <c r="W293" s="77"/>
      <c r="X293" s="247"/>
      <c r="Y293" s="247"/>
      <c r="Z293" s="247"/>
      <c r="AA293" s="76"/>
      <c r="AB293" s="522"/>
      <c r="AC293" s="76"/>
      <c r="AD293" s="278"/>
      <c r="AE293" s="279"/>
      <c r="AF293" s="76"/>
      <c r="AG293" s="278"/>
      <c r="AH293" s="278"/>
      <c r="AI293" s="278"/>
      <c r="AJ293" s="297"/>
      <c r="AK293" s="908"/>
      <c r="AL293" s="908"/>
      <c r="AM293" s="909"/>
      <c r="AN293" s="8"/>
      <c r="AO293" s="8"/>
      <c r="AP293" s="8"/>
      <c r="AQ293" s="909"/>
      <c r="AR293" s="8"/>
      <c r="AS293" s="8"/>
      <c r="AT293" s="8"/>
      <c r="AU293" s="909"/>
      <c r="AV293" s="8"/>
      <c r="AW293" s="8"/>
      <c r="AX293" s="8"/>
      <c r="AY293" s="909"/>
      <c r="AZ293" s="8"/>
      <c r="BA293" s="8"/>
      <c r="BB293" s="1145"/>
      <c r="BC293" s="278"/>
      <c r="BD293" s="297"/>
      <c r="BE293" s="14"/>
      <c r="BF293" s="14"/>
      <c r="BG293" s="279"/>
      <c r="BH293" s="297"/>
      <c r="BI293" s="14"/>
      <c r="BJ293" s="14"/>
      <c r="BK293" s="279"/>
      <c r="BL293" s="297"/>
      <c r="BM293" s="14"/>
      <c r="BN293" s="14"/>
      <c r="BO293" s="279"/>
      <c r="BP293" s="657"/>
      <c r="BQ293" s="8"/>
      <c r="BR293" s="8"/>
      <c r="BS293" s="8"/>
      <c r="BT293" s="54"/>
      <c r="BU293" s="54"/>
      <c r="BV293" s="54"/>
      <c r="BW293" s="54"/>
      <c r="BX293" s="54"/>
      <c r="BY293" s="54"/>
      <c r="BZ293" s="54"/>
      <c r="CA293" s="54"/>
      <c r="CB293" s="54"/>
      <c r="CC293" s="54"/>
      <c r="CD293" s="54"/>
      <c r="CE293" s="54"/>
      <c r="CF293" s="21"/>
      <c r="CG293" s="658"/>
      <c r="CH293" s="363"/>
    </row>
    <row r="294" spans="1:86" ht="14.25" customHeight="1">
      <c r="A294" s="786"/>
      <c r="B294" s="910" t="s">
        <v>339</v>
      </c>
      <c r="C294" s="911"/>
      <c r="D294" s="837"/>
      <c r="E294" s="837"/>
      <c r="F294" s="837"/>
      <c r="G294" s="790"/>
      <c r="H294" s="837">
        <v>849</v>
      </c>
      <c r="I294" s="837">
        <v>927</v>
      </c>
      <c r="J294" s="837">
        <v>944</v>
      </c>
      <c r="K294" s="790">
        <v>828</v>
      </c>
      <c r="L294" s="837">
        <v>773</v>
      </c>
      <c r="M294" s="837">
        <v>800</v>
      </c>
      <c r="N294" s="837">
        <v>849</v>
      </c>
      <c r="O294" s="788">
        <v>895</v>
      </c>
      <c r="P294" s="444">
        <v>720</v>
      </c>
      <c r="Q294" s="445">
        <v>681</v>
      </c>
      <c r="R294" s="445">
        <v>673</v>
      </c>
      <c r="S294" s="446">
        <v>464</v>
      </c>
      <c r="T294" s="443">
        <v>400</v>
      </c>
      <c r="U294" s="443">
        <v>410</v>
      </c>
      <c r="V294" s="443">
        <v>450</v>
      </c>
      <c r="W294" s="446">
        <v>465</v>
      </c>
      <c r="X294" s="443">
        <v>424</v>
      </c>
      <c r="Y294" s="443">
        <v>416</v>
      </c>
      <c r="Z294" s="443">
        <v>438</v>
      </c>
      <c r="AA294" s="445">
        <v>435</v>
      </c>
      <c r="AB294" s="444">
        <v>334</v>
      </c>
      <c r="AC294" s="445">
        <v>228</v>
      </c>
      <c r="AD294" s="440">
        <v>263</v>
      </c>
      <c r="AE294" s="442">
        <v>279</v>
      </c>
      <c r="AF294" s="445">
        <v>87</v>
      </c>
      <c r="AG294" s="445">
        <v>90</v>
      </c>
      <c r="AH294" s="445">
        <v>54</v>
      </c>
      <c r="AI294" s="445">
        <v>64</v>
      </c>
      <c r="AJ294" s="907">
        <v>32</v>
      </c>
      <c r="AK294" s="792">
        <v>16</v>
      </c>
      <c r="AL294" s="912">
        <v>8</v>
      </c>
      <c r="AM294" s="838">
        <v>4</v>
      </c>
      <c r="AN294" s="443"/>
      <c r="AO294" s="443"/>
      <c r="AP294" s="443"/>
      <c r="AQ294" s="838"/>
      <c r="AR294" s="443"/>
      <c r="AS294" s="443"/>
      <c r="AT294" s="443"/>
      <c r="AU294" s="838"/>
      <c r="AV294" s="443"/>
      <c r="AW294" s="443"/>
      <c r="AX294" s="443"/>
      <c r="AY294" s="838"/>
      <c r="AZ294" s="443"/>
      <c r="BA294" s="443"/>
      <c r="BB294" s="443"/>
      <c r="BC294" s="788"/>
      <c r="BD294" s="444"/>
      <c r="BE294" s="445"/>
      <c r="BF294" s="445"/>
      <c r="BG294" s="790"/>
      <c r="BH294" s="444"/>
      <c r="BI294" s="445"/>
      <c r="BJ294" s="445"/>
      <c r="BK294" s="790"/>
      <c r="BL294" s="444"/>
      <c r="BM294" s="445"/>
      <c r="BN294" s="445"/>
      <c r="BO294" s="790"/>
      <c r="BP294" s="791"/>
      <c r="BQ294" s="438"/>
      <c r="BR294" s="438"/>
      <c r="BS294" s="438"/>
      <c r="BT294" s="445"/>
      <c r="BU294" s="445"/>
      <c r="BV294" s="445"/>
      <c r="BW294" s="445"/>
      <c r="BX294" s="445"/>
      <c r="BY294" s="445"/>
      <c r="BZ294" s="445"/>
      <c r="CA294" s="445"/>
      <c r="CB294" s="445"/>
      <c r="CC294" s="445"/>
      <c r="CD294" s="445"/>
      <c r="CE294" s="445"/>
      <c r="CF294" s="446"/>
      <c r="CG294" s="1173"/>
      <c r="CH294" s="363"/>
    </row>
    <row r="295" spans="1:86" ht="14.25" customHeight="1">
      <c r="A295" s="693"/>
      <c r="B295" s="913" t="s">
        <v>48</v>
      </c>
      <c r="C295" s="914"/>
      <c r="D295" s="915"/>
      <c r="E295" s="915"/>
      <c r="F295" s="915"/>
      <c r="G295" s="916"/>
      <c r="H295" s="915"/>
      <c r="I295" s="915"/>
      <c r="J295" s="915"/>
      <c r="K295" s="916"/>
      <c r="L295" s="915"/>
      <c r="M295" s="915"/>
      <c r="N295" s="915"/>
      <c r="O295" s="917"/>
      <c r="P295" s="918"/>
      <c r="Q295" s="919"/>
      <c r="R295" s="919"/>
      <c r="S295" s="920"/>
      <c r="T295" s="921"/>
      <c r="U295" s="921"/>
      <c r="V295" s="921"/>
      <c r="W295" s="920"/>
      <c r="X295" s="452">
        <f t="shared" ref="X295:AI295" si="778">+X296-X294</f>
        <v>259</v>
      </c>
      <c r="Y295" s="452">
        <f t="shared" si="778"/>
        <v>284</v>
      </c>
      <c r="Z295" s="452">
        <f t="shared" si="778"/>
        <v>306</v>
      </c>
      <c r="AA295" s="454">
        <f t="shared" si="778"/>
        <v>307</v>
      </c>
      <c r="AB295" s="453">
        <f t="shared" si="778"/>
        <v>297</v>
      </c>
      <c r="AC295" s="454">
        <f t="shared" si="778"/>
        <v>296</v>
      </c>
      <c r="AD295" s="449">
        <f t="shared" si="778"/>
        <v>284</v>
      </c>
      <c r="AE295" s="451">
        <f t="shared" si="778"/>
        <v>411</v>
      </c>
      <c r="AF295" s="454">
        <f t="shared" si="778"/>
        <v>252</v>
      </c>
      <c r="AG295" s="454">
        <f t="shared" si="778"/>
        <v>215</v>
      </c>
      <c r="AH295" s="454">
        <f t="shared" si="778"/>
        <v>232</v>
      </c>
      <c r="AI295" s="454">
        <f t="shared" si="778"/>
        <v>206</v>
      </c>
      <c r="AJ295" s="450">
        <f>+AJ296-AJ294</f>
        <v>178</v>
      </c>
      <c r="AK295" s="449">
        <f>+AK296-AK294</f>
        <v>132</v>
      </c>
      <c r="AL295" s="922">
        <f>+AL296-AL294</f>
        <v>49</v>
      </c>
      <c r="AM295" s="451">
        <v>46</v>
      </c>
      <c r="AN295" s="923">
        <v>25</v>
      </c>
      <c r="AO295" s="801">
        <v>16</v>
      </c>
      <c r="AP295" s="801">
        <v>16</v>
      </c>
      <c r="AQ295" s="442"/>
      <c r="AR295" s="907">
        <v>0</v>
      </c>
      <c r="AS295" s="792"/>
      <c r="AT295" s="792"/>
      <c r="AU295" s="442"/>
      <c r="AV295" s="907">
        <v>0</v>
      </c>
      <c r="AW295" s="792"/>
      <c r="AX295" s="792"/>
      <c r="AY295" s="442"/>
      <c r="AZ295" s="907">
        <v>0</v>
      </c>
      <c r="BA295" s="792"/>
      <c r="BB295" s="792"/>
      <c r="BC295" s="792"/>
      <c r="BD295" s="907">
        <v>0</v>
      </c>
      <c r="BE295" s="792"/>
      <c r="BF295" s="792"/>
      <c r="BG295" s="838"/>
      <c r="BH295" s="907">
        <v>0</v>
      </c>
      <c r="BI295" s="792"/>
      <c r="BJ295" s="792"/>
      <c r="BK295" s="838"/>
      <c r="BL295" s="907">
        <v>0</v>
      </c>
      <c r="BM295" s="792"/>
      <c r="BN295" s="792"/>
      <c r="BO295" s="838"/>
      <c r="BP295" s="701"/>
      <c r="BQ295" s="368"/>
      <c r="BR295" s="368"/>
      <c r="BS295" s="368"/>
      <c r="BT295" s="691"/>
      <c r="BU295" s="691"/>
      <c r="BV295" s="691"/>
      <c r="BW295" s="691"/>
      <c r="BX295" s="691"/>
      <c r="BY295" s="691"/>
      <c r="BZ295" s="691">
        <f>+SUM(AN295:AQ295)</f>
        <v>57</v>
      </c>
      <c r="CA295" s="691">
        <f>+SUM(AR295:AU295)</f>
        <v>0</v>
      </c>
      <c r="CB295" s="691">
        <f>SUM(AV295:AY295)</f>
        <v>0</v>
      </c>
      <c r="CC295" s="691">
        <f>SUM(AZ295:BC295)</f>
        <v>0</v>
      </c>
      <c r="CD295" s="691">
        <f>SUM(BD295:BG295)</f>
        <v>0</v>
      </c>
      <c r="CE295" s="691">
        <f t="shared" ref="CE295:CE296" si="779">SUM(BH295:BK295)</f>
        <v>0</v>
      </c>
      <c r="CF295" s="692">
        <f>SUM(BL295:BO295)</f>
        <v>0</v>
      </c>
      <c r="CG295" s="1167"/>
      <c r="CH295" s="363"/>
    </row>
    <row r="296" spans="1:86" ht="14.25" customHeight="1">
      <c r="A296" s="672"/>
      <c r="B296" s="910" t="s">
        <v>64</v>
      </c>
      <c r="C296" s="911"/>
      <c r="D296" s="837"/>
      <c r="E296" s="837"/>
      <c r="F296" s="837"/>
      <c r="G296" s="790"/>
      <c r="H296" s="837"/>
      <c r="I296" s="837"/>
      <c r="J296" s="837"/>
      <c r="K296" s="790"/>
      <c r="L296" s="837"/>
      <c r="M296" s="837"/>
      <c r="N296" s="837"/>
      <c r="O296" s="788"/>
      <c r="P296" s="444"/>
      <c r="Q296" s="445"/>
      <c r="R296" s="445"/>
      <c r="S296" s="446"/>
      <c r="T296" s="443"/>
      <c r="U296" s="443"/>
      <c r="V296" s="443"/>
      <c r="W296" s="446"/>
      <c r="X296" s="837">
        <v>683</v>
      </c>
      <c r="Y296" s="837">
        <v>700</v>
      </c>
      <c r="Z296" s="837">
        <v>744</v>
      </c>
      <c r="AA296" s="788">
        <v>742</v>
      </c>
      <c r="AB296" s="789">
        <v>631</v>
      </c>
      <c r="AC296" s="788">
        <v>524</v>
      </c>
      <c r="AD296" s="792">
        <v>547</v>
      </c>
      <c r="AE296" s="838">
        <v>690</v>
      </c>
      <c r="AF296" s="788">
        <v>339</v>
      </c>
      <c r="AG296" s="788">
        <v>305</v>
      </c>
      <c r="AH296" s="788">
        <v>286</v>
      </c>
      <c r="AI296" s="788">
        <v>270</v>
      </c>
      <c r="AJ296" s="789">
        <v>210</v>
      </c>
      <c r="AK296" s="788">
        <v>148</v>
      </c>
      <c r="AL296" s="912">
        <v>57</v>
      </c>
      <c r="AM296" s="790">
        <f t="shared" ref="AM296:AR296" si="780">AM294+AM295</f>
        <v>50</v>
      </c>
      <c r="AN296" s="788">
        <f t="shared" si="780"/>
        <v>25</v>
      </c>
      <c r="AO296" s="788">
        <f t="shared" si="780"/>
        <v>16</v>
      </c>
      <c r="AP296" s="788">
        <f t="shared" si="780"/>
        <v>16</v>
      </c>
      <c r="AQ296" s="790">
        <f t="shared" si="780"/>
        <v>0</v>
      </c>
      <c r="AR296" s="788">
        <f t="shared" si="780"/>
        <v>0</v>
      </c>
      <c r="AS296" s="924">
        <v>0</v>
      </c>
      <c r="AT296" s="788">
        <f>AT294+AT295</f>
        <v>0</v>
      </c>
      <c r="AU296" s="790">
        <f>AU294+AU295</f>
        <v>0</v>
      </c>
      <c r="AV296" s="788">
        <f>AV294+AV295</f>
        <v>0</v>
      </c>
      <c r="AW296" s="924">
        <v>0</v>
      </c>
      <c r="AX296" s="788">
        <f>AX294+AX295</f>
        <v>0</v>
      </c>
      <c r="AY296" s="790">
        <f>AY294+AY295</f>
        <v>0</v>
      </c>
      <c r="AZ296" s="788">
        <f>AZ294+AZ295</f>
        <v>0</v>
      </c>
      <c r="BA296" s="924">
        <v>0</v>
      </c>
      <c r="BB296" s="924">
        <v>0</v>
      </c>
      <c r="BC296" s="792">
        <v>0</v>
      </c>
      <c r="BD296" s="789">
        <f>BD294+BD295</f>
        <v>0</v>
      </c>
      <c r="BE296" s="792">
        <v>0</v>
      </c>
      <c r="BF296" s="792">
        <v>0</v>
      </c>
      <c r="BG296" s="838">
        <v>0</v>
      </c>
      <c r="BH296" s="789">
        <f>BH294+BH295</f>
        <v>0</v>
      </c>
      <c r="BI296" s="792">
        <v>0</v>
      </c>
      <c r="BJ296" s="792">
        <v>0</v>
      </c>
      <c r="BK296" s="838">
        <v>0</v>
      </c>
      <c r="BL296" s="789">
        <f>BL294+BL295</f>
        <v>0</v>
      </c>
      <c r="BM296" s="792">
        <v>0</v>
      </c>
      <c r="BN296" s="792">
        <v>0</v>
      </c>
      <c r="BO296" s="838">
        <v>0</v>
      </c>
      <c r="BP296" s="657"/>
      <c r="BQ296" s="8"/>
      <c r="BR296" s="8"/>
      <c r="BS296" s="8"/>
      <c r="BT296" s="691"/>
      <c r="BU296" s="691"/>
      <c r="BV296" s="691"/>
      <c r="BW296" s="691"/>
      <c r="BX296" s="691"/>
      <c r="BY296" s="691"/>
      <c r="BZ296" s="691">
        <f>+SUM(AN296:AQ296)</f>
        <v>57</v>
      </c>
      <c r="CA296" s="691">
        <f>+SUM(AR296:AU296)</f>
        <v>0</v>
      </c>
      <c r="CB296" s="691">
        <f>SUM(AV296:AY296)</f>
        <v>0</v>
      </c>
      <c r="CC296" s="691">
        <f>SUM(AZ296:BC296)</f>
        <v>0</v>
      </c>
      <c r="CD296" s="691">
        <f>SUM(BD296:BG296)</f>
        <v>0</v>
      </c>
      <c r="CE296" s="691">
        <f t="shared" si="779"/>
        <v>0</v>
      </c>
      <c r="CF296" s="692">
        <f>SUM(BL296:BO296)</f>
        <v>0</v>
      </c>
      <c r="CG296" s="658"/>
      <c r="CH296" s="363"/>
    </row>
    <row r="297" spans="1:86" ht="14.25" customHeight="1">
      <c r="A297" s="925"/>
      <c r="B297" s="926" t="s">
        <v>268</v>
      </c>
      <c r="C297" s="927"/>
      <c r="D297" s="928"/>
      <c r="E297" s="928"/>
      <c r="F297" s="928"/>
      <c r="G297" s="929"/>
      <c r="H297" s="928"/>
      <c r="I297" s="928"/>
      <c r="J297" s="928"/>
      <c r="K297" s="929"/>
      <c r="L297" s="928"/>
      <c r="M297" s="928"/>
      <c r="N297" s="928"/>
      <c r="O297" s="930"/>
      <c r="P297" s="931"/>
      <c r="Q297" s="930"/>
      <c r="R297" s="930"/>
      <c r="S297" s="929"/>
      <c r="T297" s="928"/>
      <c r="U297" s="928"/>
      <c r="V297" s="928"/>
      <c r="W297" s="929"/>
      <c r="X297" s="928"/>
      <c r="Y297" s="928">
        <f>+Y296/X296-1</f>
        <v>2.4890190336749551E-2</v>
      </c>
      <c r="Z297" s="928">
        <f t="shared" ref="Z297:AM297" si="781">+Z296/Y296-1</f>
        <v>6.2857142857142945E-2</v>
      </c>
      <c r="AA297" s="930">
        <f t="shared" si="781"/>
        <v>-2.6881720430107503E-3</v>
      </c>
      <c r="AB297" s="931">
        <f t="shared" si="781"/>
        <v>-0.14959568733153639</v>
      </c>
      <c r="AC297" s="930">
        <f t="shared" si="781"/>
        <v>-0.16957210776545162</v>
      </c>
      <c r="AD297" s="932">
        <f t="shared" si="781"/>
        <v>4.3893129770992356E-2</v>
      </c>
      <c r="AE297" s="933">
        <f t="shared" si="781"/>
        <v>0.26142595978062166</v>
      </c>
      <c r="AF297" s="930">
        <f t="shared" si="781"/>
        <v>-0.50869565217391299</v>
      </c>
      <c r="AG297" s="930">
        <f t="shared" si="781"/>
        <v>-0.10029498525073743</v>
      </c>
      <c r="AH297" s="930">
        <f t="shared" si="781"/>
        <v>-6.2295081967213117E-2</v>
      </c>
      <c r="AI297" s="930">
        <f t="shared" si="781"/>
        <v>-5.5944055944055937E-2</v>
      </c>
      <c r="AJ297" s="726">
        <f t="shared" si="781"/>
        <v>-0.22222222222222221</v>
      </c>
      <c r="AK297" s="932">
        <f t="shared" si="781"/>
        <v>-0.29523809523809519</v>
      </c>
      <c r="AL297" s="932">
        <f t="shared" si="781"/>
        <v>-0.61486486486486491</v>
      </c>
      <c r="AM297" s="933">
        <f t="shared" si="781"/>
        <v>-0.1228070175438597</v>
      </c>
      <c r="AN297" s="934"/>
      <c r="AO297" s="934"/>
      <c r="AP297" s="934"/>
      <c r="AQ297" s="933"/>
      <c r="AR297" s="934"/>
      <c r="AS297" s="934"/>
      <c r="AT297" s="934"/>
      <c r="AU297" s="933"/>
      <c r="AV297" s="934"/>
      <c r="AW297" s="934"/>
      <c r="AX297" s="934"/>
      <c r="AY297" s="933"/>
      <c r="AZ297" s="934"/>
      <c r="BA297" s="934"/>
      <c r="BB297" s="934"/>
      <c r="BC297" s="932"/>
      <c r="BD297" s="726"/>
      <c r="BE297" s="932"/>
      <c r="BF297" s="932"/>
      <c r="BG297" s="933"/>
      <c r="BH297" s="726"/>
      <c r="BI297" s="932"/>
      <c r="BJ297" s="932"/>
      <c r="BK297" s="933"/>
      <c r="BL297" s="726"/>
      <c r="BM297" s="932"/>
      <c r="BN297" s="932"/>
      <c r="BO297" s="933"/>
      <c r="BP297" s="935"/>
      <c r="BQ297" s="934"/>
      <c r="BR297" s="934"/>
      <c r="BS297" s="934"/>
      <c r="BT297" s="930"/>
      <c r="BU297" s="930"/>
      <c r="BV297" s="930"/>
      <c r="BW297" s="930"/>
      <c r="BX297" s="930"/>
      <c r="BY297" s="930"/>
      <c r="BZ297" s="930"/>
      <c r="CA297" s="930"/>
      <c r="CB297" s="930"/>
      <c r="CC297" s="930"/>
      <c r="CD297" s="930"/>
      <c r="CE297" s="930"/>
      <c r="CF297" s="929"/>
      <c r="CG297" s="1175"/>
      <c r="CH297" s="363"/>
    </row>
    <row r="298" spans="1:86" ht="14.25" customHeight="1">
      <c r="A298" s="672"/>
      <c r="B298" s="892"/>
      <c r="C298" s="274"/>
      <c r="D298" s="754"/>
      <c r="E298" s="754"/>
      <c r="F298" s="754"/>
      <c r="G298" s="79"/>
      <c r="H298" s="754"/>
      <c r="I298" s="754"/>
      <c r="J298" s="754"/>
      <c r="K298" s="79"/>
      <c r="L298" s="754"/>
      <c r="M298" s="754"/>
      <c r="N298" s="754"/>
      <c r="O298" s="78"/>
      <c r="P298" s="522"/>
      <c r="Q298" s="76"/>
      <c r="R298" s="76"/>
      <c r="S298" s="77"/>
      <c r="T298" s="247"/>
      <c r="U298" s="247"/>
      <c r="V298" s="247"/>
      <c r="W298" s="77"/>
      <c r="X298" s="247"/>
      <c r="Y298" s="247"/>
      <c r="Z298" s="247"/>
      <c r="AA298" s="76"/>
      <c r="AB298" s="522"/>
      <c r="AC298" s="76"/>
      <c r="AD298" s="278"/>
      <c r="AE298" s="279"/>
      <c r="AF298" s="445"/>
      <c r="AG298" s="445"/>
      <c r="AH298" s="445"/>
      <c r="AI298" s="445"/>
      <c r="AJ298" s="297"/>
      <c r="AK298" s="14"/>
      <c r="AL298" s="14"/>
      <c r="AM298" s="279"/>
      <c r="AN298" s="8"/>
      <c r="AO298" s="8"/>
      <c r="AP298" s="8"/>
      <c r="AQ298" s="279"/>
      <c r="AR298" s="8"/>
      <c r="AS298" s="8"/>
      <c r="AT298" s="8"/>
      <c r="AU298" s="279"/>
      <c r="AV298" s="8"/>
      <c r="AW298" s="8"/>
      <c r="AX298" s="8"/>
      <c r="AY298" s="279"/>
      <c r="AZ298" s="8"/>
      <c r="BA298" s="8"/>
      <c r="BB298" s="8"/>
      <c r="BC298" s="278"/>
      <c r="BD298" s="297"/>
      <c r="BE298" s="14"/>
      <c r="BF298" s="14"/>
      <c r="BG298" s="279"/>
      <c r="BH298" s="297"/>
      <c r="BI298" s="14"/>
      <c r="BJ298" s="14"/>
      <c r="BK298" s="279"/>
      <c r="BL298" s="297"/>
      <c r="BM298" s="14"/>
      <c r="BN298" s="14"/>
      <c r="BO298" s="279"/>
      <c r="BP298" s="657"/>
      <c r="BQ298" s="8"/>
      <c r="BR298" s="8"/>
      <c r="BS298" s="8"/>
      <c r="BT298" s="54"/>
      <c r="BU298" s="54"/>
      <c r="BV298" s="54"/>
      <c r="BW298" s="54"/>
      <c r="BX298" s="54"/>
      <c r="BY298" s="54"/>
      <c r="BZ298" s="54"/>
      <c r="CA298" s="54"/>
      <c r="CB298" s="54"/>
      <c r="CC298" s="54"/>
      <c r="CD298" s="54"/>
      <c r="CE298" s="54"/>
      <c r="CF298" s="21"/>
      <c r="CG298" s="658"/>
      <c r="CH298" s="363"/>
    </row>
    <row r="299" spans="1:86" ht="14.25" customHeight="1">
      <c r="A299" s="672"/>
      <c r="B299" s="755" t="s">
        <v>347</v>
      </c>
      <c r="C299" s="274"/>
      <c r="D299" s="754"/>
      <c r="E299" s="754"/>
      <c r="F299" s="754"/>
      <c r="G299" s="79"/>
      <c r="H299" s="754"/>
      <c r="I299" s="754"/>
      <c r="J299" s="754"/>
      <c r="K299" s="79"/>
      <c r="L299" s="687">
        <f t="shared" ref="L299:W299" si="782">L$438</f>
        <v>159.55000000000001</v>
      </c>
      <c r="M299" s="687">
        <f t="shared" si="782"/>
        <v>171.2</v>
      </c>
      <c r="N299" s="687">
        <f t="shared" si="782"/>
        <v>183.15</v>
      </c>
      <c r="O299" s="687">
        <f t="shared" si="782"/>
        <v>177.8</v>
      </c>
      <c r="P299" s="688">
        <f t="shared" si="782"/>
        <v>163.6</v>
      </c>
      <c r="Q299" s="687">
        <f t="shared" si="782"/>
        <v>167.55</v>
      </c>
      <c r="R299" s="687">
        <f t="shared" si="782"/>
        <v>169.35</v>
      </c>
      <c r="S299" s="689">
        <f t="shared" si="782"/>
        <v>124.55</v>
      </c>
      <c r="T299" s="687">
        <f t="shared" si="782"/>
        <v>104.3</v>
      </c>
      <c r="U299" s="687">
        <f t="shared" si="782"/>
        <v>122.85</v>
      </c>
      <c r="V299" s="687">
        <f t="shared" si="782"/>
        <v>144</v>
      </c>
      <c r="W299" s="689">
        <f t="shared" si="782"/>
        <v>150.19999999999999</v>
      </c>
      <c r="X299" s="687">
        <v>240</v>
      </c>
      <c r="Y299" s="687">
        <f t="shared" ref="Y299:AE299" si="783">Y$438</f>
        <v>245</v>
      </c>
      <c r="Z299" s="687">
        <f t="shared" si="783"/>
        <v>245</v>
      </c>
      <c r="AA299" s="687">
        <f t="shared" si="783"/>
        <v>245</v>
      </c>
      <c r="AB299" s="688">
        <f t="shared" si="783"/>
        <v>169.6</v>
      </c>
      <c r="AC299" s="687">
        <f t="shared" si="783"/>
        <v>172.9</v>
      </c>
      <c r="AD299" s="687">
        <f t="shared" si="783"/>
        <v>173.3</v>
      </c>
      <c r="AE299" s="689">
        <f t="shared" si="783"/>
        <v>171</v>
      </c>
      <c r="AF299" s="632">
        <v>200</v>
      </c>
      <c r="AG299" s="632">
        <v>225</v>
      </c>
      <c r="AH299" s="687">
        <f t="shared" ref="AH299:AQ299" si="784">AG299*(1+AH300)</f>
        <v>202.5</v>
      </c>
      <c r="AI299" s="689">
        <f t="shared" si="784"/>
        <v>192.375</v>
      </c>
      <c r="AJ299" s="688">
        <f t="shared" si="784"/>
        <v>191.88966780514627</v>
      </c>
      <c r="AK299" s="687">
        <f>AJ299*(1+AK300)</f>
        <v>201.4841511954036</v>
      </c>
      <c r="AL299" s="687">
        <f>AK299*(1+AL300)</f>
        <v>201.4841511954036</v>
      </c>
      <c r="AM299" s="689">
        <f t="shared" si="784"/>
        <v>189.65919147445084</v>
      </c>
      <c r="AN299" s="687">
        <f t="shared" si="784"/>
        <v>189.18071084197533</v>
      </c>
      <c r="AO299" s="687">
        <f t="shared" si="784"/>
        <v>208.09878192617288</v>
      </c>
      <c r="AP299" s="687">
        <f t="shared" si="784"/>
        <v>239.31359921509878</v>
      </c>
      <c r="AQ299" s="689">
        <f t="shared" si="784"/>
        <v>210.59596730928692</v>
      </c>
      <c r="AR299" s="687">
        <f t="shared" ref="AR299:AY299" si="785">AQ299*(1+AR300)</f>
        <v>195.85424959763682</v>
      </c>
      <c r="AS299" s="687">
        <f t="shared" si="785"/>
        <v>215.43967455740054</v>
      </c>
      <c r="AT299" s="687">
        <f t="shared" si="785"/>
        <v>170.41278257490384</v>
      </c>
      <c r="AU299" s="689">
        <f t="shared" si="785"/>
        <v>161.89214344615866</v>
      </c>
      <c r="AV299" s="687">
        <f t="shared" si="785"/>
        <v>165.12998631508182</v>
      </c>
      <c r="AW299" s="687">
        <f t="shared" si="785"/>
        <v>165.12998631508182</v>
      </c>
      <c r="AX299" s="687">
        <f t="shared" si="785"/>
        <v>198.15598357809819</v>
      </c>
      <c r="AY299" s="689">
        <f t="shared" si="785"/>
        <v>158.52478686247855</v>
      </c>
      <c r="AZ299" s="687">
        <f t="shared" ref="AZ299:BG299" si="786">AY299*(1+AZ300)</f>
        <v>149.80592358504222</v>
      </c>
      <c r="BA299" s="687">
        <f t="shared" si="786"/>
        <v>149.80592358504222</v>
      </c>
      <c r="BB299" s="687">
        <f t="shared" si="786"/>
        <v>170.02972326902292</v>
      </c>
      <c r="BC299" s="687">
        <f t="shared" si="786"/>
        <v>157.2774940238462</v>
      </c>
      <c r="BD299" s="1179">
        <f t="shared" si="786"/>
        <v>149.41361932265389</v>
      </c>
      <c r="BE299" s="687">
        <f t="shared" si="786"/>
        <v>149.41361932265389</v>
      </c>
      <c r="BF299" s="687">
        <f t="shared" si="786"/>
        <v>159.87257267523967</v>
      </c>
      <c r="BG299" s="689">
        <f t="shared" si="786"/>
        <v>151.87894404147767</v>
      </c>
      <c r="BH299" s="688">
        <f t="shared" ref="BH299" si="787">BG299*(1+BH300)</f>
        <v>159.47289124355154</v>
      </c>
      <c r="BI299" s="687">
        <f t="shared" ref="BI299" si="788">BH299*(1+BI300)</f>
        <v>159.47289124355154</v>
      </c>
      <c r="BJ299" s="687">
        <f t="shared" ref="BJ299" si="789">BI299*(1+BJ300)</f>
        <v>172.23072254303568</v>
      </c>
      <c r="BK299" s="689">
        <f t="shared" ref="BK299" si="790">BJ299*(1+BK300)</f>
        <v>163.61918641588389</v>
      </c>
      <c r="BL299" s="688">
        <f t="shared" ref="BL299" si="791">BK299*(1+BL300)</f>
        <v>171.8001457366781</v>
      </c>
      <c r="BM299" s="687">
        <f t="shared" ref="BM299" si="792">BL299*(1+BM300)</f>
        <v>171.8001457366781</v>
      </c>
      <c r="BN299" s="687">
        <f t="shared" ref="BN299" si="793">BM299*(1+BN300)</f>
        <v>185.54415739561236</v>
      </c>
      <c r="BO299" s="689">
        <f t="shared" ref="BO299" si="794">BN299*(1+BO300)</f>
        <v>176.26694952583173</v>
      </c>
      <c r="BP299" s="657"/>
      <c r="BQ299" s="8"/>
      <c r="BR299" s="8"/>
      <c r="BS299" s="273">
        <f>SUM(L299:O299)</f>
        <v>691.7</v>
      </c>
      <c r="BT299" s="691">
        <f>SUM(P299:S299)</f>
        <v>625.04999999999995</v>
      </c>
      <c r="BU299" s="691">
        <f>SUM(T299:W299)</f>
        <v>521.34999999999991</v>
      </c>
      <c r="BV299" s="691">
        <f>SUM(X299:AA299)</f>
        <v>975</v>
      </c>
      <c r="BW299" s="691">
        <f>SUM(AB299:AE299)</f>
        <v>686.8</v>
      </c>
      <c r="BX299" s="691">
        <f>SUM(AF299:AI299)</f>
        <v>819.875</v>
      </c>
      <c r="BY299" s="691">
        <f>SUM(AJ299:AM299)</f>
        <v>784.51716167040433</v>
      </c>
      <c r="BZ299" s="691">
        <f>+SUM(AN299:AQ299)</f>
        <v>847.1890592925339</v>
      </c>
      <c r="CA299" s="691">
        <f>+SUM(AR299:AU299)</f>
        <v>743.59885017609986</v>
      </c>
      <c r="CB299" s="691">
        <f>SUM(AV299:AY299)</f>
        <v>686.94074307074038</v>
      </c>
      <c r="CC299" s="691">
        <f>SUM(AZ299:BC299)</f>
        <v>626.91906446295354</v>
      </c>
      <c r="CD299" s="691">
        <f>SUM(BD299:BG299)</f>
        <v>610.57875536202505</v>
      </c>
      <c r="CE299" s="691">
        <f t="shared" ref="CE299" si="795">SUM(BH299:BK299)</f>
        <v>654.7956914460226</v>
      </c>
      <c r="CF299" s="692">
        <f>SUM(BL299:BO299)</f>
        <v>705.41139839480024</v>
      </c>
      <c r="CG299" s="658"/>
      <c r="CH299" s="363"/>
    </row>
    <row r="300" spans="1:86" ht="14.25" customHeight="1">
      <c r="A300" s="672"/>
      <c r="B300" s="759" t="s">
        <v>268</v>
      </c>
      <c r="C300" s="274"/>
      <c r="D300" s="754"/>
      <c r="E300" s="754"/>
      <c r="F300" s="754"/>
      <c r="G300" s="79"/>
      <c r="H300" s="754"/>
      <c r="I300" s="754"/>
      <c r="J300" s="754"/>
      <c r="K300" s="79"/>
      <c r="L300" s="754"/>
      <c r="M300" s="754"/>
      <c r="N300" s="754"/>
      <c r="O300" s="78"/>
      <c r="P300" s="760">
        <f>IF(ISERROR(P299/O299-1),"NA",P299/O299-1)</f>
        <v>-7.9865016872890937E-2</v>
      </c>
      <c r="Q300" s="46">
        <f>IF(ISERROR(Q299/P299-1),"NA",Q299/P299-1)</f>
        <v>2.4144254278728683E-2</v>
      </c>
      <c r="R300" s="46">
        <f>IF(ISERROR(R299/Q299-1),"NA",R299/Q299-1)</f>
        <v>1.07430617726052E-2</v>
      </c>
      <c r="S300" s="749">
        <f>IF(ISERROR(S299/R299-1),"NA",S299/R299-1)</f>
        <v>-0.26454089164452321</v>
      </c>
      <c r="T300" s="247">
        <f t="shared" ref="T300:AG300" si="796">T299/S299-1</f>
        <v>-0.16258530710558006</v>
      </c>
      <c r="U300" s="247">
        <f t="shared" si="796"/>
        <v>0.17785234899328861</v>
      </c>
      <c r="V300" s="247">
        <f t="shared" si="796"/>
        <v>0.17216117216117222</v>
      </c>
      <c r="W300" s="77">
        <f t="shared" si="796"/>
        <v>4.3055555555555403E-2</v>
      </c>
      <c r="X300" s="247">
        <f t="shared" si="796"/>
        <v>0.59786950732356869</v>
      </c>
      <c r="Y300" s="247">
        <f t="shared" si="796"/>
        <v>2.0833333333333259E-2</v>
      </c>
      <c r="Z300" s="247">
        <f t="shared" si="796"/>
        <v>0</v>
      </c>
      <c r="AA300" s="76">
        <f t="shared" si="796"/>
        <v>0</v>
      </c>
      <c r="AB300" s="522">
        <f t="shared" si="796"/>
        <v>-0.30775510204081635</v>
      </c>
      <c r="AC300" s="76">
        <f t="shared" si="796"/>
        <v>1.9457547169811296E-2</v>
      </c>
      <c r="AD300" s="231">
        <f t="shared" si="796"/>
        <v>2.3134759976866093E-3</v>
      </c>
      <c r="AE300" s="276">
        <f t="shared" si="796"/>
        <v>-1.3271783035199158E-2</v>
      </c>
      <c r="AF300" s="76">
        <f t="shared" si="796"/>
        <v>0.16959064327485374</v>
      </c>
      <c r="AG300" s="76">
        <f t="shared" si="796"/>
        <v>0.125</v>
      </c>
      <c r="AH300" s="129">
        <v>-0.1</v>
      </c>
      <c r="AI300" s="130">
        <v>-0.05</v>
      </c>
      <c r="AJ300" s="868">
        <v>-2.5228444176931706E-3</v>
      </c>
      <c r="AK300" s="129">
        <v>0.05</v>
      </c>
      <c r="AL300" s="129">
        <v>0</v>
      </c>
      <c r="AM300" s="130">
        <v>-5.8689279781041742E-2</v>
      </c>
      <c r="AN300" s="844">
        <v>-2.5228444176931706E-3</v>
      </c>
      <c r="AO300" s="844">
        <v>0.1</v>
      </c>
      <c r="AP300" s="844">
        <v>0.15</v>
      </c>
      <c r="AQ300" s="130">
        <v>-0.12</v>
      </c>
      <c r="AR300" s="844">
        <v>-7.0000000000000007E-2</v>
      </c>
      <c r="AS300" s="844">
        <v>0.1</v>
      </c>
      <c r="AT300" s="844">
        <v>-0.20899999999999999</v>
      </c>
      <c r="AU300" s="130">
        <v>-0.05</v>
      </c>
      <c r="AV300" s="844">
        <v>0.02</v>
      </c>
      <c r="AW300" s="844">
        <v>0</v>
      </c>
      <c r="AX300" s="844">
        <v>0.2</v>
      </c>
      <c r="AY300" s="130">
        <v>-0.2</v>
      </c>
      <c r="AZ300" s="844">
        <v>-5.5E-2</v>
      </c>
      <c r="BA300" s="844">
        <v>0</v>
      </c>
      <c r="BB300" s="844">
        <v>0.13500000000000001</v>
      </c>
      <c r="BC300" s="129">
        <v>-7.4999999999999997E-2</v>
      </c>
      <c r="BD300" s="868">
        <v>-0.05</v>
      </c>
      <c r="BE300" s="129">
        <v>0</v>
      </c>
      <c r="BF300" s="129">
        <v>7.0000000000000007E-2</v>
      </c>
      <c r="BG300" s="130">
        <v>-0.05</v>
      </c>
      <c r="BH300" s="868">
        <v>0.05</v>
      </c>
      <c r="BI300" s="129">
        <v>0</v>
      </c>
      <c r="BJ300" s="129">
        <v>0.08</v>
      </c>
      <c r="BK300" s="130">
        <v>-0.05</v>
      </c>
      <c r="BL300" s="868">
        <v>0.05</v>
      </c>
      <c r="BM300" s="129">
        <v>0</v>
      </c>
      <c r="BN300" s="129">
        <v>0.08</v>
      </c>
      <c r="BO300" s="130">
        <v>-0.05</v>
      </c>
      <c r="BP300" s="657"/>
      <c r="BQ300" s="8"/>
      <c r="BR300" s="8"/>
      <c r="BS300" s="8"/>
      <c r="BT300" s="54"/>
      <c r="BU300" s="54"/>
      <c r="BV300" s="54"/>
      <c r="BW300" s="54"/>
      <c r="BX300" s="54"/>
      <c r="BY300" s="54"/>
      <c r="BZ300" s="54"/>
      <c r="CA300" s="54"/>
      <c r="CB300" s="54"/>
      <c r="CC300" s="54"/>
      <c r="CD300" s="54"/>
      <c r="CE300" s="54"/>
      <c r="CF300" s="365"/>
      <c r="CG300" s="658"/>
      <c r="CH300" s="363"/>
    </row>
    <row r="301" spans="1:86" s="283" customFormat="1" ht="14.25" customHeight="1">
      <c r="A301" s="672"/>
      <c r="B301" s="651" t="s">
        <v>499</v>
      </c>
      <c r="C301" s="274"/>
      <c r="D301" s="247"/>
      <c r="E301" s="247"/>
      <c r="F301" s="247"/>
      <c r="G301" s="77"/>
      <c r="H301" s="247"/>
      <c r="I301" s="247"/>
      <c r="J301" s="247"/>
      <c r="K301" s="77"/>
      <c r="L301" s="247"/>
      <c r="M301" s="247"/>
      <c r="N301" s="247"/>
      <c r="O301" s="76"/>
      <c r="P301" s="522"/>
      <c r="Q301" s="76"/>
      <c r="R301" s="76"/>
      <c r="S301" s="77"/>
      <c r="T301" s="76"/>
      <c r="U301" s="76"/>
      <c r="V301" s="76"/>
      <c r="W301" s="77"/>
      <c r="X301" s="247"/>
      <c r="Y301" s="247"/>
      <c r="Z301" s="247"/>
      <c r="AA301" s="76"/>
      <c r="AB301" s="522"/>
      <c r="AC301" s="76"/>
      <c r="AD301" s="231"/>
      <c r="AE301" s="77"/>
      <c r="AF301" s="76">
        <f t="shared" ref="AF301" si="797">AVERAGE(AB300,X300,T300,P300,L300)</f>
        <v>1.1916020326070337E-2</v>
      </c>
      <c r="AG301" s="231">
        <f t="shared" ref="AG301" si="798">AVERAGE(AC300,Y300,U300,Q300,M300)</f>
        <v>6.0571870943790462E-2</v>
      </c>
      <c r="AH301" s="231">
        <f t="shared" ref="AH301" si="799">AVERAGE(AD300,Z300,V300,R300,N300)</f>
        <v>4.6304427482866006E-2</v>
      </c>
      <c r="AI301" s="276">
        <f t="shared" ref="AI301" si="800">AVERAGE(AE300,AA300,W300,S300,O300)</f>
        <v>-5.8689279781041742E-2</v>
      </c>
      <c r="AJ301" s="734">
        <f t="shared" ref="AJ301" si="801">AVERAGE(AF300,AB300,X300,T300,P300)</f>
        <v>4.3450944915827017E-2</v>
      </c>
      <c r="AK301" s="231">
        <f t="shared" ref="AK301" si="802">AVERAGE(AG300,AC300,Y300,U300,Q300)</f>
        <v>7.3457496755032367E-2</v>
      </c>
      <c r="AL301" s="231">
        <f t="shared" ref="AL301" si="803">AVERAGE(AH300,AD300,Z300,V300,R300)</f>
        <v>1.7043541986292803E-2</v>
      </c>
      <c r="AM301" s="749">
        <f t="shared" ref="AM301" si="804">AVERAGE(AI300,AE300,AA300,W300,S300)</f>
        <v>-5.695142382483339E-2</v>
      </c>
      <c r="AN301" s="247">
        <f>AVERAGE(AJ300,AF300,AB300,X300,T300)</f>
        <v>5.8919379406866569E-2</v>
      </c>
      <c r="AO301" s="247">
        <f t="shared" ref="AO301" si="805">AVERAGE(AK300,AG300,AC300,Y300,U300)</f>
        <v>7.8628645899286628E-2</v>
      </c>
      <c r="AP301" s="247">
        <f t="shared" ref="AP301" si="806">AVERAGE(AL300,AH300,AD300,Z300,V300)</f>
        <v>1.4894929631771765E-2</v>
      </c>
      <c r="AQ301" s="749">
        <f t="shared" ref="AQ301" si="807">AVERAGE(AM300,AI300,AE300,AA300,W300)</f>
        <v>-1.5781101452137101E-2</v>
      </c>
      <c r="AR301" s="247">
        <f t="shared" ref="AR301" si="808">AVERAGE(AN300,AJ300,AF300,AB300,X300)</f>
        <v>9.0931871944443937E-2</v>
      </c>
      <c r="AS301" s="247">
        <f t="shared" ref="AS301" si="809">AVERAGE(AO300,AK300,AG300,AC300,Y300)</f>
        <v>6.3058176100628915E-2</v>
      </c>
      <c r="AT301" s="247">
        <f t="shared" ref="AT301" si="810">AVERAGE(AP300,AL300,AH300,AD300,Z300)</f>
        <v>1.046269519953732E-2</v>
      </c>
      <c r="AU301" s="749">
        <f t="shared" ref="AU301" si="811">AVERAGE(AQ300,AM300,AI300,AE300,AA300)</f>
        <v>-4.8392212563248181E-2</v>
      </c>
      <c r="AV301" s="247">
        <f t="shared" ref="AV301" si="812">AVERAGE(AR300,AN300,AJ300,AF300,AB300)</f>
        <v>-4.264202952026979E-2</v>
      </c>
      <c r="AW301" s="247">
        <f t="shared" ref="AW301" si="813">AVERAGE(AS300,AO300,AK300,AG300,AC300)</f>
        <v>7.8891509433962254E-2</v>
      </c>
      <c r="AX301" s="247">
        <f t="shared" ref="AX301" si="814">AVERAGE(AT300,AP300,AL300,AH300,AD300)</f>
        <v>-3.1337304800462679E-2</v>
      </c>
      <c r="AY301" s="749">
        <f t="shared" ref="AY301" si="815">AVERAGE(AU300,AQ300,AM300,AI300,AE300)</f>
        <v>-5.8392212563248183E-2</v>
      </c>
      <c r="AZ301" s="247">
        <f t="shared" ref="AZ301" si="816">AVERAGE(AV300,AR300,AN300,AJ300,AF300)</f>
        <v>2.2908990887893478E-2</v>
      </c>
      <c r="BA301" s="247">
        <f t="shared" ref="BA301" si="817">AVERAGE(AW300,AS300,AO300,AK300,AG300)</f>
        <v>7.4999999999999997E-2</v>
      </c>
      <c r="BB301" s="247">
        <f t="shared" ref="BB301" si="818">AVERAGE(AX300,AT300,AP300,AL300,AH300)</f>
        <v>8.2000000000000024E-3</v>
      </c>
      <c r="BC301" s="76">
        <f t="shared" ref="BC301" si="819">AVERAGE(AY300,AU300,AQ300,AM300,AI300)</f>
        <v>-9.5737855956208345E-2</v>
      </c>
      <c r="BD301" s="522">
        <f t="shared" ref="BD301" si="820">AVERAGE(AZ300,AV300,AR300,AN300,AJ300)</f>
        <v>-2.2009137767077268E-2</v>
      </c>
      <c r="BE301" s="76">
        <f t="shared" ref="BE301" si="821">AVERAGE(BA300,AW300,AS300,AO300,AK300)</f>
        <v>0.05</v>
      </c>
      <c r="BF301" s="76">
        <f t="shared" ref="BF301" si="822">AVERAGE(BB300,AX300,AT300,AP300,AL300)</f>
        <v>5.5200000000000006E-2</v>
      </c>
      <c r="BG301" s="77">
        <f t="shared" ref="BG301" si="823">AVERAGE(BC300,AY300,AU300,AQ300,AM300)</f>
        <v>-0.10073785595620835</v>
      </c>
      <c r="BH301" s="522">
        <f t="shared" ref="BH301" si="824">AVERAGE(BD300,AZ300,AV300,AR300,AN300)</f>
        <v>-3.1504568883538642E-2</v>
      </c>
      <c r="BI301" s="76">
        <f t="shared" ref="BI301" si="825">AVERAGE(BE300,BA300,AW300,AS300,AO300)</f>
        <v>0.04</v>
      </c>
      <c r="BJ301" s="76">
        <f t="shared" ref="BJ301" si="826">AVERAGE(BF300,BB300,AX300,AT300,AP300)</f>
        <v>6.9200000000000012E-2</v>
      </c>
      <c r="BK301" s="77">
        <f t="shared" ref="BK301" si="827">AVERAGE(BG300,BC300,AY300,AU300,AQ300)</f>
        <v>-9.9000000000000005E-2</v>
      </c>
      <c r="BL301" s="522">
        <f t="shared" ref="BL301" si="828">AVERAGE(BH300,BD300,AZ300,AV300,AR300)</f>
        <v>-2.1000000000000001E-2</v>
      </c>
      <c r="BM301" s="76">
        <f t="shared" ref="BM301" si="829">AVERAGE(BI300,BE300,BA300,AW300,AS300)</f>
        <v>0.02</v>
      </c>
      <c r="BN301" s="76">
        <f t="shared" ref="BN301" si="830">AVERAGE(BJ300,BF300,BB300,AX300,AT300)</f>
        <v>5.5200000000000006E-2</v>
      </c>
      <c r="BO301" s="77">
        <f t="shared" ref="BO301" si="831">AVERAGE(BK300,BG300,BC300,AY300,AU300)</f>
        <v>-8.4999999999999992E-2</v>
      </c>
      <c r="BP301" s="657"/>
      <c r="BQ301" s="275"/>
      <c r="BR301" s="275"/>
      <c r="BS301" s="275"/>
      <c r="BT301" s="231"/>
      <c r="BU301" s="231"/>
      <c r="BV301" s="231"/>
      <c r="BW301" s="231"/>
      <c r="BX301" s="231"/>
      <c r="BY301" s="231"/>
      <c r="BZ301" s="231"/>
      <c r="CA301" s="231"/>
      <c r="CB301" s="231"/>
      <c r="CC301" s="231"/>
      <c r="CD301" s="231"/>
      <c r="CE301" s="231"/>
      <c r="CF301" s="276"/>
      <c r="CG301" s="658"/>
      <c r="CH301" s="363"/>
    </row>
    <row r="302" spans="1:86" ht="14.25" customHeight="1">
      <c r="A302" s="672"/>
      <c r="B302" s="764" t="s">
        <v>269</v>
      </c>
      <c r="C302" s="274"/>
      <c r="D302" s="754"/>
      <c r="E302" s="754"/>
      <c r="F302" s="754"/>
      <c r="G302" s="79"/>
      <c r="H302" s="754"/>
      <c r="I302" s="754"/>
      <c r="J302" s="754"/>
      <c r="K302" s="79"/>
      <c r="L302" s="754"/>
      <c r="M302" s="754"/>
      <c r="N302" s="754"/>
      <c r="O302" s="78"/>
      <c r="P302" s="760">
        <f>IF(ISERROR(P299/L299-1),"NA",P299/L299-1)</f>
        <v>2.5383892196803481E-2</v>
      </c>
      <c r="Q302" s="46">
        <f>IF(ISERROR(Q299/M299-1),"NA",Q299/M299-1)</f>
        <v>-2.1320093457943834E-2</v>
      </c>
      <c r="R302" s="46">
        <f>IF(ISERROR(R299/N299-1),"NA",R299/N299-1)</f>
        <v>-7.5348075348075416E-2</v>
      </c>
      <c r="S302" s="749">
        <f>IF(ISERROR(S299/O299-1),"NA",S299/O299-1)</f>
        <v>-0.2994938132733409</v>
      </c>
      <c r="T302" s="247">
        <f t="shared" ref="T302:AQ302" si="832">T299/P299-1</f>
        <v>-0.3624694376528117</v>
      </c>
      <c r="U302" s="247">
        <f t="shared" si="832"/>
        <v>-0.26678603401969569</v>
      </c>
      <c r="V302" s="247">
        <f t="shared" si="832"/>
        <v>-0.14968999114260406</v>
      </c>
      <c r="W302" s="77">
        <f t="shared" si="832"/>
        <v>0.20594138900040138</v>
      </c>
      <c r="X302" s="247">
        <f t="shared" si="832"/>
        <v>1.3010546500479387</v>
      </c>
      <c r="Y302" s="247">
        <f t="shared" si="832"/>
        <v>0.9943019943019944</v>
      </c>
      <c r="Z302" s="247">
        <f t="shared" si="832"/>
        <v>0.70138888888888884</v>
      </c>
      <c r="AA302" s="76">
        <f t="shared" si="832"/>
        <v>0.63115845539280979</v>
      </c>
      <c r="AB302" s="522">
        <f t="shared" si="832"/>
        <v>-0.29333333333333333</v>
      </c>
      <c r="AC302" s="76">
        <f t="shared" si="832"/>
        <v>-0.29428571428571426</v>
      </c>
      <c r="AD302" s="231">
        <f t="shared" si="832"/>
        <v>-0.29265306122448975</v>
      </c>
      <c r="AE302" s="276">
        <f t="shared" si="832"/>
        <v>-0.30204081632653057</v>
      </c>
      <c r="AF302" s="76">
        <f t="shared" si="832"/>
        <v>0.179245283018868</v>
      </c>
      <c r="AG302" s="76">
        <f t="shared" si="832"/>
        <v>0.30133024869866976</v>
      </c>
      <c r="AH302" s="231">
        <f t="shared" si="832"/>
        <v>0.16849394114252725</v>
      </c>
      <c r="AI302" s="276">
        <f t="shared" si="832"/>
        <v>0.125</v>
      </c>
      <c r="AJ302" s="734">
        <f t="shared" si="832"/>
        <v>-4.0551660974268655E-2</v>
      </c>
      <c r="AK302" s="231">
        <f t="shared" si="832"/>
        <v>-0.10451488357598404</v>
      </c>
      <c r="AL302" s="231">
        <f t="shared" si="832"/>
        <v>-5.0165373066488606E-3</v>
      </c>
      <c r="AM302" s="276">
        <f t="shared" si="832"/>
        <v>-1.4117263290703952E-2</v>
      </c>
      <c r="AN302" s="275">
        <f t="shared" si="832"/>
        <v>-1.4117263290703841E-2</v>
      </c>
      <c r="AO302" s="275">
        <f t="shared" si="832"/>
        <v>3.2829533695453161E-2</v>
      </c>
      <c r="AP302" s="275">
        <f t="shared" si="832"/>
        <v>0.18775396374977094</v>
      </c>
      <c r="AQ302" s="276">
        <f t="shared" si="832"/>
        <v>0.11039156959422392</v>
      </c>
      <c r="AR302" s="275">
        <f t="shared" ref="AR302:AY302" si="833">AR299/AN299-1</f>
        <v>3.5275999999999863E-2</v>
      </c>
      <c r="AS302" s="275">
        <f t="shared" si="833"/>
        <v>3.5275999999999863E-2</v>
      </c>
      <c r="AT302" s="275">
        <f t="shared" si="833"/>
        <v>-0.28791015999999992</v>
      </c>
      <c r="AU302" s="276">
        <f t="shared" si="833"/>
        <v>-0.2312666499999998</v>
      </c>
      <c r="AV302" s="275">
        <f t="shared" si="833"/>
        <v>-0.15687309999999977</v>
      </c>
      <c r="AW302" s="275">
        <f t="shared" si="833"/>
        <v>-0.23352099999999987</v>
      </c>
      <c r="AX302" s="275">
        <f t="shared" si="833"/>
        <v>0.16280000000000006</v>
      </c>
      <c r="AY302" s="276">
        <f t="shared" si="833"/>
        <v>-2.0800000000000041E-2</v>
      </c>
      <c r="AZ302" s="275">
        <f t="shared" ref="AZ302:BG302" si="834">AZ299/AV299-1</f>
        <v>-9.2799999999999994E-2</v>
      </c>
      <c r="BA302" s="275">
        <f t="shared" si="834"/>
        <v>-9.2799999999999994E-2</v>
      </c>
      <c r="BB302" s="275">
        <f t="shared" si="834"/>
        <v>-0.14194000000000007</v>
      </c>
      <c r="BC302" s="231">
        <f t="shared" si="834"/>
        <v>-7.8681250000000036E-3</v>
      </c>
      <c r="BD302" s="734">
        <f t="shared" si="834"/>
        <v>-2.618750000000003E-3</v>
      </c>
      <c r="BE302" s="231">
        <f t="shared" si="834"/>
        <v>-2.618750000000003E-3</v>
      </c>
      <c r="BF302" s="231">
        <f t="shared" si="834"/>
        <v>-5.9737499999999999E-2</v>
      </c>
      <c r="BG302" s="276">
        <f t="shared" si="834"/>
        <v>-3.432500000000005E-2</v>
      </c>
      <c r="BH302" s="734">
        <f t="shared" ref="BH302" si="835">BH299/BD299-1</f>
        <v>6.7324999999999857E-2</v>
      </c>
      <c r="BI302" s="231">
        <f t="shared" ref="BI302" si="836">BI299/BE299-1</f>
        <v>6.7324999999999857E-2</v>
      </c>
      <c r="BJ302" s="231">
        <f t="shared" ref="BJ302" si="837">BJ299/BF299-1</f>
        <v>7.7299999999999924E-2</v>
      </c>
      <c r="BK302" s="276">
        <f t="shared" ref="BK302" si="838">BK299/BG299-1</f>
        <v>7.7299999999999924E-2</v>
      </c>
      <c r="BL302" s="734">
        <f t="shared" ref="BL302" si="839">BL299/BH299-1</f>
        <v>7.7300000000000146E-2</v>
      </c>
      <c r="BM302" s="231">
        <f t="shared" ref="BM302" si="840">BM299/BI299-1</f>
        <v>7.7300000000000146E-2</v>
      </c>
      <c r="BN302" s="231">
        <f t="shared" ref="BN302" si="841">BN299/BJ299-1</f>
        <v>7.7300000000000146E-2</v>
      </c>
      <c r="BO302" s="276">
        <f t="shared" ref="BO302" si="842">BO299/BK299-1</f>
        <v>7.7300000000000146E-2</v>
      </c>
      <c r="BP302" s="657"/>
      <c r="BQ302" s="8"/>
      <c r="BR302" s="8"/>
      <c r="BS302" s="751" t="str">
        <f t="shared" ref="BS302:BZ302" si="843">IF(ISERROR(BS299/BR299-1),"NA",BS299/BR299-1)</f>
        <v>NA</v>
      </c>
      <c r="BT302" s="752">
        <f t="shared" si="843"/>
        <v>-9.6356802081827508E-2</v>
      </c>
      <c r="BU302" s="752">
        <f t="shared" si="843"/>
        <v>-0.16590672746180313</v>
      </c>
      <c r="BV302" s="752">
        <f t="shared" si="843"/>
        <v>0.87014481634218876</v>
      </c>
      <c r="BW302" s="752">
        <f t="shared" si="843"/>
        <v>-0.29558974358974366</v>
      </c>
      <c r="BX302" s="752">
        <f t="shared" si="843"/>
        <v>0.19376092020966817</v>
      </c>
      <c r="BY302" s="752">
        <f t="shared" si="843"/>
        <v>-4.3125889104553283E-2</v>
      </c>
      <c r="BZ302" s="752">
        <f t="shared" si="843"/>
        <v>7.9885948560625142E-2</v>
      </c>
      <c r="CA302" s="752">
        <f t="shared" ref="CA302:CF302" si="844">IF(ISERROR(CA299/BZ299-1),"NA",CA299/BZ299-1)</f>
        <v>-0.12227519699432798</v>
      </c>
      <c r="CB302" s="752">
        <f t="shared" si="844"/>
        <v>-7.6194452280206826E-2</v>
      </c>
      <c r="CC302" s="752">
        <f t="shared" si="844"/>
        <v>-8.7375336538461634E-2</v>
      </c>
      <c r="CD302" s="752">
        <f t="shared" si="844"/>
        <v>-2.6064463544311467E-2</v>
      </c>
      <c r="CE302" s="752">
        <f t="shared" si="844"/>
        <v>7.241807169949821E-2</v>
      </c>
      <c r="CF302" s="753">
        <f t="shared" si="844"/>
        <v>7.7300000000000146E-2</v>
      </c>
      <c r="CG302" s="658"/>
      <c r="CH302" s="363"/>
    </row>
    <row r="303" spans="1:86" ht="14.25" customHeight="1">
      <c r="A303" s="672"/>
      <c r="B303" s="759" t="s">
        <v>270</v>
      </c>
      <c r="C303" s="274"/>
      <c r="D303" s="754"/>
      <c r="E303" s="754"/>
      <c r="F303" s="754"/>
      <c r="G303" s="79"/>
      <c r="H303" s="754"/>
      <c r="I303" s="754"/>
      <c r="J303" s="754"/>
      <c r="K303" s="79"/>
      <c r="L303" s="754"/>
      <c r="M303" s="754"/>
      <c r="N303" s="754"/>
      <c r="O303" s="78"/>
      <c r="P303" s="522">
        <f t="shared" ref="P303:BC303" si="845">P299/P14</f>
        <v>4.9999999999999996E-2</v>
      </c>
      <c r="Q303" s="46">
        <f t="shared" si="845"/>
        <v>0.05</v>
      </c>
      <c r="R303" s="46">
        <f t="shared" si="845"/>
        <v>4.9999999999999996E-2</v>
      </c>
      <c r="S303" s="749">
        <f t="shared" si="845"/>
        <v>4.9999999999999996E-2</v>
      </c>
      <c r="T303" s="247">
        <f t="shared" si="845"/>
        <v>4.9999999999999996E-2</v>
      </c>
      <c r="U303" s="247">
        <f t="shared" si="845"/>
        <v>4.9999999999999996E-2</v>
      </c>
      <c r="V303" s="247">
        <f t="shared" si="845"/>
        <v>0.05</v>
      </c>
      <c r="W303" s="77">
        <f t="shared" si="845"/>
        <v>4.9983361064891846E-2</v>
      </c>
      <c r="X303" s="247">
        <f t="shared" si="845"/>
        <v>7.4882995319812795E-2</v>
      </c>
      <c r="Y303" s="247">
        <f t="shared" si="845"/>
        <v>7.0080091533180774E-2</v>
      </c>
      <c r="Z303" s="247">
        <f t="shared" si="845"/>
        <v>6.550802139037433E-2</v>
      </c>
      <c r="AA303" s="76">
        <f t="shared" si="845"/>
        <v>6.9503546099290783E-2</v>
      </c>
      <c r="AB303" s="522">
        <f t="shared" si="845"/>
        <v>4.9999999999999996E-2</v>
      </c>
      <c r="AC303" s="76">
        <f t="shared" si="845"/>
        <v>0.05</v>
      </c>
      <c r="AD303" s="76">
        <f t="shared" si="845"/>
        <v>0.05</v>
      </c>
      <c r="AE303" s="77">
        <f t="shared" si="845"/>
        <v>0.05</v>
      </c>
      <c r="AF303" s="76">
        <f t="shared" si="845"/>
        <v>6.4082024991989742E-2</v>
      </c>
      <c r="AG303" s="76">
        <f t="shared" si="845"/>
        <v>6.7466266866566718E-2</v>
      </c>
      <c r="AH303" s="76">
        <f t="shared" si="845"/>
        <v>5.9734513274336286E-2</v>
      </c>
      <c r="AI303" s="77">
        <f t="shared" si="845"/>
        <v>6.4577039274924475E-2</v>
      </c>
      <c r="AJ303" s="522">
        <f t="shared" si="845"/>
        <v>6.6512883121367855E-2</v>
      </c>
      <c r="AK303" s="76">
        <f t="shared" si="845"/>
        <v>6.6125418836693012E-2</v>
      </c>
      <c r="AL303" s="76">
        <f t="shared" si="845"/>
        <v>6.210978766812688E-2</v>
      </c>
      <c r="AM303" s="77">
        <f t="shared" si="845"/>
        <v>6.2632525533948477E-2</v>
      </c>
      <c r="AN303" s="247">
        <f t="shared" si="845"/>
        <v>6.3430287488851753E-2</v>
      </c>
      <c r="AO303" s="247">
        <f t="shared" si="845"/>
        <v>6.3218852932069775E-2</v>
      </c>
      <c r="AP303" s="247">
        <f t="shared" si="845"/>
        <v>6.8348155404609798E-2</v>
      </c>
      <c r="AQ303" s="77">
        <f t="shared" si="845"/>
        <v>6.4422137445483918E-2</v>
      </c>
      <c r="AR303" s="247">
        <f t="shared" si="845"/>
        <v>6.2175952253218036E-2</v>
      </c>
      <c r="AS303" s="247">
        <f t="shared" si="845"/>
        <v>6.4639484480180323E-2</v>
      </c>
      <c r="AT303" s="247">
        <f t="shared" si="845"/>
        <v>4.9633753573877525E-2</v>
      </c>
      <c r="AU303" s="77">
        <f t="shared" si="845"/>
        <v>5.0764010820949439E-2</v>
      </c>
      <c r="AV303" s="247">
        <f t="shared" si="845"/>
        <v>5.4904407030421432E-2</v>
      </c>
      <c r="AW303" s="247">
        <f t="shared" si="845"/>
        <v>5.0458489710706593E-2</v>
      </c>
      <c r="AX303" s="247">
        <f t="shared" si="845"/>
        <v>5.3925781614597802E-2</v>
      </c>
      <c r="AY303" s="77">
        <f t="shared" ref="AY303" si="846">AY299/AY14</f>
        <v>4.6434627978595489E-2</v>
      </c>
      <c r="AZ303" s="247">
        <f t="shared" si="845"/>
        <v>4.4033021869742263E-2</v>
      </c>
      <c r="BA303" s="247">
        <f t="shared" si="845"/>
        <v>4.0563358043035035E-2</v>
      </c>
      <c r="BB303" s="247">
        <f t="shared" si="845"/>
        <v>4.1309456576536181E-2</v>
      </c>
      <c r="BC303" s="76">
        <f t="shared" si="845"/>
        <v>4.193832941695097E-2</v>
      </c>
      <c r="BD303" s="522">
        <f t="shared" ref="BD303:BG303" si="847">BD299/BD14</f>
        <v>3.9435265824902817E-2</v>
      </c>
      <c r="BE303" s="76">
        <f t="shared" si="847"/>
        <v>3.7880161009698515E-2</v>
      </c>
      <c r="BF303" s="76">
        <f t="shared" si="847"/>
        <v>3.8091994386449245E-2</v>
      </c>
      <c r="BG303" s="77">
        <f t="shared" si="847"/>
        <v>3.8405244662158347E-2</v>
      </c>
      <c r="BH303" s="522">
        <f t="shared" ref="BH303:BK303" si="848">BH299/BH14</f>
        <v>4.1414988303965845E-2</v>
      </c>
      <c r="BI303" s="76">
        <f t="shared" si="848"/>
        <v>3.8996771329565333E-2</v>
      </c>
      <c r="BJ303" s="76">
        <f t="shared" si="848"/>
        <v>3.9677789772034767E-2</v>
      </c>
      <c r="BK303" s="77">
        <f t="shared" si="848"/>
        <v>4.0134073358901762E-2</v>
      </c>
      <c r="BL303" s="522">
        <f t="shared" ref="BL303:BO303" si="849">BL299/BL14</f>
        <v>4.3230432512048382E-2</v>
      </c>
      <c r="BM303" s="76">
        <f t="shared" si="849"/>
        <v>4.0718270145199541E-2</v>
      </c>
      <c r="BN303" s="76">
        <f t="shared" si="849"/>
        <v>4.1453170516599087E-2</v>
      </c>
      <c r="BO303" s="77">
        <f t="shared" si="849"/>
        <v>4.1906238342934186E-2</v>
      </c>
      <c r="BP303" s="657"/>
      <c r="BQ303" s="8"/>
      <c r="BR303" s="8"/>
      <c r="BS303" s="751">
        <f>IF(ISERROR(BS299/BS14),"NA",BS299/BS14)</f>
        <v>0.05</v>
      </c>
      <c r="BT303" s="752">
        <f>IF(ISERROR(BT299/BT14),"NA",BT299/BT14)</f>
        <v>4.9999999999999996E-2</v>
      </c>
      <c r="BU303" s="752">
        <f>IF(ISERROR(BU299/BU14),"NA",BU299/BU14)</f>
        <v>4.9995205216724195E-2</v>
      </c>
      <c r="BV303" s="752">
        <f>IF(ISERROR(BV299/BV14),"NA",BV299/BV14)</f>
        <v>6.9812401546613209E-2</v>
      </c>
      <c r="BW303" s="752">
        <f>IF(ISERROR(BW299/BW14),"NA",BW299/BW14)</f>
        <v>4.9999999999999996E-2</v>
      </c>
      <c r="BX303" s="752" t="str">
        <f>IF(ISERROR(BX299/#REF!),"NA",BX299/#REF!)</f>
        <v>NA</v>
      </c>
      <c r="BY303" s="752" t="str">
        <f>IF(ISERROR(BY299/#REF!),"NA",BY299/#REF!)</f>
        <v>NA</v>
      </c>
      <c r="BZ303" s="752">
        <f t="shared" ref="BZ303:CC303" si="850">IF(ISERROR(BZ299/BZ14),"NA",BZ299/BZ14)</f>
        <v>6.4945530384091038E-2</v>
      </c>
      <c r="CA303" s="752">
        <f t="shared" si="850"/>
        <v>5.673962238169717E-2</v>
      </c>
      <c r="CB303" s="752">
        <f t="shared" si="850"/>
        <v>5.1384175002674573E-2</v>
      </c>
      <c r="CC303" s="752">
        <f t="shared" si="850"/>
        <v>4.1902237705496628E-2</v>
      </c>
      <c r="CD303" s="752">
        <f>IF(ISERROR(CD299/CD14),"NA",CD299/CD14)</f>
        <v>3.8437774675437741E-2</v>
      </c>
      <c r="CE303" s="752">
        <f>IF(ISERROR(CE299/CE14),"NA",CE299/CE14)</f>
        <v>4.0030196379663728E-2</v>
      </c>
      <c r="CF303" s="753">
        <f>IF(ISERROR(CF299/CF14),"NA",CF299/CF14)</f>
        <v>5.5509474703076399E-2</v>
      </c>
      <c r="CG303" s="658"/>
      <c r="CH303" s="363"/>
    </row>
    <row r="304" spans="1:86" ht="14.25" customHeight="1">
      <c r="A304" s="672"/>
      <c r="B304" s="892"/>
      <c r="C304" s="274"/>
      <c r="D304" s="754"/>
      <c r="E304" s="754"/>
      <c r="F304" s="754"/>
      <c r="G304" s="79"/>
      <c r="H304" s="754"/>
      <c r="I304" s="754"/>
      <c r="J304" s="754"/>
      <c r="K304" s="79"/>
      <c r="L304" s="754"/>
      <c r="M304" s="754"/>
      <c r="N304" s="754"/>
      <c r="O304" s="78"/>
      <c r="P304" s="522"/>
      <c r="Q304" s="76"/>
      <c r="R304" s="76"/>
      <c r="S304" s="77"/>
      <c r="T304" s="247"/>
      <c r="U304" s="247"/>
      <c r="V304" s="247"/>
      <c r="W304" s="77"/>
      <c r="X304" s="247"/>
      <c r="Y304" s="247"/>
      <c r="Z304" s="247"/>
      <c r="AA304" s="76"/>
      <c r="AB304" s="522"/>
      <c r="AC304" s="76"/>
      <c r="AD304" s="78"/>
      <c r="AE304" s="79"/>
      <c r="AF304" s="76"/>
      <c r="AG304" s="78"/>
      <c r="AH304" s="78"/>
      <c r="AI304" s="79"/>
      <c r="AJ304" s="770"/>
      <c r="AK304" s="78"/>
      <c r="AL304" s="78"/>
      <c r="AM304" s="79"/>
      <c r="AN304" s="754"/>
      <c r="AO304" s="754"/>
      <c r="AP304" s="754"/>
      <c r="AQ304" s="79"/>
      <c r="AR304" s="754"/>
      <c r="AS304" s="754"/>
      <c r="AT304" s="754"/>
      <c r="AU304" s="79"/>
      <c r="AV304" s="754"/>
      <c r="AW304" s="754"/>
      <c r="AX304" s="754"/>
      <c r="AY304" s="79"/>
      <c r="AZ304" s="754"/>
      <c r="BA304" s="754"/>
      <c r="BB304" s="754"/>
      <c r="BC304" s="78"/>
      <c r="BD304" s="770"/>
      <c r="BE304" s="78"/>
      <c r="BF304" s="78"/>
      <c r="BG304" s="79"/>
      <c r="BH304" s="770"/>
      <c r="BI304" s="78"/>
      <c r="BJ304" s="78"/>
      <c r="BK304" s="79"/>
      <c r="BL304" s="770"/>
      <c r="BM304" s="78"/>
      <c r="BN304" s="78"/>
      <c r="BO304" s="79"/>
      <c r="BP304" s="657"/>
      <c r="BQ304" s="8"/>
      <c r="BR304" s="8"/>
      <c r="BS304" s="8"/>
      <c r="BT304" s="54"/>
      <c r="BU304" s="54"/>
      <c r="BV304" s="54"/>
      <c r="BW304" s="54"/>
      <c r="BX304" s="54"/>
      <c r="BY304" s="54"/>
      <c r="BZ304" s="54"/>
      <c r="CA304" s="54"/>
      <c r="CB304" s="54"/>
      <c r="CC304" s="54"/>
      <c r="CD304" s="54"/>
      <c r="CE304" s="54"/>
      <c r="CF304" s="21"/>
      <c r="CG304" s="658"/>
      <c r="CH304" s="363"/>
    </row>
    <row r="305" spans="1:88" ht="14.25" customHeight="1">
      <c r="A305" s="672"/>
      <c r="B305" s="755" t="s">
        <v>348</v>
      </c>
      <c r="C305" s="274"/>
      <c r="D305" s="754"/>
      <c r="E305" s="754"/>
      <c r="F305" s="754"/>
      <c r="G305" s="79"/>
      <c r="H305" s="754"/>
      <c r="I305" s="754"/>
      <c r="J305" s="754"/>
      <c r="K305" s="79"/>
      <c r="L305" s="687">
        <f t="shared" ref="L305:AE305" si="851">L$439</f>
        <v>125</v>
      </c>
      <c r="M305" s="687">
        <f t="shared" si="851"/>
        <v>125</v>
      </c>
      <c r="N305" s="687">
        <f t="shared" si="851"/>
        <v>125</v>
      </c>
      <c r="O305" s="687">
        <f t="shared" si="851"/>
        <v>125</v>
      </c>
      <c r="P305" s="688">
        <f t="shared" si="851"/>
        <v>125</v>
      </c>
      <c r="Q305" s="687">
        <f t="shared" si="851"/>
        <v>125</v>
      </c>
      <c r="R305" s="687">
        <f t="shared" si="851"/>
        <v>125</v>
      </c>
      <c r="S305" s="689">
        <f t="shared" si="851"/>
        <v>125</v>
      </c>
      <c r="T305" s="687">
        <f t="shared" si="851"/>
        <v>125</v>
      </c>
      <c r="U305" s="687">
        <f t="shared" si="851"/>
        <v>125</v>
      </c>
      <c r="V305" s="687">
        <f t="shared" si="851"/>
        <v>125</v>
      </c>
      <c r="W305" s="689">
        <f t="shared" si="851"/>
        <v>125</v>
      </c>
      <c r="X305" s="687">
        <f t="shared" si="851"/>
        <v>125</v>
      </c>
      <c r="Y305" s="687">
        <f t="shared" si="851"/>
        <v>125</v>
      </c>
      <c r="Z305" s="687">
        <f t="shared" si="851"/>
        <v>125</v>
      </c>
      <c r="AA305" s="687">
        <f t="shared" si="851"/>
        <v>125</v>
      </c>
      <c r="AB305" s="688">
        <f t="shared" si="851"/>
        <v>125</v>
      </c>
      <c r="AC305" s="687">
        <f t="shared" si="851"/>
        <v>125</v>
      </c>
      <c r="AD305" s="687">
        <f t="shared" si="851"/>
        <v>125</v>
      </c>
      <c r="AE305" s="689">
        <f t="shared" si="851"/>
        <v>100</v>
      </c>
      <c r="AF305" s="632">
        <v>160</v>
      </c>
      <c r="AG305" s="632">
        <v>180</v>
      </c>
      <c r="AH305" s="687">
        <f t="shared" ref="AH305:AQ305" si="852">+AG305*(1+AH306)</f>
        <v>162</v>
      </c>
      <c r="AI305" s="689">
        <f t="shared" si="852"/>
        <v>145.80000000000001</v>
      </c>
      <c r="AJ305" s="688">
        <f>+AI305*(1+AJ306)</f>
        <v>141.42600000000002</v>
      </c>
      <c r="AK305" s="687">
        <f t="shared" si="852"/>
        <v>141.42600000000002</v>
      </c>
      <c r="AL305" s="687">
        <f t="shared" si="852"/>
        <v>147.08304000000001</v>
      </c>
      <c r="AM305" s="689">
        <f t="shared" si="852"/>
        <v>147.08304000000001</v>
      </c>
      <c r="AN305" s="687">
        <f t="shared" si="852"/>
        <v>147.08304000000001</v>
      </c>
      <c r="AO305" s="687">
        <f t="shared" si="852"/>
        <v>154.43719200000001</v>
      </c>
      <c r="AP305" s="687">
        <f t="shared" si="852"/>
        <v>152.89282008000001</v>
      </c>
      <c r="AQ305" s="689">
        <f t="shared" si="852"/>
        <v>147.21970049585931</v>
      </c>
      <c r="AR305" s="687">
        <f t="shared" ref="AR305:AY305" si="853">+AQ305*(1+AR306)</f>
        <v>141.96141820750952</v>
      </c>
      <c r="AS305" s="687">
        <f t="shared" si="853"/>
        <v>153.3183316641103</v>
      </c>
      <c r="AT305" s="687">
        <f t="shared" si="853"/>
        <v>122.80798366295234</v>
      </c>
      <c r="AU305" s="689">
        <f t="shared" si="853"/>
        <v>124.03606349958186</v>
      </c>
      <c r="AV305" s="687">
        <f t="shared" si="853"/>
        <v>125.27642413457768</v>
      </c>
      <c r="AW305" s="687">
        <f t="shared" si="853"/>
        <v>125.27642413457768</v>
      </c>
      <c r="AX305" s="687">
        <f t="shared" si="853"/>
        <v>120.26536716919458</v>
      </c>
      <c r="AY305" s="689">
        <f t="shared" si="853"/>
        <v>102.22556209381538</v>
      </c>
      <c r="AZ305" s="687">
        <f t="shared" ref="AZ305:BG305" si="854">+AY305*(1+AZ306)</f>
        <v>98.136539610062769</v>
      </c>
      <c r="BA305" s="687">
        <f t="shared" si="854"/>
        <v>98.136539610062769</v>
      </c>
      <c r="BB305" s="687">
        <f t="shared" si="854"/>
        <v>98.136539610062769</v>
      </c>
      <c r="BC305" s="687">
        <f t="shared" si="854"/>
        <v>73.60240470754708</v>
      </c>
      <c r="BD305" s="1179">
        <f t="shared" si="854"/>
        <v>61.089995907264075</v>
      </c>
      <c r="BE305" s="687">
        <f t="shared" si="854"/>
        <v>61.089995907264075</v>
      </c>
      <c r="BF305" s="687">
        <f t="shared" si="854"/>
        <v>61.089995907264075</v>
      </c>
      <c r="BG305" s="689">
        <f t="shared" si="854"/>
        <v>61.089995907264075</v>
      </c>
      <c r="BH305" s="688">
        <f t="shared" ref="BH305" si="855">+BG305*(1+BH306)</f>
        <v>64.144495702627282</v>
      </c>
      <c r="BI305" s="687">
        <f t="shared" ref="BI305" si="856">+BH305*(1+BI306)</f>
        <v>64.144495702627282</v>
      </c>
      <c r="BJ305" s="687">
        <f t="shared" ref="BJ305" si="857">+BI305*(1+BJ306)</f>
        <v>64.144495702627282</v>
      </c>
      <c r="BK305" s="689">
        <f t="shared" ref="BK305" si="858">+BJ305*(1+BK306)</f>
        <v>64.144495702627282</v>
      </c>
      <c r="BL305" s="688">
        <f t="shared" ref="BL305" si="859">+BK305*(1+BL306)</f>
        <v>67.351720487758655</v>
      </c>
      <c r="BM305" s="687">
        <f t="shared" ref="BM305" si="860">+BL305*(1+BM306)</f>
        <v>67.351720487758655</v>
      </c>
      <c r="BN305" s="687">
        <f t="shared" ref="BN305" si="861">+BM305*(1+BN306)</f>
        <v>67.351720487758655</v>
      </c>
      <c r="BO305" s="689">
        <f t="shared" ref="BO305" si="862">+BN305*(1+BO306)</f>
        <v>67.351720487758655</v>
      </c>
      <c r="BP305" s="657"/>
      <c r="BQ305" s="8"/>
      <c r="BR305" s="8"/>
      <c r="BS305" s="273">
        <f>SUM(L305:O305)</f>
        <v>500</v>
      </c>
      <c r="BT305" s="691">
        <f>SUM(P305:S305)</f>
        <v>500</v>
      </c>
      <c r="BU305" s="691">
        <f>SUM(T305:W305)</f>
        <v>500</v>
      </c>
      <c r="BV305" s="691">
        <f>SUM(X305:AA305)</f>
        <v>500</v>
      </c>
      <c r="BW305" s="691">
        <f>SUM(AB305:AE305)</f>
        <v>475</v>
      </c>
      <c r="BX305" s="691">
        <f>SUM(AF305:AI305)</f>
        <v>647.79999999999995</v>
      </c>
      <c r="BY305" s="691">
        <f>SUM(AJ305:AM305)</f>
        <v>577.01808000000005</v>
      </c>
      <c r="BZ305" s="691">
        <f>+SUM(AN305:AQ305)</f>
        <v>601.6327525758594</v>
      </c>
      <c r="CA305" s="691">
        <f>+SUM(AR305:AU305)</f>
        <v>542.12379703415399</v>
      </c>
      <c r="CB305" s="691">
        <f>SUM(AV305:AY305)</f>
        <v>473.04377753216534</v>
      </c>
      <c r="CC305" s="691">
        <f>SUM(AZ305:BC305)</f>
        <v>368.01202353773539</v>
      </c>
      <c r="CD305" s="691">
        <f>SUM(BD305:BG305)</f>
        <v>244.3599836290563</v>
      </c>
      <c r="CE305" s="691">
        <f>SUM(BH305:BK305)</f>
        <v>256.57798281050913</v>
      </c>
      <c r="CF305" s="692">
        <f>SUM(BL305:BO305)</f>
        <v>269.40688195103462</v>
      </c>
      <c r="CG305" s="658"/>
      <c r="CH305" s="363"/>
    </row>
    <row r="306" spans="1:88" ht="14.25" customHeight="1">
      <c r="A306" s="672"/>
      <c r="B306" s="759" t="s">
        <v>268</v>
      </c>
      <c r="C306" s="274"/>
      <c r="D306" s="754"/>
      <c r="E306" s="754"/>
      <c r="F306" s="754"/>
      <c r="G306" s="79"/>
      <c r="H306" s="754"/>
      <c r="I306" s="754"/>
      <c r="J306" s="754"/>
      <c r="K306" s="79"/>
      <c r="L306" s="247"/>
      <c r="M306" s="247">
        <f>M305/L305-1</f>
        <v>0</v>
      </c>
      <c r="N306" s="247">
        <f>N305/M305-1</f>
        <v>0</v>
      </c>
      <c r="O306" s="76">
        <f>O305/N305-1</f>
        <v>0</v>
      </c>
      <c r="P306" s="760">
        <f>IF(ISERROR(P305/O305-1),"NA",P305/O305-1)</f>
        <v>0</v>
      </c>
      <c r="Q306" s="46">
        <f>IF(ISERROR(Q305/P305-1),"NA",Q305/P305-1)</f>
        <v>0</v>
      </c>
      <c r="R306" s="46">
        <f>IF(ISERROR(R305/Q305-1),"NA",R305/Q305-1)</f>
        <v>0</v>
      </c>
      <c r="S306" s="749">
        <f>IF(ISERROR(S305/R305-1),"NA",S305/R305-1)</f>
        <v>0</v>
      </c>
      <c r="T306" s="247">
        <f t="shared" ref="T306:AF306" si="863">T305/S305-1</f>
        <v>0</v>
      </c>
      <c r="U306" s="247">
        <f t="shared" si="863"/>
        <v>0</v>
      </c>
      <c r="V306" s="247">
        <f t="shared" si="863"/>
        <v>0</v>
      </c>
      <c r="W306" s="77">
        <f t="shared" si="863"/>
        <v>0</v>
      </c>
      <c r="X306" s="247">
        <f t="shared" si="863"/>
        <v>0</v>
      </c>
      <c r="Y306" s="247">
        <f t="shared" si="863"/>
        <v>0</v>
      </c>
      <c r="Z306" s="247">
        <f t="shared" si="863"/>
        <v>0</v>
      </c>
      <c r="AA306" s="76">
        <f t="shared" si="863"/>
        <v>0</v>
      </c>
      <c r="AB306" s="522">
        <f t="shared" si="863"/>
        <v>0</v>
      </c>
      <c r="AC306" s="76">
        <f t="shared" si="863"/>
        <v>0</v>
      </c>
      <c r="AD306" s="231">
        <f t="shared" si="863"/>
        <v>0</v>
      </c>
      <c r="AE306" s="276">
        <f t="shared" si="863"/>
        <v>-0.19999999999999996</v>
      </c>
      <c r="AF306" s="76">
        <f t="shared" si="863"/>
        <v>0.60000000000000009</v>
      </c>
      <c r="AG306" s="129">
        <v>0.15</v>
      </c>
      <c r="AH306" s="129">
        <v>-0.1</v>
      </c>
      <c r="AI306" s="130">
        <v>-0.1</v>
      </c>
      <c r="AJ306" s="868">
        <v>-0.03</v>
      </c>
      <c r="AK306" s="129">
        <v>0</v>
      </c>
      <c r="AL306" s="129">
        <v>0.04</v>
      </c>
      <c r="AM306" s="130">
        <v>0</v>
      </c>
      <c r="AN306" s="844">
        <v>0</v>
      </c>
      <c r="AO306" s="844">
        <v>0.05</v>
      </c>
      <c r="AP306" s="844">
        <v>-0.01</v>
      </c>
      <c r="AQ306" s="130">
        <v>-3.7105205994449462E-2</v>
      </c>
      <c r="AR306" s="844">
        <v>-3.5717246201690811E-2</v>
      </c>
      <c r="AS306" s="844">
        <v>0.08</v>
      </c>
      <c r="AT306" s="844">
        <v>-0.19900000000000001</v>
      </c>
      <c r="AU306" s="130">
        <v>0.01</v>
      </c>
      <c r="AV306" s="844">
        <v>0.01</v>
      </c>
      <c r="AW306" s="844">
        <v>0</v>
      </c>
      <c r="AX306" s="844">
        <v>-0.04</v>
      </c>
      <c r="AY306" s="130">
        <v>-0.15</v>
      </c>
      <c r="AZ306" s="844">
        <v>-0.04</v>
      </c>
      <c r="BA306" s="844">
        <v>0</v>
      </c>
      <c r="BB306" s="844">
        <v>0</v>
      </c>
      <c r="BC306" s="129">
        <v>-0.25</v>
      </c>
      <c r="BD306" s="868">
        <v>-0.17</v>
      </c>
      <c r="BE306" s="129">
        <v>0</v>
      </c>
      <c r="BF306" s="129">
        <f>BE306</f>
        <v>0</v>
      </c>
      <c r="BG306" s="130">
        <f>BF306</f>
        <v>0</v>
      </c>
      <c r="BH306" s="868">
        <v>0.05</v>
      </c>
      <c r="BI306" s="129">
        <v>0</v>
      </c>
      <c r="BJ306" s="129">
        <f>BI306</f>
        <v>0</v>
      </c>
      <c r="BK306" s="130">
        <f>BJ306</f>
        <v>0</v>
      </c>
      <c r="BL306" s="868">
        <v>0.05</v>
      </c>
      <c r="BM306" s="129">
        <v>0</v>
      </c>
      <c r="BN306" s="129">
        <f>BM306</f>
        <v>0</v>
      </c>
      <c r="BO306" s="130">
        <f>BN306</f>
        <v>0</v>
      </c>
      <c r="BP306" s="657"/>
      <c r="BQ306" s="8"/>
      <c r="BR306" s="8"/>
      <c r="BS306" s="8"/>
      <c r="BT306" s="54"/>
      <c r="BU306" s="54"/>
      <c r="BV306" s="54"/>
      <c r="BW306" s="54"/>
      <c r="BX306" s="54"/>
      <c r="BY306" s="54"/>
      <c r="BZ306" s="54"/>
      <c r="CA306" s="54"/>
      <c r="CB306" s="54"/>
      <c r="CC306" s="54"/>
      <c r="CD306" s="54"/>
      <c r="CE306" s="54"/>
      <c r="CF306" s="365"/>
      <c r="CG306" s="658"/>
      <c r="CH306" s="363"/>
    </row>
    <row r="307" spans="1:88" ht="14.25" customHeight="1">
      <c r="A307" s="672"/>
      <c r="B307" s="759" t="s">
        <v>499</v>
      </c>
      <c r="C307" s="274"/>
      <c r="D307" s="754"/>
      <c r="E307" s="754"/>
      <c r="F307" s="754"/>
      <c r="G307" s="79"/>
      <c r="H307" s="754"/>
      <c r="I307" s="754"/>
      <c r="J307" s="754"/>
      <c r="K307" s="79"/>
      <c r="L307" s="754"/>
      <c r="M307" s="754"/>
      <c r="N307" s="754"/>
      <c r="O307" s="78"/>
      <c r="P307" s="760"/>
      <c r="Q307" s="46"/>
      <c r="R307" s="46"/>
      <c r="S307" s="749"/>
      <c r="T307" s="247"/>
      <c r="U307" s="247"/>
      <c r="V307" s="247"/>
      <c r="W307" s="77"/>
      <c r="X307" s="247"/>
      <c r="Y307" s="247"/>
      <c r="Z307" s="247"/>
      <c r="AA307" s="76"/>
      <c r="AB307" s="522"/>
      <c r="AC307" s="76"/>
      <c r="AD307" s="231"/>
      <c r="AE307" s="276"/>
      <c r="AF307" s="76">
        <f t="shared" ref="AF307" si="864">AVERAGE(AB306,X306,T306,P306,L306)</f>
        <v>0</v>
      </c>
      <c r="AG307" s="231">
        <f t="shared" ref="AG307" si="865">AVERAGE(AC306,Y306,U306,Q306,M306)</f>
        <v>0</v>
      </c>
      <c r="AH307" s="231">
        <f t="shared" ref="AH307" si="866">AVERAGE(AD306,Z306,V306,R306,N306)</f>
        <v>0</v>
      </c>
      <c r="AI307" s="276">
        <f t="shared" ref="AI307" si="867">AVERAGE(AE306,AA306,W306,S306,O306)</f>
        <v>-3.9999999999999994E-2</v>
      </c>
      <c r="AJ307" s="734">
        <f t="shared" ref="AJ307" si="868">AVERAGE(AF306,AB306,X306,T306,P306)</f>
        <v>0.12000000000000002</v>
      </c>
      <c r="AK307" s="231">
        <f t="shared" ref="AK307" si="869">AVERAGE(AG306,AC306,Y306,U306,Q306)</f>
        <v>0.03</v>
      </c>
      <c r="AL307" s="231">
        <f t="shared" ref="AL307" si="870">AVERAGE(AH306,AD306,Z306,V306,R306)</f>
        <v>-0.02</v>
      </c>
      <c r="AM307" s="749">
        <f t="shared" ref="AM307" si="871">AVERAGE(AI306,AE306,AA306,W306,S306)</f>
        <v>-5.9999999999999984E-2</v>
      </c>
      <c r="AN307" s="247">
        <f>AVERAGE(AJ306,AF306,AB306,X306,T306)</f>
        <v>0.11400000000000002</v>
      </c>
      <c r="AO307" s="247">
        <f t="shared" ref="AO307" si="872">AVERAGE(AK306,AG306,AC306,Y306,U306)</f>
        <v>0.03</v>
      </c>
      <c r="AP307" s="247">
        <f t="shared" ref="AP307" si="873">AVERAGE(AL306,AH306,AD306,Z306,V306)</f>
        <v>-1.2E-2</v>
      </c>
      <c r="AQ307" s="749">
        <f t="shared" ref="AQ307" si="874">AVERAGE(AM306,AI306,AE306,AA306,W306)</f>
        <v>-5.9999999999999984E-2</v>
      </c>
      <c r="AR307" s="247">
        <f t="shared" ref="AR307" si="875">AVERAGE(AN306,AJ306,AF306,AB306,X306)</f>
        <v>0.11400000000000002</v>
      </c>
      <c r="AS307" s="247">
        <f t="shared" ref="AS307" si="876">AVERAGE(AO306,AK306,AG306,AC306,Y306)</f>
        <v>0.04</v>
      </c>
      <c r="AT307" s="247">
        <f t="shared" ref="AT307" si="877">AVERAGE(AP306,AL306,AH306,AD306,Z306)</f>
        <v>-1.4000000000000002E-2</v>
      </c>
      <c r="AU307" s="749">
        <f t="shared" ref="AU307" si="878">AVERAGE(AQ306,AM306,AI306,AE306,AA306)</f>
        <v>-6.7421041198889892E-2</v>
      </c>
      <c r="AV307" s="247">
        <f t="shared" ref="AV307" si="879">AVERAGE(AR306,AN306,AJ306,AF306,AB306)</f>
        <v>0.10685655075966186</v>
      </c>
      <c r="AW307" s="247">
        <f t="shared" ref="AW307" si="880">AVERAGE(AS306,AO306,AK306,AG306,AC306)</f>
        <v>5.6000000000000008E-2</v>
      </c>
      <c r="AX307" s="247">
        <f t="shared" ref="AX307" si="881">AVERAGE(AT306,AP306,AL306,AH306,AD306)</f>
        <v>-5.3800000000000001E-2</v>
      </c>
      <c r="AY307" s="749">
        <f t="shared" ref="AY307" si="882">AVERAGE(AU306,AQ306,AM306,AI306,AE306)</f>
        <v>-6.542104119888989E-2</v>
      </c>
      <c r="AZ307" s="247">
        <f t="shared" ref="AZ307" si="883">AVERAGE(AV306,AR306,AN306,AJ306,AF306)</f>
        <v>0.10885655075966186</v>
      </c>
      <c r="BA307" s="247">
        <f t="shared" ref="BA307" si="884">AVERAGE(AW306,AS306,AO306,AK306,AG306)</f>
        <v>5.6000000000000008E-2</v>
      </c>
      <c r="BB307" s="247">
        <f t="shared" ref="BB307" si="885">AVERAGE(AX306,AT306,AP306,AL306,AH306)</f>
        <v>-6.1800000000000008E-2</v>
      </c>
      <c r="BC307" s="76">
        <f t="shared" ref="BC307" si="886">AVERAGE(AY306,AU306,AQ306,AM306,AI306)</f>
        <v>-5.5421041198889888E-2</v>
      </c>
      <c r="BD307" s="522">
        <f t="shared" ref="BD307" si="887">AVERAGE(AZ306,AV306,AR306,AN306,AJ306)</f>
        <v>-1.9143449240338162E-2</v>
      </c>
      <c r="BE307" s="76">
        <f t="shared" ref="BE307" si="888">AVERAGE(BA306,AW306,AS306,AO306,AK306)</f>
        <v>2.6000000000000002E-2</v>
      </c>
      <c r="BF307" s="76">
        <f t="shared" ref="BF307" si="889">AVERAGE(BB306,AX306,AT306,AP306,AL306)</f>
        <v>-4.1800000000000004E-2</v>
      </c>
      <c r="BG307" s="77">
        <f t="shared" ref="BG307" si="890">AVERAGE(BC306,AY306,AU306,AQ306,AM306)</f>
        <v>-8.5421041198889894E-2</v>
      </c>
      <c r="BH307" s="522">
        <f t="shared" ref="BH307" si="891">AVERAGE(BD306,AZ306,AV306,AR306,AN306)</f>
        <v>-4.7143449240338163E-2</v>
      </c>
      <c r="BI307" s="76">
        <f t="shared" ref="BI307" si="892">AVERAGE(BE306,BA306,AW306,AS306,AO306)</f>
        <v>2.6000000000000002E-2</v>
      </c>
      <c r="BJ307" s="76">
        <f t="shared" ref="BJ307" si="893">AVERAGE(BF306,BB306,AX306,AT306,AP306)</f>
        <v>-4.9800000000000004E-2</v>
      </c>
      <c r="BK307" s="77">
        <f t="shared" ref="BK307" si="894">AVERAGE(BG306,BC306,AY306,AU306,AQ306)</f>
        <v>-8.5421041198889894E-2</v>
      </c>
      <c r="BL307" s="522">
        <f t="shared" ref="BL307" si="895">AVERAGE(BH306,BD306,AZ306,AV306,AR306)</f>
        <v>-3.7143449240338161E-2</v>
      </c>
      <c r="BM307" s="76">
        <f t="shared" ref="BM307" si="896">AVERAGE(BI306,BE306,BA306,AW306,AS306)</f>
        <v>1.6E-2</v>
      </c>
      <c r="BN307" s="76">
        <f t="shared" ref="BN307" si="897">AVERAGE(BJ306,BF306,BB306,AX306,AT306)</f>
        <v>-4.7800000000000002E-2</v>
      </c>
      <c r="BO307" s="77">
        <f t="shared" ref="BO307" si="898">AVERAGE(BK306,BG306,BC306,AY306,AU306)</f>
        <v>-7.8E-2</v>
      </c>
      <c r="BP307" s="657"/>
      <c r="BQ307" s="8"/>
      <c r="BR307" s="8"/>
      <c r="BS307" s="8"/>
      <c r="BT307" s="54"/>
      <c r="BU307" s="54"/>
      <c r="BV307" s="54"/>
      <c r="BW307" s="54"/>
      <c r="BX307" s="54"/>
      <c r="BY307" s="54"/>
      <c r="BZ307" s="54"/>
      <c r="CA307" s="54"/>
      <c r="CB307" s="54"/>
      <c r="CC307" s="54"/>
      <c r="CD307" s="54"/>
      <c r="CE307" s="54"/>
      <c r="CF307" s="21"/>
      <c r="CG307" s="658"/>
      <c r="CH307" s="363"/>
    </row>
    <row r="308" spans="1:88" ht="14.25" customHeight="1">
      <c r="A308" s="672"/>
      <c r="B308" s="764" t="s">
        <v>269</v>
      </c>
      <c r="C308" s="274"/>
      <c r="D308" s="754"/>
      <c r="E308" s="754"/>
      <c r="F308" s="754"/>
      <c r="G308" s="79"/>
      <c r="H308" s="754"/>
      <c r="I308" s="754"/>
      <c r="J308" s="754"/>
      <c r="K308" s="79"/>
      <c r="L308" s="247"/>
      <c r="M308" s="247"/>
      <c r="N308" s="247"/>
      <c r="O308" s="76"/>
      <c r="P308" s="760">
        <f>IF(ISERROR(P305/L305-1),"NA",P305/L305-1)</f>
        <v>0</v>
      </c>
      <c r="Q308" s="46">
        <f>IF(ISERROR(Q305/M305-1),"NA",Q305/M305-1)</f>
        <v>0</v>
      </c>
      <c r="R308" s="46">
        <f>IF(ISERROR(R305/N305-1),"NA",R305/N305-1)</f>
        <v>0</v>
      </c>
      <c r="S308" s="749">
        <f>IF(ISERROR(S305/O305-1),"NA",S305/O305-1)</f>
        <v>0</v>
      </c>
      <c r="T308" s="247">
        <f t="shared" ref="T308:AQ308" si="899">T305/P305-1</f>
        <v>0</v>
      </c>
      <c r="U308" s="247">
        <f t="shared" si="899"/>
        <v>0</v>
      </c>
      <c r="V308" s="247">
        <f t="shared" si="899"/>
        <v>0</v>
      </c>
      <c r="W308" s="77">
        <f t="shared" si="899"/>
        <v>0</v>
      </c>
      <c r="X308" s="247">
        <f t="shared" si="899"/>
        <v>0</v>
      </c>
      <c r="Y308" s="247">
        <f t="shared" si="899"/>
        <v>0</v>
      </c>
      <c r="Z308" s="247">
        <f t="shared" si="899"/>
        <v>0</v>
      </c>
      <c r="AA308" s="76">
        <f t="shared" si="899"/>
        <v>0</v>
      </c>
      <c r="AB308" s="522">
        <f t="shared" si="899"/>
        <v>0</v>
      </c>
      <c r="AC308" s="76">
        <f t="shared" si="899"/>
        <v>0</v>
      </c>
      <c r="AD308" s="231">
        <f t="shared" si="899"/>
        <v>0</v>
      </c>
      <c r="AE308" s="276">
        <f t="shared" si="899"/>
        <v>-0.19999999999999996</v>
      </c>
      <c r="AF308" s="76">
        <f t="shared" si="899"/>
        <v>0.28000000000000003</v>
      </c>
      <c r="AG308" s="231">
        <f t="shared" si="899"/>
        <v>0.43999999999999995</v>
      </c>
      <c r="AH308" s="231">
        <f t="shared" si="899"/>
        <v>0.29600000000000004</v>
      </c>
      <c r="AI308" s="276">
        <f t="shared" si="899"/>
        <v>0.45800000000000018</v>
      </c>
      <c r="AJ308" s="734">
        <f t="shared" si="899"/>
        <v>-0.1160874999999999</v>
      </c>
      <c r="AK308" s="231">
        <f t="shared" si="899"/>
        <v>-0.21429999999999993</v>
      </c>
      <c r="AL308" s="231">
        <f t="shared" si="899"/>
        <v>-9.207999999999994E-2</v>
      </c>
      <c r="AM308" s="276">
        <f t="shared" si="899"/>
        <v>8.799999999999919E-3</v>
      </c>
      <c r="AN308" s="275">
        <f t="shared" si="899"/>
        <v>4.0000000000000036E-2</v>
      </c>
      <c r="AO308" s="275">
        <f t="shared" si="899"/>
        <v>9.199999999999986E-2</v>
      </c>
      <c r="AP308" s="275">
        <f t="shared" si="899"/>
        <v>3.9499999999999869E-2</v>
      </c>
      <c r="AQ308" s="276">
        <f t="shared" si="899"/>
        <v>9.2913836876973299E-4</v>
      </c>
      <c r="AR308" s="275">
        <f t="shared" ref="AR308:AY308" si="900">AR305/AN305-1</f>
        <v>-3.4821294096793798E-2</v>
      </c>
      <c r="AS308" s="275">
        <f t="shared" si="900"/>
        <v>-7.2447596424163319E-3</v>
      </c>
      <c r="AT308" s="275">
        <f t="shared" si="900"/>
        <v>-0.19677076007431882</v>
      </c>
      <c r="AU308" s="276">
        <f t="shared" si="900"/>
        <v>-0.15747645809760036</v>
      </c>
      <c r="AV308" s="275">
        <f t="shared" si="900"/>
        <v>-0.11753189200000003</v>
      </c>
      <c r="AW308" s="275">
        <f t="shared" si="900"/>
        <v>-0.18289990000000012</v>
      </c>
      <c r="AX308" s="275">
        <f t="shared" si="900"/>
        <v>-2.0703999999999945E-2</v>
      </c>
      <c r="AY308" s="276">
        <f t="shared" si="900"/>
        <v>-0.17584</v>
      </c>
      <c r="AZ308" s="275">
        <f t="shared" ref="AZ308:BG308" si="901">AZ305/AV305-1</f>
        <v>-0.21664000000000005</v>
      </c>
      <c r="BA308" s="275">
        <f t="shared" si="901"/>
        <v>-0.21664000000000005</v>
      </c>
      <c r="BB308" s="275">
        <f t="shared" si="901"/>
        <v>-0.18400000000000005</v>
      </c>
      <c r="BC308" s="231">
        <f t="shared" si="901"/>
        <v>-0.27999999999999992</v>
      </c>
      <c r="BD308" s="734">
        <f t="shared" si="901"/>
        <v>-0.37749999999999995</v>
      </c>
      <c r="BE308" s="231">
        <f t="shared" si="901"/>
        <v>-0.37749999999999995</v>
      </c>
      <c r="BF308" s="231">
        <f t="shared" si="901"/>
        <v>-0.37749999999999995</v>
      </c>
      <c r="BG308" s="276">
        <f t="shared" si="901"/>
        <v>-0.17000000000000004</v>
      </c>
      <c r="BH308" s="734">
        <f t="shared" ref="BH308" si="902">BH305/BD305-1</f>
        <v>5.0000000000000044E-2</v>
      </c>
      <c r="BI308" s="231">
        <f t="shared" ref="BI308" si="903">BI305/BE305-1</f>
        <v>5.0000000000000044E-2</v>
      </c>
      <c r="BJ308" s="231">
        <f t="shared" ref="BJ308" si="904">BJ305/BF305-1</f>
        <v>5.0000000000000044E-2</v>
      </c>
      <c r="BK308" s="276">
        <f t="shared" ref="BK308" si="905">BK305/BG305-1</f>
        <v>5.0000000000000044E-2</v>
      </c>
      <c r="BL308" s="734">
        <f t="shared" ref="BL308" si="906">BL305/BH305-1</f>
        <v>5.0000000000000044E-2</v>
      </c>
      <c r="BM308" s="231">
        <f t="shared" ref="BM308" si="907">BM305/BI305-1</f>
        <v>5.0000000000000044E-2</v>
      </c>
      <c r="BN308" s="231">
        <f t="shared" ref="BN308" si="908">BN305/BJ305-1</f>
        <v>5.0000000000000044E-2</v>
      </c>
      <c r="BO308" s="276">
        <f t="shared" ref="BO308" si="909">BO305/BK305-1</f>
        <v>5.0000000000000044E-2</v>
      </c>
      <c r="BP308" s="657"/>
      <c r="BQ308" s="8"/>
      <c r="BR308" s="8"/>
      <c r="BS308" s="751" t="str">
        <f t="shared" ref="BS308:BZ308" si="910">IF(ISERROR(BS305/BR305-1),"NA",BS305/BR305-1)</f>
        <v>NA</v>
      </c>
      <c r="BT308" s="752">
        <f t="shared" si="910"/>
        <v>0</v>
      </c>
      <c r="BU308" s="752">
        <f t="shared" si="910"/>
        <v>0</v>
      </c>
      <c r="BV308" s="752">
        <f t="shared" si="910"/>
        <v>0</v>
      </c>
      <c r="BW308" s="752">
        <f t="shared" si="910"/>
        <v>-5.0000000000000044E-2</v>
      </c>
      <c r="BX308" s="752">
        <f t="shared" si="910"/>
        <v>0.36378947368421044</v>
      </c>
      <c r="BY308" s="752">
        <f t="shared" si="910"/>
        <v>-0.10926508181537498</v>
      </c>
      <c r="BZ308" s="752">
        <f t="shared" si="910"/>
        <v>4.2658407819490485E-2</v>
      </c>
      <c r="CA308" s="752">
        <f t="shared" ref="CA308:CF308" si="911">IF(ISERROR(CA305/BZ305-1),"NA",CA305/BZ305-1)</f>
        <v>-9.8912426703700707E-2</v>
      </c>
      <c r="CB308" s="752">
        <f t="shared" si="911"/>
        <v>-0.12742480569919823</v>
      </c>
      <c r="CC308" s="752">
        <f t="shared" si="911"/>
        <v>-0.2220338983050848</v>
      </c>
      <c r="CD308" s="752">
        <f t="shared" si="911"/>
        <v>-0.33599999999999997</v>
      </c>
      <c r="CE308" s="752">
        <f t="shared" si="911"/>
        <v>5.0000000000000044E-2</v>
      </c>
      <c r="CF308" s="753">
        <f t="shared" si="911"/>
        <v>5.0000000000000044E-2</v>
      </c>
      <c r="CG308" s="658"/>
      <c r="CH308" s="363"/>
    </row>
    <row r="309" spans="1:88" ht="14.25" customHeight="1">
      <c r="A309" s="672"/>
      <c r="B309" s="759" t="s">
        <v>270</v>
      </c>
      <c r="C309" s="274"/>
      <c r="D309" s="754"/>
      <c r="E309" s="754"/>
      <c r="F309" s="754"/>
      <c r="G309" s="79"/>
      <c r="H309" s="754"/>
      <c r="I309" s="754"/>
      <c r="J309" s="754"/>
      <c r="K309" s="79"/>
      <c r="L309" s="247">
        <f t="shared" ref="L309:BC309" si="912">L305/L14</f>
        <v>3.9172673143215292E-2</v>
      </c>
      <c r="M309" s="247">
        <f t="shared" si="912"/>
        <v>3.6507009345794393E-2</v>
      </c>
      <c r="N309" s="247">
        <f t="shared" si="912"/>
        <v>3.4125034125034127E-2</v>
      </c>
      <c r="O309" s="76">
        <f t="shared" si="912"/>
        <v>3.5151856017997751E-2</v>
      </c>
      <c r="P309" s="522">
        <f t="shared" si="912"/>
        <v>3.8202933985330076E-2</v>
      </c>
      <c r="Q309" s="46">
        <f t="shared" si="912"/>
        <v>3.7302297821545809E-2</v>
      </c>
      <c r="R309" s="46">
        <f t="shared" si="912"/>
        <v>3.6905816356657808E-2</v>
      </c>
      <c r="S309" s="749">
        <f t="shared" si="912"/>
        <v>5.0180650341228421E-2</v>
      </c>
      <c r="T309" s="247">
        <f t="shared" si="912"/>
        <v>5.9923298178331738E-2</v>
      </c>
      <c r="U309" s="247">
        <f t="shared" si="912"/>
        <v>5.0875050875050877E-2</v>
      </c>
      <c r="V309" s="247">
        <f t="shared" si="912"/>
        <v>4.3402777777777776E-2</v>
      </c>
      <c r="W309" s="77">
        <f t="shared" si="912"/>
        <v>4.1597337770382693E-2</v>
      </c>
      <c r="X309" s="247">
        <f t="shared" si="912"/>
        <v>3.9001560062402497E-2</v>
      </c>
      <c r="Y309" s="247">
        <f t="shared" si="912"/>
        <v>3.5755148741418767E-2</v>
      </c>
      <c r="Z309" s="247">
        <f t="shared" si="912"/>
        <v>3.342245989304813E-2</v>
      </c>
      <c r="AA309" s="76">
        <f t="shared" si="912"/>
        <v>3.5460992907801421E-2</v>
      </c>
      <c r="AB309" s="522">
        <f t="shared" si="912"/>
        <v>3.6851415094339625E-2</v>
      </c>
      <c r="AC309" s="76">
        <f t="shared" si="912"/>
        <v>3.6148062463851938E-2</v>
      </c>
      <c r="AD309" s="76">
        <f t="shared" si="912"/>
        <v>3.606462781304097E-2</v>
      </c>
      <c r="AE309" s="77">
        <f t="shared" si="912"/>
        <v>2.9239766081871343E-2</v>
      </c>
      <c r="AF309" s="76">
        <f t="shared" si="912"/>
        <v>5.1265619993591797E-2</v>
      </c>
      <c r="AG309" s="76">
        <f t="shared" si="912"/>
        <v>5.3973013493253376E-2</v>
      </c>
      <c r="AH309" s="76">
        <f t="shared" si="912"/>
        <v>4.7787610619469026E-2</v>
      </c>
      <c r="AI309" s="77">
        <f t="shared" si="912"/>
        <v>4.8942598187311184E-2</v>
      </c>
      <c r="AJ309" s="522">
        <f t="shared" si="912"/>
        <v>4.9021143847487007E-2</v>
      </c>
      <c r="AK309" s="76">
        <f t="shared" si="912"/>
        <v>4.641483426320972E-2</v>
      </c>
      <c r="AL309" s="76">
        <f t="shared" si="912"/>
        <v>4.5340024660912456E-2</v>
      </c>
      <c r="AM309" s="77">
        <f t="shared" si="912"/>
        <v>4.8572295319796017E-2</v>
      </c>
      <c r="AN309" s="247">
        <f t="shared" si="912"/>
        <v>4.9315384588692716E-2</v>
      </c>
      <c r="AO309" s="247">
        <f t="shared" si="912"/>
        <v>4.6916863414191247E-2</v>
      </c>
      <c r="AP309" s="247">
        <f t="shared" si="912"/>
        <v>4.3666311740538893E-2</v>
      </c>
      <c r="AQ309" s="77">
        <f t="shared" si="912"/>
        <v>4.5035087334309977E-2</v>
      </c>
      <c r="AR309" s="247">
        <f t="shared" si="912"/>
        <v>4.5067116891272865E-2</v>
      </c>
      <c r="AS309" s="247">
        <f t="shared" si="912"/>
        <v>4.6000895334108581E-2</v>
      </c>
      <c r="AT309" s="247">
        <f t="shared" si="912"/>
        <v>3.5768567979063137E-2</v>
      </c>
      <c r="AU309" s="77">
        <f t="shared" si="912"/>
        <v>3.8893598760552754E-2</v>
      </c>
      <c r="AV309" s="247">
        <f t="shared" si="912"/>
        <v>4.1653414594708012E-2</v>
      </c>
      <c r="AW309" s="247">
        <f t="shared" si="912"/>
        <v>3.8280504342362215E-2</v>
      </c>
      <c r="AX309" s="247">
        <f t="shared" si="912"/>
        <v>3.2728781683291172E-2</v>
      </c>
      <c r="AY309" s="77">
        <f t="shared" ref="AY309" si="913">AY305/AY14</f>
        <v>2.9943619793963327E-2</v>
      </c>
      <c r="AZ309" s="247">
        <f t="shared" si="912"/>
        <v>2.884564436076938E-2</v>
      </c>
      <c r="BA309" s="247">
        <f t="shared" si="912"/>
        <v>2.6572698182042609E-2</v>
      </c>
      <c r="BB309" s="247">
        <f t="shared" si="912"/>
        <v>2.384269669826598E-2</v>
      </c>
      <c r="BC309" s="76">
        <f t="shared" si="912"/>
        <v>1.9626214886389538E-2</v>
      </c>
      <c r="BD309" s="522">
        <f t="shared" ref="BD309:BG309" si="914">BD305/BD14</f>
        <v>1.6123699022662783E-2</v>
      </c>
      <c r="BE309" s="76">
        <f t="shared" si="914"/>
        <v>1.5487871129416688E-2</v>
      </c>
      <c r="BF309" s="76">
        <f t="shared" si="914"/>
        <v>1.4555591007438086E-2</v>
      </c>
      <c r="BG309" s="77">
        <f t="shared" si="914"/>
        <v>1.544767284257649E-2</v>
      </c>
      <c r="BH309" s="522">
        <f t="shared" ref="BH309:BK309" si="915">BH305/BH14</f>
        <v>1.6658276642335077E-2</v>
      </c>
      <c r="BI309" s="76">
        <f t="shared" si="915"/>
        <v>1.5685601555598498E-2</v>
      </c>
      <c r="BJ309" s="76">
        <f t="shared" si="915"/>
        <v>1.4777339245534895E-2</v>
      </c>
      <c r="BK309" s="77">
        <f t="shared" si="915"/>
        <v>1.5733973212380459E-2</v>
      </c>
      <c r="BL309" s="522">
        <f t="shared" ref="BL309:BO309" si="916">BL305/BL14</f>
        <v>1.694785528051378E-2</v>
      </c>
      <c r="BM309" s="76">
        <f t="shared" si="916"/>
        <v>1.5962998970722262E-2</v>
      </c>
      <c r="BN309" s="76">
        <f t="shared" si="916"/>
        <v>1.5047320234462969E-2</v>
      </c>
      <c r="BO309" s="77">
        <f t="shared" si="916"/>
        <v>1.6012401979833831E-2</v>
      </c>
      <c r="BP309" s="657"/>
      <c r="BQ309" s="8"/>
      <c r="BR309" s="8"/>
      <c r="BS309" s="751">
        <f>IF(ISERROR(BS305/BS14),"NA",BS305/BS14)</f>
        <v>3.614283648980772E-2</v>
      </c>
      <c r="BT309" s="752">
        <f>IF(ISERROR(BT305/BT14),"NA",BT305/BT14)</f>
        <v>3.9996800255979521E-2</v>
      </c>
      <c r="BU309" s="752">
        <f>IF(ISERROR(BU305/BU14),"NA",BU305/BU14)</f>
        <v>4.7947832757959337E-2</v>
      </c>
      <c r="BV309" s="752">
        <f>IF(ISERROR(BV305/BV14),"NA",BV305/BV14)</f>
        <v>3.5801231562365747E-2</v>
      </c>
      <c r="BW309" s="752">
        <f>IF(ISERROR(BW305/BW14),"NA",BW305/BW14)</f>
        <v>3.4580663948747814E-2</v>
      </c>
      <c r="BX309" s="752" t="str">
        <f>IF(ISERROR(BX305/#REF!),"NA",BX305/#REF!)</f>
        <v>NA</v>
      </c>
      <c r="BY309" s="752" t="str">
        <f>IF(ISERROR(BY305/#REF!),"NA",BY305/#REF!)</f>
        <v>NA</v>
      </c>
      <c r="BZ309" s="752">
        <f t="shared" ref="BZ309:CC309" si="917">IF(ISERROR(BZ305/BZ14),"NA",BZ305/BZ14)</f>
        <v>4.6121178955154322E-2</v>
      </c>
      <c r="CA309" s="752">
        <f t="shared" si="917"/>
        <v>4.1366254830228891E-2</v>
      </c>
      <c r="CB309" s="752">
        <f t="shared" si="917"/>
        <v>3.5384368293519514E-2</v>
      </c>
      <c r="CC309" s="752">
        <f t="shared" si="917"/>
        <v>2.45973175213118E-2</v>
      </c>
      <c r="CD309" s="752">
        <f>IF(ISERROR(CD305/CD14),"NA",CD305/CD14)</f>
        <v>1.538319816721795E-2</v>
      </c>
      <c r="CE309" s="752">
        <f>IF(ISERROR(CE305/CE14),"NA",CE305/CE14)</f>
        <v>1.5685605713013969E-2</v>
      </c>
      <c r="CF309" s="753">
        <f>IF(ISERROR(CF305/CF14),"NA",CF305/CF14)</f>
        <v>2.1199876458653323E-2</v>
      </c>
      <c r="CG309" s="658"/>
      <c r="CH309" s="363"/>
    </row>
    <row r="310" spans="1:88" ht="14.25" customHeight="1">
      <c r="A310" s="672"/>
      <c r="B310" s="892"/>
      <c r="C310" s="274"/>
      <c r="D310" s="754"/>
      <c r="E310" s="754"/>
      <c r="F310" s="754"/>
      <c r="G310" s="79"/>
      <c r="H310" s="754"/>
      <c r="I310" s="754"/>
      <c r="J310" s="754"/>
      <c r="K310" s="79"/>
      <c r="L310" s="754"/>
      <c r="M310" s="754"/>
      <c r="N310" s="754"/>
      <c r="O310" s="78"/>
      <c r="P310" s="522"/>
      <c r="Q310" s="76"/>
      <c r="R310" s="76"/>
      <c r="S310" s="77"/>
      <c r="T310" s="247"/>
      <c r="U310" s="247"/>
      <c r="V310" s="247"/>
      <c r="W310" s="77"/>
      <c r="X310" s="247"/>
      <c r="Y310" s="247"/>
      <c r="Z310" s="247"/>
      <c r="AA310" s="76"/>
      <c r="AB310" s="522"/>
      <c r="AC310" s="76"/>
      <c r="AD310" s="76"/>
      <c r="AE310" s="77"/>
      <c r="AF310" s="76"/>
      <c r="AG310" s="76"/>
      <c r="AH310" s="76"/>
      <c r="AI310" s="77"/>
      <c r="AJ310" s="522"/>
      <c r="AK310" s="76"/>
      <c r="AL310" s="76"/>
      <c r="AM310" s="77"/>
      <c r="AN310" s="247"/>
      <c r="AO310" s="247"/>
      <c r="AP310" s="247"/>
      <c r="AQ310" s="77"/>
      <c r="AR310" s="247"/>
      <c r="AS310" s="247"/>
      <c r="AT310" s="247"/>
      <c r="AU310" s="77"/>
      <c r="AV310" s="247"/>
      <c r="AW310" s="247"/>
      <c r="AX310" s="247"/>
      <c r="AY310" s="77"/>
      <c r="AZ310" s="247"/>
      <c r="BA310" s="247"/>
      <c r="BB310" s="247"/>
      <c r="BC310" s="76"/>
      <c r="BD310" s="522"/>
      <c r="BE310" s="76"/>
      <c r="BF310" s="76"/>
      <c r="BG310" s="77"/>
      <c r="BH310" s="522"/>
      <c r="BI310" s="76"/>
      <c r="BJ310" s="76"/>
      <c r="BK310" s="77"/>
      <c r="BL310" s="522"/>
      <c r="BM310" s="76"/>
      <c r="BN310" s="76"/>
      <c r="BO310" s="77"/>
      <c r="BP310" s="657"/>
      <c r="BQ310" s="8"/>
      <c r="BR310" s="8"/>
      <c r="BS310" s="8"/>
      <c r="BT310" s="54"/>
      <c r="BU310" s="54"/>
      <c r="BV310" s="54"/>
      <c r="BW310" s="54"/>
      <c r="BX310" s="54"/>
      <c r="BY310" s="54"/>
      <c r="BZ310" s="54"/>
      <c r="CA310" s="54"/>
      <c r="CB310" s="54"/>
      <c r="CC310" s="54"/>
      <c r="CD310" s="54"/>
      <c r="CE310" s="54"/>
      <c r="CF310" s="21"/>
      <c r="CG310" s="658"/>
      <c r="CH310" s="363"/>
    </row>
    <row r="311" spans="1:88" ht="14.25" customHeight="1">
      <c r="A311" s="672"/>
      <c r="B311" s="755" t="s">
        <v>349</v>
      </c>
      <c r="C311" s="274"/>
      <c r="D311" s="754"/>
      <c r="E311" s="754"/>
      <c r="F311" s="754"/>
      <c r="G311" s="79"/>
      <c r="H311" s="754"/>
      <c r="I311" s="754"/>
      <c r="J311" s="754"/>
      <c r="K311" s="79"/>
      <c r="L311" s="687">
        <f t="shared" ref="L311:AE311" si="918">L$440</f>
        <v>76</v>
      </c>
      <c r="M311" s="687">
        <f t="shared" si="918"/>
        <v>167</v>
      </c>
      <c r="N311" s="687">
        <f t="shared" si="918"/>
        <v>202</v>
      </c>
      <c r="O311" s="687">
        <f t="shared" si="918"/>
        <v>81</v>
      </c>
      <c r="P311" s="688">
        <f t="shared" si="918"/>
        <v>81</v>
      </c>
      <c r="Q311" s="687">
        <f t="shared" si="918"/>
        <v>176</v>
      </c>
      <c r="R311" s="687">
        <f t="shared" si="918"/>
        <v>182</v>
      </c>
      <c r="S311" s="689">
        <f t="shared" si="918"/>
        <v>61.04</v>
      </c>
      <c r="T311" s="687">
        <f t="shared" si="918"/>
        <v>51.639975550122251</v>
      </c>
      <c r="U311" s="687">
        <f t="shared" si="918"/>
        <v>129.04565801253358</v>
      </c>
      <c r="V311" s="687">
        <f t="shared" si="918"/>
        <v>154.75642161204607</v>
      </c>
      <c r="W311" s="689">
        <f t="shared" si="918"/>
        <v>73.610662384584501</v>
      </c>
      <c r="X311" s="687">
        <f t="shared" si="918"/>
        <v>64.099999999999994</v>
      </c>
      <c r="Y311" s="687">
        <f t="shared" si="918"/>
        <v>139.84</v>
      </c>
      <c r="Z311" s="687">
        <f t="shared" si="918"/>
        <v>149.6</v>
      </c>
      <c r="AA311" s="687">
        <f t="shared" si="918"/>
        <v>70.5</v>
      </c>
      <c r="AB311" s="688">
        <f t="shared" si="918"/>
        <v>67.84</v>
      </c>
      <c r="AC311" s="687">
        <f t="shared" si="918"/>
        <v>138.32</v>
      </c>
      <c r="AD311" s="687">
        <f t="shared" si="918"/>
        <v>164.63499999999999</v>
      </c>
      <c r="AE311" s="689">
        <f t="shared" si="918"/>
        <v>68.400000000000006</v>
      </c>
      <c r="AF311" s="632">
        <v>65</v>
      </c>
      <c r="AG311" s="632">
        <f>+AC311</f>
        <v>138.32</v>
      </c>
      <c r="AH311" s="632">
        <v>160</v>
      </c>
      <c r="AI311" s="743">
        <v>60</v>
      </c>
      <c r="AJ311" s="936">
        <f>AF311</f>
        <v>65</v>
      </c>
      <c r="AK311" s="937">
        <v>150</v>
      </c>
      <c r="AL311" s="937">
        <f>AH311</f>
        <v>160</v>
      </c>
      <c r="AM311" s="938">
        <f>AI311</f>
        <v>60</v>
      </c>
      <c r="AN311" s="937">
        <f>AJ311*0.97</f>
        <v>63.05</v>
      </c>
      <c r="AO311" s="937">
        <v>150</v>
      </c>
      <c r="AP311" s="937">
        <v>170</v>
      </c>
      <c r="AQ311" s="938">
        <v>55</v>
      </c>
      <c r="AR311" s="937">
        <v>42</v>
      </c>
      <c r="AS311" s="937">
        <v>160</v>
      </c>
      <c r="AT311" s="937">
        <v>170</v>
      </c>
      <c r="AU311" s="938">
        <v>65</v>
      </c>
      <c r="AV311" s="937">
        <v>44</v>
      </c>
      <c r="AW311" s="937">
        <v>118</v>
      </c>
      <c r="AX311" s="937">
        <v>175</v>
      </c>
      <c r="AY311" s="938">
        <v>56</v>
      </c>
      <c r="AZ311" s="937">
        <v>40</v>
      </c>
      <c r="BA311" s="937">
        <v>110</v>
      </c>
      <c r="BB311" s="937">
        <v>161.59</v>
      </c>
      <c r="BC311" s="937">
        <v>30</v>
      </c>
      <c r="BD311" s="936">
        <v>28</v>
      </c>
      <c r="BE311" s="937">
        <v>110</v>
      </c>
      <c r="BF311" s="937">
        <v>150</v>
      </c>
      <c r="BG311" s="938">
        <v>62</v>
      </c>
      <c r="BH311" s="936">
        <v>50</v>
      </c>
      <c r="BI311" s="937">
        <v>110</v>
      </c>
      <c r="BJ311" s="937">
        <v>150</v>
      </c>
      <c r="BK311" s="938">
        <v>60.1</v>
      </c>
      <c r="BL311" s="936">
        <v>50</v>
      </c>
      <c r="BM311" s="937">
        <v>110</v>
      </c>
      <c r="BN311" s="937">
        <v>150</v>
      </c>
      <c r="BO311" s="938">
        <v>60.1</v>
      </c>
      <c r="BP311" s="657"/>
      <c r="BQ311" s="8"/>
      <c r="BR311" s="8"/>
      <c r="BS311" s="273">
        <f>SUM(L311:O311)</f>
        <v>526</v>
      </c>
      <c r="BT311" s="691">
        <f>SUM(P311:S311)</f>
        <v>500.04</v>
      </c>
      <c r="BU311" s="691">
        <f>SUM(T311:W311)</f>
        <v>409.05271755928635</v>
      </c>
      <c r="BV311" s="691">
        <f>SUM(X311:AA311)</f>
        <v>424.03999999999996</v>
      </c>
      <c r="BW311" s="691">
        <f>SUM(AB311:AE311)</f>
        <v>439.19499999999994</v>
      </c>
      <c r="BX311" s="691">
        <f>SUM(AF311:AI311)</f>
        <v>423.32</v>
      </c>
      <c r="BY311" s="691">
        <f>SUM(AJ311:AM311)</f>
        <v>435</v>
      </c>
      <c r="BZ311" s="691">
        <f>+SUM(AN311:AQ311)</f>
        <v>438.05</v>
      </c>
      <c r="CA311" s="691">
        <f>+SUM(AR311:AU311)</f>
        <v>437</v>
      </c>
      <c r="CB311" s="691">
        <f>SUM(AV311:AY311)</f>
        <v>393</v>
      </c>
      <c r="CC311" s="691">
        <f>SUM(AZ311:BC311)</f>
        <v>341.59000000000003</v>
      </c>
      <c r="CD311" s="691">
        <f>SUM(BD311:BG311)</f>
        <v>350</v>
      </c>
      <c r="CE311" s="691">
        <f>SUM(BH311:BK311)</f>
        <v>370.1</v>
      </c>
      <c r="CF311" s="692">
        <f>SUM(BL311:BO311)</f>
        <v>370.1</v>
      </c>
      <c r="CG311" s="658"/>
      <c r="CH311" s="363"/>
      <c r="CI311" s="221"/>
      <c r="CJ311" s="221"/>
    </row>
    <row r="312" spans="1:88" ht="14.25" customHeight="1">
      <c r="A312" s="672"/>
      <c r="B312" s="759" t="s">
        <v>268</v>
      </c>
      <c r="C312" s="274"/>
      <c r="D312" s="754"/>
      <c r="E312" s="754"/>
      <c r="F312" s="754"/>
      <c r="G312" s="79"/>
      <c r="H312" s="754"/>
      <c r="I312" s="754"/>
      <c r="J312" s="754"/>
      <c r="K312" s="79"/>
      <c r="L312" s="754"/>
      <c r="M312" s="247">
        <f>M311/L311-1</f>
        <v>1.1973684210526314</v>
      </c>
      <c r="N312" s="247">
        <f>N311/M311-1</f>
        <v>0.20958083832335328</v>
      </c>
      <c r="O312" s="76">
        <f>O311/N311-1</f>
        <v>-0.59900990099009899</v>
      </c>
      <c r="P312" s="760">
        <f>IF(ISERROR(P311/O311-1),"NA",P311/O311-1)</f>
        <v>0</v>
      </c>
      <c r="Q312" s="46">
        <f>IF(ISERROR(Q311/P311-1),"NA",Q311/P311-1)</f>
        <v>1.1728395061728394</v>
      </c>
      <c r="R312" s="46">
        <f>IF(ISERROR(R311/Q311-1),"NA",R311/Q311-1)</f>
        <v>3.4090909090909172E-2</v>
      </c>
      <c r="S312" s="749">
        <f>IF(ISERROR(S311/R311-1),"NA",S311/R311-1)</f>
        <v>-0.66461538461538461</v>
      </c>
      <c r="T312" s="247">
        <f t="shared" ref="T312:AU312" si="919">T311/S311-1</f>
        <v>-0.15399777932302994</v>
      </c>
      <c r="U312" s="247">
        <f t="shared" si="919"/>
        <v>1.4989488596345408</v>
      </c>
      <c r="V312" s="247">
        <f t="shared" si="919"/>
        <v>0.19923772713852439</v>
      </c>
      <c r="W312" s="77">
        <f t="shared" si="919"/>
        <v>-0.52434502156481289</v>
      </c>
      <c r="X312" s="247">
        <f t="shared" si="919"/>
        <v>-0.12920223886718107</v>
      </c>
      <c r="Y312" s="247">
        <f t="shared" si="919"/>
        <v>1.1815912636505463</v>
      </c>
      <c r="Z312" s="247">
        <f t="shared" si="919"/>
        <v>6.9794050343249259E-2</v>
      </c>
      <c r="AA312" s="76">
        <f t="shared" si="919"/>
        <v>-0.52874331550802145</v>
      </c>
      <c r="AB312" s="522">
        <f t="shared" si="919"/>
        <v>-3.7730496453900697E-2</v>
      </c>
      <c r="AC312" s="76">
        <f t="shared" si="919"/>
        <v>1.0389150943396226</v>
      </c>
      <c r="AD312" s="231">
        <f t="shared" si="919"/>
        <v>0.19024725274725274</v>
      </c>
      <c r="AE312" s="276">
        <f t="shared" si="919"/>
        <v>-0.58453548759376805</v>
      </c>
      <c r="AF312" s="76">
        <f t="shared" si="919"/>
        <v>-4.9707602339181367E-2</v>
      </c>
      <c r="AG312" s="231">
        <f t="shared" si="919"/>
        <v>1.1280000000000001</v>
      </c>
      <c r="AH312" s="231">
        <f t="shared" si="919"/>
        <v>0.15673799884326201</v>
      </c>
      <c r="AI312" s="276">
        <f t="shared" si="919"/>
        <v>-0.625</v>
      </c>
      <c r="AJ312" s="734">
        <f t="shared" si="919"/>
        <v>8.3333333333333259E-2</v>
      </c>
      <c r="AK312" s="231">
        <f t="shared" si="919"/>
        <v>1.3076923076923075</v>
      </c>
      <c r="AL312" s="231">
        <f t="shared" si="919"/>
        <v>6.6666666666666652E-2</v>
      </c>
      <c r="AM312" s="276">
        <f t="shared" si="919"/>
        <v>-0.625</v>
      </c>
      <c r="AN312" s="247">
        <f t="shared" si="919"/>
        <v>5.0833333333333286E-2</v>
      </c>
      <c r="AO312" s="247">
        <f t="shared" si="919"/>
        <v>1.3790642347343378</v>
      </c>
      <c r="AP312" s="247">
        <f t="shared" si="919"/>
        <v>0.1333333333333333</v>
      </c>
      <c r="AQ312" s="276">
        <f t="shared" si="919"/>
        <v>-0.67647058823529416</v>
      </c>
      <c r="AR312" s="247">
        <f t="shared" si="919"/>
        <v>-0.23636363636363633</v>
      </c>
      <c r="AS312" s="247">
        <f t="shared" ref="AS312:AY312" si="920">AS311/AR311-1</f>
        <v>2.8095238095238093</v>
      </c>
      <c r="AT312" s="247">
        <f t="shared" si="919"/>
        <v>6.25E-2</v>
      </c>
      <c r="AU312" s="276">
        <f t="shared" si="919"/>
        <v>-0.61764705882352944</v>
      </c>
      <c r="AV312" s="247">
        <f t="shared" si="920"/>
        <v>-0.32307692307692304</v>
      </c>
      <c r="AW312" s="247">
        <f t="shared" si="920"/>
        <v>1.6818181818181817</v>
      </c>
      <c r="AX312" s="247">
        <f t="shared" si="920"/>
        <v>0.48305084745762716</v>
      </c>
      <c r="AY312" s="276">
        <f t="shared" si="920"/>
        <v>-0.67999999999999994</v>
      </c>
      <c r="AZ312" s="247">
        <f t="shared" ref="AZ312:BG312" si="921">AZ311/AY311-1</f>
        <v>-0.2857142857142857</v>
      </c>
      <c r="BA312" s="247">
        <f t="shared" si="921"/>
        <v>1.75</v>
      </c>
      <c r="BB312" s="247">
        <f t="shared" si="921"/>
        <v>0.46900000000000008</v>
      </c>
      <c r="BC312" s="231">
        <f t="shared" si="921"/>
        <v>-0.81434494708830996</v>
      </c>
      <c r="BD312" s="522">
        <f t="shared" si="921"/>
        <v>-6.6666666666666652E-2</v>
      </c>
      <c r="BE312" s="76">
        <f t="shared" si="921"/>
        <v>2.9285714285714284</v>
      </c>
      <c r="BF312" s="76">
        <f t="shared" si="921"/>
        <v>0.36363636363636354</v>
      </c>
      <c r="BG312" s="276">
        <f t="shared" si="921"/>
        <v>-0.58666666666666667</v>
      </c>
      <c r="BH312" s="522">
        <f t="shared" ref="BH312" si="922">BH311/BG311-1</f>
        <v>-0.19354838709677424</v>
      </c>
      <c r="BI312" s="76">
        <f t="shared" ref="BI312" si="923">BI311/BH311-1</f>
        <v>1.2000000000000002</v>
      </c>
      <c r="BJ312" s="76">
        <f t="shared" ref="BJ312" si="924">BJ311/BI311-1</f>
        <v>0.36363636363636354</v>
      </c>
      <c r="BK312" s="276">
        <f t="shared" ref="BK312" si="925">BK311/BJ311-1</f>
        <v>-0.59933333333333327</v>
      </c>
      <c r="BL312" s="522">
        <f t="shared" ref="BL312" si="926">BL311/BK311-1</f>
        <v>-0.16805324459234616</v>
      </c>
      <c r="BM312" s="76">
        <f t="shared" ref="BM312" si="927">BM311/BL311-1</f>
        <v>1.2000000000000002</v>
      </c>
      <c r="BN312" s="76">
        <f t="shared" ref="BN312" si="928">BN311/BM311-1</f>
        <v>0.36363636363636354</v>
      </c>
      <c r="BO312" s="276">
        <f t="shared" ref="BO312" si="929">BO311/BN311-1</f>
        <v>-0.59933333333333327</v>
      </c>
      <c r="BP312" s="657"/>
      <c r="BQ312" s="8"/>
      <c r="BR312" s="8"/>
      <c r="BS312" s="8"/>
      <c r="BT312" s="54"/>
      <c r="BU312" s="54"/>
      <c r="BV312" s="54"/>
      <c r="BW312" s="54"/>
      <c r="BX312" s="54"/>
      <c r="BY312" s="54"/>
      <c r="BZ312" s="54"/>
      <c r="CA312" s="54"/>
      <c r="CB312" s="54"/>
      <c r="CC312" s="54"/>
      <c r="CD312" s="54"/>
      <c r="CE312" s="54"/>
      <c r="CF312" s="21"/>
      <c r="CG312" s="658"/>
      <c r="CH312" s="363"/>
    </row>
    <row r="313" spans="1:88" ht="14.25" customHeight="1">
      <c r="A313" s="672"/>
      <c r="B313" s="759" t="s">
        <v>499</v>
      </c>
      <c r="C313" s="274"/>
      <c r="D313" s="754"/>
      <c r="E313" s="754"/>
      <c r="F313" s="754"/>
      <c r="G313" s="79"/>
      <c r="H313" s="754"/>
      <c r="I313" s="754"/>
      <c r="J313" s="754"/>
      <c r="K313" s="79"/>
      <c r="L313" s="754"/>
      <c r="M313" s="754"/>
      <c r="N313" s="754"/>
      <c r="O313" s="78"/>
      <c r="P313" s="760"/>
      <c r="Q313" s="46"/>
      <c r="R313" s="46"/>
      <c r="S313" s="749"/>
      <c r="T313" s="247"/>
      <c r="U313" s="247"/>
      <c r="V313" s="247"/>
      <c r="W313" s="77"/>
      <c r="X313" s="247"/>
      <c r="Y313" s="247"/>
      <c r="Z313" s="247"/>
      <c r="AA313" s="76"/>
      <c r="AB313" s="522"/>
      <c r="AC313" s="76"/>
      <c r="AD313" s="231"/>
      <c r="AE313" s="276"/>
      <c r="AF313" s="76">
        <f t="shared" ref="AF313" si="930">AVERAGE(AB312,X312,T312,P312,L312)</f>
        <v>-8.0232628661027927E-2</v>
      </c>
      <c r="AG313" s="231">
        <f t="shared" ref="AG313" si="931">AVERAGE(AC312,Y312,U312,Q312,M312)</f>
        <v>1.2179326289700363</v>
      </c>
      <c r="AH313" s="231">
        <f t="shared" ref="AH313" si="932">AVERAGE(AD312,Z312,V312,R312,N312)</f>
        <v>0.14059015552865778</v>
      </c>
      <c r="AI313" s="276">
        <f t="shared" ref="AI313" si="933">AVERAGE(AE312,AA312,W312,S312,O312)</f>
        <v>-0.58024982205441722</v>
      </c>
      <c r="AJ313" s="734">
        <f t="shared" ref="AJ313" si="934">AVERAGE(AF312,AB312,X312,T312,P312)</f>
        <v>-7.4127623396658612E-2</v>
      </c>
      <c r="AK313" s="231">
        <f t="shared" ref="AK313" si="935">AVERAGE(AG312,AC312,Y312,U312,Q312)</f>
        <v>1.2040589447595098</v>
      </c>
      <c r="AL313" s="231">
        <f t="shared" ref="AL313" si="936">AVERAGE(AH312,AD312,Z312,V312,R312)</f>
        <v>0.13002158763263952</v>
      </c>
      <c r="AM313" s="749">
        <f t="shared" ref="AM313" si="937">AVERAGE(AI312,AE312,AA312,W312,S312)</f>
        <v>-0.58544784185639731</v>
      </c>
      <c r="AN313" s="247">
        <f>AVERAGE(AJ312,AF312,AB312,X312,T312)</f>
        <v>-5.7460956729991963E-2</v>
      </c>
      <c r="AO313" s="247">
        <f t="shared" ref="AO313" si="938">AVERAGE(AK312,AG312,AC312,Y312,U312)</f>
        <v>1.2310295050634035</v>
      </c>
      <c r="AP313" s="247">
        <f t="shared" ref="AP313" si="939">AVERAGE(AL312,AH312,AD312,Z312,V312)</f>
        <v>0.13653673914779102</v>
      </c>
      <c r="AQ313" s="749">
        <f t="shared" ref="AQ313" si="940">AVERAGE(AM312,AI312,AE312,AA312,W312)</f>
        <v>-0.5775247649333205</v>
      </c>
      <c r="AR313" s="247">
        <f t="shared" ref="AR313" si="941">AVERAGE(AN312,AJ312,AF312,AB312,X312)</f>
        <v>-1.6494734198719319E-2</v>
      </c>
      <c r="AS313" s="247">
        <f t="shared" ref="AS313" si="942">AVERAGE(AO312,AK312,AG312,AC312,Y312)</f>
        <v>1.2070525800833629</v>
      </c>
      <c r="AT313" s="247">
        <f t="shared" ref="AT313" si="943">AVERAGE(AP312,AL312,AH312,AD312,Z312)</f>
        <v>0.12335586038675279</v>
      </c>
      <c r="AU313" s="749">
        <f t="shared" ref="AU313" si="944">AVERAGE(AQ312,AM312,AI312,AE312,AA312)</f>
        <v>-0.60794987826741675</v>
      </c>
      <c r="AV313" s="247">
        <f t="shared" ref="AV313" si="945">AVERAGE(AR312,AN312,AJ312,AF312,AB312)</f>
        <v>-3.7927013698010367E-2</v>
      </c>
      <c r="AW313" s="247">
        <f t="shared" ref="AW313" si="946">AVERAGE(AS312,AO312,AK312,AG312,AC312)</f>
        <v>1.5326390892580153</v>
      </c>
      <c r="AX313" s="247">
        <f t="shared" ref="AX313" si="947">AVERAGE(AT312,AP312,AL312,AH312,AD312)</f>
        <v>0.12189705031810294</v>
      </c>
      <c r="AY313" s="749">
        <f t="shared" ref="AY313" si="948">AVERAGE(AU312,AQ312,AM312,AI312,AE312)</f>
        <v>-0.62573062693051829</v>
      </c>
      <c r="AZ313" s="247">
        <f t="shared" ref="AZ313" si="949">AVERAGE(AV312,AR312,AN312,AJ312,AF312)</f>
        <v>-9.4996299022614833E-2</v>
      </c>
      <c r="BA313" s="247">
        <f t="shared" ref="BA313" si="950">AVERAGE(AW312,AS312,AO312,AK312,AG312)</f>
        <v>1.6612197067537273</v>
      </c>
      <c r="BB313" s="247">
        <f t="shared" ref="BB313" si="951">AVERAGE(AX312,AT312,AP312,AL312,AH312)</f>
        <v>0.18045776926017781</v>
      </c>
      <c r="BC313" s="76">
        <f t="shared" ref="BC313" si="952">AVERAGE(AY312,AU312,AQ312,AM312,AI312)</f>
        <v>-0.64482352941176468</v>
      </c>
      <c r="BD313" s="522">
        <f t="shared" ref="BD313" si="953">AVERAGE(AZ312,AV312,AR312,AN312,AJ312)</f>
        <v>-0.14219763569763572</v>
      </c>
      <c r="BE313" s="76">
        <f t="shared" ref="BE313" si="954">AVERAGE(BA312,AW312,AS312,AO312,AK312)</f>
        <v>1.7856197067537274</v>
      </c>
      <c r="BF313" s="76">
        <f t="shared" ref="BF313" si="955">AVERAGE(BB312,AX312,AT312,AP312,AL312)</f>
        <v>0.24291016949152544</v>
      </c>
      <c r="BG313" s="77">
        <f t="shared" ref="BG313" si="956">AVERAGE(BC312,AY312,AU312,AQ312,AM312)</f>
        <v>-0.68269251882942661</v>
      </c>
      <c r="BH313" s="522">
        <f t="shared" ref="BH313" si="957">AVERAGE(BD312,AZ312,AV312,AR312,AN312)</f>
        <v>-0.17219763569763569</v>
      </c>
      <c r="BI313" s="76">
        <f t="shared" ref="BI313" si="958">AVERAGE(BE312,BA312,AW312,AS312,AO312)</f>
        <v>2.109795530929552</v>
      </c>
      <c r="BJ313" s="76">
        <f t="shared" ref="BJ313" si="959">AVERAGE(BF312,BB312,AX312,AT312,AP312)</f>
        <v>0.30230410888546483</v>
      </c>
      <c r="BK313" s="77">
        <f t="shared" ref="BK313" si="960">AVERAGE(BG312,BC312,AY312,AU312,AQ312)</f>
        <v>-0.67502585216276001</v>
      </c>
      <c r="BL313" s="522">
        <f t="shared" ref="BL313" si="961">AVERAGE(BH312,BD312,AZ312,AV312,AR312)</f>
        <v>-0.22107397978365723</v>
      </c>
      <c r="BM313" s="76">
        <f t="shared" ref="BM313" si="962">AVERAGE(BI312,BE312,BA312,AW312,AS312)</f>
        <v>2.0739826839826838</v>
      </c>
      <c r="BN313" s="76">
        <f t="shared" ref="BN313" si="963">AVERAGE(BJ312,BF312,BB312,AX312,AT312)</f>
        <v>0.34836471494607085</v>
      </c>
      <c r="BO313" s="77">
        <f t="shared" ref="BO313" si="964">AVERAGE(BK312,BG312,BC312,AY312,AU312)</f>
        <v>-0.6595984011823679</v>
      </c>
      <c r="BP313" s="657"/>
      <c r="BQ313" s="8"/>
      <c r="BR313" s="8"/>
      <c r="BS313" s="8"/>
      <c r="BT313" s="54"/>
      <c r="BU313" s="54"/>
      <c r="BV313" s="54"/>
      <c r="BW313" s="54"/>
      <c r="BX313" s="54"/>
      <c r="BY313" s="54"/>
      <c r="BZ313" s="54"/>
      <c r="CA313" s="54"/>
      <c r="CB313" s="54"/>
      <c r="CC313" s="54"/>
      <c r="CD313" s="54"/>
      <c r="CE313" s="54"/>
      <c r="CF313" s="21"/>
      <c r="CG313" s="658"/>
      <c r="CH313" s="363"/>
    </row>
    <row r="314" spans="1:88" ht="14.25" customHeight="1">
      <c r="A314" s="672"/>
      <c r="B314" s="764" t="s">
        <v>269</v>
      </c>
      <c r="C314" s="274"/>
      <c r="D314" s="754"/>
      <c r="E314" s="754"/>
      <c r="F314" s="754"/>
      <c r="G314" s="79"/>
      <c r="H314" s="754"/>
      <c r="I314" s="754"/>
      <c r="J314" s="754"/>
      <c r="K314" s="79"/>
      <c r="L314" s="754"/>
      <c r="M314" s="247"/>
      <c r="N314" s="247"/>
      <c r="O314" s="76"/>
      <c r="P314" s="760">
        <f>IF(ISERROR(P311/L311-1),"NA",P311/L311-1)</f>
        <v>6.578947368421062E-2</v>
      </c>
      <c r="Q314" s="46">
        <f>IF(ISERROR(Q311/M311-1),"NA",Q311/M311-1)</f>
        <v>5.3892215568862367E-2</v>
      </c>
      <c r="R314" s="46">
        <f>IF(ISERROR(R311/N311-1),"NA",R311/N311-1)</f>
        <v>-9.9009900990098987E-2</v>
      </c>
      <c r="S314" s="749">
        <f>IF(ISERROR(S311/O311-1),"NA",S311/O311-1)</f>
        <v>-0.24641975308641972</v>
      </c>
      <c r="T314" s="247">
        <f t="shared" ref="T314:AQ314" si="965">T311/P311-1</f>
        <v>-0.3624694376528117</v>
      </c>
      <c r="U314" s="247">
        <f t="shared" si="965"/>
        <v>-0.26678603401969558</v>
      </c>
      <c r="V314" s="247">
        <f t="shared" si="965"/>
        <v>-0.14968999114260406</v>
      </c>
      <c r="W314" s="77">
        <f t="shared" si="965"/>
        <v>0.20594138900040138</v>
      </c>
      <c r="X314" s="247">
        <f t="shared" si="965"/>
        <v>0.24128641265106565</v>
      </c>
      <c r="Y314" s="247">
        <f t="shared" si="965"/>
        <v>8.364746364746356E-2</v>
      </c>
      <c r="Z314" s="247">
        <f t="shared" si="965"/>
        <v>-3.3319597069597195E-2</v>
      </c>
      <c r="AA314" s="76">
        <f t="shared" si="965"/>
        <v>-4.2258312638631224E-2</v>
      </c>
      <c r="AB314" s="522">
        <f t="shared" si="965"/>
        <v>5.8346333853354304E-2</v>
      </c>
      <c r="AC314" s="76">
        <f t="shared" si="965"/>
        <v>-1.0869565217391353E-2</v>
      </c>
      <c r="AD314" s="231">
        <f t="shared" si="965"/>
        <v>0.1005013368983958</v>
      </c>
      <c r="AE314" s="276">
        <f t="shared" si="965"/>
        <v>-2.9787234042553123E-2</v>
      </c>
      <c r="AF314" s="76">
        <f t="shared" si="965"/>
        <v>-4.1863207547169878E-2</v>
      </c>
      <c r="AG314" s="231">
        <f t="shared" si="965"/>
        <v>0</v>
      </c>
      <c r="AH314" s="231">
        <f t="shared" si="965"/>
        <v>-2.8153187353843312E-2</v>
      </c>
      <c r="AI314" s="276">
        <f t="shared" si="965"/>
        <v>-0.1228070175438597</v>
      </c>
      <c r="AJ314" s="734">
        <f t="shared" si="965"/>
        <v>0</v>
      </c>
      <c r="AK314" s="231">
        <f t="shared" si="965"/>
        <v>8.444187391555813E-2</v>
      </c>
      <c r="AL314" s="231">
        <f t="shared" si="965"/>
        <v>0</v>
      </c>
      <c r="AM314" s="276">
        <f t="shared" si="965"/>
        <v>0</v>
      </c>
      <c r="AN314" s="275">
        <f t="shared" si="965"/>
        <v>-3.0000000000000027E-2</v>
      </c>
      <c r="AO314" s="275">
        <f t="shared" si="965"/>
        <v>0</v>
      </c>
      <c r="AP314" s="275">
        <f t="shared" si="965"/>
        <v>6.25E-2</v>
      </c>
      <c r="AQ314" s="276">
        <f t="shared" si="965"/>
        <v>-8.333333333333337E-2</v>
      </c>
      <c r="AR314" s="275">
        <f t="shared" ref="AR314:AY314" si="966">AR311/AN311-1</f>
        <v>-0.33386201427438533</v>
      </c>
      <c r="AS314" s="275">
        <f t="shared" si="966"/>
        <v>6.6666666666666652E-2</v>
      </c>
      <c r="AT314" s="275">
        <f t="shared" si="966"/>
        <v>0</v>
      </c>
      <c r="AU314" s="276">
        <f t="shared" si="966"/>
        <v>0.18181818181818188</v>
      </c>
      <c r="AV314" s="275">
        <f t="shared" si="966"/>
        <v>4.7619047619047672E-2</v>
      </c>
      <c r="AW314" s="275">
        <f t="shared" si="966"/>
        <v>-0.26249999999999996</v>
      </c>
      <c r="AX314" s="275">
        <f t="shared" si="966"/>
        <v>2.9411764705882248E-2</v>
      </c>
      <c r="AY314" s="276">
        <f t="shared" si="966"/>
        <v>-0.13846153846153841</v>
      </c>
      <c r="AZ314" s="275">
        <f t="shared" ref="AZ314:BG314" si="967">AZ311/AV311-1</f>
        <v>-9.0909090909090939E-2</v>
      </c>
      <c r="BA314" s="275">
        <f t="shared" si="967"/>
        <v>-6.7796610169491567E-2</v>
      </c>
      <c r="BB314" s="275">
        <f t="shared" si="967"/>
        <v>-7.6628571428571379E-2</v>
      </c>
      <c r="BC314" s="231">
        <f t="shared" si="967"/>
        <v>-0.4642857142857143</v>
      </c>
      <c r="BD314" s="734">
        <f t="shared" si="967"/>
        <v>-0.30000000000000004</v>
      </c>
      <c r="BE314" s="231">
        <f t="shared" si="967"/>
        <v>0</v>
      </c>
      <c r="BF314" s="231">
        <f t="shared" si="967"/>
        <v>-7.172473544154967E-2</v>
      </c>
      <c r="BG314" s="276">
        <f t="shared" si="967"/>
        <v>1.0666666666666669</v>
      </c>
      <c r="BH314" s="734">
        <f t="shared" ref="BH314" si="968">BH311/BD311-1</f>
        <v>0.78571428571428581</v>
      </c>
      <c r="BI314" s="231">
        <f t="shared" ref="BI314" si="969">BI311/BE311-1</f>
        <v>0</v>
      </c>
      <c r="BJ314" s="231">
        <f t="shared" ref="BJ314" si="970">BJ311/BF311-1</f>
        <v>0</v>
      </c>
      <c r="BK314" s="276">
        <f t="shared" ref="BK314" si="971">BK311/BG311-1</f>
        <v>-3.0645161290322576E-2</v>
      </c>
      <c r="BL314" s="734">
        <f t="shared" ref="BL314" si="972">BL311/BH311-1</f>
        <v>0</v>
      </c>
      <c r="BM314" s="231">
        <f t="shared" ref="BM314" si="973">BM311/BI311-1</f>
        <v>0</v>
      </c>
      <c r="BN314" s="231">
        <f t="shared" ref="BN314" si="974">BN311/BJ311-1</f>
        <v>0</v>
      </c>
      <c r="BO314" s="276">
        <f t="shared" ref="BO314" si="975">BO311/BK311-1</f>
        <v>0</v>
      </c>
      <c r="BP314" s="657"/>
      <c r="BQ314" s="8"/>
      <c r="BR314" s="751"/>
      <c r="BS314" s="751" t="str">
        <f t="shared" ref="BS314:BZ314" si="976">IF(ISERROR(BS311/BR311-1),"NA",BS311/BR311-1)</f>
        <v>NA</v>
      </c>
      <c r="BT314" s="752">
        <f t="shared" si="976"/>
        <v>-4.9353612167300387E-2</v>
      </c>
      <c r="BU314" s="752">
        <f t="shared" si="976"/>
        <v>-0.18196000808078083</v>
      </c>
      <c r="BV314" s="752">
        <f t="shared" si="976"/>
        <v>3.6638999809459616E-2</v>
      </c>
      <c r="BW314" s="752">
        <f t="shared" si="976"/>
        <v>3.5739552872370517E-2</v>
      </c>
      <c r="BX314" s="752">
        <f t="shared" si="976"/>
        <v>-3.6145675611060968E-2</v>
      </c>
      <c r="BY314" s="752">
        <f t="shared" si="976"/>
        <v>2.759142020221117E-2</v>
      </c>
      <c r="BZ314" s="752">
        <f t="shared" si="976"/>
        <v>7.0114942528736179E-3</v>
      </c>
      <c r="CA314" s="752">
        <f t="shared" ref="CA314:CF314" si="977">IF(ISERROR(CA311/BZ311-1),"NA",CA311/BZ311-1)</f>
        <v>-2.3969866453601441E-3</v>
      </c>
      <c r="CB314" s="752">
        <f t="shared" si="977"/>
        <v>-0.10068649885583525</v>
      </c>
      <c r="CC314" s="752">
        <f t="shared" si="977"/>
        <v>-0.13081424936386765</v>
      </c>
      <c r="CD314" s="752">
        <f t="shared" si="977"/>
        <v>2.4620158669750092E-2</v>
      </c>
      <c r="CE314" s="752">
        <f t="shared" si="977"/>
        <v>5.7428571428571384E-2</v>
      </c>
      <c r="CF314" s="753">
        <f t="shared" si="977"/>
        <v>0</v>
      </c>
      <c r="CG314" s="658"/>
      <c r="CH314" s="363"/>
    </row>
    <row r="315" spans="1:88" ht="14.25" customHeight="1">
      <c r="A315" s="672"/>
      <c r="B315" s="759" t="s">
        <v>270</v>
      </c>
      <c r="C315" s="274"/>
      <c r="D315" s="754"/>
      <c r="E315" s="754"/>
      <c r="F315" s="754"/>
      <c r="G315" s="79"/>
      <c r="H315" s="754"/>
      <c r="I315" s="754"/>
      <c r="J315" s="754"/>
      <c r="K315" s="79"/>
      <c r="L315" s="247">
        <f t="shared" ref="L315:BC315" si="978">L311/L14</f>
        <v>2.3816985271074897E-2</v>
      </c>
      <c r="M315" s="247">
        <f t="shared" si="978"/>
        <v>4.877336448598131E-2</v>
      </c>
      <c r="N315" s="247">
        <f t="shared" si="978"/>
        <v>5.5146055146055147E-2</v>
      </c>
      <c r="O315" s="76">
        <f t="shared" si="978"/>
        <v>2.2778402699662543E-2</v>
      </c>
      <c r="P315" s="522">
        <f t="shared" si="978"/>
        <v>2.4755501222493887E-2</v>
      </c>
      <c r="Q315" s="46">
        <f t="shared" si="978"/>
        <v>5.2521635332736495E-2</v>
      </c>
      <c r="R315" s="46">
        <f t="shared" si="978"/>
        <v>5.3734868615293772E-2</v>
      </c>
      <c r="S315" s="749">
        <f t="shared" si="978"/>
        <v>2.4504215174628662E-2</v>
      </c>
      <c r="T315" s="247">
        <f t="shared" si="978"/>
        <v>2.4755501222493887E-2</v>
      </c>
      <c r="U315" s="765">
        <f t="shared" si="978"/>
        <v>5.2521635332736502E-2</v>
      </c>
      <c r="V315" s="765">
        <f t="shared" si="978"/>
        <v>5.3734868615293772E-2</v>
      </c>
      <c r="W315" s="749">
        <f t="shared" si="978"/>
        <v>2.4496060693705326E-2</v>
      </c>
      <c r="X315" s="247">
        <f t="shared" si="978"/>
        <v>1.9999999999999997E-2</v>
      </c>
      <c r="Y315" s="765">
        <f t="shared" si="978"/>
        <v>0.04</v>
      </c>
      <c r="Z315" s="765">
        <f t="shared" si="978"/>
        <v>0.04</v>
      </c>
      <c r="AA315" s="46">
        <f t="shared" si="978"/>
        <v>0.02</v>
      </c>
      <c r="AB315" s="522">
        <f t="shared" si="978"/>
        <v>0.02</v>
      </c>
      <c r="AC315" s="46">
        <f t="shared" si="978"/>
        <v>0.04</v>
      </c>
      <c r="AD315" s="46">
        <f t="shared" si="978"/>
        <v>4.7500000000000001E-2</v>
      </c>
      <c r="AE315" s="749">
        <f t="shared" si="978"/>
        <v>0.02</v>
      </c>
      <c r="AF315" s="76">
        <f t="shared" si="978"/>
        <v>2.0826658122396667E-2</v>
      </c>
      <c r="AG315" s="76">
        <f t="shared" si="978"/>
        <v>4.1475262368815588E-2</v>
      </c>
      <c r="AH315" s="76">
        <f t="shared" si="978"/>
        <v>4.71976401179941E-2</v>
      </c>
      <c r="AI315" s="77">
        <f t="shared" si="978"/>
        <v>2.014098690835851E-2</v>
      </c>
      <c r="AJ315" s="522">
        <f t="shared" si="978"/>
        <v>2.2530329289428077E-2</v>
      </c>
      <c r="AK315" s="76">
        <f t="shared" si="978"/>
        <v>4.9228749589760423E-2</v>
      </c>
      <c r="AL315" s="76">
        <f t="shared" si="978"/>
        <v>4.9321824907521579E-2</v>
      </c>
      <c r="AM315" s="77">
        <f t="shared" si="978"/>
        <v>1.9814233640994643E-2</v>
      </c>
      <c r="AN315" s="247">
        <f t="shared" si="978"/>
        <v>2.1139996822999278E-2</v>
      </c>
      <c r="AO315" s="247">
        <f t="shared" si="978"/>
        <v>4.5568877684131211E-2</v>
      </c>
      <c r="AP315" s="247">
        <f t="shared" si="978"/>
        <v>4.855213601271427E-2</v>
      </c>
      <c r="AQ315" s="77">
        <f t="shared" si="978"/>
        <v>1.6824717038849801E-2</v>
      </c>
      <c r="AR315" s="247">
        <f t="shared" si="978"/>
        <v>1.3333333333333334E-2</v>
      </c>
      <c r="AS315" s="247">
        <f t="shared" si="978"/>
        <v>4.8005630987310574E-2</v>
      </c>
      <c r="AT315" s="247">
        <f t="shared" si="978"/>
        <v>4.9513528152446112E-2</v>
      </c>
      <c r="AU315" s="77">
        <f t="shared" si="978"/>
        <v>2.0381845796359474E-2</v>
      </c>
      <c r="AV315" s="247">
        <f t="shared" si="978"/>
        <v>1.4629650030546277E-2</v>
      </c>
      <c r="AW315" s="247">
        <f t="shared" si="978"/>
        <v>3.6057059766858177E-2</v>
      </c>
      <c r="AX315" s="247">
        <f t="shared" si="978"/>
        <v>4.762415755583406E-2</v>
      </c>
      <c r="AY315" s="77">
        <f t="shared" ref="AY315" si="979">AY311/AY14</f>
        <v>1.6403360119683751E-2</v>
      </c>
      <c r="AZ315" s="247">
        <f t="shared" si="978"/>
        <v>1.1757351329233782E-2</v>
      </c>
      <c r="BA315" s="247">
        <f t="shared" si="978"/>
        <v>2.9784999671263808E-2</v>
      </c>
      <c r="BB315" s="247">
        <f t="shared" si="978"/>
        <v>3.925898931000972E-2</v>
      </c>
      <c r="BC315" s="76">
        <f t="shared" si="978"/>
        <v>7.9995544837316006E-3</v>
      </c>
      <c r="BD315" s="522">
        <f t="shared" ref="BD315:BG315" si="980">BD311/BD14</f>
        <v>7.3901391861261436E-3</v>
      </c>
      <c r="BE315" s="76">
        <f t="shared" si="980"/>
        <v>2.7887803869262602E-2</v>
      </c>
      <c r="BF315" s="76">
        <f t="shared" si="980"/>
        <v>3.5739708583874652E-2</v>
      </c>
      <c r="BG315" s="77">
        <f t="shared" si="980"/>
        <v>1.5677783277210169E-2</v>
      </c>
      <c r="BH315" s="522">
        <f t="shared" ref="BH315:BK315" si="981">BH311/BH14</f>
        <v>1.2984961889452326E-2</v>
      </c>
      <c r="BI315" s="76">
        <f t="shared" si="981"/>
        <v>2.6898896814386581E-2</v>
      </c>
      <c r="BJ315" s="76">
        <f t="shared" si="981"/>
        <v>3.4556369374331909E-2</v>
      </c>
      <c r="BK315" s="77">
        <f t="shared" si="981"/>
        <v>1.474190076180355E-2</v>
      </c>
      <c r="BL315" s="522">
        <f t="shared" ref="BL315:BO315" si="982">BL311/BL14</f>
        <v>1.2581605308504402E-2</v>
      </c>
      <c r="BM315" s="76">
        <f t="shared" si="982"/>
        <v>2.6071047243679448E-2</v>
      </c>
      <c r="BN315" s="76">
        <f t="shared" si="982"/>
        <v>3.3512106577584438E-2</v>
      </c>
      <c r="BO315" s="77">
        <f t="shared" si="982"/>
        <v>1.4288355991780816E-2</v>
      </c>
      <c r="BP315" s="657"/>
      <c r="BQ315" s="8"/>
      <c r="BR315" s="751"/>
      <c r="BS315" s="751" t="str">
        <f>IF(ISERROR(BS311/#REF!),"NA",BS311/#REF!)</f>
        <v>NA</v>
      </c>
      <c r="BT315" s="752">
        <f t="shared" ref="BT315:CC315" si="983">IF(ISERROR(BT311/BT14),"NA",BT311/BT14)</f>
        <v>0.04</v>
      </c>
      <c r="BU315" s="752">
        <f t="shared" si="983"/>
        <v>3.9226382581442877E-2</v>
      </c>
      <c r="BV315" s="752">
        <f t="shared" si="983"/>
        <v>3.036230846341114E-2</v>
      </c>
      <c r="BW315" s="752">
        <f t="shared" si="983"/>
        <v>3.1974009900990093E-2</v>
      </c>
      <c r="BX315" s="752">
        <f t="shared" si="983"/>
        <v>3.3007407407407409E-2</v>
      </c>
      <c r="BY315" s="752">
        <f t="shared" si="983"/>
        <v>3.5643682547150946E-2</v>
      </c>
      <c r="BZ315" s="752">
        <f t="shared" si="983"/>
        <v>3.3580921841115892E-2</v>
      </c>
      <c r="CA315" s="752">
        <f t="shared" si="983"/>
        <v>3.3344880744408945E-2</v>
      </c>
      <c r="CB315" s="752">
        <f t="shared" si="983"/>
        <v>2.9396976347305627E-2</v>
      </c>
      <c r="CC315" s="752">
        <f t="shared" si="983"/>
        <v>2.2831312986281684E-2</v>
      </c>
      <c r="CD315" s="752">
        <f t="shared" ref="CD315" si="984">IF(ISERROR(CD311/CD14),"NA",CD311/CD14)</f>
        <v>2.2033555898004525E-2</v>
      </c>
      <c r="CE315" s="752">
        <f>IF(ISERROR(CE311/CE14),"NA",CE311/CE14)</f>
        <v>2.2625646249132079E-2</v>
      </c>
      <c r="CF315" s="753">
        <f>IF(ISERROR(CF311/CF14),"NA",CF311/CF14)</f>
        <v>2.9123510953122714E-2</v>
      </c>
      <c r="CG315" s="658"/>
      <c r="CH315" s="363"/>
    </row>
    <row r="316" spans="1:88" ht="14.25" hidden="1" customHeight="1" outlineLevel="1">
      <c r="A316" s="672"/>
      <c r="B316" s="824"/>
      <c r="C316" s="274"/>
      <c r="D316" s="754"/>
      <c r="E316" s="754"/>
      <c r="F316" s="754"/>
      <c r="G316" s="79"/>
      <c r="H316" s="754"/>
      <c r="I316" s="754"/>
      <c r="J316" s="754"/>
      <c r="K316" s="79"/>
      <c r="L316" s="754"/>
      <c r="M316" s="754"/>
      <c r="N316" s="754"/>
      <c r="O316" s="78"/>
      <c r="P316" s="522"/>
      <c r="Q316" s="76"/>
      <c r="R316" s="76"/>
      <c r="S316" s="77"/>
      <c r="T316" s="247"/>
      <c r="U316" s="247"/>
      <c r="V316" s="247"/>
      <c r="W316" s="77"/>
      <c r="X316" s="247"/>
      <c r="Y316" s="247"/>
      <c r="Z316" s="247"/>
      <c r="AA316" s="76"/>
      <c r="AB316" s="522"/>
      <c r="AC316" s="76"/>
      <c r="AD316" s="76"/>
      <c r="AE316" s="77"/>
      <c r="AF316" s="76"/>
      <c r="AG316" s="76"/>
      <c r="AH316" s="76"/>
      <c r="AI316" s="77"/>
      <c r="AJ316" s="522"/>
      <c r="AK316" s="76"/>
      <c r="AL316" s="76"/>
      <c r="AM316" s="77"/>
      <c r="AN316" s="247"/>
      <c r="AO316" s="247"/>
      <c r="AP316" s="247"/>
      <c r="AQ316" s="77"/>
      <c r="AR316" s="247"/>
      <c r="AS316" s="247"/>
      <c r="AT316" s="247"/>
      <c r="AU316" s="77"/>
      <c r="AV316" s="247"/>
      <c r="AW316" s="247"/>
      <c r="AX316" s="247"/>
      <c r="AY316" s="77"/>
      <c r="AZ316" s="247"/>
      <c r="BA316" s="247"/>
      <c r="BB316" s="247"/>
      <c r="BC316" s="76"/>
      <c r="BD316" s="522"/>
      <c r="BE316" s="76"/>
      <c r="BF316" s="76"/>
      <c r="BG316" s="77"/>
      <c r="BH316" s="522"/>
      <c r="BI316" s="76"/>
      <c r="BJ316" s="76"/>
      <c r="BK316" s="77"/>
      <c r="BL316" s="522"/>
      <c r="BM316" s="76"/>
      <c r="BN316" s="76"/>
      <c r="BO316" s="77"/>
      <c r="BP316" s="657"/>
      <c r="BQ316" s="8"/>
      <c r="BR316" s="8"/>
      <c r="BS316" s="8"/>
      <c r="BT316" s="14"/>
      <c r="BU316" s="14"/>
      <c r="BV316" s="14"/>
      <c r="BW316" s="14"/>
      <c r="BX316" s="14"/>
      <c r="BY316" s="14"/>
      <c r="BZ316" s="14"/>
      <c r="CA316" s="14"/>
      <c r="CB316" s="14"/>
      <c r="CC316" s="14"/>
      <c r="CD316" s="14"/>
      <c r="CE316" s="14"/>
      <c r="CF316" s="224"/>
      <c r="CG316" s="658"/>
      <c r="CH316" s="363"/>
    </row>
    <row r="317" spans="1:88" ht="14.25" hidden="1" customHeight="1" outlineLevel="1">
      <c r="A317" s="672"/>
      <c r="B317" s="705" t="s">
        <v>335</v>
      </c>
      <c r="C317" s="274"/>
      <c r="D317" s="754"/>
      <c r="E317" s="754"/>
      <c r="F317" s="754"/>
      <c r="G317" s="79"/>
      <c r="H317" s="754"/>
      <c r="I317" s="754"/>
      <c r="J317" s="754"/>
      <c r="K317" s="79"/>
      <c r="L317" s="687">
        <f t="shared" ref="L317:R317" si="985">L$598</f>
        <v>16</v>
      </c>
      <c r="M317" s="687">
        <f t="shared" si="985"/>
        <v>74</v>
      </c>
      <c r="N317" s="687">
        <f t="shared" si="985"/>
        <v>99</v>
      </c>
      <c r="O317" s="687">
        <f t="shared" si="985"/>
        <v>19</v>
      </c>
      <c r="P317" s="688">
        <f t="shared" si="985"/>
        <v>18</v>
      </c>
      <c r="Q317" s="687">
        <f t="shared" si="985"/>
        <v>78</v>
      </c>
      <c r="R317" s="687">
        <f t="shared" si="985"/>
        <v>92</v>
      </c>
      <c r="S317" s="689">
        <f t="shared" ref="S317:AF317" si="986">S320*S311</f>
        <v>14.318024691358024</v>
      </c>
      <c r="T317" s="687">
        <f t="shared" si="986"/>
        <v>11.475550122249389</v>
      </c>
      <c r="U317" s="687">
        <f t="shared" si="986"/>
        <v>57.190689346463742</v>
      </c>
      <c r="V317" s="687">
        <f t="shared" si="986"/>
        <v>78.228520814880426</v>
      </c>
      <c r="W317" s="689">
        <f t="shared" si="986"/>
        <v>17.266698584038338</v>
      </c>
      <c r="X317" s="687">
        <f t="shared" si="986"/>
        <v>14.244444444444442</v>
      </c>
      <c r="Y317" s="687">
        <f t="shared" si="986"/>
        <v>61.974545454545456</v>
      </c>
      <c r="Z317" s="687">
        <f t="shared" si="986"/>
        <v>75.621978021978009</v>
      </c>
      <c r="AA317" s="687">
        <f t="shared" si="986"/>
        <v>16.537037037037035</v>
      </c>
      <c r="AB317" s="688">
        <f t="shared" si="986"/>
        <v>15.075555555555555</v>
      </c>
      <c r="AC317" s="687">
        <f t="shared" si="986"/>
        <v>61.300909090909087</v>
      </c>
      <c r="AD317" s="687">
        <f t="shared" si="986"/>
        <v>83.2220879120879</v>
      </c>
      <c r="AE317" s="689">
        <f t="shared" si="986"/>
        <v>16.044444444444444</v>
      </c>
      <c r="AF317" s="687">
        <f t="shared" si="986"/>
        <v>14.444444444444443</v>
      </c>
      <c r="AG317" s="687">
        <f>AG320*AG311</f>
        <v>61.300909090909087</v>
      </c>
      <c r="AH317" s="687">
        <f>AH320*AH311</f>
        <v>80.879120879120876</v>
      </c>
      <c r="AI317" s="689"/>
      <c r="AJ317" s="688"/>
      <c r="AK317" s="687"/>
      <c r="AL317" s="687"/>
      <c r="AM317" s="689"/>
      <c r="AN317" s="687"/>
      <c r="AO317" s="687"/>
      <c r="AP317" s="687"/>
      <c r="AQ317" s="689"/>
      <c r="AR317" s="687"/>
      <c r="AS317" s="687"/>
      <c r="AT317" s="687"/>
      <c r="AU317" s="689"/>
      <c r="AV317" s="687"/>
      <c r="AW317" s="687"/>
      <c r="AX317" s="687"/>
      <c r="AY317" s="689"/>
      <c r="AZ317" s="687"/>
      <c r="BA317" s="687"/>
      <c r="BB317" s="687"/>
      <c r="BC317" s="687"/>
      <c r="BD317" s="688"/>
      <c r="BE317" s="687"/>
      <c r="BF317" s="687"/>
      <c r="BG317" s="689"/>
      <c r="BH317" s="688"/>
      <c r="BI317" s="687"/>
      <c r="BJ317" s="687"/>
      <c r="BK317" s="689"/>
      <c r="BL317" s="688"/>
      <c r="BM317" s="687"/>
      <c r="BN317" s="687"/>
      <c r="BO317" s="689"/>
      <c r="BP317" s="657"/>
      <c r="BQ317" s="8"/>
      <c r="BR317" s="8"/>
      <c r="BS317" s="273">
        <f>SUM(L317:O317)</f>
        <v>208</v>
      </c>
      <c r="BT317" s="273">
        <f>SUM(P317:S317)</f>
        <v>202.31802469135803</v>
      </c>
      <c r="BU317" s="273">
        <f>SUM(T317:W317)</f>
        <v>164.16145886763189</v>
      </c>
      <c r="BV317" s="273">
        <f>SUM(X317:AA317)</f>
        <v>168.37800495800494</v>
      </c>
      <c r="BW317" s="273">
        <f>SUM(AB317:AE317)</f>
        <v>175.64299700299699</v>
      </c>
      <c r="BX317" s="273">
        <f>SUM(AF317:AI317)</f>
        <v>156.62447441447441</v>
      </c>
      <c r="BY317" s="273">
        <f>SUM(AJ317:AM317)</f>
        <v>0</v>
      </c>
      <c r="BZ317" s="273">
        <f>SUM(AN317:AQ317)</f>
        <v>0</v>
      </c>
      <c r="CA317" s="273">
        <f>SUM(AR317:AU317)</f>
        <v>0</v>
      </c>
      <c r="CB317" s="273">
        <f>SUM(AV317:AY317)</f>
        <v>0</v>
      </c>
      <c r="CC317" s="273">
        <f>SUM(AZ317:BC317)</f>
        <v>0</v>
      </c>
      <c r="CD317" s="273">
        <f>SUM(BD317:BG317)</f>
        <v>0</v>
      </c>
      <c r="CE317" s="273">
        <f>SUM(BH317:BK317)</f>
        <v>0</v>
      </c>
      <c r="CF317" s="717">
        <f>SUM(BL317:BO317)</f>
        <v>0</v>
      </c>
      <c r="CG317" s="658"/>
      <c r="CH317" s="363"/>
    </row>
    <row r="318" spans="1:88" ht="14.25" hidden="1" customHeight="1" outlineLevel="1">
      <c r="A318" s="672"/>
      <c r="B318" s="651" t="s">
        <v>268</v>
      </c>
      <c r="C318" s="274"/>
      <c r="D318" s="754"/>
      <c r="E318" s="754"/>
      <c r="F318" s="754"/>
      <c r="G318" s="79"/>
      <c r="H318" s="754"/>
      <c r="I318" s="754"/>
      <c r="J318" s="754"/>
      <c r="K318" s="79"/>
      <c r="L318" s="247"/>
      <c r="M318" s="247">
        <f t="shared" ref="M318:AH318" si="987">M317/L317-1</f>
        <v>3.625</v>
      </c>
      <c r="N318" s="247">
        <f t="shared" si="987"/>
        <v>0.33783783783783794</v>
      </c>
      <c r="O318" s="76">
        <f t="shared" si="987"/>
        <v>-0.80808080808080807</v>
      </c>
      <c r="P318" s="522">
        <f t="shared" si="987"/>
        <v>-5.2631578947368474E-2</v>
      </c>
      <c r="Q318" s="76">
        <f t="shared" si="987"/>
        <v>3.333333333333333</v>
      </c>
      <c r="R318" s="76">
        <f t="shared" si="987"/>
        <v>0.17948717948717952</v>
      </c>
      <c r="S318" s="77">
        <f t="shared" si="987"/>
        <v>-0.84436929683306494</v>
      </c>
      <c r="T318" s="247">
        <f t="shared" si="987"/>
        <v>-0.19852421199023884</v>
      </c>
      <c r="U318" s="247">
        <f t="shared" si="987"/>
        <v>3.9836991462029765</v>
      </c>
      <c r="V318" s="247">
        <f t="shared" si="987"/>
        <v>0.36785413340567663</v>
      </c>
      <c r="W318" s="77">
        <f t="shared" si="987"/>
        <v>-0.77927872847170199</v>
      </c>
      <c r="X318" s="247">
        <f t="shared" si="987"/>
        <v>-0.17503369997943463</v>
      </c>
      <c r="Y318" s="247">
        <f t="shared" si="987"/>
        <v>3.3507871223939878</v>
      </c>
      <c r="Z318" s="247">
        <f t="shared" si="987"/>
        <v>0.22021028903619966</v>
      </c>
      <c r="AA318" s="76">
        <f t="shared" si="987"/>
        <v>-0.78131969740026008</v>
      </c>
      <c r="AB318" s="522">
        <f t="shared" si="987"/>
        <v>-8.8376259798432111E-2</v>
      </c>
      <c r="AC318" s="76">
        <f t="shared" si="987"/>
        <v>3.0662454438250428</v>
      </c>
      <c r="AD318" s="231">
        <f t="shared" si="987"/>
        <v>0.35759957146263144</v>
      </c>
      <c r="AE318" s="276">
        <f t="shared" si="987"/>
        <v>-0.80720930167730132</v>
      </c>
      <c r="AF318" s="76">
        <f t="shared" si="987"/>
        <v>-9.972299168975074E-2</v>
      </c>
      <c r="AG318" s="76">
        <f t="shared" si="987"/>
        <v>3.2439090909090913</v>
      </c>
      <c r="AH318" s="76">
        <f t="shared" si="987"/>
        <v>0.3193788163757465</v>
      </c>
      <c r="AI318" s="77"/>
      <c r="AJ318" s="522"/>
      <c r="AK318" s="76"/>
      <c r="AL318" s="76"/>
      <c r="AM318" s="77"/>
      <c r="AN318" s="247"/>
      <c r="AO318" s="247"/>
      <c r="AP318" s="247"/>
      <c r="AQ318" s="77"/>
      <c r="AR318" s="247"/>
      <c r="AS318" s="247"/>
      <c r="AT318" s="247"/>
      <c r="AU318" s="77"/>
      <c r="AV318" s="247"/>
      <c r="AW318" s="247"/>
      <c r="AX318" s="247"/>
      <c r="AY318" s="77"/>
      <c r="AZ318" s="247"/>
      <c r="BA318" s="247"/>
      <c r="BB318" s="247"/>
      <c r="BC318" s="76"/>
      <c r="BD318" s="522"/>
      <c r="BE318" s="76"/>
      <c r="BF318" s="76"/>
      <c r="BG318" s="77"/>
      <c r="BH318" s="522"/>
      <c r="BI318" s="76"/>
      <c r="BJ318" s="76"/>
      <c r="BK318" s="77"/>
      <c r="BL318" s="522"/>
      <c r="BM318" s="76"/>
      <c r="BN318" s="76"/>
      <c r="BO318" s="77"/>
      <c r="BP318" s="657"/>
      <c r="BQ318" s="8"/>
      <c r="BR318" s="8"/>
      <c r="BS318" s="8"/>
      <c r="BT318" s="14"/>
      <c r="BU318" s="14"/>
      <c r="BV318" s="14"/>
      <c r="BW318" s="14"/>
      <c r="BX318" s="14"/>
      <c r="BY318" s="14"/>
      <c r="BZ318" s="14"/>
      <c r="CA318" s="14"/>
      <c r="CB318" s="14"/>
      <c r="CC318" s="14"/>
      <c r="CD318" s="14"/>
      <c r="CE318" s="14"/>
      <c r="CF318" s="224"/>
      <c r="CG318" s="658"/>
      <c r="CH318" s="363"/>
    </row>
    <row r="319" spans="1:88" ht="14.25" hidden="1" customHeight="1" outlineLevel="1">
      <c r="A319" s="672"/>
      <c r="B319" s="750" t="s">
        <v>269</v>
      </c>
      <c r="C319" s="274"/>
      <c r="D319" s="754"/>
      <c r="E319" s="754"/>
      <c r="F319" s="754"/>
      <c r="G319" s="79"/>
      <c r="H319" s="754"/>
      <c r="I319" s="754"/>
      <c r="J319" s="754"/>
      <c r="K319" s="79"/>
      <c r="L319" s="247"/>
      <c r="M319" s="247"/>
      <c r="N319" s="247"/>
      <c r="O319" s="76"/>
      <c r="P319" s="522">
        <f t="shared" ref="P319:AH319" si="988">P317/L317-1</f>
        <v>0.125</v>
      </c>
      <c r="Q319" s="76">
        <f t="shared" si="988"/>
        <v>5.4054054054053946E-2</v>
      </c>
      <c r="R319" s="76">
        <f t="shared" si="988"/>
        <v>-7.0707070707070718E-2</v>
      </c>
      <c r="S319" s="77">
        <f t="shared" si="988"/>
        <v>-0.24641975308641972</v>
      </c>
      <c r="T319" s="247">
        <f t="shared" si="988"/>
        <v>-0.3624694376528117</v>
      </c>
      <c r="U319" s="247">
        <f t="shared" si="988"/>
        <v>-0.26678603401969558</v>
      </c>
      <c r="V319" s="247">
        <f t="shared" si="988"/>
        <v>-0.14968999114260406</v>
      </c>
      <c r="W319" s="77">
        <f t="shared" si="988"/>
        <v>0.20594138900040115</v>
      </c>
      <c r="X319" s="247">
        <f t="shared" si="988"/>
        <v>0.24128641265106565</v>
      </c>
      <c r="Y319" s="247">
        <f t="shared" si="988"/>
        <v>8.3647463647463782E-2</v>
      </c>
      <c r="Z319" s="247">
        <f t="shared" si="988"/>
        <v>-3.3319597069597195E-2</v>
      </c>
      <c r="AA319" s="76">
        <f t="shared" si="988"/>
        <v>-4.2258312638631224E-2</v>
      </c>
      <c r="AB319" s="522">
        <f t="shared" si="988"/>
        <v>5.8346333853354304E-2</v>
      </c>
      <c r="AC319" s="76">
        <f t="shared" si="988"/>
        <v>-1.0869565217391353E-2</v>
      </c>
      <c r="AD319" s="231">
        <f t="shared" si="988"/>
        <v>0.1005013368983958</v>
      </c>
      <c r="AE319" s="276">
        <f t="shared" si="988"/>
        <v>-2.9787234042553012E-2</v>
      </c>
      <c r="AF319" s="76">
        <f t="shared" si="988"/>
        <v>-4.1863207547169878E-2</v>
      </c>
      <c r="AG319" s="76">
        <f t="shared" si="988"/>
        <v>0</v>
      </c>
      <c r="AH319" s="76">
        <f t="shared" si="988"/>
        <v>-2.8153187353843201E-2</v>
      </c>
      <c r="AI319" s="77"/>
      <c r="AJ319" s="522"/>
      <c r="AK319" s="76"/>
      <c r="AL319" s="76"/>
      <c r="AM319" s="77"/>
      <c r="AN319" s="247"/>
      <c r="AO319" s="247"/>
      <c r="AP319" s="247"/>
      <c r="AQ319" s="77"/>
      <c r="AR319" s="247"/>
      <c r="AS319" s="247"/>
      <c r="AT319" s="247"/>
      <c r="AU319" s="77"/>
      <c r="AV319" s="247"/>
      <c r="AW319" s="247"/>
      <c r="AX319" s="247"/>
      <c r="AY319" s="77"/>
      <c r="AZ319" s="247"/>
      <c r="BA319" s="247"/>
      <c r="BB319" s="247"/>
      <c r="BC319" s="76"/>
      <c r="BD319" s="522"/>
      <c r="BE319" s="76"/>
      <c r="BF319" s="76"/>
      <c r="BG319" s="77"/>
      <c r="BH319" s="522"/>
      <c r="BI319" s="76"/>
      <c r="BJ319" s="76"/>
      <c r="BK319" s="77"/>
      <c r="BL319" s="522"/>
      <c r="BM319" s="76"/>
      <c r="BN319" s="76"/>
      <c r="BO319" s="77"/>
      <c r="BP319" s="657"/>
      <c r="BQ319" s="8"/>
      <c r="BR319" s="751"/>
      <c r="BS319" s="751" t="str">
        <f t="shared" ref="BS319:BY319" si="989">IF(ISERROR(BS317/BR317-1),"NA",BS317/BR317-1)</f>
        <v>NA</v>
      </c>
      <c r="BT319" s="752">
        <f t="shared" si="989"/>
        <v>-2.73171889838556E-2</v>
      </c>
      <c r="BU319" s="752">
        <f t="shared" si="989"/>
        <v>-0.18859696698766748</v>
      </c>
      <c r="BV319" s="752">
        <f t="shared" si="989"/>
        <v>2.5685359520184026E-2</v>
      </c>
      <c r="BW319" s="752">
        <f t="shared" si="989"/>
        <v>4.3146918427997782E-2</v>
      </c>
      <c r="BX319" s="752">
        <f t="shared" si="989"/>
        <v>-0.1082794242471169</v>
      </c>
      <c r="BY319" s="752">
        <f t="shared" si="989"/>
        <v>-1</v>
      </c>
      <c r="BZ319" s="752"/>
      <c r="CA319" s="752"/>
      <c r="CB319" s="752"/>
      <c r="CC319" s="752"/>
      <c r="CD319" s="752"/>
      <c r="CE319" s="752"/>
      <c r="CF319" s="753"/>
      <c r="CG319" s="658"/>
      <c r="CH319" s="363"/>
    </row>
    <row r="320" spans="1:88" ht="14.25" hidden="1" customHeight="1" outlineLevel="1">
      <c r="A320" s="672"/>
      <c r="B320" s="651" t="s">
        <v>334</v>
      </c>
      <c r="C320" s="274"/>
      <c r="D320" s="754"/>
      <c r="E320" s="754"/>
      <c r="F320" s="754"/>
      <c r="G320" s="79"/>
      <c r="H320" s="754"/>
      <c r="I320" s="754"/>
      <c r="J320" s="754"/>
      <c r="K320" s="79"/>
      <c r="L320" s="247">
        <f t="shared" ref="L320:R320" si="990">L317/L311</f>
        <v>0.21052631578947367</v>
      </c>
      <c r="M320" s="247">
        <f t="shared" si="990"/>
        <v>0.44311377245508982</v>
      </c>
      <c r="N320" s="247">
        <f t="shared" si="990"/>
        <v>0.49009900990099009</v>
      </c>
      <c r="O320" s="76">
        <f t="shared" si="990"/>
        <v>0.23456790123456789</v>
      </c>
      <c r="P320" s="522">
        <f t="shared" si="990"/>
        <v>0.22222222222222221</v>
      </c>
      <c r="Q320" s="76">
        <f t="shared" si="990"/>
        <v>0.44318181818181818</v>
      </c>
      <c r="R320" s="76">
        <f t="shared" si="990"/>
        <v>0.50549450549450547</v>
      </c>
      <c r="S320" s="130">
        <f>O320</f>
        <v>0.23456790123456789</v>
      </c>
      <c r="T320" s="939">
        <v>0.22222222222222221</v>
      </c>
      <c r="U320" s="939">
        <v>0.44318181818181818</v>
      </c>
      <c r="V320" s="939">
        <v>0.50549450549450547</v>
      </c>
      <c r="W320" s="940">
        <v>0.23456790123456789</v>
      </c>
      <c r="X320" s="939">
        <v>0.22222222222222221</v>
      </c>
      <c r="Y320" s="939">
        <v>0.44318181818181818</v>
      </c>
      <c r="Z320" s="939">
        <v>0.50549450549450547</v>
      </c>
      <c r="AA320" s="941">
        <v>0.23456790123456789</v>
      </c>
      <c r="AB320" s="942">
        <v>0.22222222222222221</v>
      </c>
      <c r="AC320" s="941">
        <v>0.44318181818181818</v>
      </c>
      <c r="AD320" s="941">
        <v>0.50549450549450547</v>
      </c>
      <c r="AE320" s="940">
        <v>0.23456790123456789</v>
      </c>
      <c r="AF320" s="941">
        <v>0.22222222222222221</v>
      </c>
      <c r="AG320" s="941">
        <v>0.44318181818181818</v>
      </c>
      <c r="AH320" s="941">
        <v>0.50549450549450547</v>
      </c>
      <c r="AI320" s="943"/>
      <c r="AJ320" s="944"/>
      <c r="AK320" s="945"/>
      <c r="AL320" s="945"/>
      <c r="AM320" s="943"/>
      <c r="AN320" s="946"/>
      <c r="AO320" s="946"/>
      <c r="AP320" s="946"/>
      <c r="AQ320" s="943"/>
      <c r="AR320" s="946"/>
      <c r="AS320" s="946"/>
      <c r="AT320" s="946"/>
      <c r="AU320" s="943"/>
      <c r="AV320" s="946"/>
      <c r="AW320" s="946"/>
      <c r="AX320" s="946"/>
      <c r="AY320" s="943"/>
      <c r="AZ320" s="946"/>
      <c r="BA320" s="946"/>
      <c r="BB320" s="946"/>
      <c r="BC320" s="945"/>
      <c r="BD320" s="944"/>
      <c r="BE320" s="945"/>
      <c r="BF320" s="945"/>
      <c r="BG320" s="943"/>
      <c r="BH320" s="944"/>
      <c r="BI320" s="945"/>
      <c r="BJ320" s="945"/>
      <c r="BK320" s="943"/>
      <c r="BL320" s="944"/>
      <c r="BM320" s="945"/>
      <c r="BN320" s="945"/>
      <c r="BO320" s="943"/>
      <c r="BP320" s="657"/>
      <c r="BQ320" s="8"/>
      <c r="BR320" s="751"/>
      <c r="BS320" s="751">
        <f t="shared" ref="BS320:BZ320" si="991">BS317/BS311</f>
        <v>0.39543726235741444</v>
      </c>
      <c r="BT320" s="752">
        <f t="shared" si="991"/>
        <v>0.40460368108822897</v>
      </c>
      <c r="BU320" s="752">
        <f t="shared" si="991"/>
        <v>0.4013210322795106</v>
      </c>
      <c r="BV320" s="752">
        <f t="shared" si="991"/>
        <v>0.39708047579946454</v>
      </c>
      <c r="BW320" s="752">
        <f t="shared" si="991"/>
        <v>0.39992030192282929</v>
      </c>
      <c r="BX320" s="752">
        <f t="shared" si="991"/>
        <v>0.36999072667125205</v>
      </c>
      <c r="BY320" s="752">
        <f t="shared" si="991"/>
        <v>0</v>
      </c>
      <c r="BZ320" s="752">
        <f t="shared" si="991"/>
        <v>0</v>
      </c>
      <c r="CA320" s="752">
        <f t="shared" ref="CA320:CF320" si="992">CA317/CA311</f>
        <v>0</v>
      </c>
      <c r="CB320" s="752">
        <f t="shared" si="992"/>
        <v>0</v>
      </c>
      <c r="CC320" s="752">
        <f t="shared" si="992"/>
        <v>0</v>
      </c>
      <c r="CD320" s="752">
        <f t="shared" si="992"/>
        <v>0</v>
      </c>
      <c r="CE320" s="752">
        <f t="shared" si="992"/>
        <v>0</v>
      </c>
      <c r="CF320" s="753">
        <f t="shared" si="992"/>
        <v>0</v>
      </c>
      <c r="CG320" s="658"/>
      <c r="CH320" s="363"/>
    </row>
    <row r="321" spans="1:86" ht="14.25" customHeight="1" collapsed="1">
      <c r="A321" s="672"/>
      <c r="B321" s="824"/>
      <c r="C321" s="274"/>
      <c r="D321" s="754"/>
      <c r="E321" s="754"/>
      <c r="F321" s="754"/>
      <c r="G321" s="79"/>
      <c r="H321" s="754"/>
      <c r="I321" s="754"/>
      <c r="J321" s="754"/>
      <c r="K321" s="79"/>
      <c r="L321" s="754"/>
      <c r="M321" s="754"/>
      <c r="N321" s="754"/>
      <c r="O321" s="78"/>
      <c r="P321" s="522"/>
      <c r="Q321" s="76"/>
      <c r="R321" s="76"/>
      <c r="S321" s="77"/>
      <c r="T321" s="247"/>
      <c r="U321" s="247"/>
      <c r="V321" s="247"/>
      <c r="W321" s="77"/>
      <c r="X321" s="247"/>
      <c r="Y321" s="247"/>
      <c r="Z321" s="247"/>
      <c r="AA321" s="76"/>
      <c r="AB321" s="522"/>
      <c r="AC321" s="76"/>
      <c r="AD321" s="76"/>
      <c r="AE321" s="77"/>
      <c r="AF321" s="76"/>
      <c r="AG321" s="76"/>
      <c r="AH321" s="76"/>
      <c r="AI321" s="77"/>
      <c r="AJ321" s="522"/>
      <c r="AK321" s="76"/>
      <c r="AL321" s="76"/>
      <c r="AM321" s="77"/>
      <c r="AN321" s="247"/>
      <c r="AO321" s="247"/>
      <c r="AP321" s="247"/>
      <c r="AQ321" s="77"/>
      <c r="AR321" s="247"/>
      <c r="AS321" s="247"/>
      <c r="AT321" s="247"/>
      <c r="AU321" s="77"/>
      <c r="AV321" s="247"/>
      <c r="AW321" s="247"/>
      <c r="AX321" s="247"/>
      <c r="AY321" s="77"/>
      <c r="AZ321" s="247"/>
      <c r="BA321" s="247"/>
      <c r="BB321" s="247"/>
      <c r="BC321" s="76"/>
      <c r="BD321" s="522"/>
      <c r="BE321" s="76"/>
      <c r="BF321" s="76"/>
      <c r="BG321" s="77"/>
      <c r="BH321" s="522"/>
      <c r="BI321" s="76"/>
      <c r="BJ321" s="76"/>
      <c r="BK321" s="77"/>
      <c r="BL321" s="522"/>
      <c r="BM321" s="76"/>
      <c r="BN321" s="76"/>
      <c r="BO321" s="77"/>
      <c r="BP321" s="657"/>
      <c r="BQ321" s="8"/>
      <c r="BR321" s="8"/>
      <c r="BS321" s="8"/>
      <c r="BT321" s="54"/>
      <c r="BU321" s="54"/>
      <c r="BV321" s="54"/>
      <c r="BW321" s="54"/>
      <c r="BX321" s="54"/>
      <c r="BY321" s="54"/>
      <c r="BZ321" s="54"/>
      <c r="CA321" s="54"/>
      <c r="CB321" s="54"/>
      <c r="CC321" s="54"/>
      <c r="CD321" s="54"/>
      <c r="CE321" s="54"/>
      <c r="CF321" s="21"/>
      <c r="CG321" s="658"/>
      <c r="CH321" s="363"/>
    </row>
    <row r="322" spans="1:86" ht="14.25" customHeight="1">
      <c r="A322" s="672"/>
      <c r="B322" s="755" t="s">
        <v>396</v>
      </c>
      <c r="C322" s="274"/>
      <c r="D322" s="754"/>
      <c r="E322" s="754"/>
      <c r="F322" s="754"/>
      <c r="G322" s="79"/>
      <c r="H322" s="754"/>
      <c r="I322" s="754"/>
      <c r="J322" s="754"/>
      <c r="K322" s="79"/>
      <c r="L322" s="687">
        <f t="shared" ref="L322:AE322" si="993">L$441</f>
        <v>75</v>
      </c>
      <c r="M322" s="687">
        <f t="shared" si="993"/>
        <v>75</v>
      </c>
      <c r="N322" s="687">
        <f t="shared" si="993"/>
        <v>75</v>
      </c>
      <c r="O322" s="687">
        <f t="shared" si="993"/>
        <v>75</v>
      </c>
      <c r="P322" s="688">
        <f t="shared" si="993"/>
        <v>75</v>
      </c>
      <c r="Q322" s="687">
        <f t="shared" si="993"/>
        <v>75</v>
      </c>
      <c r="R322" s="687">
        <f t="shared" si="993"/>
        <v>75</v>
      </c>
      <c r="S322" s="689">
        <f t="shared" si="993"/>
        <v>75</v>
      </c>
      <c r="T322" s="687">
        <f t="shared" si="993"/>
        <v>75</v>
      </c>
      <c r="U322" s="687">
        <f t="shared" si="993"/>
        <v>75</v>
      </c>
      <c r="V322" s="687">
        <f t="shared" si="993"/>
        <v>75</v>
      </c>
      <c r="W322" s="689">
        <f t="shared" si="993"/>
        <v>75</v>
      </c>
      <c r="X322" s="687">
        <f t="shared" si="993"/>
        <v>60</v>
      </c>
      <c r="Y322" s="687">
        <f t="shared" si="993"/>
        <v>60</v>
      </c>
      <c r="Z322" s="687">
        <f t="shared" si="993"/>
        <v>60</v>
      </c>
      <c r="AA322" s="687">
        <f t="shared" si="993"/>
        <v>60</v>
      </c>
      <c r="AB322" s="688">
        <f t="shared" si="993"/>
        <v>50</v>
      </c>
      <c r="AC322" s="687">
        <f t="shared" si="993"/>
        <v>50</v>
      </c>
      <c r="AD322" s="687">
        <f t="shared" si="993"/>
        <v>50</v>
      </c>
      <c r="AE322" s="689">
        <f t="shared" si="993"/>
        <v>50</v>
      </c>
      <c r="AF322" s="687">
        <v>45</v>
      </c>
      <c r="AG322" s="870">
        <v>45</v>
      </c>
      <c r="AH322" s="870">
        <v>45</v>
      </c>
      <c r="AI322" s="872">
        <v>45</v>
      </c>
      <c r="AJ322" s="871">
        <v>42.5</v>
      </c>
      <c r="AK322" s="870">
        <v>40</v>
      </c>
      <c r="AL322" s="870">
        <v>40</v>
      </c>
      <c r="AM322" s="872">
        <v>40</v>
      </c>
      <c r="AN322" s="870">
        <v>40</v>
      </c>
      <c r="AO322" s="870">
        <v>40</v>
      </c>
      <c r="AP322" s="870">
        <v>38</v>
      </c>
      <c r="AQ322" s="872">
        <v>38</v>
      </c>
      <c r="AR322" s="937">
        <v>38</v>
      </c>
      <c r="AS322" s="937">
        <v>40</v>
      </c>
      <c r="AT322" s="937">
        <v>38</v>
      </c>
      <c r="AU322" s="938">
        <v>40</v>
      </c>
      <c r="AV322" s="937">
        <v>40</v>
      </c>
      <c r="AW322" s="937">
        <v>40</v>
      </c>
      <c r="AX322" s="937">
        <v>38</v>
      </c>
      <c r="AY322" s="938">
        <v>38</v>
      </c>
      <c r="AZ322" s="937">
        <v>30</v>
      </c>
      <c r="BA322" s="937">
        <v>30</v>
      </c>
      <c r="BB322" s="937">
        <v>30</v>
      </c>
      <c r="BC322" s="937">
        <v>30</v>
      </c>
      <c r="BD322" s="936">
        <v>30</v>
      </c>
      <c r="BE322" s="937">
        <v>30</v>
      </c>
      <c r="BF322" s="937">
        <v>30</v>
      </c>
      <c r="BG322" s="938">
        <v>30</v>
      </c>
      <c r="BH322" s="936">
        <v>30</v>
      </c>
      <c r="BI322" s="937">
        <v>30</v>
      </c>
      <c r="BJ322" s="937">
        <v>30</v>
      </c>
      <c r="BK322" s="938">
        <v>30</v>
      </c>
      <c r="BL322" s="936">
        <v>30</v>
      </c>
      <c r="BM322" s="937">
        <v>30</v>
      </c>
      <c r="BN322" s="937">
        <v>30</v>
      </c>
      <c r="BO322" s="938">
        <v>30</v>
      </c>
      <c r="BP322" s="657"/>
      <c r="BQ322" s="8"/>
      <c r="BR322" s="8"/>
      <c r="BS322" s="273">
        <f>SUM(L322:O322)</f>
        <v>300</v>
      </c>
      <c r="BT322" s="691">
        <f>SUM(P322:S322)</f>
        <v>300</v>
      </c>
      <c r="BU322" s="691">
        <f>SUM(T322:W322)</f>
        <v>300</v>
      </c>
      <c r="BV322" s="691">
        <f>SUM(X322:AA322)</f>
        <v>240</v>
      </c>
      <c r="BW322" s="691">
        <f>SUM(AB322:AE322)</f>
        <v>200</v>
      </c>
      <c r="BX322" s="691">
        <f>SUM(AF322:AI322)</f>
        <v>180</v>
      </c>
      <c r="BY322" s="691">
        <f>SUM(AJ322:AM322)</f>
        <v>162.5</v>
      </c>
      <c r="BZ322" s="691">
        <f>+SUM(AN322:AQ322)</f>
        <v>156</v>
      </c>
      <c r="CA322" s="691">
        <f>+SUM(AR322:AU322)</f>
        <v>156</v>
      </c>
      <c r="CB322" s="691">
        <f>SUM(AV322:AY322)</f>
        <v>156</v>
      </c>
      <c r="CC322" s="691">
        <f>SUM(AZ322:BC322)</f>
        <v>120</v>
      </c>
      <c r="CD322" s="691">
        <f>SUM(BD322:BG322)</f>
        <v>120</v>
      </c>
      <c r="CE322" s="691">
        <f>SUM(BH322:BK322)</f>
        <v>120</v>
      </c>
      <c r="CF322" s="692">
        <f>SUM(BL322:BO322)</f>
        <v>120</v>
      </c>
      <c r="CG322" s="658"/>
      <c r="CH322" s="363"/>
    </row>
    <row r="323" spans="1:86" ht="14.25" customHeight="1">
      <c r="A323" s="672"/>
      <c r="B323" s="759" t="s">
        <v>268</v>
      </c>
      <c r="C323" s="274"/>
      <c r="D323" s="754"/>
      <c r="E323" s="754"/>
      <c r="F323" s="754"/>
      <c r="G323" s="79"/>
      <c r="H323" s="754"/>
      <c r="I323" s="754"/>
      <c r="J323" s="754"/>
      <c r="K323" s="79"/>
      <c r="L323" s="247"/>
      <c r="M323" s="247">
        <f>M322/L322-1</f>
        <v>0</v>
      </c>
      <c r="N323" s="247">
        <f>N322/M322-1</f>
        <v>0</v>
      </c>
      <c r="O323" s="76">
        <f>O322/N322-1</f>
        <v>0</v>
      </c>
      <c r="P323" s="760">
        <f>IF(ISERROR(P322/O322-1),"NA",P322/O322-1)</f>
        <v>0</v>
      </c>
      <c r="Q323" s="46">
        <f>IF(ISERROR(Q322/P322-1),"NA",Q322/P322-1)</f>
        <v>0</v>
      </c>
      <c r="R323" s="46">
        <f>IF(ISERROR(R322/Q322-1),"NA",R322/Q322-1)</f>
        <v>0</v>
      </c>
      <c r="S323" s="749">
        <f>IF(ISERROR(S322/R322-1),"NA",S322/R322-1)</f>
        <v>0</v>
      </c>
      <c r="T323" s="247">
        <f t="shared" ref="T323:AF323" si="994">T322/S322-1</f>
        <v>0</v>
      </c>
      <c r="U323" s="247">
        <f t="shared" si="994"/>
        <v>0</v>
      </c>
      <c r="V323" s="247">
        <f t="shared" si="994"/>
        <v>0</v>
      </c>
      <c r="W323" s="77">
        <f t="shared" si="994"/>
        <v>0</v>
      </c>
      <c r="X323" s="247">
        <f t="shared" si="994"/>
        <v>-0.19999999999999996</v>
      </c>
      <c r="Y323" s="247">
        <f t="shared" si="994"/>
        <v>0</v>
      </c>
      <c r="Z323" s="247">
        <f t="shared" si="994"/>
        <v>0</v>
      </c>
      <c r="AA323" s="76">
        <f t="shared" si="994"/>
        <v>0</v>
      </c>
      <c r="AB323" s="522">
        <f t="shared" si="994"/>
        <v>-0.16666666666666663</v>
      </c>
      <c r="AC323" s="76">
        <f t="shared" si="994"/>
        <v>0</v>
      </c>
      <c r="AD323" s="231">
        <f t="shared" si="994"/>
        <v>0</v>
      </c>
      <c r="AE323" s="276">
        <f t="shared" si="994"/>
        <v>0</v>
      </c>
      <c r="AF323" s="76">
        <f t="shared" si="994"/>
        <v>-9.9999999999999978E-2</v>
      </c>
      <c r="AG323" s="76">
        <f t="shared" ref="AG323:AQ323" si="995">AG322/AF322-1</f>
        <v>0</v>
      </c>
      <c r="AH323" s="76">
        <f t="shared" si="995"/>
        <v>0</v>
      </c>
      <c r="AI323" s="77">
        <f t="shared" si="995"/>
        <v>0</v>
      </c>
      <c r="AJ323" s="522">
        <f t="shared" si="995"/>
        <v>-5.555555555555558E-2</v>
      </c>
      <c r="AK323" s="76">
        <f t="shared" si="995"/>
        <v>-5.8823529411764719E-2</v>
      </c>
      <c r="AL323" s="76">
        <f t="shared" si="995"/>
        <v>0</v>
      </c>
      <c r="AM323" s="77">
        <f t="shared" si="995"/>
        <v>0</v>
      </c>
      <c r="AN323" s="247">
        <f t="shared" si="995"/>
        <v>0</v>
      </c>
      <c r="AO323" s="247">
        <f t="shared" si="995"/>
        <v>0</v>
      </c>
      <c r="AP323" s="247">
        <f t="shared" si="995"/>
        <v>-5.0000000000000044E-2</v>
      </c>
      <c r="AQ323" s="77">
        <f t="shared" si="995"/>
        <v>0</v>
      </c>
      <c r="AR323" s="247">
        <f t="shared" ref="AR323:AY323" si="996">AR322/AQ322-1</f>
        <v>0</v>
      </c>
      <c r="AS323" s="247">
        <f t="shared" si="996"/>
        <v>5.2631578947368363E-2</v>
      </c>
      <c r="AT323" s="247">
        <f t="shared" si="996"/>
        <v>-5.0000000000000044E-2</v>
      </c>
      <c r="AU323" s="77">
        <f t="shared" si="996"/>
        <v>5.2631578947368363E-2</v>
      </c>
      <c r="AV323" s="247">
        <f t="shared" si="996"/>
        <v>0</v>
      </c>
      <c r="AW323" s="247">
        <f t="shared" si="996"/>
        <v>0</v>
      </c>
      <c r="AX323" s="247">
        <f t="shared" si="996"/>
        <v>-5.0000000000000044E-2</v>
      </c>
      <c r="AY323" s="77">
        <f t="shared" si="996"/>
        <v>0</v>
      </c>
      <c r="AZ323" s="247">
        <f t="shared" ref="AZ323:BG323" si="997">AZ322/AY322-1</f>
        <v>-0.21052631578947367</v>
      </c>
      <c r="BA323" s="247">
        <f t="shared" si="997"/>
        <v>0</v>
      </c>
      <c r="BB323" s="247">
        <f t="shared" si="997"/>
        <v>0</v>
      </c>
      <c r="BC323" s="76">
        <f t="shared" si="997"/>
        <v>0</v>
      </c>
      <c r="BD323" s="522">
        <f t="shared" si="997"/>
        <v>0</v>
      </c>
      <c r="BE323" s="76">
        <f t="shared" si="997"/>
        <v>0</v>
      </c>
      <c r="BF323" s="76">
        <f t="shared" si="997"/>
        <v>0</v>
      </c>
      <c r="BG323" s="77">
        <f t="shared" si="997"/>
        <v>0</v>
      </c>
      <c r="BH323" s="522">
        <f t="shared" ref="BH323" si="998">BH322/BG322-1</f>
        <v>0</v>
      </c>
      <c r="BI323" s="76">
        <f t="shared" ref="BI323" si="999">BI322/BH322-1</f>
        <v>0</v>
      </c>
      <c r="BJ323" s="76">
        <f t="shared" ref="BJ323" si="1000">BJ322/BI322-1</f>
        <v>0</v>
      </c>
      <c r="BK323" s="77">
        <f t="shared" ref="BK323" si="1001">BK322/BJ322-1</f>
        <v>0</v>
      </c>
      <c r="BL323" s="522">
        <f t="shared" ref="BL323" si="1002">BL322/BK322-1</f>
        <v>0</v>
      </c>
      <c r="BM323" s="76">
        <f t="shared" ref="BM323" si="1003">BM322/BL322-1</f>
        <v>0</v>
      </c>
      <c r="BN323" s="76">
        <f t="shared" ref="BN323" si="1004">BN322/BM322-1</f>
        <v>0</v>
      </c>
      <c r="BO323" s="77">
        <f t="shared" ref="BO323" si="1005">BO322/BN322-1</f>
        <v>0</v>
      </c>
      <c r="BP323" s="657"/>
      <c r="BQ323" s="8"/>
      <c r="BR323" s="8"/>
      <c r="BS323" s="8"/>
      <c r="BT323" s="54"/>
      <c r="BU323" s="54"/>
      <c r="BV323" s="54"/>
      <c r="BW323" s="54"/>
      <c r="BX323" s="54"/>
      <c r="BY323" s="54"/>
      <c r="BZ323" s="54"/>
      <c r="CA323" s="54"/>
      <c r="CB323" s="54"/>
      <c r="CC323" s="54"/>
      <c r="CD323" s="54"/>
      <c r="CE323" s="54"/>
      <c r="CF323" s="21"/>
      <c r="CG323" s="658"/>
      <c r="CH323" s="363"/>
    </row>
    <row r="324" spans="1:86" ht="14.25" customHeight="1">
      <c r="A324" s="672"/>
      <c r="B324" s="764" t="s">
        <v>269</v>
      </c>
      <c r="C324" s="274"/>
      <c r="D324" s="754"/>
      <c r="E324" s="754"/>
      <c r="F324" s="754"/>
      <c r="G324" s="79"/>
      <c r="H324" s="754"/>
      <c r="I324" s="754"/>
      <c r="J324" s="754"/>
      <c r="K324" s="79"/>
      <c r="L324" s="247"/>
      <c r="M324" s="247"/>
      <c r="N324" s="247"/>
      <c r="O324" s="76"/>
      <c r="P324" s="760">
        <f>IF(ISERROR(P322/L322-1),"NA",P322/L322-1)</f>
        <v>0</v>
      </c>
      <c r="Q324" s="46">
        <f>IF(ISERROR(Q322/M322-1),"NA",Q322/M322-1)</f>
        <v>0</v>
      </c>
      <c r="R324" s="46">
        <f>IF(ISERROR(R322/N322-1),"NA",R322/N322-1)</f>
        <v>0</v>
      </c>
      <c r="S324" s="749">
        <f>IF(ISERROR(S322/O322-1),"NA",S322/O322-1)</f>
        <v>0</v>
      </c>
      <c r="T324" s="247">
        <f t="shared" ref="T324:AQ324" si="1006">T322/P322-1</f>
        <v>0</v>
      </c>
      <c r="U324" s="247">
        <f t="shared" si="1006"/>
        <v>0</v>
      </c>
      <c r="V324" s="247">
        <f t="shared" si="1006"/>
        <v>0</v>
      </c>
      <c r="W324" s="77">
        <f t="shared" si="1006"/>
        <v>0</v>
      </c>
      <c r="X324" s="247">
        <f t="shared" si="1006"/>
        <v>-0.19999999999999996</v>
      </c>
      <c r="Y324" s="247">
        <f t="shared" si="1006"/>
        <v>-0.19999999999999996</v>
      </c>
      <c r="Z324" s="247">
        <f t="shared" si="1006"/>
        <v>-0.19999999999999996</v>
      </c>
      <c r="AA324" s="76">
        <f t="shared" si="1006"/>
        <v>-0.19999999999999996</v>
      </c>
      <c r="AB324" s="522">
        <f t="shared" si="1006"/>
        <v>-0.16666666666666663</v>
      </c>
      <c r="AC324" s="76">
        <f t="shared" si="1006"/>
        <v>-0.16666666666666663</v>
      </c>
      <c r="AD324" s="231">
        <f t="shared" si="1006"/>
        <v>-0.16666666666666663</v>
      </c>
      <c r="AE324" s="276">
        <f t="shared" si="1006"/>
        <v>-0.16666666666666663</v>
      </c>
      <c r="AF324" s="76">
        <f t="shared" si="1006"/>
        <v>-9.9999999999999978E-2</v>
      </c>
      <c r="AG324" s="76">
        <f t="shared" si="1006"/>
        <v>-9.9999999999999978E-2</v>
      </c>
      <c r="AH324" s="76">
        <f t="shared" si="1006"/>
        <v>-9.9999999999999978E-2</v>
      </c>
      <c r="AI324" s="77">
        <f t="shared" si="1006"/>
        <v>-9.9999999999999978E-2</v>
      </c>
      <c r="AJ324" s="734">
        <f t="shared" si="1006"/>
        <v>-5.555555555555558E-2</v>
      </c>
      <c r="AK324" s="231">
        <f t="shared" si="1006"/>
        <v>-0.11111111111111116</v>
      </c>
      <c r="AL324" s="231">
        <f t="shared" si="1006"/>
        <v>-0.11111111111111116</v>
      </c>
      <c r="AM324" s="276">
        <f t="shared" si="1006"/>
        <v>-0.11111111111111116</v>
      </c>
      <c r="AN324" s="275">
        <f t="shared" si="1006"/>
        <v>-5.8823529411764719E-2</v>
      </c>
      <c r="AO324" s="275">
        <f t="shared" si="1006"/>
        <v>0</v>
      </c>
      <c r="AP324" s="275">
        <f t="shared" si="1006"/>
        <v>-5.0000000000000044E-2</v>
      </c>
      <c r="AQ324" s="276">
        <f t="shared" si="1006"/>
        <v>-5.0000000000000044E-2</v>
      </c>
      <c r="AR324" s="275">
        <f t="shared" ref="AR324:AY324" si="1007">AR322/AN322-1</f>
        <v>-5.0000000000000044E-2</v>
      </c>
      <c r="AS324" s="275">
        <f t="shared" si="1007"/>
        <v>0</v>
      </c>
      <c r="AT324" s="275">
        <f t="shared" si="1007"/>
        <v>0</v>
      </c>
      <c r="AU324" s="276">
        <f t="shared" si="1007"/>
        <v>5.2631578947368363E-2</v>
      </c>
      <c r="AV324" s="275">
        <f t="shared" si="1007"/>
        <v>5.2631578947368363E-2</v>
      </c>
      <c r="AW324" s="275">
        <f t="shared" si="1007"/>
        <v>0</v>
      </c>
      <c r="AX324" s="275">
        <f t="shared" si="1007"/>
        <v>0</v>
      </c>
      <c r="AY324" s="276">
        <f t="shared" si="1007"/>
        <v>-5.0000000000000044E-2</v>
      </c>
      <c r="AZ324" s="275">
        <f t="shared" ref="AZ324:BG324" si="1008">AZ322/AV322-1</f>
        <v>-0.25</v>
      </c>
      <c r="BA324" s="275">
        <f t="shared" si="1008"/>
        <v>-0.25</v>
      </c>
      <c r="BB324" s="275">
        <f t="shared" si="1008"/>
        <v>-0.21052631578947367</v>
      </c>
      <c r="BC324" s="231">
        <f t="shared" si="1008"/>
        <v>-0.21052631578947367</v>
      </c>
      <c r="BD324" s="734">
        <f t="shared" si="1008"/>
        <v>0</v>
      </c>
      <c r="BE324" s="231">
        <f t="shared" si="1008"/>
        <v>0</v>
      </c>
      <c r="BF324" s="231">
        <f t="shared" si="1008"/>
        <v>0</v>
      </c>
      <c r="BG324" s="276">
        <f t="shared" si="1008"/>
        <v>0</v>
      </c>
      <c r="BH324" s="734">
        <f t="shared" ref="BH324" si="1009">BH322/BD322-1</f>
        <v>0</v>
      </c>
      <c r="BI324" s="231">
        <f t="shared" ref="BI324" si="1010">BI322/BE322-1</f>
        <v>0</v>
      </c>
      <c r="BJ324" s="231">
        <f t="shared" ref="BJ324" si="1011">BJ322/BF322-1</f>
        <v>0</v>
      </c>
      <c r="BK324" s="276">
        <f t="shared" ref="BK324" si="1012">BK322/BG322-1</f>
        <v>0</v>
      </c>
      <c r="BL324" s="734">
        <f t="shared" ref="BL324" si="1013">BL322/BH322-1</f>
        <v>0</v>
      </c>
      <c r="BM324" s="231">
        <f t="shared" ref="BM324" si="1014">BM322/BI322-1</f>
        <v>0</v>
      </c>
      <c r="BN324" s="231">
        <f t="shared" ref="BN324" si="1015">BN322/BJ322-1</f>
        <v>0</v>
      </c>
      <c r="BO324" s="276">
        <f t="shared" ref="BO324" si="1016">BO322/BK322-1</f>
        <v>0</v>
      </c>
      <c r="BP324" s="657"/>
      <c r="BQ324" s="8"/>
      <c r="BR324" s="751"/>
      <c r="BS324" s="751" t="str">
        <f t="shared" ref="BS324:BZ324" si="1017">IF(ISERROR(BS322/BR322-1),"NA",BS322/BR322-1)</f>
        <v>NA</v>
      </c>
      <c r="BT324" s="752">
        <f t="shared" si="1017"/>
        <v>0</v>
      </c>
      <c r="BU324" s="752">
        <f t="shared" si="1017"/>
        <v>0</v>
      </c>
      <c r="BV324" s="752">
        <f t="shared" si="1017"/>
        <v>-0.19999999999999996</v>
      </c>
      <c r="BW324" s="752">
        <f t="shared" si="1017"/>
        <v>-0.16666666666666663</v>
      </c>
      <c r="BX324" s="752">
        <f t="shared" si="1017"/>
        <v>-9.9999999999999978E-2</v>
      </c>
      <c r="BY324" s="752">
        <f t="shared" si="1017"/>
        <v>-9.722222222222221E-2</v>
      </c>
      <c r="BZ324" s="752">
        <f t="shared" si="1017"/>
        <v>-4.0000000000000036E-2</v>
      </c>
      <c r="CA324" s="752">
        <f t="shared" ref="CA324:CF324" si="1018">IF(ISERROR(CA322/BZ322-1),"NA",CA322/BZ322-1)</f>
        <v>0</v>
      </c>
      <c r="CB324" s="752">
        <f t="shared" si="1018"/>
        <v>0</v>
      </c>
      <c r="CC324" s="752">
        <f t="shared" si="1018"/>
        <v>-0.23076923076923073</v>
      </c>
      <c r="CD324" s="752">
        <f t="shared" si="1018"/>
        <v>0</v>
      </c>
      <c r="CE324" s="752">
        <f t="shared" si="1018"/>
        <v>0</v>
      </c>
      <c r="CF324" s="753">
        <f t="shared" si="1018"/>
        <v>0</v>
      </c>
      <c r="CG324" s="658"/>
      <c r="CH324" s="363"/>
    </row>
    <row r="325" spans="1:86" ht="14.25" customHeight="1">
      <c r="A325" s="672"/>
      <c r="B325" s="759" t="s">
        <v>270</v>
      </c>
      <c r="C325" s="274"/>
      <c r="D325" s="754"/>
      <c r="E325" s="754"/>
      <c r="F325" s="754"/>
      <c r="G325" s="79"/>
      <c r="H325" s="754"/>
      <c r="I325" s="754"/>
      <c r="J325" s="754"/>
      <c r="K325" s="79"/>
      <c r="L325" s="247">
        <f t="shared" ref="L325:BC325" si="1019">L322/L14</f>
        <v>2.3503603885929175E-2</v>
      </c>
      <c r="M325" s="247">
        <f t="shared" si="1019"/>
        <v>2.1904205607476634E-2</v>
      </c>
      <c r="N325" s="247">
        <f t="shared" si="1019"/>
        <v>2.0475020475020474E-2</v>
      </c>
      <c r="O325" s="76">
        <f t="shared" si="1019"/>
        <v>2.1091113610798649E-2</v>
      </c>
      <c r="P325" s="522">
        <f t="shared" si="1019"/>
        <v>2.2921760391198046E-2</v>
      </c>
      <c r="Q325" s="46">
        <f t="shared" si="1019"/>
        <v>2.2381378692927483E-2</v>
      </c>
      <c r="R325" s="46">
        <f t="shared" si="1019"/>
        <v>2.2143489813994686E-2</v>
      </c>
      <c r="S325" s="749">
        <f t="shared" si="1019"/>
        <v>3.0108390204737052E-2</v>
      </c>
      <c r="T325" s="247">
        <f t="shared" si="1019"/>
        <v>3.5953978906999043E-2</v>
      </c>
      <c r="U325" s="247">
        <f t="shared" si="1019"/>
        <v>3.0525030525030524E-2</v>
      </c>
      <c r="V325" s="247">
        <f t="shared" si="1019"/>
        <v>2.6041666666666668E-2</v>
      </c>
      <c r="W325" s="77">
        <f t="shared" si="1019"/>
        <v>2.4958402662229616E-2</v>
      </c>
      <c r="X325" s="247">
        <f t="shared" si="1019"/>
        <v>1.8720748829953199E-2</v>
      </c>
      <c r="Y325" s="247">
        <f t="shared" si="1019"/>
        <v>1.7162471395881007E-2</v>
      </c>
      <c r="Z325" s="247">
        <f t="shared" si="1019"/>
        <v>1.6042780748663103E-2</v>
      </c>
      <c r="AA325" s="76">
        <f t="shared" si="1019"/>
        <v>1.7021276595744681E-2</v>
      </c>
      <c r="AB325" s="522">
        <f t="shared" si="1019"/>
        <v>1.4740566037735849E-2</v>
      </c>
      <c r="AC325" s="76">
        <f t="shared" si="1019"/>
        <v>1.4459224985540775E-2</v>
      </c>
      <c r="AD325" s="76">
        <f t="shared" si="1019"/>
        <v>1.4425851125216388E-2</v>
      </c>
      <c r="AE325" s="77">
        <f t="shared" si="1019"/>
        <v>1.4619883040935672E-2</v>
      </c>
      <c r="AF325" s="76">
        <f t="shared" si="1019"/>
        <v>1.4418455623197693E-2</v>
      </c>
      <c r="AG325" s="76">
        <f t="shared" si="1019"/>
        <v>1.3493253373313344E-2</v>
      </c>
      <c r="AH325" s="76">
        <f t="shared" si="1019"/>
        <v>1.3274336283185841E-2</v>
      </c>
      <c r="AI325" s="77">
        <f t="shared" si="1019"/>
        <v>1.5105740181268883E-2</v>
      </c>
      <c r="AJ325" s="522">
        <f t="shared" si="1019"/>
        <v>1.4731369150779897E-2</v>
      </c>
      <c r="AK325" s="76">
        <f t="shared" si="1019"/>
        <v>1.3127666557269446E-2</v>
      </c>
      <c r="AL325" s="76">
        <f t="shared" si="1019"/>
        <v>1.2330456226880395E-2</v>
      </c>
      <c r="AM325" s="77">
        <f t="shared" si="1019"/>
        <v>1.320948909399643E-2</v>
      </c>
      <c r="AN325" s="247">
        <f t="shared" si="1019"/>
        <v>1.3411576097065362E-2</v>
      </c>
      <c r="AO325" s="247">
        <f t="shared" si="1019"/>
        <v>1.2151700715768323E-2</v>
      </c>
      <c r="AP325" s="247">
        <f t="shared" si="1019"/>
        <v>1.0852830402842014E-2</v>
      </c>
      <c r="AQ325" s="77">
        <f t="shared" si="1019"/>
        <v>1.1624349954114408E-2</v>
      </c>
      <c r="AR325" s="247">
        <f t="shared" si="1019"/>
        <v>1.2063492063492064E-2</v>
      </c>
      <c r="AS325" s="247">
        <f t="shared" si="1019"/>
        <v>1.2001407746827644E-2</v>
      </c>
      <c r="AT325" s="247">
        <f t="shared" si="1019"/>
        <v>1.1067729822311483E-2</v>
      </c>
      <c r="AU325" s="77">
        <f t="shared" si="1019"/>
        <v>1.2542674336221214E-2</v>
      </c>
      <c r="AV325" s="247">
        <f t="shared" si="1019"/>
        <v>1.3299681845951161E-2</v>
      </c>
      <c r="AW325" s="247">
        <f t="shared" si="1019"/>
        <v>1.2222732124358704E-2</v>
      </c>
      <c r="AX325" s="247">
        <f t="shared" si="1019"/>
        <v>1.0341245640695397E-2</v>
      </c>
      <c r="AY325" s="77">
        <f t="shared" ref="AY325" si="1020">AY322/AY14</f>
        <v>1.1130851509785402E-2</v>
      </c>
      <c r="AZ325" s="247">
        <f t="shared" si="1019"/>
        <v>8.8180134969253372E-3</v>
      </c>
      <c r="BA325" s="247">
        <f t="shared" si="1019"/>
        <v>8.1231817285264928E-3</v>
      </c>
      <c r="BB325" s="247">
        <f t="shared" si="1019"/>
        <v>7.2886297376093291E-3</v>
      </c>
      <c r="BC325" s="76">
        <f t="shared" si="1019"/>
        <v>7.9995544837316006E-3</v>
      </c>
      <c r="BD325" s="522">
        <f t="shared" ref="BD325:BG325" si="1021">BD322/BD14</f>
        <v>7.9180062708494384E-3</v>
      </c>
      <c r="BE325" s="76">
        <f t="shared" si="1021"/>
        <v>7.6057646916170736E-3</v>
      </c>
      <c r="BF325" s="76">
        <f t="shared" si="1021"/>
        <v>7.1479417167749299E-3</v>
      </c>
      <c r="BG325" s="77">
        <f t="shared" si="1021"/>
        <v>7.5860241663920167E-3</v>
      </c>
      <c r="BH325" s="522">
        <f t="shared" ref="BH325:BK325" si="1022">BH322/BH14</f>
        <v>7.7909771336713961E-3</v>
      </c>
      <c r="BI325" s="76">
        <f t="shared" si="1022"/>
        <v>7.3360627675599765E-3</v>
      </c>
      <c r="BJ325" s="76">
        <f t="shared" si="1022"/>
        <v>6.9112738748663824E-3</v>
      </c>
      <c r="BK325" s="77">
        <f t="shared" si="1022"/>
        <v>7.358685904394451E-3</v>
      </c>
      <c r="BL325" s="522">
        <f t="shared" ref="BL325:BO325" si="1023">BL322/BL14</f>
        <v>7.5489631851026412E-3</v>
      </c>
      <c r="BM325" s="76">
        <f t="shared" si="1023"/>
        <v>7.1102856119125771E-3</v>
      </c>
      <c r="BN325" s="76">
        <f t="shared" si="1023"/>
        <v>6.7024213155168879E-3</v>
      </c>
      <c r="BO325" s="77">
        <f t="shared" si="1023"/>
        <v>7.132290844482937E-3</v>
      </c>
      <c r="BP325" s="657"/>
      <c r="BQ325" s="8"/>
      <c r="BR325" s="751" t="str">
        <f t="shared" ref="BR325:BW325" si="1024">IF(ISERROR(BR322/BR14),"NA",BR322/BR14)</f>
        <v>NA</v>
      </c>
      <c r="BS325" s="751">
        <f t="shared" si="1024"/>
        <v>2.1685701893884631E-2</v>
      </c>
      <c r="BT325" s="752">
        <f t="shared" si="1024"/>
        <v>2.3998080153587713E-2</v>
      </c>
      <c r="BU325" s="752">
        <f t="shared" si="1024"/>
        <v>2.8768699654775604E-2</v>
      </c>
      <c r="BV325" s="752">
        <f t="shared" si="1024"/>
        <v>1.7184591149935556E-2</v>
      </c>
      <c r="BW325" s="752">
        <f t="shared" si="1024"/>
        <v>1.4560279557367502E-2</v>
      </c>
      <c r="BX325" s="752" t="str">
        <f>IF(ISERROR(BX322/#REF!),"NA",BX322/#REF!)</f>
        <v>NA</v>
      </c>
      <c r="BY325" s="752" t="str">
        <f>IF(ISERROR(BY322/#REF!),"NA",BY322/#REF!)</f>
        <v>NA</v>
      </c>
      <c r="BZ325" s="752">
        <f t="shared" ref="BZ325:CC325" si="1025">IF(ISERROR(BZ322/BZ14),"NA",BZ322/BZ14)</f>
        <v>1.1958963148531171E-2</v>
      </c>
      <c r="CA325" s="752">
        <f t="shared" si="1025"/>
        <v>1.1903435689079624E-2</v>
      </c>
      <c r="CB325" s="752">
        <f t="shared" si="1025"/>
        <v>1.166902877908315E-2</v>
      </c>
      <c r="CC325" s="752">
        <f t="shared" si="1025"/>
        <v>8.0206023547346288E-3</v>
      </c>
      <c r="CD325" s="752">
        <f>IF(ISERROR(CD322/CD14),"NA",CD322/CD14)</f>
        <v>7.5543620221729798E-3</v>
      </c>
      <c r="CE325" s="752">
        <f>IF(ISERROR(CE322/CE14),"NA",CE322/CE14)</f>
        <v>7.3360647119585232E-3</v>
      </c>
      <c r="CF325" s="753">
        <f>IF(ISERROR(CF322/CF14),"NA",CF322/CF14)</f>
        <v>9.4429108737495958E-3</v>
      </c>
      <c r="CG325" s="658"/>
      <c r="CH325" s="363"/>
    </row>
    <row r="326" spans="1:86" ht="14.25" customHeight="1">
      <c r="A326" s="672"/>
      <c r="B326" s="947"/>
      <c r="C326" s="274"/>
      <c r="D326" s="754"/>
      <c r="E326" s="754"/>
      <c r="F326" s="754"/>
      <c r="G326" s="79"/>
      <c r="H326" s="754"/>
      <c r="I326" s="754"/>
      <c r="J326" s="754"/>
      <c r="K326" s="79"/>
      <c r="L326" s="754"/>
      <c r="M326" s="754"/>
      <c r="N326" s="754"/>
      <c r="O326" s="78"/>
      <c r="P326" s="522"/>
      <c r="Q326" s="78"/>
      <c r="R326" s="78"/>
      <c r="S326" s="79"/>
      <c r="T326" s="754"/>
      <c r="U326" s="754"/>
      <c r="V326" s="754"/>
      <c r="W326" s="79"/>
      <c r="X326" s="754"/>
      <c r="Y326" s="754"/>
      <c r="Z326" s="754"/>
      <c r="AA326" s="78"/>
      <c r="AB326" s="770"/>
      <c r="AC326" s="78"/>
      <c r="AD326" s="278"/>
      <c r="AE326" s="279"/>
      <c r="AF326" s="78"/>
      <c r="AG326" s="278"/>
      <c r="AH326" s="278"/>
      <c r="AI326" s="279"/>
      <c r="AJ326" s="297"/>
      <c r="AK326" s="14"/>
      <c r="AL326" s="14"/>
      <c r="AM326" s="279"/>
      <c r="AN326" s="8"/>
      <c r="AO326" s="8"/>
      <c r="AP326" s="8"/>
      <c r="AQ326" s="279"/>
      <c r="AR326" s="8"/>
      <c r="AS326" s="8"/>
      <c r="AT326" s="8"/>
      <c r="AU326" s="279"/>
      <c r="AV326" s="8"/>
      <c r="AW326" s="8"/>
      <c r="AX326" s="8"/>
      <c r="AY326" s="279"/>
      <c r="AZ326" s="8"/>
      <c r="BA326" s="8"/>
      <c r="BB326" s="8"/>
      <c r="BC326" s="278"/>
      <c r="BD326" s="297"/>
      <c r="BE326" s="14"/>
      <c r="BF326" s="14"/>
      <c r="BG326" s="279"/>
      <c r="BH326" s="297"/>
      <c r="BI326" s="14"/>
      <c r="BJ326" s="14"/>
      <c r="BK326" s="279"/>
      <c r="BL326" s="297"/>
      <c r="BM326" s="14"/>
      <c r="BN326" s="14"/>
      <c r="BO326" s="279"/>
      <c r="BP326" s="657"/>
      <c r="BQ326" s="8"/>
      <c r="BR326" s="8"/>
      <c r="BS326" s="8"/>
      <c r="BT326" s="54"/>
      <c r="BU326" s="54"/>
      <c r="BV326" s="54"/>
      <c r="BW326" s="54"/>
      <c r="BX326" s="54"/>
      <c r="BY326" s="54"/>
      <c r="BZ326" s="54"/>
      <c r="CA326" s="54"/>
      <c r="CB326" s="54"/>
      <c r="CC326" s="54"/>
      <c r="CD326" s="54"/>
      <c r="CE326" s="54"/>
      <c r="CF326" s="21"/>
      <c r="CG326" s="658"/>
      <c r="CH326" s="363"/>
    </row>
    <row r="327" spans="1:86" ht="14.25" customHeight="1" outlineLevel="1">
      <c r="A327" s="786"/>
      <c r="B327" s="948" t="s">
        <v>81</v>
      </c>
      <c r="C327" s="877"/>
      <c r="D327" s="878"/>
      <c r="E327" s="878"/>
      <c r="F327" s="878"/>
      <c r="G327" s="879"/>
      <c r="H327" s="878"/>
      <c r="I327" s="878"/>
      <c r="J327" s="878"/>
      <c r="K327" s="879"/>
      <c r="L327" s="445">
        <f t="shared" ref="L327:AE327" si="1026">L$442</f>
        <v>283.45</v>
      </c>
      <c r="M327" s="445">
        <f t="shared" si="1026"/>
        <v>296.8</v>
      </c>
      <c r="N327" s="445">
        <f t="shared" si="1026"/>
        <v>285.85000000000002</v>
      </c>
      <c r="O327" s="445">
        <f t="shared" si="1026"/>
        <v>240.2</v>
      </c>
      <c r="P327" s="444">
        <f t="shared" si="1026"/>
        <v>216.4</v>
      </c>
      <c r="Q327" s="445">
        <f t="shared" si="1026"/>
        <v>179.45</v>
      </c>
      <c r="R327" s="445">
        <f t="shared" si="1026"/>
        <v>204.65</v>
      </c>
      <c r="S327" s="446">
        <f t="shared" si="1026"/>
        <v>104.41</v>
      </c>
      <c r="T327" s="445">
        <f t="shared" si="1026"/>
        <v>49.060024449877744</v>
      </c>
      <c r="U327" s="445">
        <f t="shared" si="1026"/>
        <v>71.104341987466398</v>
      </c>
      <c r="V327" s="445">
        <f t="shared" si="1026"/>
        <v>129.2435783879539</v>
      </c>
      <c r="W327" s="446">
        <f t="shared" si="1026"/>
        <v>148.18933761541552</v>
      </c>
      <c r="X327" s="445">
        <f t="shared" si="1026"/>
        <v>186.9</v>
      </c>
      <c r="Y327" s="445">
        <f t="shared" si="1026"/>
        <v>171.16</v>
      </c>
      <c r="Z327" s="445">
        <f t="shared" si="1026"/>
        <v>233.4</v>
      </c>
      <c r="AA327" s="445">
        <f t="shared" si="1026"/>
        <v>201.5</v>
      </c>
      <c r="AB327" s="444">
        <f t="shared" si="1026"/>
        <v>252.56</v>
      </c>
      <c r="AC327" s="445">
        <f t="shared" si="1026"/>
        <v>229.78</v>
      </c>
      <c r="AD327" s="445">
        <f t="shared" si="1026"/>
        <v>277.065</v>
      </c>
      <c r="AE327" s="446">
        <f t="shared" si="1026"/>
        <v>171.6</v>
      </c>
      <c r="AF327" s="445">
        <f>+AF286-AF299-AF305-AF311-AF322-AF334</f>
        <v>54</v>
      </c>
      <c r="AG327" s="445">
        <f>+AG286-AG299-AG305-AG311-AG322-AG334</f>
        <v>95.68</v>
      </c>
      <c r="AH327" s="445">
        <f>+AH286-AH299-AH305-AH311-AH322-AH334</f>
        <v>67.5</v>
      </c>
      <c r="AI327" s="446">
        <f>+AI286-AI299-AI305-AI311-AI322-AI334</f>
        <v>80.824999999999989</v>
      </c>
      <c r="AJ327" s="882"/>
      <c r="AK327" s="445"/>
      <c r="AL327" s="445"/>
      <c r="AM327" s="446"/>
      <c r="AN327" s="445"/>
      <c r="AO327" s="445"/>
      <c r="AP327" s="445"/>
      <c r="AQ327" s="446"/>
      <c r="AR327" s="445"/>
      <c r="AS327" s="445"/>
      <c r="AT327" s="445"/>
      <c r="AU327" s="446"/>
      <c r="AV327" s="445"/>
      <c r="AW327" s="445"/>
      <c r="AX327" s="445"/>
      <c r="AY327" s="446"/>
      <c r="AZ327" s="445"/>
      <c r="BA327" s="445"/>
      <c r="BB327" s="445"/>
      <c r="BC327" s="445"/>
      <c r="BD327" s="444"/>
      <c r="BE327" s="445"/>
      <c r="BF327" s="445"/>
      <c r="BG327" s="446"/>
      <c r="BH327" s="444"/>
      <c r="BI327" s="445"/>
      <c r="BJ327" s="445"/>
      <c r="BK327" s="446"/>
      <c r="BL327" s="444"/>
      <c r="BM327" s="445"/>
      <c r="BN327" s="445"/>
      <c r="BO327" s="446"/>
      <c r="BP327" s="791"/>
      <c r="BQ327" s="438"/>
      <c r="BR327" s="438"/>
      <c r="BS327" s="440">
        <f>SUM(L327:O327)</f>
        <v>1106.3</v>
      </c>
      <c r="BT327" s="445">
        <f>SUM(P327:S327)</f>
        <v>704.91</v>
      </c>
      <c r="BU327" s="445">
        <f>SUM(T327:W327)</f>
        <v>397.59728244071357</v>
      </c>
      <c r="BV327" s="445">
        <f>SUM(X327:AA327)</f>
        <v>792.96</v>
      </c>
      <c r="BW327" s="445">
        <f>SUM(AB327:AE327)</f>
        <v>931.005</v>
      </c>
      <c r="BX327" s="445">
        <f>SUM(AF327:AI327)</f>
        <v>298.005</v>
      </c>
      <c r="BY327" s="445"/>
      <c r="BZ327" s="445"/>
      <c r="CA327" s="445"/>
      <c r="CB327" s="445"/>
      <c r="CC327" s="445"/>
      <c r="CD327" s="445"/>
      <c r="CE327" s="445"/>
      <c r="CF327" s="446"/>
      <c r="CG327" s="793"/>
      <c r="CH327" s="363"/>
    </row>
    <row r="328" spans="1:86" ht="14.25" customHeight="1" outlineLevel="1">
      <c r="A328" s="794"/>
      <c r="B328" s="949" t="s">
        <v>86</v>
      </c>
      <c r="C328" s="883"/>
      <c r="D328" s="884"/>
      <c r="E328" s="884"/>
      <c r="F328" s="884"/>
      <c r="G328" s="885"/>
      <c r="H328" s="884"/>
      <c r="I328" s="884"/>
      <c r="J328" s="884"/>
      <c r="K328" s="885"/>
      <c r="L328" s="454"/>
      <c r="M328" s="454"/>
      <c r="N328" s="454"/>
      <c r="O328" s="454"/>
      <c r="P328" s="453"/>
      <c r="Q328" s="454"/>
      <c r="R328" s="454"/>
      <c r="S328" s="455"/>
      <c r="T328" s="454"/>
      <c r="U328" s="454"/>
      <c r="V328" s="454"/>
      <c r="W328" s="455"/>
      <c r="X328" s="454">
        <f t="shared" ref="X328:AI328" si="1027">+X65</f>
        <v>40</v>
      </c>
      <c r="Y328" s="454">
        <f t="shared" si="1027"/>
        <v>47</v>
      </c>
      <c r="Z328" s="454">
        <f t="shared" si="1027"/>
        <v>45</v>
      </c>
      <c r="AA328" s="454">
        <f t="shared" si="1027"/>
        <v>45</v>
      </c>
      <c r="AB328" s="453">
        <f t="shared" si="1027"/>
        <v>42</v>
      </c>
      <c r="AC328" s="454">
        <f t="shared" si="1027"/>
        <v>37</v>
      </c>
      <c r="AD328" s="454">
        <f t="shared" si="1027"/>
        <v>36</v>
      </c>
      <c r="AE328" s="455">
        <f t="shared" si="1027"/>
        <v>30</v>
      </c>
      <c r="AF328" s="454">
        <f t="shared" si="1027"/>
        <v>33</v>
      </c>
      <c r="AG328" s="454">
        <f t="shared" si="1027"/>
        <v>34</v>
      </c>
      <c r="AH328" s="454">
        <f t="shared" si="1027"/>
        <v>32</v>
      </c>
      <c r="AI328" s="455">
        <f t="shared" si="1027"/>
        <v>30</v>
      </c>
      <c r="AJ328" s="453"/>
      <c r="AK328" s="454"/>
      <c r="AL328" s="454"/>
      <c r="AM328" s="455"/>
      <c r="AN328" s="454"/>
      <c r="AO328" s="454"/>
      <c r="AP328" s="454"/>
      <c r="AQ328" s="455"/>
      <c r="AR328" s="454"/>
      <c r="AS328" s="454"/>
      <c r="AT328" s="454"/>
      <c r="AU328" s="455"/>
      <c r="AV328" s="454"/>
      <c r="AW328" s="454"/>
      <c r="AX328" s="454"/>
      <c r="AY328" s="455"/>
      <c r="AZ328" s="454"/>
      <c r="BA328" s="454"/>
      <c r="BB328" s="454"/>
      <c r="BC328" s="454"/>
      <c r="BD328" s="453"/>
      <c r="BE328" s="454"/>
      <c r="BF328" s="454"/>
      <c r="BG328" s="455"/>
      <c r="BH328" s="453"/>
      <c r="BI328" s="454"/>
      <c r="BJ328" s="454"/>
      <c r="BK328" s="455"/>
      <c r="BL328" s="453"/>
      <c r="BM328" s="454"/>
      <c r="BN328" s="454"/>
      <c r="BO328" s="455"/>
      <c r="BP328" s="800"/>
      <c r="BQ328" s="447"/>
      <c r="BR328" s="447"/>
      <c r="BS328" s="449"/>
      <c r="BT328" s="454"/>
      <c r="BU328" s="454"/>
      <c r="BV328" s="454">
        <f>+BV327-BV329</f>
        <v>177</v>
      </c>
      <c r="BW328" s="454">
        <f>+BW327-BW329</f>
        <v>145</v>
      </c>
      <c r="BX328" s="454">
        <f>+BX327-BX329</f>
        <v>129</v>
      </c>
      <c r="BY328" s="454"/>
      <c r="BZ328" s="454"/>
      <c r="CA328" s="454"/>
      <c r="CB328" s="454"/>
      <c r="CC328" s="454"/>
      <c r="CD328" s="454"/>
      <c r="CE328" s="454"/>
      <c r="CF328" s="455"/>
      <c r="CG328" s="802"/>
      <c r="CH328" s="363"/>
    </row>
    <row r="329" spans="1:86" ht="14.25" customHeight="1">
      <c r="A329" s="786"/>
      <c r="B329" s="950" t="s">
        <v>82</v>
      </c>
      <c r="C329" s="877"/>
      <c r="D329" s="878"/>
      <c r="E329" s="878"/>
      <c r="F329" s="878"/>
      <c r="G329" s="879"/>
      <c r="H329" s="878"/>
      <c r="I329" s="878"/>
      <c r="J329" s="878"/>
      <c r="K329" s="879"/>
      <c r="L329" s="445"/>
      <c r="M329" s="445"/>
      <c r="N329" s="445"/>
      <c r="O329" s="445"/>
      <c r="P329" s="444"/>
      <c r="Q329" s="445"/>
      <c r="R329" s="445"/>
      <c r="S329" s="446"/>
      <c r="T329" s="445"/>
      <c r="U329" s="445"/>
      <c r="V329" s="445"/>
      <c r="W329" s="446"/>
      <c r="X329" s="445">
        <f>+X327-X328</f>
        <v>146.9</v>
      </c>
      <c r="Y329" s="445">
        <f t="shared" ref="Y329:AD329" si="1028">+Y327-Y328</f>
        <v>124.16</v>
      </c>
      <c r="Z329" s="445">
        <f t="shared" si="1028"/>
        <v>188.4</v>
      </c>
      <c r="AA329" s="445">
        <f t="shared" si="1028"/>
        <v>156.5</v>
      </c>
      <c r="AB329" s="444">
        <f t="shared" si="1028"/>
        <v>210.56</v>
      </c>
      <c r="AC329" s="445">
        <f t="shared" si="1028"/>
        <v>192.78</v>
      </c>
      <c r="AD329" s="445">
        <f t="shared" si="1028"/>
        <v>241.065</v>
      </c>
      <c r="AE329" s="446">
        <f>+AE327-AE328</f>
        <v>141.6</v>
      </c>
      <c r="AF329" s="445">
        <f>+AF327-AF328</f>
        <v>21</v>
      </c>
      <c r="AG329" s="445">
        <f>+AG327-AG328</f>
        <v>61.680000000000007</v>
      </c>
      <c r="AH329" s="445">
        <f>+AH327-AH328</f>
        <v>35.5</v>
      </c>
      <c r="AI329" s="446">
        <f>+AI327-AI328</f>
        <v>50.824999999999989</v>
      </c>
      <c r="AJ329" s="445">
        <f>+AJ288-AJ299-AJ305-AJ311-AJ322-AJ334-AJ296</f>
        <v>25.18433219485371</v>
      </c>
      <c r="AK329" s="445">
        <f t="shared" ref="AK329:AQ329" si="1029">+AJ329*(1+AK330)</f>
        <v>25.18433219485371</v>
      </c>
      <c r="AL329" s="445">
        <f t="shared" si="1029"/>
        <v>25.18433219485371</v>
      </c>
      <c r="AM329" s="446">
        <f t="shared" si="1029"/>
        <v>25.18433219485371</v>
      </c>
      <c r="AN329" s="445">
        <f t="shared" si="1029"/>
        <v>25.18433219485371</v>
      </c>
      <c r="AO329" s="445">
        <f t="shared" si="1029"/>
        <v>25.18433219485371</v>
      </c>
      <c r="AP329" s="445">
        <f t="shared" si="1029"/>
        <v>25.18433219485371</v>
      </c>
      <c r="AQ329" s="446">
        <f t="shared" si="1029"/>
        <v>25.18433219485371</v>
      </c>
      <c r="AR329" s="445">
        <f t="shared" ref="AR329:AY329" si="1030">+AQ329*(1+AR330)</f>
        <v>25.18433219485371</v>
      </c>
      <c r="AS329" s="445">
        <f t="shared" si="1030"/>
        <v>25.18433219485371</v>
      </c>
      <c r="AT329" s="445">
        <f t="shared" si="1030"/>
        <v>25.18433219485371</v>
      </c>
      <c r="AU329" s="446">
        <f t="shared" si="1030"/>
        <v>25.18433219485371</v>
      </c>
      <c r="AV329" s="445">
        <f t="shared" si="1030"/>
        <v>25.18433219485371</v>
      </c>
      <c r="AW329" s="445">
        <f t="shared" si="1030"/>
        <v>25.18433219485371</v>
      </c>
      <c r="AX329" s="445">
        <f t="shared" si="1030"/>
        <v>25.18433219485371</v>
      </c>
      <c r="AY329" s="446">
        <f t="shared" si="1030"/>
        <v>25.18433219485371</v>
      </c>
      <c r="AZ329" s="445">
        <f t="shared" ref="AZ329:BG329" si="1031">+AY329*(1+AZ330)</f>
        <v>25.18433219485371</v>
      </c>
      <c r="BA329" s="445">
        <f t="shared" si="1031"/>
        <v>26.191705482647858</v>
      </c>
      <c r="BB329" s="445">
        <f t="shared" si="1031"/>
        <v>27.239373701953774</v>
      </c>
      <c r="BC329" s="445">
        <f t="shared" si="1031"/>
        <v>28.328948650031926</v>
      </c>
      <c r="BD329" s="444">
        <f t="shared" si="1031"/>
        <v>28.328948650031926</v>
      </c>
      <c r="BE329" s="445">
        <f t="shared" si="1031"/>
        <v>28.328948650031926</v>
      </c>
      <c r="BF329" s="445">
        <f t="shared" si="1031"/>
        <v>28.328948650031926</v>
      </c>
      <c r="BG329" s="446">
        <f t="shared" si="1031"/>
        <v>28.328948650031926</v>
      </c>
      <c r="BH329" s="444">
        <f t="shared" ref="BH329" si="1032">+BG329*(1+BH330)</f>
        <v>28.884473322591585</v>
      </c>
      <c r="BI329" s="445">
        <f t="shared" ref="BI329" si="1033">+BH329*(1+BI330)</f>
        <v>29.45089171611615</v>
      </c>
      <c r="BJ329" s="445">
        <f t="shared" ref="BJ329" si="1034">+BI329*(1+BJ330)</f>
        <v>30.028417454162451</v>
      </c>
      <c r="BK329" s="446">
        <f t="shared" ref="BK329" si="1035">+BJ329*(1+BK330)</f>
        <v>30.61726834939995</v>
      </c>
      <c r="BL329" s="444">
        <f t="shared" ref="BL329" si="1036">+BK329*(1+BL330)</f>
        <v>31.21766648575834</v>
      </c>
      <c r="BM329" s="445">
        <f t="shared" ref="BM329" si="1037">+BL329*(1+BM330)</f>
        <v>31.829838302186058</v>
      </c>
      <c r="BN329" s="445">
        <f t="shared" ref="BN329" si="1038">+BM329*(1+BN330)</f>
        <v>32.45401467805128</v>
      </c>
      <c r="BO329" s="446">
        <f t="shared" ref="BO329" si="1039">+BN329*(1+BO330)</f>
        <v>33.090431020217601</v>
      </c>
      <c r="BP329" s="791"/>
      <c r="BQ329" s="438"/>
      <c r="BR329" s="438"/>
      <c r="BS329" s="440"/>
      <c r="BT329" s="691"/>
      <c r="BU329" s="691"/>
      <c r="BV329" s="691">
        <f>SUM(X329:AA329)</f>
        <v>615.96</v>
      </c>
      <c r="BW329" s="691">
        <f>SUM(AB329:AE329)</f>
        <v>786.005</v>
      </c>
      <c r="BX329" s="691">
        <f>SUM(AF329:AI329)</f>
        <v>169.005</v>
      </c>
      <c r="BY329" s="691">
        <f>SUM(AJ329:AM329)</f>
        <v>100.73732877941484</v>
      </c>
      <c r="BZ329" s="691">
        <f>+SUM(AN329:AQ329)</f>
        <v>100.73732877941484</v>
      </c>
      <c r="CA329" s="691">
        <f>+SUM(AR329:AU329)</f>
        <v>100.73732877941484</v>
      </c>
      <c r="CB329" s="691">
        <f>SUM(AV329:AY329)</f>
        <v>100.73732877941484</v>
      </c>
      <c r="CC329" s="691">
        <f>SUM(AZ329:BC329)</f>
        <v>106.94436002948726</v>
      </c>
      <c r="CD329" s="691">
        <f>SUM(BD329:BG329)</f>
        <v>113.3157946001277</v>
      </c>
      <c r="CE329" s="691">
        <f>SUM(BH329:BK329)</f>
        <v>118.98105084227014</v>
      </c>
      <c r="CF329" s="692">
        <f>SUM(BL329:BO329)</f>
        <v>128.59195048621328</v>
      </c>
      <c r="CG329" s="793"/>
      <c r="CH329" s="363"/>
    </row>
    <row r="330" spans="1:86" ht="14.25" customHeight="1">
      <c r="A330" s="672"/>
      <c r="B330" s="759" t="s">
        <v>268</v>
      </c>
      <c r="C330" s="274"/>
      <c r="D330" s="754"/>
      <c r="E330" s="754"/>
      <c r="F330" s="754"/>
      <c r="G330" s="79"/>
      <c r="H330" s="754"/>
      <c r="I330" s="754"/>
      <c r="J330" s="754"/>
      <c r="K330" s="79"/>
      <c r="L330" s="247"/>
      <c r="M330" s="247">
        <f>M327/L327-1</f>
        <v>4.709825366025755E-2</v>
      </c>
      <c r="N330" s="247">
        <f>N327/M327-1</f>
        <v>-3.6893530997304524E-2</v>
      </c>
      <c r="O330" s="76">
        <f>O327/N327-1</f>
        <v>-0.15969914290711917</v>
      </c>
      <c r="P330" s="760">
        <f>IF(ISERROR(P327/O327-1),"NA",P327/O327-1)</f>
        <v>-9.9084096586178116E-2</v>
      </c>
      <c r="Q330" s="46">
        <f>IF(ISERROR(Q327/P327-1),"NA",Q327/P327-1)</f>
        <v>-0.17074861367837346</v>
      </c>
      <c r="R330" s="46">
        <f>IF(ISERROR(R327/Q327-1),"NA",R327/Q327-1)</f>
        <v>0.14042908888269734</v>
      </c>
      <c r="S330" s="749">
        <f>IF(ISERROR(S327/R327-1),"NA",S327/R327-1)</f>
        <v>-0.48981187393110193</v>
      </c>
      <c r="T330" s="247">
        <f t="shared" ref="T330:AE330" si="1040">T327/S327-1</f>
        <v>-0.53012140168683319</v>
      </c>
      <c r="U330" s="247">
        <f t="shared" si="1040"/>
        <v>0.44933360276064005</v>
      </c>
      <c r="V330" s="247">
        <f t="shared" si="1040"/>
        <v>0.81766084567290909</v>
      </c>
      <c r="W330" s="77">
        <f t="shared" si="1040"/>
        <v>0.14658955952605734</v>
      </c>
      <c r="X330" s="247">
        <f t="shared" si="1040"/>
        <v>0.26122434317809895</v>
      </c>
      <c r="Y330" s="247">
        <f t="shared" si="1040"/>
        <v>-8.4216158373461747E-2</v>
      </c>
      <c r="Z330" s="247">
        <f t="shared" si="1040"/>
        <v>0.36363636363636376</v>
      </c>
      <c r="AA330" s="76">
        <f t="shared" si="1040"/>
        <v>-0.13667523564695805</v>
      </c>
      <c r="AB330" s="522">
        <f t="shared" si="1040"/>
        <v>0.25339950372208442</v>
      </c>
      <c r="AC330" s="76">
        <f t="shared" si="1040"/>
        <v>-9.0196388976876762E-2</v>
      </c>
      <c r="AD330" s="231">
        <f t="shared" si="1040"/>
        <v>0.20578379319348938</v>
      </c>
      <c r="AE330" s="276">
        <f t="shared" si="1040"/>
        <v>-0.38065074982404856</v>
      </c>
      <c r="AF330" s="76">
        <f>AF327/AE327-1</f>
        <v>-0.68531468531468531</v>
      </c>
      <c r="AG330" s="76">
        <f>AG327/AF327-1</f>
        <v>0.77185185185185201</v>
      </c>
      <c r="AH330" s="76">
        <f>AH327/AG327-1</f>
        <v>-0.2945234113712375</v>
      </c>
      <c r="AI330" s="77">
        <f>AI327/AH327-1</f>
        <v>0.19740740740740725</v>
      </c>
      <c r="AJ330" s="868">
        <v>0</v>
      </c>
      <c r="AK330" s="129">
        <v>0</v>
      </c>
      <c r="AL330" s="129">
        <v>0</v>
      </c>
      <c r="AM330" s="130">
        <v>0</v>
      </c>
      <c r="AN330" s="844">
        <v>0</v>
      </c>
      <c r="AO330" s="844">
        <v>0</v>
      </c>
      <c r="AP330" s="844">
        <v>0</v>
      </c>
      <c r="AQ330" s="130">
        <v>0</v>
      </c>
      <c r="AR330" s="844">
        <v>0</v>
      </c>
      <c r="AS330" s="844">
        <v>0</v>
      </c>
      <c r="AT330" s="844">
        <v>0</v>
      </c>
      <c r="AU330" s="130">
        <v>0</v>
      </c>
      <c r="AV330" s="844">
        <v>0</v>
      </c>
      <c r="AW330" s="844">
        <v>0</v>
      </c>
      <c r="AX330" s="844">
        <v>0</v>
      </c>
      <c r="AY330" s="130">
        <v>0</v>
      </c>
      <c r="AZ330" s="844">
        <v>0</v>
      </c>
      <c r="BA330" s="844">
        <v>0.04</v>
      </c>
      <c r="BB330" s="844">
        <v>0.04</v>
      </c>
      <c r="BC330" s="129">
        <f>BB330</f>
        <v>0.04</v>
      </c>
      <c r="BD330" s="868">
        <v>0</v>
      </c>
      <c r="BE330" s="129">
        <f>BD330</f>
        <v>0</v>
      </c>
      <c r="BF330" s="129">
        <f>BE330</f>
        <v>0</v>
      </c>
      <c r="BG330" s="130">
        <f>BF330</f>
        <v>0</v>
      </c>
      <c r="BH330" s="868">
        <v>1.9609787833020524E-2</v>
      </c>
      <c r="BI330" s="129">
        <f>BH330</f>
        <v>1.9609787833020524E-2</v>
      </c>
      <c r="BJ330" s="129">
        <f>BI330</f>
        <v>1.9609787833020524E-2</v>
      </c>
      <c r="BK330" s="130">
        <f>BJ330</f>
        <v>1.9609787833020524E-2</v>
      </c>
      <c r="BL330" s="868">
        <v>1.9609787833020524E-2</v>
      </c>
      <c r="BM330" s="129">
        <f>BL330</f>
        <v>1.9609787833020524E-2</v>
      </c>
      <c r="BN330" s="129">
        <f>BM330</f>
        <v>1.9609787833020524E-2</v>
      </c>
      <c r="BO330" s="130">
        <f>BN330</f>
        <v>1.9609787833020524E-2</v>
      </c>
      <c r="BP330" s="657"/>
      <c r="BQ330" s="8"/>
      <c r="BR330" s="8"/>
      <c r="BS330" s="8"/>
      <c r="BT330" s="54"/>
      <c r="BU330" s="54"/>
      <c r="BV330" s="54"/>
      <c r="BW330" s="54"/>
      <c r="BX330" s="54"/>
      <c r="BY330" s="54"/>
      <c r="BZ330" s="54"/>
      <c r="CA330" s="54"/>
      <c r="CB330" s="54"/>
      <c r="CC330" s="54"/>
      <c r="CD330" s="54"/>
      <c r="CE330" s="54"/>
      <c r="CF330" s="365"/>
      <c r="CG330" s="658"/>
      <c r="CH330" s="363"/>
    </row>
    <row r="331" spans="1:86" ht="14.25" customHeight="1">
      <c r="A331" s="672"/>
      <c r="B331" s="764" t="s">
        <v>269</v>
      </c>
      <c r="C331" s="274"/>
      <c r="D331" s="754"/>
      <c r="E331" s="754"/>
      <c r="F331" s="754"/>
      <c r="G331" s="79"/>
      <c r="H331" s="754"/>
      <c r="I331" s="754"/>
      <c r="J331" s="754"/>
      <c r="K331" s="79"/>
      <c r="L331" s="247"/>
      <c r="M331" s="247"/>
      <c r="N331" s="247"/>
      <c r="O331" s="76"/>
      <c r="P331" s="760">
        <f>IF(ISERROR(P327/L327-1),"NA",P327/L327-1)</f>
        <v>-0.23654965602399003</v>
      </c>
      <c r="Q331" s="46">
        <f>IF(ISERROR(Q327/M327-1),"NA",Q327/M327-1)</f>
        <v>-0.39538409703504052</v>
      </c>
      <c r="R331" s="46">
        <f>IF(ISERROR(R327/N327-1),"NA",R327/N327-1)</f>
        <v>-0.28406506909218121</v>
      </c>
      <c r="S331" s="749">
        <f>IF(ISERROR(S327/O327-1),"NA",S327/O327-1)</f>
        <v>-0.56532056619483761</v>
      </c>
      <c r="T331" s="247">
        <f t="shared" ref="T331:AI331" si="1041">T327/P327-1</f>
        <v>-0.77329009034252427</v>
      </c>
      <c r="U331" s="247">
        <f t="shared" si="1041"/>
        <v>-0.60376516028160265</v>
      </c>
      <c r="V331" s="247">
        <f t="shared" si="1041"/>
        <v>-0.36846529006619155</v>
      </c>
      <c r="W331" s="77">
        <f t="shared" si="1041"/>
        <v>0.41930215128259296</v>
      </c>
      <c r="X331" s="247">
        <f t="shared" si="1041"/>
        <v>2.8096189738133273</v>
      </c>
      <c r="Y331" s="247">
        <f t="shared" si="1041"/>
        <v>1.4071666401212246</v>
      </c>
      <c r="Z331" s="247">
        <f t="shared" si="1041"/>
        <v>0.80589243126182253</v>
      </c>
      <c r="AA331" s="76">
        <f t="shared" si="1041"/>
        <v>0.35974695104540899</v>
      </c>
      <c r="AB331" s="522">
        <f t="shared" si="1041"/>
        <v>0.35131086142322099</v>
      </c>
      <c r="AC331" s="76">
        <f t="shared" si="1041"/>
        <v>0.34248656228090679</v>
      </c>
      <c r="AD331" s="231">
        <f t="shared" si="1041"/>
        <v>0.18708226221079682</v>
      </c>
      <c r="AE331" s="276">
        <f t="shared" si="1041"/>
        <v>-0.14838709677419359</v>
      </c>
      <c r="AF331" s="76">
        <f t="shared" si="1041"/>
        <v>-0.78618942033576178</v>
      </c>
      <c r="AG331" s="231">
        <f t="shared" si="1041"/>
        <v>-0.58360170597963268</v>
      </c>
      <c r="AH331" s="231">
        <f t="shared" si="1041"/>
        <v>-0.75637485788533376</v>
      </c>
      <c r="AI331" s="276">
        <f t="shared" si="1041"/>
        <v>-0.52899184149184153</v>
      </c>
      <c r="AJ331" s="734"/>
      <c r="AK331" s="231"/>
      <c r="AL331" s="231"/>
      <c r="AM331" s="276"/>
      <c r="AN331" s="275"/>
      <c r="AO331" s="275"/>
      <c r="AP331" s="275"/>
      <c r="AQ331" s="276"/>
      <c r="AR331" s="275"/>
      <c r="AS331" s="275"/>
      <c r="AT331" s="275"/>
      <c r="AU331" s="276"/>
      <c r="AV331" s="275"/>
      <c r="AW331" s="275"/>
      <c r="AX331" s="275"/>
      <c r="AY331" s="276"/>
      <c r="AZ331" s="275"/>
      <c r="BA331" s="275"/>
      <c r="BB331" s="275"/>
      <c r="BC331" s="231"/>
      <c r="BD331" s="734"/>
      <c r="BE331" s="231"/>
      <c r="BF331" s="231"/>
      <c r="BG331" s="276"/>
      <c r="BH331" s="734"/>
      <c r="BI331" s="231"/>
      <c r="BJ331" s="231"/>
      <c r="BK331" s="276"/>
      <c r="BL331" s="734"/>
      <c r="BM331" s="231"/>
      <c r="BN331" s="231"/>
      <c r="BO331" s="276"/>
      <c r="BP331" s="657"/>
      <c r="BQ331" s="8"/>
      <c r="BR331" s="751"/>
      <c r="BS331" s="751" t="str">
        <f t="shared" ref="BS331:BY331" si="1042">IF(ISERROR(BS327/BR327-1),"NA",BS327/BR327-1)</f>
        <v>NA</v>
      </c>
      <c r="BT331" s="752">
        <f t="shared" si="1042"/>
        <v>-0.36282201934375846</v>
      </c>
      <c r="BU331" s="752">
        <f t="shared" si="1042"/>
        <v>-0.43596021840984867</v>
      </c>
      <c r="BV331" s="752">
        <f t="shared" si="1042"/>
        <v>0.99437982858507001</v>
      </c>
      <c r="BW331" s="752">
        <f t="shared" si="1042"/>
        <v>0.17408822639225185</v>
      </c>
      <c r="BX331" s="752">
        <f t="shared" si="1042"/>
        <v>-0.67991041938550278</v>
      </c>
      <c r="BY331" s="752">
        <f t="shared" si="1042"/>
        <v>-1</v>
      </c>
      <c r="BZ331" s="752">
        <f t="shared" ref="BZ331" si="1043">IF(ISERROR(BZ329/BY329-1),"NA",BZ329/BY329-1)</f>
        <v>0</v>
      </c>
      <c r="CA331" s="752">
        <f t="shared" ref="CA331:CF331" si="1044">IF(ISERROR(CA329/BZ329-1),"NA",CA329/BZ329-1)</f>
        <v>0</v>
      </c>
      <c r="CB331" s="752">
        <f t="shared" si="1044"/>
        <v>0</v>
      </c>
      <c r="CC331" s="752">
        <f t="shared" si="1044"/>
        <v>6.1615999999999893E-2</v>
      </c>
      <c r="CD331" s="752">
        <f t="shared" si="1044"/>
        <v>5.9577097556932301E-2</v>
      </c>
      <c r="CE331" s="752">
        <f t="shared" si="1044"/>
        <v>4.9995292025565963E-2</v>
      </c>
      <c r="CF331" s="753">
        <f t="shared" si="1044"/>
        <v>8.0776725166800345E-2</v>
      </c>
      <c r="CG331" s="658"/>
      <c r="CH331" s="363"/>
    </row>
    <row r="332" spans="1:86" ht="14.25" customHeight="1">
      <c r="A332" s="672"/>
      <c r="B332" s="759" t="s">
        <v>270</v>
      </c>
      <c r="C332" s="274"/>
      <c r="D332" s="754"/>
      <c r="E332" s="754"/>
      <c r="F332" s="754"/>
      <c r="G332" s="79"/>
      <c r="H332" s="754"/>
      <c r="I332" s="754"/>
      <c r="J332" s="754"/>
      <c r="K332" s="79"/>
      <c r="L332" s="247">
        <f t="shared" ref="L332:AI332" si="1045">L327/L14</f>
        <v>8.8827953619554992E-2</v>
      </c>
      <c r="M332" s="247">
        <f t="shared" si="1045"/>
        <v>8.6682242990654204E-2</v>
      </c>
      <c r="N332" s="247">
        <f t="shared" si="1045"/>
        <v>7.8037128037128048E-2</v>
      </c>
      <c r="O332" s="76">
        <f t="shared" si="1045"/>
        <v>6.7547806524184476E-2</v>
      </c>
      <c r="P332" s="522">
        <f t="shared" si="1045"/>
        <v>6.6136919315403428E-2</v>
      </c>
      <c r="Q332" s="46">
        <f t="shared" si="1045"/>
        <v>5.3551178752611159E-2</v>
      </c>
      <c r="R332" s="46">
        <f t="shared" si="1045"/>
        <v>6.0422202539120166E-2</v>
      </c>
      <c r="S332" s="749">
        <f t="shared" si="1045"/>
        <v>4.1914893617021276E-2</v>
      </c>
      <c r="T332" s="247">
        <f t="shared" si="1045"/>
        <v>2.3518707789970155E-2</v>
      </c>
      <c r="U332" s="247">
        <f t="shared" si="1045"/>
        <v>2.8939496128394953E-2</v>
      </c>
      <c r="V332" s="247">
        <f t="shared" si="1045"/>
        <v>4.4876242495817328E-2</v>
      </c>
      <c r="W332" s="77">
        <f t="shared" si="1045"/>
        <v>4.9314255446061737E-2</v>
      </c>
      <c r="X332" s="247">
        <f t="shared" si="1045"/>
        <v>5.8315132605304215E-2</v>
      </c>
      <c r="Y332" s="247">
        <f t="shared" si="1045"/>
        <v>4.8958810068649883E-2</v>
      </c>
      <c r="Z332" s="247">
        <f t="shared" si="1045"/>
        <v>6.2406417112299467E-2</v>
      </c>
      <c r="AA332" s="76">
        <f t="shared" si="1045"/>
        <v>5.7163120567375887E-2</v>
      </c>
      <c r="AB332" s="522">
        <f t="shared" si="1045"/>
        <v>7.4457547169811317E-2</v>
      </c>
      <c r="AC332" s="76">
        <f t="shared" si="1045"/>
        <v>6.6448814343551182E-2</v>
      </c>
      <c r="AD332" s="76">
        <f t="shared" si="1045"/>
        <v>7.9937968840161563E-2</v>
      </c>
      <c r="AE332" s="77">
        <f t="shared" si="1045"/>
        <v>5.0175438596491227E-2</v>
      </c>
      <c r="AF332" s="76">
        <f t="shared" si="1045"/>
        <v>1.7302146747837231E-2</v>
      </c>
      <c r="AG332" s="76">
        <f t="shared" si="1045"/>
        <v>2.8689655172413796E-2</v>
      </c>
      <c r="AH332" s="76">
        <f t="shared" si="1045"/>
        <v>1.9911504424778761E-2</v>
      </c>
      <c r="AI332" s="77">
        <f t="shared" si="1045"/>
        <v>2.7131587781134604E-2</v>
      </c>
      <c r="AJ332" s="522"/>
      <c r="AK332" s="76"/>
      <c r="AL332" s="76"/>
      <c r="AM332" s="77"/>
      <c r="AN332" s="247"/>
      <c r="AO332" s="247"/>
      <c r="AP332" s="247"/>
      <c r="AQ332" s="77"/>
      <c r="AR332" s="247"/>
      <c r="AS332" s="247"/>
      <c r="AT332" s="247"/>
      <c r="AU332" s="77"/>
      <c r="AV332" s="247"/>
      <c r="AW332" s="247"/>
      <c r="AX332" s="247"/>
      <c r="AY332" s="77"/>
      <c r="AZ332" s="247"/>
      <c r="BA332" s="247"/>
      <c r="BB332" s="247"/>
      <c r="BC332" s="76"/>
      <c r="BD332" s="522"/>
      <c r="BE332" s="76"/>
      <c r="BF332" s="76"/>
      <c r="BG332" s="77"/>
      <c r="BH332" s="522"/>
      <c r="BI332" s="76"/>
      <c r="BJ332" s="76"/>
      <c r="BK332" s="77"/>
      <c r="BL332" s="522"/>
      <c r="BM332" s="76"/>
      <c r="BN332" s="76"/>
      <c r="BO332" s="77"/>
      <c r="BP332" s="657"/>
      <c r="BQ332" s="8"/>
      <c r="BR332" s="751" t="str">
        <f t="shared" ref="BR332:BY332" si="1046">IF(ISERROR(BR327/BR14),"NA",BR327/BR14)</f>
        <v>NA</v>
      </c>
      <c r="BS332" s="751">
        <f t="shared" si="1046"/>
        <v>7.9969640017348562E-2</v>
      </c>
      <c r="BT332" s="752">
        <f t="shared" si="1046"/>
        <v>5.6388288936885043E-2</v>
      </c>
      <c r="BU332" s="752">
        <f t="shared" si="1046"/>
        <v>3.8127856006972917E-2</v>
      </c>
      <c r="BV332" s="752">
        <f t="shared" si="1046"/>
        <v>5.6777889159387085E-2</v>
      </c>
      <c r="BW332" s="752">
        <f t="shared" si="1046"/>
        <v>6.7778465346534658E-2</v>
      </c>
      <c r="BX332" s="752">
        <f t="shared" si="1046"/>
        <v>2.323625730994152E-2</v>
      </c>
      <c r="BY332" s="752">
        <f t="shared" si="1046"/>
        <v>0</v>
      </c>
      <c r="BZ332" s="752">
        <f t="shared" ref="BZ332:CC332" si="1047">IF(ISERROR(BZ329/BZ14),"NA",BZ329/BZ14)</f>
        <v>7.7225256574005811E-3</v>
      </c>
      <c r="CA332" s="752">
        <f t="shared" si="1047"/>
        <v>7.6866686834322724E-3</v>
      </c>
      <c r="CB332" s="752">
        <f t="shared" si="1047"/>
        <v>7.5352999272753395E-3</v>
      </c>
      <c r="CC332" s="752">
        <f t="shared" si="1047"/>
        <v>7.1479848823174444E-3</v>
      </c>
      <c r="CD332" s="752">
        <f>IF(ISERROR(CD329/CD14),"NA",CD329/CD14)</f>
        <v>7.1335711269963223E-3</v>
      </c>
      <c r="CE332" s="752">
        <f>IF(ISERROR(CE329/CE14),"NA",CE329/CE14)</f>
        <v>7.2737724039643407E-3</v>
      </c>
      <c r="CF332" s="753">
        <f>IF(ISERROR(CF329/CF14),"NA",CF329/CF14)</f>
        <v>1.0119019396024442E-2</v>
      </c>
      <c r="CG332" s="658"/>
      <c r="CH332" s="363"/>
    </row>
    <row r="333" spans="1:86" ht="14.25" hidden="1" customHeight="1" outlineLevel="1">
      <c r="A333" s="672"/>
      <c r="B333" s="651"/>
      <c r="C333" s="274"/>
      <c r="D333" s="754"/>
      <c r="E333" s="754"/>
      <c r="F333" s="754"/>
      <c r="G333" s="79"/>
      <c r="H333" s="754"/>
      <c r="I333" s="754"/>
      <c r="J333" s="754"/>
      <c r="K333" s="79"/>
      <c r="L333" s="247"/>
      <c r="M333" s="247"/>
      <c r="N333" s="247"/>
      <c r="O333" s="76"/>
      <c r="P333" s="522"/>
      <c r="Q333" s="46"/>
      <c r="R333" s="46"/>
      <c r="S333" s="749"/>
      <c r="T333" s="247"/>
      <c r="U333" s="247"/>
      <c r="V333" s="247"/>
      <c r="W333" s="77"/>
      <c r="X333" s="247"/>
      <c r="Y333" s="247"/>
      <c r="Z333" s="247"/>
      <c r="AA333" s="76"/>
      <c r="AB333" s="522"/>
      <c r="AC333" s="76"/>
      <c r="AD333" s="76"/>
      <c r="AE333" s="77"/>
      <c r="AF333" s="76"/>
      <c r="AG333" s="76"/>
      <c r="AH333" s="76"/>
      <c r="AI333" s="77"/>
      <c r="AJ333" s="522"/>
      <c r="AK333" s="76"/>
      <c r="AL333" s="76"/>
      <c r="AM333" s="77"/>
      <c r="AN333" s="247"/>
      <c r="AO333" s="247"/>
      <c r="AP333" s="247"/>
      <c r="AQ333" s="77"/>
      <c r="AR333" s="247"/>
      <c r="AS333" s="247"/>
      <c r="AT333" s="247"/>
      <c r="AU333" s="77"/>
      <c r="AV333" s="247"/>
      <c r="AW333" s="247"/>
      <c r="AX333" s="247"/>
      <c r="AY333" s="77"/>
      <c r="AZ333" s="247"/>
      <c r="BA333" s="247"/>
      <c r="BB333" s="247"/>
      <c r="BC333" s="76"/>
      <c r="BD333" s="522"/>
      <c r="BE333" s="76"/>
      <c r="BF333" s="76"/>
      <c r="BG333" s="77"/>
      <c r="BH333" s="522"/>
      <c r="BI333" s="76"/>
      <c r="BJ333" s="76"/>
      <c r="BK333" s="77"/>
      <c r="BL333" s="522"/>
      <c r="BM333" s="76"/>
      <c r="BN333" s="76"/>
      <c r="BO333" s="77"/>
      <c r="BP333" s="657"/>
      <c r="BQ333" s="8"/>
      <c r="BR333" s="751"/>
      <c r="BS333" s="751"/>
      <c r="BT333" s="752"/>
      <c r="BU333" s="752"/>
      <c r="BV333" s="752"/>
      <c r="BW333" s="752"/>
      <c r="BX333" s="752"/>
      <c r="BY333" s="752"/>
      <c r="BZ333" s="752"/>
      <c r="CA333" s="752"/>
      <c r="CB333" s="752"/>
      <c r="CC333" s="752"/>
      <c r="CD333" s="752"/>
      <c r="CE333" s="752"/>
      <c r="CF333" s="753"/>
      <c r="CG333" s="658"/>
      <c r="CH333" s="363"/>
    </row>
    <row r="334" spans="1:86" ht="14.25" hidden="1" customHeight="1" outlineLevel="1">
      <c r="A334" s="672"/>
      <c r="B334" s="705" t="s">
        <v>50</v>
      </c>
      <c r="C334" s="274"/>
      <c r="D334" s="754"/>
      <c r="E334" s="754"/>
      <c r="F334" s="754"/>
      <c r="G334" s="79"/>
      <c r="H334" s="754"/>
      <c r="I334" s="754"/>
      <c r="J334" s="754"/>
      <c r="K334" s="79"/>
      <c r="L334" s="247"/>
      <c r="M334" s="247"/>
      <c r="N334" s="247"/>
      <c r="O334" s="76"/>
      <c r="P334" s="522"/>
      <c r="Q334" s="46"/>
      <c r="R334" s="46"/>
      <c r="S334" s="749"/>
      <c r="T334" s="247"/>
      <c r="U334" s="247"/>
      <c r="V334" s="247"/>
      <c r="W334" s="77"/>
      <c r="X334" s="247"/>
      <c r="Y334" s="247"/>
      <c r="Z334" s="247"/>
      <c r="AA334" s="76"/>
      <c r="AB334" s="522"/>
      <c r="AC334" s="76"/>
      <c r="AD334" s="76"/>
      <c r="AE334" s="77"/>
      <c r="AF334" s="632">
        <v>65</v>
      </c>
      <c r="AG334" s="632">
        <v>0</v>
      </c>
      <c r="AH334" s="632">
        <v>65</v>
      </c>
      <c r="AI334" s="743">
        <v>0</v>
      </c>
      <c r="AJ334" s="742">
        <v>0</v>
      </c>
      <c r="AK334" s="632">
        <v>0</v>
      </c>
      <c r="AL334" s="632">
        <v>0</v>
      </c>
      <c r="AM334" s="743">
        <v>0</v>
      </c>
      <c r="AN334" s="742">
        <v>0</v>
      </c>
      <c r="AO334" s="632">
        <v>0</v>
      </c>
      <c r="AP334" s="632">
        <v>0</v>
      </c>
      <c r="AQ334" s="743">
        <v>0</v>
      </c>
      <c r="AR334" s="742">
        <v>0</v>
      </c>
      <c r="AS334" s="632">
        <v>0</v>
      </c>
      <c r="AT334" s="632">
        <v>0</v>
      </c>
      <c r="AU334" s="743">
        <v>0</v>
      </c>
      <c r="AV334" s="742">
        <v>0</v>
      </c>
      <c r="AW334" s="632">
        <v>0</v>
      </c>
      <c r="AX334" s="632">
        <v>0</v>
      </c>
      <c r="AY334" s="743">
        <v>0</v>
      </c>
      <c r="AZ334" s="742">
        <v>0</v>
      </c>
      <c r="BA334" s="632">
        <v>0</v>
      </c>
      <c r="BB334" s="632">
        <v>0</v>
      </c>
      <c r="BC334" s="632">
        <v>0</v>
      </c>
      <c r="BD334" s="742">
        <v>0</v>
      </c>
      <c r="BE334" s="632">
        <v>0</v>
      </c>
      <c r="BF334" s="632">
        <v>0</v>
      </c>
      <c r="BG334" s="743">
        <v>0</v>
      </c>
      <c r="BH334" s="742">
        <v>0</v>
      </c>
      <c r="BI334" s="632">
        <v>0</v>
      </c>
      <c r="BJ334" s="632">
        <v>0</v>
      </c>
      <c r="BK334" s="743">
        <v>0</v>
      </c>
      <c r="BL334" s="742">
        <v>0</v>
      </c>
      <c r="BM334" s="632">
        <v>0</v>
      </c>
      <c r="BN334" s="632">
        <v>0</v>
      </c>
      <c r="BO334" s="743">
        <v>0</v>
      </c>
      <c r="BP334" s="657"/>
      <c r="BQ334" s="8"/>
      <c r="BR334" s="751"/>
      <c r="BS334" s="751"/>
      <c r="BT334" s="752"/>
      <c r="BU334" s="752"/>
      <c r="BV334" s="752"/>
      <c r="BW334" s="752"/>
      <c r="BX334" s="752"/>
      <c r="BY334" s="752"/>
      <c r="BZ334" s="752"/>
      <c r="CA334" s="752"/>
      <c r="CB334" s="752"/>
      <c r="CC334" s="752"/>
      <c r="CD334" s="752"/>
      <c r="CE334" s="752"/>
      <c r="CF334" s="753"/>
      <c r="CG334" s="658"/>
      <c r="CH334" s="363"/>
    </row>
    <row r="335" spans="1:86" ht="14.25" hidden="1" customHeight="1" outlineLevel="1">
      <c r="A335" s="672"/>
      <c r="B335" s="651"/>
      <c r="C335" s="274"/>
      <c r="D335" s="754"/>
      <c r="E335" s="754"/>
      <c r="F335" s="754"/>
      <c r="G335" s="79"/>
      <c r="H335" s="754"/>
      <c r="I335" s="754"/>
      <c r="J335" s="754"/>
      <c r="K335" s="79"/>
      <c r="L335" s="247"/>
      <c r="M335" s="247"/>
      <c r="N335" s="247"/>
      <c r="O335" s="76"/>
      <c r="P335" s="522"/>
      <c r="Q335" s="46"/>
      <c r="R335" s="46"/>
      <c r="S335" s="749"/>
      <c r="T335" s="247"/>
      <c r="U335" s="247"/>
      <c r="V335" s="247"/>
      <c r="W335" s="77"/>
      <c r="X335" s="247"/>
      <c r="Y335" s="247"/>
      <c r="Z335" s="247"/>
      <c r="AA335" s="76"/>
      <c r="AB335" s="522"/>
      <c r="AC335" s="76"/>
      <c r="AD335" s="76"/>
      <c r="AE335" s="77"/>
      <c r="AF335" s="76"/>
      <c r="AG335" s="76"/>
      <c r="AH335" s="76"/>
      <c r="AI335" s="77"/>
      <c r="AJ335" s="522"/>
      <c r="AK335" s="76"/>
      <c r="AL335" s="76"/>
      <c r="AM335" s="77"/>
      <c r="AN335" s="247"/>
      <c r="AO335" s="247"/>
      <c r="AP335" s="247"/>
      <c r="AQ335" s="77"/>
      <c r="AR335" s="247"/>
      <c r="AS335" s="247"/>
      <c r="AT335" s="247"/>
      <c r="AU335" s="77"/>
      <c r="AV335" s="247"/>
      <c r="AW335" s="247"/>
      <c r="AX335" s="247"/>
      <c r="AY335" s="77"/>
      <c r="AZ335" s="247"/>
      <c r="BA335" s="247"/>
      <c r="BB335" s="247"/>
      <c r="BC335" s="76"/>
      <c r="BD335" s="522"/>
      <c r="BE335" s="76"/>
      <c r="BF335" s="76"/>
      <c r="BG335" s="77"/>
      <c r="BH335" s="522"/>
      <c r="BI335" s="76"/>
      <c r="BJ335" s="76"/>
      <c r="BK335" s="77"/>
      <c r="BL335" s="522"/>
      <c r="BM335" s="76"/>
      <c r="BN335" s="76"/>
      <c r="BO335" s="77"/>
      <c r="BP335" s="657"/>
      <c r="BQ335" s="8"/>
      <c r="BR335" s="751"/>
      <c r="BS335" s="751"/>
      <c r="BT335" s="752"/>
      <c r="BU335" s="752"/>
      <c r="BV335" s="752"/>
      <c r="BW335" s="752"/>
      <c r="BX335" s="752"/>
      <c r="BY335" s="752"/>
      <c r="BZ335" s="752"/>
      <c r="CA335" s="752"/>
      <c r="CB335" s="752"/>
      <c r="CC335" s="752"/>
      <c r="CD335" s="752"/>
      <c r="CE335" s="752"/>
      <c r="CF335" s="753"/>
      <c r="CG335" s="658"/>
      <c r="CH335" s="363"/>
    </row>
    <row r="336" spans="1:86" ht="14.25" hidden="1" customHeight="1" outlineLevel="1">
      <c r="A336" s="672"/>
      <c r="B336" s="810" t="s">
        <v>84</v>
      </c>
      <c r="C336" s="274"/>
      <c r="D336" s="754"/>
      <c r="E336" s="754"/>
      <c r="F336" s="754"/>
      <c r="G336" s="79"/>
      <c r="H336" s="754"/>
      <c r="I336" s="754"/>
      <c r="J336" s="754"/>
      <c r="K336" s="79"/>
      <c r="L336" s="687">
        <f t="shared" ref="L336:AI336" si="1048">L$599</f>
        <v>144</v>
      </c>
      <c r="M336" s="685">
        <f t="shared" si="1048"/>
        <v>240</v>
      </c>
      <c r="N336" s="685">
        <f t="shared" si="1048"/>
        <v>306</v>
      </c>
      <c r="O336" s="685">
        <f t="shared" si="1048"/>
        <v>206</v>
      </c>
      <c r="P336" s="811">
        <f t="shared" si="1048"/>
        <v>186</v>
      </c>
      <c r="Q336" s="685">
        <f t="shared" si="1048"/>
        <v>280</v>
      </c>
      <c r="R336" s="685">
        <f t="shared" si="1048"/>
        <v>244</v>
      </c>
      <c r="S336" s="686">
        <f t="shared" si="1048"/>
        <v>62</v>
      </c>
      <c r="T336" s="685">
        <f t="shared" si="1048"/>
        <v>56</v>
      </c>
      <c r="U336" s="685">
        <f t="shared" si="1048"/>
        <v>161</v>
      </c>
      <c r="V336" s="685">
        <f t="shared" si="1048"/>
        <v>272</v>
      </c>
      <c r="W336" s="686">
        <f t="shared" si="1048"/>
        <v>222</v>
      </c>
      <c r="X336" s="685">
        <f t="shared" si="1048"/>
        <v>321</v>
      </c>
      <c r="Y336" s="685">
        <f t="shared" si="1048"/>
        <v>355</v>
      </c>
      <c r="Z336" s="685">
        <f t="shared" si="1048"/>
        <v>367</v>
      </c>
      <c r="AA336" s="685">
        <f t="shared" si="1048"/>
        <v>421</v>
      </c>
      <c r="AB336" s="811">
        <f t="shared" si="1048"/>
        <v>247</v>
      </c>
      <c r="AC336" s="685">
        <f t="shared" si="1048"/>
        <v>236</v>
      </c>
      <c r="AD336" s="685">
        <f t="shared" si="1048"/>
        <v>209</v>
      </c>
      <c r="AE336" s="686">
        <f t="shared" si="1048"/>
        <v>-173</v>
      </c>
      <c r="AF336" s="685">
        <f t="shared" si="1048"/>
        <v>51</v>
      </c>
      <c r="AG336" s="685">
        <f t="shared" si="1048"/>
        <v>161</v>
      </c>
      <c r="AH336" s="685">
        <f t="shared" si="1048"/>
        <v>370</v>
      </c>
      <c r="AI336" s="686">
        <f t="shared" si="1048"/>
        <v>100</v>
      </c>
      <c r="AJ336" s="688"/>
      <c r="AK336" s="687"/>
      <c r="AL336" s="687"/>
      <c r="AM336" s="689"/>
      <c r="AN336" s="687"/>
      <c r="AO336" s="687"/>
      <c r="AP336" s="687"/>
      <c r="AQ336" s="689"/>
      <c r="AR336" s="687"/>
      <c r="AS336" s="687"/>
      <c r="AT336" s="687"/>
      <c r="AU336" s="689"/>
      <c r="AV336" s="687"/>
      <c r="AW336" s="687"/>
      <c r="AX336" s="687"/>
      <c r="AY336" s="689"/>
      <c r="AZ336" s="687"/>
      <c r="BA336" s="687"/>
      <c r="BB336" s="687"/>
      <c r="BC336" s="687"/>
      <c r="BD336" s="688"/>
      <c r="BE336" s="687"/>
      <c r="BF336" s="687"/>
      <c r="BG336" s="689"/>
      <c r="BH336" s="688"/>
      <c r="BI336" s="687"/>
      <c r="BJ336" s="687"/>
      <c r="BK336" s="689"/>
      <c r="BL336" s="688"/>
      <c r="BM336" s="687"/>
      <c r="BN336" s="687"/>
      <c r="BO336" s="689"/>
      <c r="BP336" s="657"/>
      <c r="BQ336" s="8"/>
      <c r="BR336" s="690">
        <v>1024</v>
      </c>
      <c r="BS336" s="273">
        <f>SUM(L336:O336)</f>
        <v>896</v>
      </c>
      <c r="BT336" s="691">
        <f>SUM(P336:S336)</f>
        <v>772</v>
      </c>
      <c r="BU336" s="691">
        <f>SUM(T336:W336)</f>
        <v>711</v>
      </c>
      <c r="BV336" s="691">
        <f>SUM(X336:AA336)</f>
        <v>1464</v>
      </c>
      <c r="BW336" s="691">
        <f>SUM(AB336:AE336)</f>
        <v>519</v>
      </c>
      <c r="BX336" s="691">
        <f>SUM(AF336:AI336)</f>
        <v>682</v>
      </c>
      <c r="BY336" s="691">
        <f>SUM(AJ336:AM336)</f>
        <v>0</v>
      </c>
      <c r="BZ336" s="691">
        <f>+SUM(AN336:AQ336)</f>
        <v>0</v>
      </c>
      <c r="CA336" s="691">
        <f>+SUM(AR336:AU336)</f>
        <v>0</v>
      </c>
      <c r="CB336" s="691">
        <f>SUM(AV336:AY336)</f>
        <v>0</v>
      </c>
      <c r="CC336" s="691">
        <f>SUM(AZ336:BC336)</f>
        <v>0</v>
      </c>
      <c r="CD336" s="691">
        <f>SUM(BD336:BG336)</f>
        <v>0</v>
      </c>
      <c r="CE336" s="691">
        <f>SUM(BH336:BK336)</f>
        <v>0</v>
      </c>
      <c r="CF336" s="692">
        <f>SUM(BL336:BO336)</f>
        <v>0</v>
      </c>
      <c r="CG336" s="658"/>
      <c r="CH336" s="363"/>
    </row>
    <row r="337" spans="1:88" ht="14.25" hidden="1" customHeight="1" outlineLevel="1">
      <c r="A337" s="672"/>
      <c r="B337" s="812" t="s">
        <v>85</v>
      </c>
      <c r="C337" s="274"/>
      <c r="D337" s="754"/>
      <c r="E337" s="754"/>
      <c r="F337" s="754"/>
      <c r="G337" s="79"/>
      <c r="H337" s="754"/>
      <c r="I337" s="754"/>
      <c r="J337" s="754"/>
      <c r="K337" s="79"/>
      <c r="L337" s="687"/>
      <c r="M337" s="685"/>
      <c r="N337" s="685"/>
      <c r="O337" s="685"/>
      <c r="P337" s="811"/>
      <c r="Q337" s="685"/>
      <c r="R337" s="685"/>
      <c r="S337" s="686"/>
      <c r="T337" s="685"/>
      <c r="U337" s="685"/>
      <c r="V337" s="685"/>
      <c r="W337" s="686"/>
      <c r="X337" s="813">
        <v>466</v>
      </c>
      <c r="Y337" s="813">
        <v>506</v>
      </c>
      <c r="Z337" s="813">
        <v>538</v>
      </c>
      <c r="AA337" s="813">
        <v>593</v>
      </c>
      <c r="AB337" s="814">
        <v>385</v>
      </c>
      <c r="AC337" s="813">
        <v>311</v>
      </c>
      <c r="AD337" s="813">
        <v>281</v>
      </c>
      <c r="AE337" s="815">
        <v>-65</v>
      </c>
      <c r="AF337" s="813">
        <v>27</v>
      </c>
      <c r="AG337" s="813">
        <v>109</v>
      </c>
      <c r="AH337" s="813">
        <v>320</v>
      </c>
      <c r="AI337" s="815">
        <v>-291</v>
      </c>
      <c r="AJ337" s="742">
        <v>88</v>
      </c>
      <c r="AK337" s="632">
        <v>436</v>
      </c>
      <c r="AL337" s="632">
        <v>178</v>
      </c>
      <c r="AM337" s="815">
        <v>85</v>
      </c>
      <c r="AN337" s="742">
        <v>140</v>
      </c>
      <c r="AO337" s="632">
        <v>214</v>
      </c>
      <c r="AP337" s="632">
        <v>259</v>
      </c>
      <c r="AQ337" s="815">
        <v>164</v>
      </c>
      <c r="AR337" s="742">
        <v>114</v>
      </c>
      <c r="AS337" s="687"/>
      <c r="AT337" s="632">
        <v>178</v>
      </c>
      <c r="AU337" s="815">
        <v>164</v>
      </c>
      <c r="AV337" s="742"/>
      <c r="AW337" s="687"/>
      <c r="AX337" s="632">
        <v>226</v>
      </c>
      <c r="AY337" s="815">
        <v>164</v>
      </c>
      <c r="AZ337" s="687"/>
      <c r="BA337" s="687"/>
      <c r="BB337" s="687"/>
      <c r="BC337" s="687"/>
      <c r="BD337" s="688"/>
      <c r="BE337" s="687"/>
      <c r="BF337" s="687"/>
      <c r="BG337" s="689"/>
      <c r="BH337" s="688"/>
      <c r="BI337" s="687"/>
      <c r="BJ337" s="687"/>
      <c r="BK337" s="689"/>
      <c r="BL337" s="688"/>
      <c r="BM337" s="687"/>
      <c r="BN337" s="687"/>
      <c r="BO337" s="689"/>
      <c r="BP337" s="657"/>
      <c r="BQ337" s="8"/>
      <c r="BR337" s="690"/>
      <c r="BS337" s="273"/>
      <c r="BT337" s="273"/>
      <c r="BU337" s="273"/>
      <c r="BV337" s="273"/>
      <c r="BW337" s="273"/>
      <c r="BX337" s="273"/>
      <c r="BY337" s="273"/>
      <c r="BZ337" s="273"/>
      <c r="CA337" s="273"/>
      <c r="CB337" s="273"/>
      <c r="CC337" s="273"/>
      <c r="CD337" s="273"/>
      <c r="CE337" s="273"/>
      <c r="CF337" s="717"/>
      <c r="CG337" s="658"/>
      <c r="CH337" s="363"/>
    </row>
    <row r="338" spans="1:88" ht="14.25" hidden="1" customHeight="1" outlineLevel="1">
      <c r="A338" s="672"/>
      <c r="B338" s="769"/>
      <c r="C338" s="274"/>
      <c r="D338" s="754"/>
      <c r="E338" s="754"/>
      <c r="F338" s="754"/>
      <c r="G338" s="79"/>
      <c r="H338" s="754"/>
      <c r="I338" s="754"/>
      <c r="J338" s="754"/>
      <c r="K338" s="79"/>
      <c r="L338" s="687"/>
      <c r="M338" s="685"/>
      <c r="N338" s="685"/>
      <c r="O338" s="685"/>
      <c r="P338" s="811"/>
      <c r="Q338" s="685"/>
      <c r="R338" s="685"/>
      <c r="S338" s="686"/>
      <c r="T338" s="685"/>
      <c r="U338" s="685"/>
      <c r="V338" s="685"/>
      <c r="W338" s="686"/>
      <c r="X338" s="685"/>
      <c r="Y338" s="685"/>
      <c r="Z338" s="685"/>
      <c r="AA338" s="685"/>
      <c r="AB338" s="811"/>
      <c r="AC338" s="685"/>
      <c r="AD338" s="685"/>
      <c r="AE338" s="686"/>
      <c r="AF338" s="685"/>
      <c r="AG338" s="685"/>
      <c r="AH338" s="685"/>
      <c r="AI338" s="686"/>
      <c r="AJ338" s="688"/>
      <c r="AK338" s="687"/>
      <c r="AL338" s="687"/>
      <c r="AM338" s="689"/>
      <c r="AN338" s="687"/>
      <c r="AO338" s="687"/>
      <c r="AP338" s="687"/>
      <c r="AQ338" s="689"/>
      <c r="AR338" s="687"/>
      <c r="AS338" s="687"/>
      <c r="AT338" s="687"/>
      <c r="AU338" s="689"/>
      <c r="AV338" s="687"/>
      <c r="AW338" s="687"/>
      <c r="AX338" s="687"/>
      <c r="AY338" s="689"/>
      <c r="AZ338" s="687"/>
      <c r="BA338" s="687"/>
      <c r="BB338" s="687"/>
      <c r="BC338" s="687"/>
      <c r="BD338" s="688"/>
      <c r="BE338" s="687"/>
      <c r="BF338" s="687"/>
      <c r="BG338" s="689"/>
      <c r="BH338" s="688"/>
      <c r="BI338" s="687"/>
      <c r="BJ338" s="687"/>
      <c r="BK338" s="689"/>
      <c r="BL338" s="688"/>
      <c r="BM338" s="687"/>
      <c r="BN338" s="687"/>
      <c r="BO338" s="689"/>
      <c r="BP338" s="657"/>
      <c r="BQ338" s="8"/>
      <c r="BR338" s="690"/>
      <c r="BS338" s="273"/>
      <c r="BT338" s="273"/>
      <c r="BU338" s="273"/>
      <c r="BV338" s="273"/>
      <c r="BW338" s="273"/>
      <c r="BX338" s="273"/>
      <c r="BY338" s="273"/>
      <c r="BZ338" s="273"/>
      <c r="CA338" s="273"/>
      <c r="CB338" s="273"/>
      <c r="CC338" s="273"/>
      <c r="CD338" s="273"/>
      <c r="CE338" s="273"/>
      <c r="CF338" s="717"/>
      <c r="CG338" s="658"/>
      <c r="CH338" s="363"/>
    </row>
    <row r="339" spans="1:88" ht="14.25" hidden="1" customHeight="1" outlineLevel="1">
      <c r="A339" s="672"/>
      <c r="B339" s="818" t="s">
        <v>87</v>
      </c>
      <c r="C339" s="274"/>
      <c r="D339" s="754"/>
      <c r="E339" s="754"/>
      <c r="F339" s="754"/>
      <c r="G339" s="79"/>
      <c r="H339" s="754"/>
      <c r="I339" s="754"/>
      <c r="J339" s="754"/>
      <c r="K339" s="79"/>
      <c r="L339" s="247">
        <f t="shared" ref="L339:AI339" si="1049">L336/L286</f>
        <v>0.20027816411682892</v>
      </c>
      <c r="M339" s="247">
        <f t="shared" si="1049"/>
        <v>0.28742514970059879</v>
      </c>
      <c r="N339" s="247">
        <f t="shared" si="1049"/>
        <v>0.3513203214695752</v>
      </c>
      <c r="O339" s="76">
        <f t="shared" si="1049"/>
        <v>0.29470672389127323</v>
      </c>
      <c r="P339" s="522">
        <f t="shared" si="1049"/>
        <v>0.28139183055975792</v>
      </c>
      <c r="Q339" s="76">
        <f t="shared" si="1049"/>
        <v>0.38727524204702629</v>
      </c>
      <c r="R339" s="76">
        <f t="shared" si="1049"/>
        <v>0.32275132275132273</v>
      </c>
      <c r="S339" s="77">
        <f t="shared" si="1049"/>
        <v>0.12653061224489795</v>
      </c>
      <c r="T339" s="247">
        <f t="shared" si="1049"/>
        <v>0.13827160493827159</v>
      </c>
      <c r="U339" s="247">
        <f t="shared" si="1049"/>
        <v>0.30783938814531547</v>
      </c>
      <c r="V339" s="247">
        <f t="shared" si="1049"/>
        <v>0.43312101910828027</v>
      </c>
      <c r="W339" s="77">
        <f t="shared" si="1049"/>
        <v>0.38811188811188813</v>
      </c>
      <c r="X339" s="247">
        <f t="shared" si="1049"/>
        <v>0.47136563876651982</v>
      </c>
      <c r="Y339" s="247">
        <f t="shared" si="1049"/>
        <v>0.47908232118758437</v>
      </c>
      <c r="Z339" s="247">
        <f t="shared" si="1049"/>
        <v>0.45141451414514144</v>
      </c>
      <c r="AA339" s="76">
        <f t="shared" si="1049"/>
        <v>0.59971509971509973</v>
      </c>
      <c r="AB339" s="522">
        <f t="shared" si="1049"/>
        <v>0.37142857142857144</v>
      </c>
      <c r="AC339" s="76">
        <f t="shared" si="1049"/>
        <v>0.32960893854748602</v>
      </c>
      <c r="AD339" s="76">
        <f t="shared" si="1049"/>
        <v>0.26455696202531648</v>
      </c>
      <c r="AE339" s="77">
        <f t="shared" si="1049"/>
        <v>-0.30837789661319071</v>
      </c>
      <c r="AF339" s="76">
        <f t="shared" si="1049"/>
        <v>8.6587436332767401E-2</v>
      </c>
      <c r="AG339" s="76">
        <f t="shared" si="1049"/>
        <v>0.23538011695906433</v>
      </c>
      <c r="AH339" s="76">
        <f t="shared" si="1049"/>
        <v>0.52706552706552712</v>
      </c>
      <c r="AI339" s="77">
        <f t="shared" si="1049"/>
        <v>0.19083969465648856</v>
      </c>
      <c r="AJ339" s="522"/>
      <c r="AK339" s="76"/>
      <c r="AL339" s="76"/>
      <c r="AM339" s="77"/>
      <c r="AN339" s="247"/>
      <c r="AO339" s="247"/>
      <c r="AP339" s="247"/>
      <c r="AQ339" s="77"/>
      <c r="AR339" s="247"/>
      <c r="AS339" s="247"/>
      <c r="AT339" s="247"/>
      <c r="AU339" s="77"/>
      <c r="AV339" s="247"/>
      <c r="AW339" s="247"/>
      <c r="AX339" s="247"/>
      <c r="AY339" s="77"/>
      <c r="AZ339" s="247"/>
      <c r="BA339" s="247"/>
      <c r="BB339" s="247"/>
      <c r="BC339" s="76"/>
      <c r="BD339" s="522"/>
      <c r="BE339" s="76"/>
      <c r="BF339" s="76"/>
      <c r="BG339" s="77"/>
      <c r="BH339" s="522"/>
      <c r="BI339" s="76"/>
      <c r="BJ339" s="76"/>
      <c r="BK339" s="77"/>
      <c r="BL339" s="522"/>
      <c r="BM339" s="76"/>
      <c r="BN339" s="76"/>
      <c r="BO339" s="77"/>
      <c r="BP339" s="657"/>
      <c r="BQ339" s="8"/>
      <c r="BR339" s="247">
        <f t="shared" ref="BR339:BX339" si="1050">BR336/BR286</f>
        <v>0.28077872223745542</v>
      </c>
      <c r="BS339" s="247">
        <f t="shared" si="1050"/>
        <v>0.28681177976952626</v>
      </c>
      <c r="BT339" s="76">
        <f t="shared" si="1050"/>
        <v>0.2935361216730038</v>
      </c>
      <c r="BU339" s="76">
        <f t="shared" si="1050"/>
        <v>0.33411654135338348</v>
      </c>
      <c r="BV339" s="76">
        <f t="shared" si="1050"/>
        <v>0.49846782431052095</v>
      </c>
      <c r="BW339" s="76">
        <f t="shared" si="1050"/>
        <v>0.18997071742313323</v>
      </c>
      <c r="BX339" s="76">
        <f t="shared" si="1050"/>
        <v>0.27290916366546619</v>
      </c>
      <c r="BY339" s="76"/>
      <c r="BZ339" s="76"/>
      <c r="CA339" s="76"/>
      <c r="CB339" s="76"/>
      <c r="CC339" s="76"/>
      <c r="CD339" s="76"/>
      <c r="CE339" s="76"/>
      <c r="CF339" s="77"/>
      <c r="CG339" s="658"/>
      <c r="CH339" s="363"/>
    </row>
    <row r="340" spans="1:88" ht="14.25" hidden="1" customHeight="1" outlineLevel="1">
      <c r="A340" s="672"/>
      <c r="B340" s="823" t="s">
        <v>55</v>
      </c>
      <c r="C340" s="274"/>
      <c r="D340" s="754"/>
      <c r="E340" s="754"/>
      <c r="F340" s="754"/>
      <c r="G340" s="79"/>
      <c r="H340" s="754"/>
      <c r="I340" s="754"/>
      <c r="J340" s="754"/>
      <c r="K340" s="79"/>
      <c r="L340" s="247"/>
      <c r="M340" s="247"/>
      <c r="N340" s="247"/>
      <c r="O340" s="76"/>
      <c r="P340" s="522"/>
      <c r="Q340" s="76"/>
      <c r="R340" s="76"/>
      <c r="S340" s="77"/>
      <c r="T340" s="247"/>
      <c r="U340" s="247"/>
      <c r="V340" s="247"/>
      <c r="W340" s="77"/>
      <c r="X340" s="247">
        <f t="shared" ref="X340:AI340" si="1051">+X337/X288</f>
        <v>0.35196374622356497</v>
      </c>
      <c r="Y340" s="247">
        <f t="shared" si="1051"/>
        <v>0.36298421807747488</v>
      </c>
      <c r="Z340" s="247">
        <f t="shared" si="1051"/>
        <v>0.35582010582010581</v>
      </c>
      <c r="AA340" s="76">
        <f t="shared" si="1051"/>
        <v>0.42387419585418157</v>
      </c>
      <c r="AB340" s="522">
        <f t="shared" si="1051"/>
        <v>0.30701754385964913</v>
      </c>
      <c r="AC340" s="76">
        <f t="shared" si="1051"/>
        <v>0.25852036575228593</v>
      </c>
      <c r="AD340" s="76">
        <f t="shared" si="1051"/>
        <v>0.21598770176787088</v>
      </c>
      <c r="AE340" s="77">
        <f t="shared" si="1051"/>
        <v>-5.3235053235053238E-2</v>
      </c>
      <c r="AF340" s="76">
        <f t="shared" si="1051"/>
        <v>3.0167597765363128E-2</v>
      </c>
      <c r="AG340" s="76">
        <f t="shared" si="1051"/>
        <v>0.11413612565445026</v>
      </c>
      <c r="AH340" s="76">
        <f t="shared" si="1051"/>
        <v>0.33472803347280333</v>
      </c>
      <c r="AI340" s="77">
        <f t="shared" si="1051"/>
        <v>-0.38089005235602097</v>
      </c>
      <c r="AJ340" s="522"/>
      <c r="AK340" s="76"/>
      <c r="AL340" s="76"/>
      <c r="AM340" s="77"/>
      <c r="AN340" s="247"/>
      <c r="AO340" s="247"/>
      <c r="AP340" s="247"/>
      <c r="AQ340" s="77"/>
      <c r="AR340" s="247"/>
      <c r="AS340" s="247"/>
      <c r="AT340" s="247"/>
      <c r="AU340" s="77"/>
      <c r="AV340" s="247"/>
      <c r="AW340" s="247"/>
      <c r="AX340" s="247"/>
      <c r="AY340" s="77"/>
      <c r="AZ340" s="247"/>
      <c r="BA340" s="247"/>
      <c r="BB340" s="247"/>
      <c r="BC340" s="76"/>
      <c r="BD340" s="522"/>
      <c r="BE340" s="76"/>
      <c r="BF340" s="76"/>
      <c r="BG340" s="77"/>
      <c r="BH340" s="522"/>
      <c r="BI340" s="76"/>
      <c r="BJ340" s="76"/>
      <c r="BK340" s="77"/>
      <c r="BL340" s="522"/>
      <c r="BM340" s="76"/>
      <c r="BN340" s="76"/>
      <c r="BO340" s="77"/>
      <c r="BP340" s="657"/>
      <c r="BQ340" s="8"/>
      <c r="BR340" s="247"/>
      <c r="BS340" s="247"/>
      <c r="BT340" s="76"/>
      <c r="BU340" s="76"/>
      <c r="BV340" s="76"/>
      <c r="BW340" s="76"/>
      <c r="BX340" s="76"/>
      <c r="BY340" s="76"/>
      <c r="BZ340" s="76"/>
      <c r="CA340" s="76"/>
      <c r="CB340" s="76"/>
      <c r="CC340" s="76"/>
      <c r="CD340" s="76"/>
      <c r="CE340" s="76"/>
      <c r="CF340" s="77"/>
      <c r="CG340" s="658"/>
      <c r="CH340" s="363"/>
    </row>
    <row r="341" spans="1:88" ht="14.25" hidden="1" customHeight="1" outlineLevel="1">
      <c r="A341" s="672"/>
      <c r="B341" s="651"/>
      <c r="C341" s="274"/>
      <c r="D341" s="754"/>
      <c r="E341" s="754"/>
      <c r="F341" s="754"/>
      <c r="G341" s="79"/>
      <c r="H341" s="754"/>
      <c r="I341" s="754"/>
      <c r="J341" s="754"/>
      <c r="K341" s="79"/>
      <c r="L341" s="754"/>
      <c r="M341" s="754"/>
      <c r="N341" s="754"/>
      <c r="O341" s="78"/>
      <c r="P341" s="770"/>
      <c r="Q341" s="78"/>
      <c r="R341" s="78"/>
      <c r="S341" s="79"/>
      <c r="T341" s="754"/>
      <c r="U341" s="754"/>
      <c r="V341" s="754"/>
      <c r="W341" s="79"/>
      <c r="X341" s="754"/>
      <c r="Y341" s="754"/>
      <c r="Z341" s="754"/>
      <c r="AA341" s="78"/>
      <c r="AB341" s="770"/>
      <c r="AC341" s="78"/>
      <c r="AD341" s="278"/>
      <c r="AE341" s="79"/>
      <c r="AF341" s="78"/>
      <c r="AG341" s="78"/>
      <c r="AH341" s="78"/>
      <c r="AI341" s="79"/>
      <c r="AJ341" s="342"/>
      <c r="AK341" s="54"/>
      <c r="AL341" s="54"/>
      <c r="AM341" s="79"/>
      <c r="AN341" s="12"/>
      <c r="AO341" s="12"/>
      <c r="AP341" s="12"/>
      <c r="AQ341" s="79"/>
      <c r="AR341" s="12"/>
      <c r="AS341" s="12"/>
      <c r="AT341" s="12"/>
      <c r="AU341" s="79"/>
      <c r="AV341" s="12"/>
      <c r="AW341" s="12"/>
      <c r="AX341" s="12"/>
      <c r="AY341" s="79"/>
      <c r="AZ341" s="12"/>
      <c r="BA341" s="12"/>
      <c r="BB341" s="12"/>
      <c r="BC341" s="78"/>
      <c r="BD341" s="342"/>
      <c r="BE341" s="54"/>
      <c r="BF341" s="54"/>
      <c r="BG341" s="79"/>
      <c r="BH341" s="342"/>
      <c r="BI341" s="54"/>
      <c r="BJ341" s="54"/>
      <c r="BK341" s="79"/>
      <c r="BL341" s="342"/>
      <c r="BM341" s="54"/>
      <c r="BN341" s="54"/>
      <c r="BO341" s="79"/>
      <c r="BP341" s="657"/>
      <c r="BQ341" s="8"/>
      <c r="BR341" s="8"/>
      <c r="BS341" s="8"/>
      <c r="BT341" s="14"/>
      <c r="BU341" s="14"/>
      <c r="BV341" s="14"/>
      <c r="BW341" s="14"/>
      <c r="BX341" s="14"/>
      <c r="BY341" s="14"/>
      <c r="BZ341" s="14"/>
      <c r="CA341" s="14"/>
      <c r="CB341" s="14"/>
      <c r="CC341" s="14"/>
      <c r="CD341" s="14"/>
      <c r="CE341" s="14"/>
      <c r="CF341" s="224"/>
      <c r="CG341" s="658"/>
      <c r="CH341" s="363"/>
    </row>
    <row r="342" spans="1:88" ht="14.25" hidden="1" customHeight="1" outlineLevel="1">
      <c r="A342" s="672"/>
      <c r="B342" s="810" t="s">
        <v>58</v>
      </c>
      <c r="C342" s="274"/>
      <c r="D342" s="78"/>
      <c r="E342" s="78"/>
      <c r="F342" s="78"/>
      <c r="G342" s="79"/>
      <c r="H342" s="78"/>
      <c r="I342" s="78"/>
      <c r="J342" s="78"/>
      <c r="K342" s="79"/>
      <c r="L342" s="687">
        <f t="shared" ref="L342:AI342" si="1052">L$610</f>
        <v>3</v>
      </c>
      <c r="M342" s="687">
        <f t="shared" si="1052"/>
        <v>3</v>
      </c>
      <c r="N342" s="687">
        <f t="shared" si="1052"/>
        <v>3</v>
      </c>
      <c r="O342" s="687">
        <f t="shared" si="1052"/>
        <v>1</v>
      </c>
      <c r="P342" s="688">
        <f t="shared" si="1052"/>
        <v>0</v>
      </c>
      <c r="Q342" s="687">
        <f t="shared" si="1052"/>
        <v>0</v>
      </c>
      <c r="R342" s="687">
        <f t="shared" si="1052"/>
        <v>0</v>
      </c>
      <c r="S342" s="689">
        <f t="shared" si="1052"/>
        <v>40</v>
      </c>
      <c r="T342" s="687">
        <f t="shared" si="1052"/>
        <v>12</v>
      </c>
      <c r="U342" s="687">
        <f t="shared" si="1052"/>
        <v>9</v>
      </c>
      <c r="V342" s="687">
        <f t="shared" si="1052"/>
        <v>1</v>
      </c>
      <c r="W342" s="689">
        <f t="shared" si="1052"/>
        <v>2</v>
      </c>
      <c r="X342" s="687">
        <f t="shared" si="1052"/>
        <v>1</v>
      </c>
      <c r="Y342" s="687">
        <f t="shared" si="1052"/>
        <v>2</v>
      </c>
      <c r="Z342" s="687">
        <f t="shared" si="1052"/>
        <v>1</v>
      </c>
      <c r="AA342" s="687">
        <f t="shared" si="1052"/>
        <v>0</v>
      </c>
      <c r="AB342" s="688">
        <f t="shared" si="1052"/>
        <v>0</v>
      </c>
      <c r="AC342" s="687">
        <f t="shared" si="1052"/>
        <v>0</v>
      </c>
      <c r="AD342" s="687">
        <f t="shared" si="1052"/>
        <v>0</v>
      </c>
      <c r="AE342" s="689">
        <f t="shared" si="1052"/>
        <v>112</v>
      </c>
      <c r="AF342" s="687">
        <f t="shared" si="1052"/>
        <v>10</v>
      </c>
      <c r="AG342" s="687">
        <f t="shared" si="1052"/>
        <v>13</v>
      </c>
      <c r="AH342" s="687">
        <f t="shared" si="1052"/>
        <v>0</v>
      </c>
      <c r="AI342" s="689">
        <f t="shared" si="1052"/>
        <v>0</v>
      </c>
      <c r="AJ342" s="951"/>
      <c r="AK342" s="952"/>
      <c r="AL342" s="952"/>
      <c r="AM342" s="953"/>
      <c r="AN342" s="952"/>
      <c r="AO342" s="952"/>
      <c r="AP342" s="952"/>
      <c r="AQ342" s="953"/>
      <c r="AR342" s="952"/>
      <c r="AS342" s="952"/>
      <c r="AT342" s="952"/>
      <c r="AU342" s="953"/>
      <c r="AV342" s="952"/>
      <c r="AW342" s="952"/>
      <c r="AX342" s="952"/>
      <c r="AY342" s="953"/>
      <c r="AZ342" s="952"/>
      <c r="BA342" s="952"/>
      <c r="BB342" s="952"/>
      <c r="BC342" s="952"/>
      <c r="BD342" s="951"/>
      <c r="BE342" s="952"/>
      <c r="BF342" s="952"/>
      <c r="BG342" s="953"/>
      <c r="BH342" s="951"/>
      <c r="BI342" s="952"/>
      <c r="BJ342" s="952"/>
      <c r="BK342" s="953"/>
      <c r="BL342" s="951"/>
      <c r="BM342" s="952"/>
      <c r="BN342" s="952"/>
      <c r="BO342" s="953"/>
      <c r="BP342" s="657"/>
      <c r="BQ342" s="8"/>
      <c r="BR342" s="690">
        <v>0</v>
      </c>
      <c r="BS342" s="273">
        <f>SUM(L342:O342)</f>
        <v>10</v>
      </c>
      <c r="BT342" s="691">
        <f>SUM(P342:S342)</f>
        <v>40</v>
      </c>
      <c r="BU342" s="691">
        <f>SUM(T342:W342)</f>
        <v>24</v>
      </c>
      <c r="BV342" s="691">
        <f>SUM(X342:AA342)</f>
        <v>4</v>
      </c>
      <c r="BW342" s="691">
        <f>SUM(AB342:AE342)</f>
        <v>112</v>
      </c>
      <c r="BX342" s="691">
        <f>SUM(AF342:AI342)</f>
        <v>23</v>
      </c>
      <c r="BY342" s="691">
        <f>SUM(AJ342:AM342)</f>
        <v>0</v>
      </c>
      <c r="BZ342" s="691">
        <f>+SUM(AN342:AQ342)</f>
        <v>0</v>
      </c>
      <c r="CA342" s="691">
        <f>+SUM(AR342:AU342)</f>
        <v>0</v>
      </c>
      <c r="CB342" s="691">
        <f>SUM(AV342:AY342)</f>
        <v>0</v>
      </c>
      <c r="CC342" s="691">
        <f>SUM(AZ342:BC342)</f>
        <v>0</v>
      </c>
      <c r="CD342" s="691">
        <f>SUM(BD342:BG342)</f>
        <v>0</v>
      </c>
      <c r="CE342" s="691">
        <f>SUM(BH342:BK342)</f>
        <v>0</v>
      </c>
      <c r="CF342" s="692">
        <f>SUM(BL342:BO342)</f>
        <v>0</v>
      </c>
      <c r="CG342" s="658"/>
      <c r="CH342" s="363"/>
    </row>
    <row r="343" spans="1:88" ht="14.25" hidden="1" customHeight="1" outlineLevel="1">
      <c r="A343" s="672"/>
      <c r="B343" s="812" t="s">
        <v>59</v>
      </c>
      <c r="C343" s="274"/>
      <c r="D343" s="78"/>
      <c r="E343" s="78"/>
      <c r="F343" s="78"/>
      <c r="G343" s="79"/>
      <c r="H343" s="78"/>
      <c r="I343" s="78"/>
      <c r="J343" s="78"/>
      <c r="K343" s="79"/>
      <c r="L343" s="687"/>
      <c r="M343" s="687"/>
      <c r="N343" s="687"/>
      <c r="O343" s="687"/>
      <c r="P343" s="688"/>
      <c r="Q343" s="687"/>
      <c r="R343" s="687"/>
      <c r="S343" s="689"/>
      <c r="T343" s="687"/>
      <c r="U343" s="687"/>
      <c r="V343" s="687"/>
      <c r="W343" s="689"/>
      <c r="X343" s="687"/>
      <c r="Y343" s="687"/>
      <c r="Z343" s="687"/>
      <c r="AA343" s="687"/>
      <c r="AB343" s="688"/>
      <c r="AC343" s="687"/>
      <c r="AD343" s="687"/>
      <c r="AE343" s="689"/>
      <c r="AF343" s="687"/>
      <c r="AG343" s="687"/>
      <c r="AH343" s="687"/>
      <c r="AI343" s="689"/>
      <c r="AJ343" s="951"/>
      <c r="AK343" s="952"/>
      <c r="AL343" s="952"/>
      <c r="AM343" s="953"/>
      <c r="AN343" s="952"/>
      <c r="AO343" s="952"/>
      <c r="AP343" s="952"/>
      <c r="AQ343" s="953"/>
      <c r="AR343" s="952"/>
      <c r="AS343" s="952"/>
      <c r="AT343" s="952"/>
      <c r="AU343" s="953"/>
      <c r="AV343" s="952"/>
      <c r="AW343" s="952"/>
      <c r="AX343" s="952"/>
      <c r="AY343" s="953"/>
      <c r="AZ343" s="952"/>
      <c r="BA343" s="952"/>
      <c r="BB343" s="952"/>
      <c r="BC343" s="952"/>
      <c r="BD343" s="951"/>
      <c r="BE343" s="952"/>
      <c r="BF343" s="952"/>
      <c r="BG343" s="953"/>
      <c r="BH343" s="951"/>
      <c r="BI343" s="952"/>
      <c r="BJ343" s="952"/>
      <c r="BK343" s="953"/>
      <c r="BL343" s="951"/>
      <c r="BM343" s="952"/>
      <c r="BN343" s="952"/>
      <c r="BO343" s="953"/>
      <c r="BP343" s="657"/>
      <c r="BQ343" s="8"/>
      <c r="BR343" s="690"/>
      <c r="BS343" s="273"/>
      <c r="BT343" s="273"/>
      <c r="BU343" s="273"/>
      <c r="BV343" s="273"/>
      <c r="BW343" s="273"/>
      <c r="BX343" s="273"/>
      <c r="BY343" s="273"/>
      <c r="BZ343" s="273"/>
      <c r="CA343" s="273"/>
      <c r="CB343" s="273"/>
      <c r="CC343" s="273"/>
      <c r="CD343" s="273"/>
      <c r="CE343" s="273"/>
      <c r="CF343" s="717"/>
      <c r="CG343" s="658"/>
      <c r="CH343" s="363"/>
    </row>
    <row r="344" spans="1:88" ht="14.25" hidden="1" customHeight="1" outlineLevel="1">
      <c r="A344" s="672"/>
      <c r="B344" s="954" t="s">
        <v>338</v>
      </c>
      <c r="C344" s="274"/>
      <c r="D344" s="78"/>
      <c r="E344" s="78"/>
      <c r="F344" s="78"/>
      <c r="G344" s="79"/>
      <c r="H344" s="78"/>
      <c r="I344" s="78"/>
      <c r="J344" s="78"/>
      <c r="K344" s="79"/>
      <c r="L344" s="687">
        <f t="shared" ref="L344:AI344" si="1053">L$611</f>
        <v>0</v>
      </c>
      <c r="M344" s="687">
        <f t="shared" si="1053"/>
        <v>0</v>
      </c>
      <c r="N344" s="687">
        <f t="shared" si="1053"/>
        <v>-39</v>
      </c>
      <c r="O344" s="687">
        <f t="shared" si="1053"/>
        <v>0</v>
      </c>
      <c r="P344" s="688">
        <f t="shared" si="1053"/>
        <v>0</v>
      </c>
      <c r="Q344" s="687">
        <f t="shared" si="1053"/>
        <v>0</v>
      </c>
      <c r="R344" s="687">
        <f t="shared" si="1053"/>
        <v>0</v>
      </c>
      <c r="S344" s="689">
        <f t="shared" si="1053"/>
        <v>0</v>
      </c>
      <c r="T344" s="687">
        <f t="shared" si="1053"/>
        <v>0</v>
      </c>
      <c r="U344" s="687">
        <f t="shared" si="1053"/>
        <v>0</v>
      </c>
      <c r="V344" s="687">
        <f t="shared" si="1053"/>
        <v>0</v>
      </c>
      <c r="W344" s="689">
        <f t="shared" si="1053"/>
        <v>0</v>
      </c>
      <c r="X344" s="687">
        <f t="shared" si="1053"/>
        <v>0</v>
      </c>
      <c r="Y344" s="687">
        <f t="shared" si="1053"/>
        <v>0</v>
      </c>
      <c r="Z344" s="687">
        <f t="shared" si="1053"/>
        <v>0</v>
      </c>
      <c r="AA344" s="687">
        <f t="shared" si="1053"/>
        <v>-144</v>
      </c>
      <c r="AB344" s="688">
        <f t="shared" si="1053"/>
        <v>2</v>
      </c>
      <c r="AC344" s="687">
        <f t="shared" si="1053"/>
        <v>13</v>
      </c>
      <c r="AD344" s="687">
        <f t="shared" si="1053"/>
        <v>147</v>
      </c>
      <c r="AE344" s="689">
        <f t="shared" si="1053"/>
        <v>153</v>
      </c>
      <c r="AF344" s="687">
        <f t="shared" si="1053"/>
        <v>153</v>
      </c>
      <c r="AG344" s="687">
        <f t="shared" si="1053"/>
        <v>104</v>
      </c>
      <c r="AH344" s="687">
        <f t="shared" si="1053"/>
        <v>0</v>
      </c>
      <c r="AI344" s="689">
        <f t="shared" si="1053"/>
        <v>0</v>
      </c>
      <c r="AJ344" s="951"/>
      <c r="AK344" s="952"/>
      <c r="AL344" s="952"/>
      <c r="AM344" s="953"/>
      <c r="AN344" s="952"/>
      <c r="AO344" s="952"/>
      <c r="AP344" s="952"/>
      <c r="AQ344" s="953"/>
      <c r="AR344" s="952"/>
      <c r="AS344" s="952"/>
      <c r="AT344" s="952"/>
      <c r="AU344" s="953"/>
      <c r="AV344" s="952"/>
      <c r="AW344" s="952"/>
      <c r="AX344" s="952"/>
      <c r="AY344" s="953"/>
      <c r="AZ344" s="952"/>
      <c r="BA344" s="952"/>
      <c r="BB344" s="952"/>
      <c r="BC344" s="952"/>
      <c r="BD344" s="951"/>
      <c r="BE344" s="952"/>
      <c r="BF344" s="952"/>
      <c r="BG344" s="953"/>
      <c r="BH344" s="951"/>
      <c r="BI344" s="952"/>
      <c r="BJ344" s="952"/>
      <c r="BK344" s="953"/>
      <c r="BL344" s="951"/>
      <c r="BM344" s="952"/>
      <c r="BN344" s="952"/>
      <c r="BO344" s="953"/>
      <c r="BP344" s="657"/>
      <c r="BQ344" s="8"/>
      <c r="BR344" s="690">
        <v>0</v>
      </c>
      <c r="BS344" s="273">
        <f>SUM(L344:O344)</f>
        <v>-39</v>
      </c>
      <c r="BT344" s="691">
        <f>SUM(P344:S344)</f>
        <v>0</v>
      </c>
      <c r="BU344" s="691">
        <f>SUM(T344:W344)</f>
        <v>0</v>
      </c>
      <c r="BV344" s="691">
        <f>SUM(X344:AA344)</f>
        <v>-144</v>
      </c>
      <c r="BW344" s="691">
        <f>SUM(AB344:AE344)</f>
        <v>315</v>
      </c>
      <c r="BX344" s="691">
        <f>SUM(AF344:AI344)</f>
        <v>257</v>
      </c>
      <c r="BY344" s="691">
        <f>SUM(AJ344:AM344)</f>
        <v>0</v>
      </c>
      <c r="BZ344" s="691">
        <f>+SUM(AN344:AQ344)</f>
        <v>0</v>
      </c>
      <c r="CA344" s="691">
        <f>+SUM(AR344:AU344)</f>
        <v>0</v>
      </c>
      <c r="CB344" s="691">
        <f>SUM(AV344:AY344)</f>
        <v>0</v>
      </c>
      <c r="CC344" s="691">
        <f>SUM(AZ344:BC344)</f>
        <v>0</v>
      </c>
      <c r="CD344" s="691">
        <f>SUM(BD344:BG344)</f>
        <v>0</v>
      </c>
      <c r="CE344" s="691">
        <f>SUM(BH344:BK344)</f>
        <v>0</v>
      </c>
      <c r="CF344" s="692">
        <f>SUM(BL344:BO344)</f>
        <v>0</v>
      </c>
      <c r="CG344" s="658"/>
      <c r="CH344" s="363"/>
    </row>
    <row r="345" spans="1:88" ht="14.25" customHeight="1" collapsed="1">
      <c r="A345" s="672"/>
      <c r="B345" s="769"/>
      <c r="C345" s="274"/>
      <c r="D345" s="78"/>
      <c r="E345" s="78"/>
      <c r="F345" s="78"/>
      <c r="G345" s="79"/>
      <c r="H345" s="78"/>
      <c r="I345" s="78"/>
      <c r="J345" s="78"/>
      <c r="K345" s="79"/>
      <c r="L345" s="632"/>
      <c r="M345" s="632"/>
      <c r="N345" s="632"/>
      <c r="O345" s="632"/>
      <c r="P345" s="742"/>
      <c r="Q345" s="632"/>
      <c r="R345" s="632"/>
      <c r="S345" s="743"/>
      <c r="T345" s="632"/>
      <c r="U345" s="632"/>
      <c r="V345" s="632"/>
      <c r="W345" s="743"/>
      <c r="X345" s="632"/>
      <c r="Y345" s="632"/>
      <c r="Z345" s="632"/>
      <c r="AA345" s="632"/>
      <c r="AB345" s="742"/>
      <c r="AC345" s="632"/>
      <c r="AD345" s="687"/>
      <c r="AE345" s="743"/>
      <c r="AF345" s="632"/>
      <c r="AG345" s="632"/>
      <c r="AH345" s="632"/>
      <c r="AI345" s="743"/>
      <c r="AJ345" s="688"/>
      <c r="AK345" s="687"/>
      <c r="AL345" s="687"/>
      <c r="AM345" s="689"/>
      <c r="AN345" s="687"/>
      <c r="AO345" s="687"/>
      <c r="AP345" s="687"/>
      <c r="AQ345" s="689"/>
      <c r="AR345" s="687"/>
      <c r="AS345" s="687"/>
      <c r="AT345" s="687"/>
      <c r="AU345" s="689"/>
      <c r="AV345" s="687"/>
      <c r="AW345" s="687"/>
      <c r="AX345" s="687"/>
      <c r="AY345" s="689"/>
      <c r="AZ345" s="687"/>
      <c r="BA345" s="687"/>
      <c r="BB345" s="687"/>
      <c r="BC345" s="687"/>
      <c r="BD345" s="688"/>
      <c r="BE345" s="687"/>
      <c r="BF345" s="687"/>
      <c r="BG345" s="689"/>
      <c r="BH345" s="688"/>
      <c r="BI345" s="687"/>
      <c r="BJ345" s="687"/>
      <c r="BK345" s="689"/>
      <c r="BL345" s="688"/>
      <c r="BM345" s="687"/>
      <c r="BN345" s="687"/>
      <c r="BO345" s="689"/>
      <c r="BP345" s="657"/>
      <c r="BQ345" s="8"/>
      <c r="BR345" s="8"/>
      <c r="BS345" s="273"/>
      <c r="BT345" s="273"/>
      <c r="BU345" s="273"/>
      <c r="BV345" s="273"/>
      <c r="BW345" s="273"/>
      <c r="BX345" s="273"/>
      <c r="BY345" s="273"/>
      <c r="BZ345" s="273"/>
      <c r="CA345" s="273"/>
      <c r="CB345" s="273"/>
      <c r="CC345" s="273"/>
      <c r="CD345" s="273"/>
      <c r="CE345" s="273"/>
      <c r="CF345" s="717"/>
      <c r="CG345" s="658"/>
      <c r="CH345" s="363"/>
    </row>
    <row r="346" spans="1:88" s="283" customFormat="1" ht="14.25" customHeight="1" collapsed="1">
      <c r="A346" s="672"/>
      <c r="B346" s="769" t="s">
        <v>851</v>
      </c>
      <c r="C346" s="274"/>
      <c r="D346" s="78"/>
      <c r="E346" s="78"/>
      <c r="F346" s="78"/>
      <c r="G346" s="79"/>
      <c r="H346" s="78"/>
      <c r="I346" s="78"/>
      <c r="J346" s="78"/>
      <c r="K346" s="79"/>
      <c r="L346" s="687">
        <f t="shared" ref="L346:AI346" si="1054">L342+L336+L344</f>
        <v>147</v>
      </c>
      <c r="M346" s="687">
        <f t="shared" si="1054"/>
        <v>243</v>
      </c>
      <c r="N346" s="687">
        <f t="shared" si="1054"/>
        <v>270</v>
      </c>
      <c r="O346" s="687">
        <f t="shared" si="1054"/>
        <v>207</v>
      </c>
      <c r="P346" s="688">
        <f t="shared" si="1054"/>
        <v>186</v>
      </c>
      <c r="Q346" s="687">
        <f t="shared" si="1054"/>
        <v>280</v>
      </c>
      <c r="R346" s="687">
        <f t="shared" si="1054"/>
        <v>244</v>
      </c>
      <c r="S346" s="689">
        <f t="shared" si="1054"/>
        <v>102</v>
      </c>
      <c r="T346" s="687">
        <f t="shared" si="1054"/>
        <v>68</v>
      </c>
      <c r="U346" s="687">
        <f t="shared" si="1054"/>
        <v>170</v>
      </c>
      <c r="V346" s="687">
        <f t="shared" si="1054"/>
        <v>273</v>
      </c>
      <c r="W346" s="689">
        <f t="shared" si="1054"/>
        <v>224</v>
      </c>
      <c r="X346" s="687">
        <f t="shared" si="1054"/>
        <v>322</v>
      </c>
      <c r="Y346" s="687">
        <f t="shared" si="1054"/>
        <v>357</v>
      </c>
      <c r="Z346" s="687">
        <f t="shared" si="1054"/>
        <v>368</v>
      </c>
      <c r="AA346" s="687">
        <f t="shared" si="1054"/>
        <v>277</v>
      </c>
      <c r="AB346" s="688">
        <f t="shared" si="1054"/>
        <v>249</v>
      </c>
      <c r="AC346" s="687">
        <f t="shared" si="1054"/>
        <v>249</v>
      </c>
      <c r="AD346" s="687">
        <f t="shared" si="1054"/>
        <v>356</v>
      </c>
      <c r="AE346" s="689">
        <f t="shared" si="1054"/>
        <v>92</v>
      </c>
      <c r="AF346" s="687">
        <f t="shared" si="1054"/>
        <v>214</v>
      </c>
      <c r="AG346" s="687">
        <f t="shared" si="1054"/>
        <v>278</v>
      </c>
      <c r="AH346" s="687">
        <f t="shared" si="1054"/>
        <v>370</v>
      </c>
      <c r="AI346" s="689">
        <f t="shared" si="1054"/>
        <v>100</v>
      </c>
      <c r="AJ346" s="816">
        <v>88</v>
      </c>
      <c r="AK346" s="632">
        <v>436</v>
      </c>
      <c r="AL346" s="632">
        <v>178</v>
      </c>
      <c r="AM346" s="632">
        <v>85</v>
      </c>
      <c r="AN346" s="816">
        <v>140</v>
      </c>
      <c r="AO346" s="632">
        <v>214</v>
      </c>
      <c r="AP346" s="632">
        <v>259</v>
      </c>
      <c r="AQ346" s="632">
        <v>164</v>
      </c>
      <c r="AR346" s="816">
        <v>114</v>
      </c>
      <c r="AS346" s="632">
        <v>147</v>
      </c>
      <c r="AT346" s="632">
        <v>178</v>
      </c>
      <c r="AU346" s="632">
        <v>191</v>
      </c>
      <c r="AV346" s="816">
        <v>107</v>
      </c>
      <c r="AW346" s="632">
        <v>157</v>
      </c>
      <c r="AX346" s="632">
        <v>226</v>
      </c>
      <c r="AY346" s="743">
        <v>128</v>
      </c>
      <c r="AZ346" s="816">
        <v>77</v>
      </c>
      <c r="BA346" s="632">
        <v>132</v>
      </c>
      <c r="BB346" s="632">
        <v>195</v>
      </c>
      <c r="BC346" s="743">
        <v>68</v>
      </c>
      <c r="BD346" s="816">
        <v>54</v>
      </c>
      <c r="BE346" s="687"/>
      <c r="BF346" s="687"/>
      <c r="BG346" s="689"/>
      <c r="BH346" s="688"/>
      <c r="BI346" s="687"/>
      <c r="BJ346" s="687"/>
      <c r="BK346" s="689"/>
      <c r="BL346" s="688"/>
      <c r="BM346" s="687"/>
      <c r="BN346" s="687"/>
      <c r="BO346" s="689"/>
      <c r="BP346" s="657"/>
      <c r="BQ346" s="8"/>
      <c r="BR346" s="273">
        <f>BR342+BR336+BR344</f>
        <v>1024</v>
      </c>
      <c r="BS346" s="273">
        <f>SUM(L346:O346)</f>
        <v>867</v>
      </c>
      <c r="BT346" s="691">
        <f>SUM(P346:S346)</f>
        <v>812</v>
      </c>
      <c r="BU346" s="691">
        <f>SUM(T346:W346)</f>
        <v>735</v>
      </c>
      <c r="BV346" s="691">
        <f>SUM(X346:AA346)</f>
        <v>1324</v>
      </c>
      <c r="BW346" s="691">
        <f>SUM(AB346:AE346)</f>
        <v>946</v>
      </c>
      <c r="BX346" s="691">
        <f>SUM(AF346:AI346)</f>
        <v>962</v>
      </c>
      <c r="BY346" s="691">
        <f>SUM(AJ346:AM346)</f>
        <v>787</v>
      </c>
      <c r="BZ346" s="691">
        <f>+SUM(AN346:AQ346)</f>
        <v>777</v>
      </c>
      <c r="CA346" s="691">
        <f>+SUM(AR346:AU346)</f>
        <v>630</v>
      </c>
      <c r="CB346" s="691">
        <f>SUM(AV346:AY346)</f>
        <v>618</v>
      </c>
      <c r="CC346" s="691">
        <f>SUM(AZ346:BC346)</f>
        <v>472</v>
      </c>
      <c r="CD346" s="691">
        <f>SUM(BD346:BG346)</f>
        <v>54</v>
      </c>
      <c r="CE346" s="691">
        <f>SUM(BH346:BK346)</f>
        <v>0</v>
      </c>
      <c r="CF346" s="692">
        <f>SUM(BL346:BO346)</f>
        <v>0</v>
      </c>
      <c r="CG346" s="658"/>
      <c r="CH346" s="363"/>
    </row>
    <row r="347" spans="1:88" ht="14.25" customHeight="1">
      <c r="A347" s="672"/>
      <c r="B347" s="651" t="s">
        <v>268</v>
      </c>
      <c r="C347" s="274"/>
      <c r="D347" s="78"/>
      <c r="E347" s="78"/>
      <c r="F347" s="78"/>
      <c r="G347" s="79"/>
      <c r="H347" s="78"/>
      <c r="I347" s="78"/>
      <c r="J347" s="78"/>
      <c r="K347" s="79"/>
      <c r="L347" s="78"/>
      <c r="M347" s="247">
        <f t="shared" ref="M347:AI347" si="1055">M346/L346-1</f>
        <v>0.65306122448979598</v>
      </c>
      <c r="N347" s="247">
        <f t="shared" si="1055"/>
        <v>0.11111111111111116</v>
      </c>
      <c r="O347" s="76">
        <f t="shared" si="1055"/>
        <v>-0.23333333333333328</v>
      </c>
      <c r="P347" s="522">
        <f t="shared" si="1055"/>
        <v>-0.10144927536231885</v>
      </c>
      <c r="Q347" s="76">
        <f t="shared" si="1055"/>
        <v>0.5053763440860215</v>
      </c>
      <c r="R347" s="76">
        <f t="shared" si="1055"/>
        <v>-0.12857142857142856</v>
      </c>
      <c r="S347" s="77">
        <f t="shared" si="1055"/>
        <v>-0.58196721311475408</v>
      </c>
      <c r="T347" s="247">
        <f t="shared" si="1055"/>
        <v>-0.33333333333333337</v>
      </c>
      <c r="U347" s="247">
        <f t="shared" si="1055"/>
        <v>1.5</v>
      </c>
      <c r="V347" s="247">
        <f t="shared" si="1055"/>
        <v>0.60588235294117654</v>
      </c>
      <c r="W347" s="77">
        <f t="shared" si="1055"/>
        <v>-0.17948717948717952</v>
      </c>
      <c r="X347" s="247">
        <f t="shared" si="1055"/>
        <v>0.4375</v>
      </c>
      <c r="Y347" s="247">
        <f t="shared" si="1055"/>
        <v>0.10869565217391308</v>
      </c>
      <c r="Z347" s="247">
        <f t="shared" si="1055"/>
        <v>3.0812324929971879E-2</v>
      </c>
      <c r="AA347" s="76">
        <f t="shared" si="1055"/>
        <v>-0.24728260869565222</v>
      </c>
      <c r="AB347" s="522">
        <f t="shared" si="1055"/>
        <v>-0.10108303249097472</v>
      </c>
      <c r="AC347" s="76">
        <f t="shared" si="1055"/>
        <v>0</v>
      </c>
      <c r="AD347" s="231">
        <f t="shared" si="1055"/>
        <v>0.42971887550200805</v>
      </c>
      <c r="AE347" s="276">
        <f t="shared" si="1055"/>
        <v>-0.7415730337078652</v>
      </c>
      <c r="AF347" s="76">
        <f t="shared" si="1055"/>
        <v>1.3260869565217392</v>
      </c>
      <c r="AG347" s="76">
        <f t="shared" si="1055"/>
        <v>0.2990654205607477</v>
      </c>
      <c r="AH347" s="76">
        <f t="shared" si="1055"/>
        <v>0.33093525179856109</v>
      </c>
      <c r="AI347" s="276">
        <f t="shared" si="1055"/>
        <v>-0.72972972972972971</v>
      </c>
      <c r="AJ347" s="76">
        <f t="shared" ref="AJ347" si="1056">AJ346/AI346-1</f>
        <v>-0.12</v>
      </c>
      <c r="AK347" s="76">
        <f t="shared" ref="AK347" si="1057">AK346/AJ346-1</f>
        <v>3.9545454545454541</v>
      </c>
      <c r="AL347" s="76">
        <f t="shared" ref="AL347" si="1058">AL346/AK346-1</f>
        <v>-0.59174311926605505</v>
      </c>
      <c r="AM347" s="276">
        <f t="shared" ref="AM347" si="1059">AM346/AL346-1</f>
        <v>-0.52247191011235961</v>
      </c>
      <c r="AN347" s="76">
        <f t="shared" ref="AN347" si="1060">AN346/AM346-1</f>
        <v>0.64705882352941169</v>
      </c>
      <c r="AO347" s="76">
        <f t="shared" ref="AO347" si="1061">AO346/AN346-1</f>
        <v>0.52857142857142847</v>
      </c>
      <c r="AP347" s="76">
        <f t="shared" ref="AP347" si="1062">AP346/AO346-1</f>
        <v>0.21028037383177578</v>
      </c>
      <c r="AQ347" s="276">
        <f t="shared" ref="AQ347" si="1063">AQ346/AP346-1</f>
        <v>-0.36679536679536684</v>
      </c>
      <c r="AR347" s="76">
        <f t="shared" ref="AR347" si="1064">AR346/AQ346-1</f>
        <v>-0.30487804878048785</v>
      </c>
      <c r="AS347" s="76">
        <f t="shared" ref="AS347" si="1065">AS346/AR346-1</f>
        <v>0.28947368421052633</v>
      </c>
      <c r="AT347" s="76">
        <f t="shared" ref="AT347" si="1066">AT346/AS346-1</f>
        <v>0.21088435374149661</v>
      </c>
      <c r="AU347" s="276">
        <f t="shared" ref="AU347" si="1067">AU346/AT346-1</f>
        <v>7.3033707865168607E-2</v>
      </c>
      <c r="AV347" s="76">
        <f t="shared" ref="AV347" si="1068">AV346/AU346-1</f>
        <v>-0.43979057591623039</v>
      </c>
      <c r="AW347" s="76">
        <f t="shared" ref="AW347" si="1069">AW346/AV346-1</f>
        <v>0.46728971962616828</v>
      </c>
      <c r="AX347" s="76">
        <f t="shared" ref="AX347" si="1070">AX346/AW346-1</f>
        <v>0.43949044585987251</v>
      </c>
      <c r="AY347" s="276">
        <f t="shared" ref="AY347:BD347" si="1071">AY346/AX346-1</f>
        <v>-0.4336283185840708</v>
      </c>
      <c r="AZ347" s="76">
        <f t="shared" si="1071"/>
        <v>-0.3984375</v>
      </c>
      <c r="BA347" s="247">
        <f t="shared" si="1071"/>
        <v>0.71428571428571419</v>
      </c>
      <c r="BB347" s="247">
        <f t="shared" si="1071"/>
        <v>0.47727272727272729</v>
      </c>
      <c r="BC347" s="276">
        <f t="shared" si="1071"/>
        <v>-0.6512820512820513</v>
      </c>
      <c r="BD347" s="76">
        <f t="shared" si="1071"/>
        <v>-0.20588235294117652</v>
      </c>
      <c r="BE347" s="76"/>
      <c r="BF347" s="76"/>
      <c r="BG347" s="77"/>
      <c r="BH347" s="522"/>
      <c r="BI347" s="76"/>
      <c r="BJ347" s="76"/>
      <c r="BK347" s="77"/>
      <c r="BL347" s="522"/>
      <c r="BM347" s="76"/>
      <c r="BN347" s="76"/>
      <c r="BO347" s="77"/>
      <c r="BP347" s="657"/>
      <c r="BQ347" s="8"/>
      <c r="BR347" s="8"/>
      <c r="BS347" s="275"/>
      <c r="BT347" s="76"/>
      <c r="BU347" s="76"/>
      <c r="BV347" s="76"/>
      <c r="BW347" s="76"/>
      <c r="BX347" s="76"/>
      <c r="BY347" s="76"/>
      <c r="BZ347" s="76"/>
      <c r="CA347" s="76"/>
      <c r="CB347" s="76"/>
      <c r="CC347" s="76"/>
      <c r="CD347" s="76"/>
      <c r="CE347" s="76"/>
      <c r="CF347" s="77"/>
      <c r="CG347" s="658"/>
      <c r="CH347" s="363"/>
    </row>
    <row r="348" spans="1:88" ht="14.25" customHeight="1">
      <c r="A348" s="672"/>
      <c r="B348" s="750" t="s">
        <v>269</v>
      </c>
      <c r="C348" s="274"/>
      <c r="D348" s="78"/>
      <c r="E348" s="78"/>
      <c r="F348" s="78"/>
      <c r="G348" s="79"/>
      <c r="H348" s="78"/>
      <c r="I348" s="78"/>
      <c r="J348" s="78"/>
      <c r="K348" s="79"/>
      <c r="L348" s="78"/>
      <c r="M348" s="247"/>
      <c r="N348" s="247"/>
      <c r="O348" s="76"/>
      <c r="P348" s="522">
        <f t="shared" ref="P348:AI348" si="1072">P346/L346-1</f>
        <v>0.26530612244897966</v>
      </c>
      <c r="Q348" s="76">
        <f t="shared" si="1072"/>
        <v>0.15226337448559679</v>
      </c>
      <c r="R348" s="76">
        <f t="shared" si="1072"/>
        <v>-9.6296296296296324E-2</v>
      </c>
      <c r="S348" s="77">
        <f t="shared" si="1072"/>
        <v>-0.50724637681159424</v>
      </c>
      <c r="T348" s="247">
        <f t="shared" si="1072"/>
        <v>-0.63440860215053763</v>
      </c>
      <c r="U348" s="247">
        <f t="shared" si="1072"/>
        <v>-0.3928571428571429</v>
      </c>
      <c r="V348" s="247">
        <f t="shared" si="1072"/>
        <v>0.11885245901639352</v>
      </c>
      <c r="W348" s="77">
        <f t="shared" si="1072"/>
        <v>1.1960784313725492</v>
      </c>
      <c r="X348" s="247">
        <f t="shared" si="1072"/>
        <v>3.7352941176470589</v>
      </c>
      <c r="Y348" s="247">
        <f t="shared" si="1072"/>
        <v>1.1000000000000001</v>
      </c>
      <c r="Z348" s="247">
        <f t="shared" si="1072"/>
        <v>0.34798534798534808</v>
      </c>
      <c r="AA348" s="76">
        <f t="shared" si="1072"/>
        <v>0.23660714285714279</v>
      </c>
      <c r="AB348" s="522">
        <f t="shared" si="1072"/>
        <v>-0.22670807453416153</v>
      </c>
      <c r="AC348" s="76">
        <f t="shared" si="1072"/>
        <v>-0.30252100840336138</v>
      </c>
      <c r="AD348" s="231">
        <f t="shared" si="1072"/>
        <v>-3.2608695652173947E-2</v>
      </c>
      <c r="AE348" s="276">
        <f t="shared" si="1072"/>
        <v>-0.66787003610108298</v>
      </c>
      <c r="AF348" s="76">
        <f t="shared" si="1072"/>
        <v>-0.14056224899598391</v>
      </c>
      <c r="AG348" s="76">
        <f t="shared" si="1072"/>
        <v>0.11646586345381515</v>
      </c>
      <c r="AH348" s="76">
        <f t="shared" si="1072"/>
        <v>3.9325842696629199E-2</v>
      </c>
      <c r="AI348" s="276">
        <f t="shared" si="1072"/>
        <v>8.6956521739130377E-2</v>
      </c>
      <c r="AJ348" s="76">
        <f t="shared" ref="AJ348" si="1073">AJ346/AF346-1</f>
        <v>-0.58878504672897192</v>
      </c>
      <c r="AK348" s="76">
        <f t="shared" ref="AK348" si="1074">AK346/AG346-1</f>
        <v>0.56834532374100721</v>
      </c>
      <c r="AL348" s="76">
        <f t="shared" ref="AL348" si="1075">AL346/AH346-1</f>
        <v>-0.51891891891891895</v>
      </c>
      <c r="AM348" s="276">
        <f t="shared" ref="AM348" si="1076">AM346/AI346-1</f>
        <v>-0.15000000000000002</v>
      </c>
      <c r="AN348" s="76">
        <f t="shared" ref="AN348" si="1077">AN346/AJ346-1</f>
        <v>0.59090909090909083</v>
      </c>
      <c r="AO348" s="76">
        <f t="shared" ref="AO348" si="1078">AO346/AK346-1</f>
        <v>-0.50917431192660545</v>
      </c>
      <c r="AP348" s="76">
        <f t="shared" ref="AP348" si="1079">AP346/AL346-1</f>
        <v>0.45505617977528079</v>
      </c>
      <c r="AQ348" s="276">
        <f t="shared" ref="AQ348" si="1080">AQ346/AM346-1</f>
        <v>0.92941176470588238</v>
      </c>
      <c r="AR348" s="76">
        <f t="shared" ref="AR348" si="1081">AR346/AN346-1</f>
        <v>-0.18571428571428572</v>
      </c>
      <c r="AS348" s="76">
        <f t="shared" ref="AS348" si="1082">AS346/AO346-1</f>
        <v>-0.31308411214953269</v>
      </c>
      <c r="AT348" s="76">
        <f t="shared" ref="AT348" si="1083">AT346/AP346-1</f>
        <v>-0.31274131274131278</v>
      </c>
      <c r="AU348" s="276">
        <f t="shared" ref="AU348" si="1084">AU346/AQ346-1</f>
        <v>0.16463414634146334</v>
      </c>
      <c r="AV348" s="76">
        <f t="shared" ref="AV348" si="1085">AV346/AR346-1</f>
        <v>-6.1403508771929793E-2</v>
      </c>
      <c r="AW348" s="76">
        <f t="shared" ref="AW348" si="1086">AW346/AS346-1</f>
        <v>6.8027210884353817E-2</v>
      </c>
      <c r="AX348" s="76">
        <f t="shared" ref="AX348" si="1087">AX346/AT346-1</f>
        <v>0.2696629213483146</v>
      </c>
      <c r="AY348" s="276">
        <f t="shared" ref="AY348:BD348" si="1088">AY346/AU346-1</f>
        <v>-0.32984293193717273</v>
      </c>
      <c r="AZ348" s="76">
        <f t="shared" si="1088"/>
        <v>-0.28037383177570097</v>
      </c>
      <c r="BA348" s="247">
        <f t="shared" si="1088"/>
        <v>-0.15923566878980888</v>
      </c>
      <c r="BB348" s="247">
        <f t="shared" si="1088"/>
        <v>-0.13716814159292035</v>
      </c>
      <c r="BC348" s="276">
        <f t="shared" si="1088"/>
        <v>-0.46875</v>
      </c>
      <c r="BD348" s="76">
        <f t="shared" si="1088"/>
        <v>-0.29870129870129869</v>
      </c>
      <c r="BE348" s="76"/>
      <c r="BF348" s="76"/>
      <c r="BG348" s="77"/>
      <c r="BH348" s="522"/>
      <c r="BI348" s="76"/>
      <c r="BJ348" s="76"/>
      <c r="BK348" s="77"/>
      <c r="BL348" s="522"/>
      <c r="BM348" s="76"/>
      <c r="BN348" s="76"/>
      <c r="BO348" s="77"/>
      <c r="BP348" s="657"/>
      <c r="BQ348" s="8"/>
      <c r="BR348" s="8"/>
      <c r="BS348" s="275">
        <f t="shared" ref="BS348:BX348" si="1089">BS346/BR346-1</f>
        <v>-0.1533203125</v>
      </c>
      <c r="BT348" s="76">
        <f t="shared" si="1089"/>
        <v>-6.3437139561707045E-2</v>
      </c>
      <c r="BU348" s="76">
        <f t="shared" si="1089"/>
        <v>-9.4827586206896575E-2</v>
      </c>
      <c r="BV348" s="76">
        <f t="shared" si="1089"/>
        <v>0.80136054421768699</v>
      </c>
      <c r="BW348" s="76">
        <f t="shared" si="1089"/>
        <v>-0.28549848942598188</v>
      </c>
      <c r="BX348" s="76">
        <f t="shared" si="1089"/>
        <v>1.6913319238900604E-2</v>
      </c>
      <c r="BY348" s="76"/>
      <c r="BZ348" s="76"/>
      <c r="CA348" s="76"/>
      <c r="CB348" s="76"/>
      <c r="CC348" s="76"/>
      <c r="CD348" s="76"/>
      <c r="CE348" s="76"/>
      <c r="CF348" s="77"/>
      <c r="CG348" s="658"/>
      <c r="CH348" s="363"/>
    </row>
    <row r="349" spans="1:88" ht="14.25" customHeight="1">
      <c r="A349" s="672"/>
      <c r="B349" s="651" t="s">
        <v>334</v>
      </c>
      <c r="C349" s="274"/>
      <c r="D349" s="78"/>
      <c r="E349" s="78"/>
      <c r="F349" s="78"/>
      <c r="G349" s="79"/>
      <c r="H349" s="78"/>
      <c r="I349" s="78"/>
      <c r="J349" s="78"/>
      <c r="K349" s="79"/>
      <c r="L349" s="76">
        <f t="shared" ref="L349:AI349" si="1090">L346/L286</f>
        <v>0.20445062586926285</v>
      </c>
      <c r="M349" s="76">
        <f t="shared" si="1090"/>
        <v>0.29101796407185626</v>
      </c>
      <c r="N349" s="76">
        <f t="shared" si="1090"/>
        <v>0.3099885189437428</v>
      </c>
      <c r="O349" s="76">
        <f t="shared" si="1090"/>
        <v>0.29613733905579398</v>
      </c>
      <c r="P349" s="522">
        <f t="shared" si="1090"/>
        <v>0.28139183055975792</v>
      </c>
      <c r="Q349" s="76">
        <f t="shared" si="1090"/>
        <v>0.38727524204702629</v>
      </c>
      <c r="R349" s="76">
        <f t="shared" si="1090"/>
        <v>0.32275132275132273</v>
      </c>
      <c r="S349" s="77">
        <f t="shared" si="1090"/>
        <v>0.20816326530612245</v>
      </c>
      <c r="T349" s="76">
        <f t="shared" si="1090"/>
        <v>0.16790123456790124</v>
      </c>
      <c r="U349" s="76">
        <f t="shared" si="1090"/>
        <v>0.32504780114722753</v>
      </c>
      <c r="V349" s="76">
        <f t="shared" si="1090"/>
        <v>0.43471337579617836</v>
      </c>
      <c r="W349" s="77">
        <f t="shared" si="1090"/>
        <v>0.39160839160839161</v>
      </c>
      <c r="X349" s="76">
        <f t="shared" si="1090"/>
        <v>0.47283406754772395</v>
      </c>
      <c r="Y349" s="76">
        <f t="shared" si="1090"/>
        <v>0.48178137651821862</v>
      </c>
      <c r="Z349" s="76">
        <f t="shared" si="1090"/>
        <v>0.45264452644526443</v>
      </c>
      <c r="AA349" s="76">
        <f t="shared" si="1090"/>
        <v>0.39458689458689461</v>
      </c>
      <c r="AB349" s="522">
        <f t="shared" si="1090"/>
        <v>0.3744360902255639</v>
      </c>
      <c r="AC349" s="76">
        <f t="shared" si="1090"/>
        <v>0.3477653631284916</v>
      </c>
      <c r="AD349" s="76">
        <f t="shared" si="1090"/>
        <v>0.45063291139240508</v>
      </c>
      <c r="AE349" s="77">
        <f t="shared" si="1090"/>
        <v>0.16399286987522282</v>
      </c>
      <c r="AF349" s="76">
        <f t="shared" si="1090"/>
        <v>0.36332767402376909</v>
      </c>
      <c r="AG349" s="76">
        <f t="shared" si="1090"/>
        <v>0.4064327485380117</v>
      </c>
      <c r="AH349" s="76">
        <f t="shared" si="1090"/>
        <v>0.52706552706552712</v>
      </c>
      <c r="AI349" s="77">
        <f t="shared" si="1090"/>
        <v>0.19083969465648856</v>
      </c>
      <c r="AJ349" s="76">
        <f>AJ346/AJ288</f>
        <v>0.13017751479289941</v>
      </c>
      <c r="AK349" s="76">
        <f t="shared" ref="AK349:AM349" si="1091">AK346/AK288</f>
        <v>0.63742690058479534</v>
      </c>
      <c r="AL349" s="76">
        <f t="shared" si="1091"/>
        <v>0.27596899224806204</v>
      </c>
      <c r="AM349" s="77">
        <f t="shared" si="1091"/>
        <v>0.15315315315315314</v>
      </c>
      <c r="AN349" s="76">
        <f>AN346/AN288</f>
        <v>0.28600724875457095</v>
      </c>
      <c r="AO349" s="76">
        <f t="shared" ref="AO349:AQ349" si="1092">AO346/AO288</f>
        <v>0.36043907845789136</v>
      </c>
      <c r="AP349" s="76">
        <f t="shared" si="1092"/>
        <v>0.40381000099914482</v>
      </c>
      <c r="AQ349" s="77">
        <f t="shared" si="1092"/>
        <v>0.34453781512605047</v>
      </c>
      <c r="AR349" s="76">
        <f>AR346/AR288</f>
        <v>0.2573363431151241</v>
      </c>
      <c r="AS349" s="76">
        <f t="shared" ref="AS349:AU349" si="1093">AS346/AS288</f>
        <v>0.24749877301548803</v>
      </c>
      <c r="AT349" s="76">
        <f t="shared" si="1093"/>
        <v>0.33814262158548158</v>
      </c>
      <c r="AU349" s="77">
        <f t="shared" si="1093"/>
        <v>0.45901044076796205</v>
      </c>
      <c r="AV349" s="76">
        <f>AV346/AV288</f>
        <v>0.26777397116827129</v>
      </c>
      <c r="AW349" s="76">
        <f t="shared" ref="AW349:AY349" si="1094">AW346/AW288</f>
        <v>0.33150985832898211</v>
      </c>
      <c r="AX349" s="76">
        <f t="shared" si="1094"/>
        <v>0.40603250546310071</v>
      </c>
      <c r="AY349" s="77">
        <f t="shared" si="1094"/>
        <v>0.3369000155820952</v>
      </c>
      <c r="AZ349" s="76">
        <f>AZ346/AZ288</f>
        <v>0.22440684037074574</v>
      </c>
      <c r="BA349" s="76">
        <f>BA346/BA288</f>
        <v>0.31873728367173726</v>
      </c>
      <c r="BB349" s="76">
        <f>BB346/BB288</f>
        <v>0.40041067761806981</v>
      </c>
      <c r="BC349" s="77">
        <f t="shared" ref="BC349" si="1095">BC346/BC288</f>
        <v>0.21302667691646485</v>
      </c>
      <c r="BD349" s="76">
        <f>BD346/BD288</f>
        <v>0.18192074108769146</v>
      </c>
      <c r="BE349" s="76"/>
      <c r="BF349" s="76"/>
      <c r="BG349" s="77"/>
      <c r="BH349" s="522"/>
      <c r="BI349" s="76"/>
      <c r="BJ349" s="76"/>
      <c r="BK349" s="77"/>
      <c r="BL349" s="522"/>
      <c r="BM349" s="76"/>
      <c r="BN349" s="76"/>
      <c r="BO349" s="77"/>
      <c r="BP349" s="657"/>
      <c r="BQ349" s="8"/>
      <c r="BR349" s="247">
        <f t="shared" ref="BR349:BX349" si="1096">BR346/BR286</f>
        <v>0.28077872223745542</v>
      </c>
      <c r="BS349" s="247">
        <f t="shared" si="1096"/>
        <v>0.27752880921895007</v>
      </c>
      <c r="BT349" s="76">
        <f t="shared" si="1096"/>
        <v>0.30874524714828899</v>
      </c>
      <c r="BU349" s="76">
        <f t="shared" si="1096"/>
        <v>0.34539473684210525</v>
      </c>
      <c r="BV349" s="76">
        <f t="shared" si="1096"/>
        <v>0.4508001361933946</v>
      </c>
      <c r="BW349" s="76">
        <f t="shared" si="1096"/>
        <v>0.34626647144948758</v>
      </c>
      <c r="BX349" s="76">
        <f t="shared" si="1096"/>
        <v>0.38495398159263705</v>
      </c>
      <c r="BY349" s="76"/>
      <c r="BZ349" s="76"/>
      <c r="CA349" s="76"/>
      <c r="CB349" s="76"/>
      <c r="CC349" s="76"/>
      <c r="CD349" s="76"/>
      <c r="CE349" s="76"/>
      <c r="CF349" s="77"/>
      <c r="CG349" s="658"/>
      <c r="CH349" s="363"/>
    </row>
    <row r="350" spans="1:88" ht="14.25" customHeight="1">
      <c r="A350" s="672"/>
      <c r="B350" s="955"/>
      <c r="C350" s="956"/>
      <c r="D350" s="436"/>
      <c r="E350" s="436"/>
      <c r="F350" s="436"/>
      <c r="G350" s="437"/>
      <c r="H350" s="436"/>
      <c r="I350" s="436"/>
      <c r="J350" s="436"/>
      <c r="K350" s="437"/>
      <c r="L350" s="436"/>
      <c r="M350" s="436"/>
      <c r="N350" s="436"/>
      <c r="O350" s="436"/>
      <c r="P350" s="435"/>
      <c r="Q350" s="436"/>
      <c r="R350" s="436"/>
      <c r="S350" s="437"/>
      <c r="T350" s="436"/>
      <c r="U350" s="436"/>
      <c r="V350" s="436"/>
      <c r="W350" s="437"/>
      <c r="X350" s="436"/>
      <c r="Y350" s="436"/>
      <c r="Z350" s="436"/>
      <c r="AA350" s="436"/>
      <c r="AB350" s="435"/>
      <c r="AC350" s="957"/>
      <c r="AD350" s="957"/>
      <c r="AE350" s="958"/>
      <c r="AF350" s="436"/>
      <c r="AG350" s="957"/>
      <c r="AH350" s="957"/>
      <c r="AI350" s="958"/>
      <c r="AJ350" s="15"/>
      <c r="AK350" s="215"/>
      <c r="AL350" s="215"/>
      <c r="AM350" s="16"/>
      <c r="AN350" s="215"/>
      <c r="AO350" s="215"/>
      <c r="AP350" s="215"/>
      <c r="AQ350" s="16"/>
      <c r="AR350" s="215"/>
      <c r="AS350" s="215"/>
      <c r="AT350" s="215"/>
      <c r="AU350" s="16"/>
      <c r="AV350" s="215"/>
      <c r="AW350" s="215"/>
      <c r="AX350" s="215"/>
      <c r="AY350" s="16"/>
      <c r="AZ350" s="215"/>
      <c r="BA350" s="215"/>
      <c r="BB350" s="215"/>
      <c r="BC350" s="215"/>
      <c r="BD350" s="15"/>
      <c r="BE350" s="215"/>
      <c r="BF350" s="215"/>
      <c r="BG350" s="16"/>
      <c r="BH350" s="15"/>
      <c r="BI350" s="215"/>
      <c r="BJ350" s="215"/>
      <c r="BK350" s="16"/>
      <c r="BL350" s="15"/>
      <c r="BM350" s="215"/>
      <c r="BN350" s="215"/>
      <c r="BO350" s="16"/>
      <c r="BP350" s="657"/>
      <c r="BQ350" s="15"/>
      <c r="BR350" s="215"/>
      <c r="BS350" s="215"/>
      <c r="BT350" s="215"/>
      <c r="BU350" s="215"/>
      <c r="BV350" s="215"/>
      <c r="BW350" s="215"/>
      <c r="BX350" s="215"/>
      <c r="BY350" s="215"/>
      <c r="BZ350" s="215"/>
      <c r="CA350" s="215"/>
      <c r="CB350" s="215"/>
      <c r="CC350" s="215"/>
      <c r="CD350" s="215"/>
      <c r="CE350" s="215"/>
      <c r="CF350" s="16"/>
      <c r="CG350" s="658"/>
      <c r="CH350" s="363"/>
    </row>
    <row r="351" spans="1:88" s="8" customFormat="1" ht="14.25" customHeight="1">
      <c r="A351" s="672"/>
      <c r="B351" s="667" t="s">
        <v>483</v>
      </c>
      <c r="C351" s="668"/>
      <c r="D351" s="669"/>
      <c r="E351" s="669"/>
      <c r="F351" s="669"/>
      <c r="G351" s="669"/>
      <c r="H351" s="669"/>
      <c r="I351" s="669"/>
      <c r="J351" s="669"/>
      <c r="K351" s="669"/>
      <c r="L351" s="669"/>
      <c r="M351" s="669"/>
      <c r="N351" s="669"/>
      <c r="O351" s="669"/>
      <c r="P351" s="670"/>
      <c r="Q351" s="669"/>
      <c r="R351" s="669"/>
      <c r="S351" s="671"/>
      <c r="T351" s="669"/>
      <c r="U351" s="669"/>
      <c r="V351" s="669"/>
      <c r="W351" s="669"/>
      <c r="X351" s="669"/>
      <c r="Y351" s="669"/>
      <c r="Z351" s="669"/>
      <c r="AA351" s="669"/>
      <c r="AB351" s="669"/>
      <c r="AC351" s="669"/>
      <c r="AD351" s="669"/>
      <c r="AE351" s="669"/>
      <c r="AF351" s="669"/>
      <c r="AG351" s="669"/>
      <c r="AH351" s="669"/>
      <c r="AI351" s="669"/>
      <c r="AJ351" s="669"/>
      <c r="AK351" s="669"/>
      <c r="AL351" s="669"/>
      <c r="AM351" s="671"/>
      <c r="AN351" s="669"/>
      <c r="AO351" s="669"/>
      <c r="AP351" s="669"/>
      <c r="AQ351" s="671"/>
      <c r="AR351" s="669"/>
      <c r="AS351" s="669"/>
      <c r="AT351" s="669"/>
      <c r="AU351" s="671"/>
      <c r="AV351" s="669"/>
      <c r="AW351" s="669"/>
      <c r="AX351" s="669"/>
      <c r="AY351" s="671"/>
      <c r="AZ351" s="669"/>
      <c r="BA351" s="669"/>
      <c r="BB351" s="669"/>
      <c r="BC351" s="669"/>
      <c r="BD351" s="670"/>
      <c r="BE351" s="669"/>
      <c r="BF351" s="669"/>
      <c r="BG351" s="671"/>
      <c r="BH351" s="670"/>
      <c r="BI351" s="669"/>
      <c r="BJ351" s="669"/>
      <c r="BK351" s="671"/>
      <c r="BL351" s="670"/>
      <c r="BM351" s="669"/>
      <c r="BN351" s="669"/>
      <c r="BO351" s="671"/>
      <c r="BP351" s="657"/>
      <c r="BQ351" s="670"/>
      <c r="BR351" s="669"/>
      <c r="BS351" s="669"/>
      <c r="BT351" s="669"/>
      <c r="BU351" s="669"/>
      <c r="BV351" s="669"/>
      <c r="BW351" s="669"/>
      <c r="BX351" s="669"/>
      <c r="BY351" s="669"/>
      <c r="BZ351" s="669"/>
      <c r="CA351" s="669"/>
      <c r="CB351" s="669"/>
      <c r="CC351" s="669"/>
      <c r="CD351" s="669"/>
      <c r="CE351" s="669"/>
      <c r="CF351" s="671"/>
      <c r="CG351" s="297"/>
      <c r="CH351" s="14"/>
      <c r="CI351"/>
      <c r="CJ351"/>
    </row>
    <row r="352" spans="1:88" s="8" customFormat="1" ht="14.25" customHeight="1">
      <c r="A352" s="672"/>
      <c r="B352" s="705"/>
      <c r="C352" s="230"/>
      <c r="D352" s="522"/>
      <c r="E352" s="76"/>
      <c r="F352" s="76"/>
      <c r="G352" s="77"/>
      <c r="H352" s="522"/>
      <c r="I352" s="76"/>
      <c r="J352" s="76"/>
      <c r="K352" s="77"/>
      <c r="L352" s="522"/>
      <c r="M352" s="76"/>
      <c r="N352" s="76"/>
      <c r="O352" s="77"/>
      <c r="P352" s="522"/>
      <c r="Q352" s="76"/>
      <c r="R352" s="76"/>
      <c r="S352" s="77"/>
      <c r="T352" s="522"/>
      <c r="U352" s="76"/>
      <c r="V352" s="76"/>
      <c r="W352" s="77"/>
      <c r="X352" s="522"/>
      <c r="Y352" s="76"/>
      <c r="Z352" s="76"/>
      <c r="AA352" s="77"/>
      <c r="AB352" s="522"/>
      <c r="AC352" s="76"/>
      <c r="AD352" s="76"/>
      <c r="AE352" s="76"/>
      <c r="AF352" s="522"/>
      <c r="AG352" s="78"/>
      <c r="AH352" s="78"/>
      <c r="AI352" s="79"/>
      <c r="AJ352" s="770"/>
      <c r="AK352" s="78"/>
      <c r="AL352" s="78"/>
      <c r="AM352" s="78"/>
      <c r="AN352" s="770"/>
      <c r="AO352" s="78"/>
      <c r="AP352" s="78"/>
      <c r="AQ352" s="79"/>
      <c r="AR352" s="770"/>
      <c r="AS352" s="78"/>
      <c r="AT352" s="78"/>
      <c r="AU352" s="79"/>
      <c r="AV352" s="770"/>
      <c r="AW352" s="78"/>
      <c r="AX352" s="78"/>
      <c r="AY352" s="79"/>
      <c r="AZ352" s="78"/>
      <c r="BA352" s="78"/>
      <c r="BB352" s="78"/>
      <c r="BC352" s="78"/>
      <c r="BD352" s="770"/>
      <c r="BE352" s="78"/>
      <c r="BF352" s="78"/>
      <c r="BG352" s="79"/>
      <c r="BH352" s="770"/>
      <c r="BI352" s="78"/>
      <c r="BJ352" s="78"/>
      <c r="BK352" s="79"/>
      <c r="BL352" s="770"/>
      <c r="BM352" s="78"/>
      <c r="BN352" s="78"/>
      <c r="BO352" s="79"/>
      <c r="BP352" s="657"/>
      <c r="BQ352" s="231"/>
      <c r="BR352" s="231"/>
      <c r="BS352" s="231"/>
      <c r="BT352" s="1093"/>
      <c r="BU352" s="1093"/>
      <c r="BV352" s="1093"/>
      <c r="BW352" s="1093"/>
      <c r="BX352" s="1093"/>
      <c r="BY352" s="1093"/>
      <c r="BZ352" s="1093"/>
      <c r="CA352" s="1093"/>
      <c r="CB352" s="1093"/>
      <c r="CC352" s="1093"/>
      <c r="CD352" s="1093"/>
      <c r="CE352" s="1093"/>
      <c r="CF352" s="218"/>
      <c r="CG352" s="658"/>
      <c r="CH352" s="14"/>
      <c r="CI352"/>
      <c r="CJ352"/>
    </row>
    <row r="353" spans="1:88" s="8" customFormat="1" ht="14.25" customHeight="1">
      <c r="A353" s="672"/>
      <c r="B353" s="959" t="s">
        <v>94</v>
      </c>
      <c r="C353" s="960"/>
      <c r="D353" s="961">
        <f>IS!D$19</f>
        <v>1234</v>
      </c>
      <c r="E353" s="961">
        <f>IS!E$19</f>
        <v>1426</v>
      </c>
      <c r="F353" s="961">
        <f>IS!F$19</f>
        <v>1690</v>
      </c>
      <c r="G353" s="961">
        <f>IS!G$19</f>
        <v>1657</v>
      </c>
      <c r="H353" s="961">
        <f>IS!H$19</f>
        <v>1672</v>
      </c>
      <c r="I353" s="961">
        <f>IS!I$19</f>
        <v>1907</v>
      </c>
      <c r="J353" s="961">
        <f>IS!J$19</f>
        <v>1932</v>
      </c>
      <c r="K353" s="961">
        <f>IS!K$19</f>
        <v>1748</v>
      </c>
      <c r="L353" s="961">
        <f>IS!L$19</f>
        <v>1646</v>
      </c>
      <c r="M353" s="961">
        <f>IS!M$19</f>
        <v>1795</v>
      </c>
      <c r="N353" s="961">
        <f>IS!N$19</f>
        <v>1958</v>
      </c>
      <c r="O353" s="961">
        <f>IS!O$19</f>
        <v>1931</v>
      </c>
      <c r="P353" s="961">
        <f>IS!P$19</f>
        <v>1756</v>
      </c>
      <c r="Q353" s="961">
        <f>IS!Q$19</f>
        <v>1749</v>
      </c>
      <c r="R353" s="961">
        <f>IS!R$19</f>
        <v>1643</v>
      </c>
      <c r="S353" s="961">
        <f>IS!S$19</f>
        <v>1097</v>
      </c>
      <c r="T353" s="961">
        <f>IS!T$19</f>
        <v>806</v>
      </c>
      <c r="U353" s="961">
        <f>IS!U$19</f>
        <v>1124</v>
      </c>
      <c r="V353" s="961">
        <f>IS!V$19</f>
        <v>1481</v>
      </c>
      <c r="W353" s="961">
        <f>IS!W$19</f>
        <v>1588</v>
      </c>
      <c r="X353" s="961">
        <f>IS!X$19</f>
        <v>1689</v>
      </c>
      <c r="Y353" s="961">
        <f>IS!Y$19</f>
        <v>1894</v>
      </c>
      <c r="Z353" s="961">
        <f>IS!Z$19</f>
        <v>2039</v>
      </c>
      <c r="AA353" s="961">
        <f>IS!AA$19</f>
        <v>1870</v>
      </c>
      <c r="AB353" s="961">
        <f>IS!AB$19</f>
        <v>1728</v>
      </c>
      <c r="AC353" s="961">
        <f>IS!AC$19</f>
        <v>1753</v>
      </c>
      <c r="AD353" s="961">
        <f>IS!AD$19</f>
        <v>1744</v>
      </c>
      <c r="AE353" s="961">
        <f>IS!AE$19</f>
        <v>1548</v>
      </c>
      <c r="AF353" s="961">
        <f>IS!AF$19</f>
        <v>1531</v>
      </c>
      <c r="AG353" s="961">
        <f>IS!AG$19</f>
        <v>1651</v>
      </c>
      <c r="AH353" s="961">
        <f>IS!AH$19</f>
        <v>1740</v>
      </c>
      <c r="AI353" s="961">
        <f>IS!AI$19</f>
        <v>1445</v>
      </c>
      <c r="AJ353" s="961">
        <f>IS!AJ$19</f>
        <v>1374</v>
      </c>
      <c r="AK353" s="961">
        <f>IS!AK$19</f>
        <v>1570</v>
      </c>
      <c r="AL353" s="961">
        <f>IS!AL$19</f>
        <v>1779</v>
      </c>
      <c r="AM353" s="961">
        <f>IS!AM$19</f>
        <v>1640</v>
      </c>
      <c r="AN353" s="961">
        <f>IS!AN$19</f>
        <v>1607</v>
      </c>
      <c r="AO353" s="961">
        <f>IS!AO$19</f>
        <v>1881</v>
      </c>
      <c r="AP353" s="961">
        <f>IS!AP$19</f>
        <v>2044</v>
      </c>
      <c r="AQ353" s="961">
        <f>IS!AQ$19</f>
        <v>1895</v>
      </c>
      <c r="AR353" s="961">
        <f>IS!AR$19</f>
        <v>1816</v>
      </c>
      <c r="AS353" s="961">
        <f>IS!AS$19</f>
        <v>1881</v>
      </c>
      <c r="AT353" s="961">
        <f>IS!AT$19</f>
        <v>1997</v>
      </c>
      <c r="AU353" s="961">
        <f>IS!AU$19</f>
        <v>1866</v>
      </c>
      <c r="AV353" s="961">
        <f>IS!AV$19</f>
        <v>1824</v>
      </c>
      <c r="AW353" s="961">
        <f>IS!AW$19</f>
        <v>2003</v>
      </c>
      <c r="AX353" s="961">
        <f>IS!AX$19</f>
        <v>2280</v>
      </c>
      <c r="AY353" s="961">
        <f>IS!AY$19</f>
        <v>2133</v>
      </c>
      <c r="AZ353" s="1142">
        <f>IS!AZ$19</f>
        <v>2144</v>
      </c>
      <c r="BA353" s="961">
        <f>IS!BA$19</f>
        <v>2374</v>
      </c>
      <c r="BB353" s="961">
        <f>IS!BB$19</f>
        <v>2656</v>
      </c>
      <c r="BC353" s="961">
        <f>IS!BC$19</f>
        <v>2440</v>
      </c>
      <c r="BD353" s="1142">
        <f>IS!BD$19</f>
        <v>2447</v>
      </c>
      <c r="BE353" s="962">
        <f>IS!BE$19</f>
        <v>2547.3088283849929</v>
      </c>
      <c r="BF353" s="962"/>
      <c r="BG353" s="1105"/>
      <c r="BH353" s="1104"/>
      <c r="BI353" s="962"/>
      <c r="BJ353" s="962"/>
      <c r="BK353" s="1105"/>
      <c r="BL353" s="1104"/>
      <c r="BM353" s="962"/>
      <c r="BN353" s="962"/>
      <c r="BO353" s="1105"/>
      <c r="BP353" s="1156"/>
      <c r="BQ353" s="963">
        <f>SUM(D353:G353)</f>
        <v>6007</v>
      </c>
      <c r="BR353" s="963">
        <f>SUM(H353:K353)</f>
        <v>7259</v>
      </c>
      <c r="BS353" s="963">
        <f>SUM(L353:O353)</f>
        <v>7330</v>
      </c>
      <c r="BT353" s="961">
        <f>SUM(P353:S353)</f>
        <v>6245</v>
      </c>
      <c r="BU353" s="961">
        <f>SUM(T353:W353)</f>
        <v>4999</v>
      </c>
      <c r="BV353" s="961">
        <f>SUM(X353:AA353)</f>
        <v>7492</v>
      </c>
      <c r="BW353" s="961">
        <f>SUM(AB353:AE353)</f>
        <v>6773</v>
      </c>
      <c r="BX353" s="961">
        <f>SUM(AF353:AI353)</f>
        <v>6367</v>
      </c>
      <c r="BY353" s="961">
        <f>SUM(AJ353:AM353)</f>
        <v>6363</v>
      </c>
      <c r="BZ353" s="961">
        <f>SUM(AN353:AQ353)</f>
        <v>7427</v>
      </c>
      <c r="CA353" s="961"/>
      <c r="CB353" s="961"/>
      <c r="CC353" s="961"/>
      <c r="CD353" s="961"/>
      <c r="CE353" s="961"/>
      <c r="CF353" s="964"/>
      <c r="CG353" s="297"/>
      <c r="CH353" s="14"/>
      <c r="CI353" s="221"/>
      <c r="CJ353"/>
    </row>
    <row r="354" spans="1:88" s="8" customFormat="1" ht="14.25" customHeight="1">
      <c r="A354" s="672"/>
      <c r="B354" s="750" t="s">
        <v>94</v>
      </c>
      <c r="C354" s="274"/>
      <c r="D354" s="76">
        <f>IS!D$20</f>
        <v>0.45669874167283492</v>
      </c>
      <c r="E354" s="76">
        <f>IS!E$20</f>
        <v>0.47997307303938069</v>
      </c>
      <c r="F354" s="76">
        <f>IS!F$20</f>
        <v>0.50613956274333638</v>
      </c>
      <c r="G354" s="76">
        <f>IS!G$20</f>
        <v>0.49849578820697954</v>
      </c>
      <c r="H354" s="76">
        <f>IS!H$20</f>
        <v>0.50149970005998801</v>
      </c>
      <c r="I354" s="76">
        <f>IS!I$20</f>
        <v>0.51582364078982956</v>
      </c>
      <c r="J354" s="76">
        <f>IS!J$20</f>
        <v>0.51369316671098109</v>
      </c>
      <c r="K354" s="76">
        <f>IS!K$20</f>
        <v>0.50476465492347677</v>
      </c>
      <c r="L354" s="76">
        <f>IS!L$20</f>
        <v>0.51582575994985902</v>
      </c>
      <c r="M354" s="76">
        <f>IS!M$20</f>
        <v>0.5242406542056075</v>
      </c>
      <c r="N354" s="76">
        <f>IS!N$20</f>
        <v>0.53453453453453459</v>
      </c>
      <c r="O354" s="76">
        <f>IS!O$20</f>
        <v>0.54302587176602923</v>
      </c>
      <c r="P354" s="76">
        <f>IS!P$20</f>
        <v>0.53667481662591687</v>
      </c>
      <c r="Q354" s="76">
        <f>IS!Q$20</f>
        <v>0.52193375111906892</v>
      </c>
      <c r="R354" s="76">
        <f>IS!R$20</f>
        <v>0.48509005019191026</v>
      </c>
      <c r="S354" s="76">
        <f>IS!S$20</f>
        <v>0.44038538739462063</v>
      </c>
      <c r="T354" s="76">
        <f>IS!T$20</f>
        <v>0.38638542665388304</v>
      </c>
      <c r="U354" s="76">
        <f>IS!U$20</f>
        <v>0.45746845746845749</v>
      </c>
      <c r="V354" s="76">
        <f>IS!V$20</f>
        <v>0.51423611111111112</v>
      </c>
      <c r="W354" s="76">
        <f>IS!W$20</f>
        <v>0.52862849533954726</v>
      </c>
      <c r="X354" s="76">
        <f>IS!X$20</f>
        <v>0.52698907956318253</v>
      </c>
      <c r="Y354" s="76">
        <f>IS!Y$20</f>
        <v>0.54176201372997712</v>
      </c>
      <c r="Z354" s="76">
        <f>IS!Z$20</f>
        <v>0.54518716577540105</v>
      </c>
      <c r="AA354" s="76">
        <f>IS!AA$20</f>
        <v>0.53049645390070921</v>
      </c>
      <c r="AB354" s="76">
        <f>IS!AB$20</f>
        <v>0.50943396226415094</v>
      </c>
      <c r="AC354" s="76">
        <f>IS!AC$20</f>
        <v>0.50694042799305961</v>
      </c>
      <c r="AD354" s="76">
        <f>IS!AD$20</f>
        <v>0.50317368724754763</v>
      </c>
      <c r="AE354" s="76">
        <f>IS!AE$20</f>
        <v>0.45263157894736844</v>
      </c>
      <c r="AF354" s="76">
        <f>IS!AF$20</f>
        <v>0.49054790131368153</v>
      </c>
      <c r="AG354" s="76">
        <f>IS!AG$20</f>
        <v>0.49505247376311845</v>
      </c>
      <c r="AH354" s="76">
        <f>IS!AH$20</f>
        <v>0.51327433628318586</v>
      </c>
      <c r="AI354" s="76">
        <f>IS!AI$20</f>
        <v>0.48506210137630079</v>
      </c>
      <c r="AJ354" s="76">
        <f>IS!AJ$20</f>
        <v>0.47625649913344886</v>
      </c>
      <c r="AK354" s="76">
        <f>IS!AK$20</f>
        <v>0.51526091237282579</v>
      </c>
      <c r="AL354" s="76">
        <f>IS!AL$20</f>
        <v>0.54839704069050554</v>
      </c>
      <c r="AM354" s="76">
        <f>IS!AM$20</f>
        <v>0.54161162483487446</v>
      </c>
      <c r="AN354" s="76">
        <f>IS!AN$20</f>
        <v>0.53871940998994305</v>
      </c>
      <c r="AO354" s="30">
        <f>IS!AO$20</f>
        <v>0.5713851761846902</v>
      </c>
      <c r="AP354" s="30">
        <f>IS!AP$20</f>
        <v>0.58383319051699512</v>
      </c>
      <c r="AQ354" s="30">
        <f>IS!AQ$20</f>
        <v>0.57968797797491589</v>
      </c>
      <c r="AR354" s="76">
        <f>IS!AR$20</f>
        <v>0.57650793650793652</v>
      </c>
      <c r="AS354" s="30">
        <f>IS!AS$20</f>
        <v>0.58199257425742579</v>
      </c>
      <c r="AT354" s="30">
        <f>IS!AT$20</f>
        <v>0.58238553514144065</v>
      </c>
      <c r="AU354" s="30">
        <f>IS!AU$20</f>
        <v>0.58513640639698961</v>
      </c>
      <c r="AV354" s="76">
        <f>IS!AV$20</f>
        <v>0.6063829787234043</v>
      </c>
      <c r="AW354" s="30">
        <f>IS!AW$20</f>
        <v>0.61197677971280173</v>
      </c>
      <c r="AX354" s="30">
        <f>IS!AX$20</f>
        <v>0.62040816326530612</v>
      </c>
      <c r="AY354" s="30">
        <f>IS!AY$20</f>
        <v>0.62478031634446396</v>
      </c>
      <c r="AZ354" s="522">
        <f>IS!AZ$20</f>
        <v>0.630217519106408</v>
      </c>
      <c r="BA354" s="76">
        <f>IS!BA$20</f>
        <v>0.64283780124559975</v>
      </c>
      <c r="BB354" s="76">
        <f>IS!BB$20</f>
        <v>0.64528668610301265</v>
      </c>
      <c r="BC354" s="30">
        <f>IS!BC$20</f>
        <v>0.65066666666666662</v>
      </c>
      <c r="BD354" s="522">
        <f>IS!BD$20</f>
        <v>0.64581683821588809</v>
      </c>
      <c r="BE354" s="32">
        <f>IS!BE$20</f>
        <v>0.64580771818583449</v>
      </c>
      <c r="BF354" s="32"/>
      <c r="BG354" s="33"/>
      <c r="BH354" s="382"/>
      <c r="BI354" s="32"/>
      <c r="BJ354" s="32"/>
      <c r="BK354" s="33"/>
      <c r="BL354" s="382"/>
      <c r="BM354" s="32"/>
      <c r="BN354" s="32"/>
      <c r="BO354" s="33"/>
      <c r="BP354" s="152"/>
      <c r="BQ354" s="30"/>
      <c r="BR354" s="30" t="e">
        <f t="shared" ref="BR354:BZ354" si="1097">BR353/BR14</f>
        <v>#DIV/0!</v>
      </c>
      <c r="BS354" s="30">
        <f t="shared" si="1097"/>
        <v>0.52985398294058117</v>
      </c>
      <c r="BT354" s="965">
        <f t="shared" si="1097"/>
        <v>0.49956003519718423</v>
      </c>
      <c r="BU354" s="965">
        <f t="shared" si="1097"/>
        <v>0.47938243191407748</v>
      </c>
      <c r="BV354" s="965">
        <f t="shared" si="1097"/>
        <v>0.53644565373048836</v>
      </c>
      <c r="BW354" s="965">
        <f t="shared" si="1097"/>
        <v>0.49308386721025044</v>
      </c>
      <c r="BX354" s="965">
        <f t="shared" si="1097"/>
        <v>0.49645224171539959</v>
      </c>
      <c r="BY354" s="965">
        <f t="shared" si="1097"/>
        <v>0.52138103918970446</v>
      </c>
      <c r="BZ354" s="965">
        <f t="shared" si="1097"/>
        <v>0.56935396989833975</v>
      </c>
      <c r="CA354" s="965"/>
      <c r="CB354" s="965"/>
      <c r="CC354" s="965"/>
      <c r="CD354" s="965"/>
      <c r="CE354" s="965"/>
      <c r="CF354" s="966"/>
      <c r="CG354" s="297"/>
      <c r="CH354" s="14"/>
      <c r="CI354" s="221"/>
      <c r="CJ354"/>
    </row>
    <row r="355" spans="1:88" s="12" customFormat="1" ht="14.25" customHeight="1">
      <c r="A355" s="672"/>
      <c r="B355" s="750"/>
      <c r="C355" s="277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  <c r="AF355" s="76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82"/>
      <c r="BA355" s="32"/>
      <c r="BB355" s="32"/>
      <c r="BC355" s="32"/>
      <c r="BD355" s="382"/>
      <c r="BE355" s="32"/>
      <c r="BF355" s="32"/>
      <c r="BG355" s="33"/>
      <c r="BH355" s="382"/>
      <c r="BI355" s="32"/>
      <c r="BJ355" s="32"/>
      <c r="BK355" s="33"/>
      <c r="BL355" s="382"/>
      <c r="BM355" s="32"/>
      <c r="BN355" s="32"/>
      <c r="BO355" s="33"/>
      <c r="BP355" s="1157"/>
      <c r="BQ355" s="30"/>
      <c r="BR355" s="30"/>
      <c r="BS355" s="30"/>
      <c r="BT355" s="965"/>
      <c r="BU355" s="965"/>
      <c r="BV355" s="965"/>
      <c r="BW355" s="965"/>
      <c r="BX355" s="965"/>
      <c r="BY355" s="965"/>
      <c r="BZ355" s="965"/>
      <c r="CA355" s="965"/>
      <c r="CB355" s="965"/>
      <c r="CC355" s="965"/>
      <c r="CD355" s="965"/>
      <c r="CE355" s="965"/>
      <c r="CF355" s="966"/>
      <c r="CG355" s="342"/>
      <c r="CH355" s="54"/>
      <c r="CI355" s="239"/>
      <c r="CJ355" s="219"/>
    </row>
    <row r="356" spans="1:88" s="12" customFormat="1" ht="14.25" customHeight="1">
      <c r="A356" s="672"/>
      <c r="B356" s="750"/>
      <c r="C356" s="277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  <c r="AF356" s="76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82"/>
      <c r="BA356" s="32"/>
      <c r="BB356" s="32"/>
      <c r="BC356" s="32"/>
      <c r="BD356" s="382"/>
      <c r="BE356" s="32"/>
      <c r="BF356" s="32"/>
      <c r="BG356" s="33"/>
      <c r="BH356" s="382"/>
      <c r="BI356" s="32"/>
      <c r="BJ356" s="32"/>
      <c r="BK356" s="33"/>
      <c r="BL356" s="382"/>
      <c r="BM356" s="32"/>
      <c r="BN356" s="32"/>
      <c r="BO356" s="33"/>
      <c r="BP356" s="1157"/>
      <c r="BQ356" s="30"/>
      <c r="BR356" s="30"/>
      <c r="BS356" s="30"/>
      <c r="BT356" s="965"/>
      <c r="BU356" s="965"/>
      <c r="BV356" s="965"/>
      <c r="BW356" s="965"/>
      <c r="BX356" s="965"/>
      <c r="BY356" s="965"/>
      <c r="BZ356" s="965"/>
      <c r="CA356" s="965"/>
      <c r="CB356" s="965"/>
      <c r="CC356" s="965"/>
      <c r="CD356" s="965"/>
      <c r="CE356" s="965"/>
      <c r="CF356" s="966"/>
      <c r="CG356" s="342"/>
      <c r="CH356" s="54"/>
      <c r="CI356" s="239"/>
      <c r="CJ356" s="219"/>
    </row>
    <row r="357" spans="1:88" s="12" customFormat="1" ht="14.25" customHeight="1">
      <c r="A357" s="672"/>
      <c r="B357" s="967" t="s">
        <v>500</v>
      </c>
      <c r="C357" s="277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/>
      <c r="AC357" s="76"/>
      <c r="AD357" s="76"/>
      <c r="AE357" s="76"/>
      <c r="AF357" s="76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82"/>
      <c r="BA357" s="32"/>
      <c r="BB357" s="32"/>
      <c r="BC357" s="32"/>
      <c r="BD357" s="382"/>
      <c r="BE357" s="32"/>
      <c r="BF357" s="32"/>
      <c r="BG357" s="33"/>
      <c r="BH357" s="382"/>
      <c r="BI357" s="32"/>
      <c r="BJ357" s="32"/>
      <c r="BK357" s="33"/>
      <c r="BL357" s="382"/>
      <c r="BM357" s="32"/>
      <c r="BN357" s="32"/>
      <c r="BO357" s="33"/>
      <c r="BP357" s="1157"/>
      <c r="BQ357" s="30"/>
      <c r="BR357" s="30"/>
      <c r="BS357" s="30"/>
      <c r="BT357" s="965"/>
      <c r="BU357" s="965"/>
      <c r="BV357" s="965"/>
      <c r="BW357" s="965"/>
      <c r="BX357" s="965"/>
      <c r="BY357" s="965"/>
      <c r="BZ357" s="965"/>
      <c r="CA357" s="965"/>
      <c r="CB357" s="965"/>
      <c r="CC357" s="965"/>
      <c r="CD357" s="965"/>
      <c r="CE357" s="965"/>
      <c r="CF357" s="966"/>
      <c r="CG357" s="342"/>
      <c r="CH357" s="54"/>
      <c r="CI357" s="239"/>
      <c r="CJ357" s="219"/>
    </row>
    <row r="358" spans="1:88" s="12" customFormat="1" ht="14.25" customHeight="1">
      <c r="A358" s="672"/>
      <c r="B358" s="783"/>
      <c r="C358" s="277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/>
      <c r="AC358" s="76"/>
      <c r="AD358" s="76"/>
      <c r="AE358" s="76"/>
      <c r="AF358" s="968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27">
        <f>AR359-AR405</f>
        <v>1131</v>
      </c>
      <c r="AS358" s="27">
        <f t="shared" ref="AS358:AX358" si="1098">AS359-AS405</f>
        <v>1153</v>
      </c>
      <c r="AT358" s="27">
        <f t="shared" si="1098"/>
        <v>1239</v>
      </c>
      <c r="AU358" s="27">
        <f t="shared" si="1098"/>
        <v>1151</v>
      </c>
      <c r="AV358" s="27">
        <f t="shared" si="1098"/>
        <v>1023</v>
      </c>
      <c r="AW358" s="27">
        <f t="shared" si="1098"/>
        <v>1115</v>
      </c>
      <c r="AX358" s="27">
        <f t="shared" si="1098"/>
        <v>1245</v>
      </c>
      <c r="AY358" s="27">
        <f t="shared" ref="AY358:BA358" si="1099">AY359-AY405</f>
        <v>1142</v>
      </c>
      <c r="AZ358" s="338">
        <f t="shared" si="1099"/>
        <v>1119</v>
      </c>
      <c r="BA358" s="27">
        <f t="shared" si="1099"/>
        <v>1185</v>
      </c>
      <c r="BB358" s="27">
        <f t="shared" ref="BB358:BD358" si="1100">BB359-BB405</f>
        <v>1327</v>
      </c>
      <c r="BC358" s="27">
        <f t="shared" si="1100"/>
        <v>1177</v>
      </c>
      <c r="BD358" s="338">
        <f t="shared" si="1100"/>
        <v>1205</v>
      </c>
      <c r="BE358" s="32"/>
      <c r="BF358" s="32"/>
      <c r="BG358" s="33"/>
      <c r="BH358" s="382"/>
      <c r="BI358" s="32"/>
      <c r="BJ358" s="32"/>
      <c r="BK358" s="33"/>
      <c r="BL358" s="382"/>
      <c r="BM358" s="32"/>
      <c r="BN358" s="32"/>
      <c r="BO358" s="33"/>
      <c r="BP358" s="1157"/>
      <c r="BQ358" s="30"/>
      <c r="BR358" s="30"/>
      <c r="BS358" s="30"/>
      <c r="BT358" s="445"/>
      <c r="BU358" s="445"/>
      <c r="BV358" s="445"/>
      <c r="BW358" s="445"/>
      <c r="BX358" s="445"/>
      <c r="BY358" s="445"/>
      <c r="BZ358" s="445"/>
      <c r="CA358" s="445"/>
      <c r="CB358" s="445"/>
      <c r="CC358" s="445"/>
      <c r="CD358" s="445"/>
      <c r="CE358" s="445"/>
      <c r="CF358" s="966"/>
      <c r="CG358" s="342"/>
      <c r="CH358" s="54"/>
      <c r="CI358" s="239"/>
      <c r="CJ358" s="219"/>
    </row>
    <row r="359" spans="1:88" s="12" customFormat="1" ht="14.25" customHeight="1">
      <c r="A359" s="672"/>
      <c r="B359" s="783" t="s">
        <v>550</v>
      </c>
      <c r="C359" s="277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27">
        <f>IS!AB14</f>
        <v>1664</v>
      </c>
      <c r="AC359" s="27">
        <f>IS!AC14</f>
        <v>1705</v>
      </c>
      <c r="AD359" s="27">
        <f>IS!AD14</f>
        <v>1722</v>
      </c>
      <c r="AE359" s="27">
        <f>IS!AE14</f>
        <v>1872</v>
      </c>
      <c r="AF359" s="27">
        <f>IS!AF14</f>
        <v>1590</v>
      </c>
      <c r="AG359" s="27">
        <f>IS!AG14</f>
        <v>1684</v>
      </c>
      <c r="AH359" s="27">
        <f>IS!AH14</f>
        <v>1650</v>
      </c>
      <c r="AI359" s="27">
        <f>IS!AI14</f>
        <v>1534</v>
      </c>
      <c r="AJ359" s="27">
        <f>IS!AJ14</f>
        <v>1511</v>
      </c>
      <c r="AK359" s="27">
        <f>IS!AK14</f>
        <v>1477</v>
      </c>
      <c r="AL359" s="27">
        <f>IS!AL14</f>
        <v>1465</v>
      </c>
      <c r="AM359" s="27">
        <f>IS!AM14</f>
        <v>1388</v>
      </c>
      <c r="AN359" s="27">
        <f>IS!AN14</f>
        <v>1376</v>
      </c>
      <c r="AO359" s="27">
        <f>IS!AO14</f>
        <v>1411</v>
      </c>
      <c r="AP359" s="27">
        <f>IS!AP14</f>
        <v>1457</v>
      </c>
      <c r="AQ359" s="27">
        <f>IS!AQ14</f>
        <v>1374</v>
      </c>
      <c r="AR359" s="27">
        <f>IS!AR14</f>
        <v>1334</v>
      </c>
      <c r="AS359" s="27">
        <f>IS!AS14</f>
        <v>1351</v>
      </c>
      <c r="AT359" s="27">
        <f>IS!AT14</f>
        <v>1432</v>
      </c>
      <c r="AU359" s="27">
        <f>IS!AU14</f>
        <v>1323</v>
      </c>
      <c r="AV359" s="27">
        <f>IS!AV14</f>
        <v>1184</v>
      </c>
      <c r="AW359" s="27">
        <f>IS!AW14</f>
        <v>1270</v>
      </c>
      <c r="AX359" s="27">
        <f>IS!AX14</f>
        <v>1395</v>
      </c>
      <c r="AY359" s="27">
        <f>IS!AY14</f>
        <v>1281</v>
      </c>
      <c r="AZ359" s="338">
        <f>IS!AZ14</f>
        <v>1258</v>
      </c>
      <c r="BA359" s="27">
        <f>IS!BA14</f>
        <v>1319</v>
      </c>
      <c r="BB359" s="27">
        <f>IS!BB14</f>
        <v>1460</v>
      </c>
      <c r="BC359" s="27">
        <f>IS!BC14</f>
        <v>1310</v>
      </c>
      <c r="BD359" s="338">
        <f>IS!BD14</f>
        <v>1342</v>
      </c>
      <c r="BE359" s="27">
        <f t="shared" ref="BE359:BG359" si="1101">BE363+BE388+BE390+BE405+BE407</f>
        <v>1397.0677354949571</v>
      </c>
      <c r="BF359" s="27">
        <f t="shared" si="1101"/>
        <v>1459.7233102697212</v>
      </c>
      <c r="BG359" s="28">
        <f t="shared" si="1101"/>
        <v>1378.9016209548713</v>
      </c>
      <c r="BH359" s="338">
        <f t="shared" ref="BH359:BK359" si="1102">BH363+BH388+BH390+BH405+BH407</f>
        <v>1367.1617780168312</v>
      </c>
      <c r="BI359" s="27">
        <f t="shared" si="1102"/>
        <v>1425.5839907177519</v>
      </c>
      <c r="BJ359" s="27">
        <f t="shared" si="1102"/>
        <v>1485.7677215133665</v>
      </c>
      <c r="BK359" s="28">
        <f t="shared" si="1102"/>
        <v>1407.6616311632397</v>
      </c>
      <c r="BL359" s="338">
        <f t="shared" ref="BL359:BO359" si="1103">BL363+BL388+BL390+BL405+BL407</f>
        <v>1389.3937254796574</v>
      </c>
      <c r="BM359" s="27">
        <f t="shared" si="1103"/>
        <v>1451.2581314557065</v>
      </c>
      <c r="BN359" s="27">
        <f t="shared" si="1103"/>
        <v>1512.9300544889727</v>
      </c>
      <c r="BO359" s="28">
        <f t="shared" si="1103"/>
        <v>1434.0698984095511</v>
      </c>
      <c r="BP359" s="1157"/>
      <c r="BQ359" s="30"/>
      <c r="BR359" s="30"/>
      <c r="BS359" s="30"/>
      <c r="BT359" s="445"/>
      <c r="BU359" s="445"/>
      <c r="BV359" s="445"/>
      <c r="BW359" s="445"/>
      <c r="BX359" s="445"/>
      <c r="BY359" s="445"/>
      <c r="BZ359" s="445"/>
      <c r="CA359" s="445"/>
      <c r="CB359" s="445"/>
      <c r="CC359" s="445"/>
      <c r="CD359" s="445">
        <f>CD363+CD388+CD390+CD405+CD407</f>
        <v>5577.6926667195494</v>
      </c>
      <c r="CE359" s="445">
        <f>CE363+CE388+CE390+CE405+CE407</f>
        <v>5686.1751214111891</v>
      </c>
      <c r="CF359" s="28">
        <f>CF363+CF388+CF390+CF405+CF407</f>
        <v>5787.6518098338865</v>
      </c>
      <c r="CG359" s="342"/>
      <c r="CH359" s="54"/>
      <c r="CI359" s="239"/>
      <c r="CJ359" s="219"/>
    </row>
    <row r="360" spans="1:88" s="12" customFormat="1" ht="14.25" customHeight="1">
      <c r="A360" s="672"/>
      <c r="B360" s="783"/>
      <c r="C360" s="277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  <c r="AF360" s="968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82"/>
      <c r="BA360" s="32"/>
      <c r="BB360" s="32"/>
      <c r="BC360" s="32"/>
      <c r="BD360" s="382"/>
      <c r="BE360" s="32"/>
      <c r="BF360" s="32"/>
      <c r="BG360" s="33"/>
      <c r="BH360" s="382"/>
      <c r="BI360" s="32"/>
      <c r="BJ360" s="32"/>
      <c r="BK360" s="33"/>
      <c r="BL360" s="382"/>
      <c r="BM360" s="32"/>
      <c r="BN360" s="32"/>
      <c r="BO360" s="33"/>
      <c r="BP360" s="1157"/>
      <c r="BQ360" s="30"/>
      <c r="BR360" s="30"/>
      <c r="BS360" s="30"/>
      <c r="BT360" s="965"/>
      <c r="BU360" s="965"/>
      <c r="BV360" s="965"/>
      <c r="BW360" s="965"/>
      <c r="BX360" s="965"/>
      <c r="BY360" s="965"/>
      <c r="BZ360" s="965"/>
      <c r="CA360" s="965"/>
      <c r="CB360" s="965"/>
      <c r="CC360" s="965"/>
      <c r="CD360" s="965"/>
      <c r="CE360" s="965"/>
      <c r="CF360" s="33"/>
      <c r="CG360" s="342"/>
      <c r="CH360" s="54"/>
      <c r="CI360" s="239"/>
      <c r="CJ360" s="219"/>
    </row>
    <row r="361" spans="1:88" s="12" customFormat="1" ht="14.25" customHeight="1">
      <c r="A361" s="672"/>
      <c r="B361" s="783" t="s">
        <v>555</v>
      </c>
      <c r="C361" s="277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  <c r="AF361" s="968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 t="s">
        <v>494</v>
      </c>
      <c r="AW361" s="32"/>
      <c r="AX361" s="32"/>
      <c r="AY361" s="32"/>
      <c r="AZ361" s="382" t="s">
        <v>494</v>
      </c>
      <c r="BA361" s="32"/>
      <c r="BB361" s="32"/>
      <c r="BC361" s="32"/>
      <c r="BD361" s="382" t="s">
        <v>494</v>
      </c>
      <c r="BE361" s="32"/>
      <c r="BF361" s="32"/>
      <c r="BG361" s="33"/>
      <c r="BH361" s="382"/>
      <c r="BI361" s="32"/>
      <c r="BJ361" s="32"/>
      <c r="BK361" s="33"/>
      <c r="BL361" s="382"/>
      <c r="BM361" s="32"/>
      <c r="BN361" s="32"/>
      <c r="BO361" s="33"/>
      <c r="BP361" s="1157"/>
      <c r="BQ361" s="30"/>
      <c r="BR361" s="30"/>
      <c r="BS361" s="30"/>
      <c r="BT361" s="965"/>
      <c r="BU361" s="965"/>
      <c r="BV361" s="965"/>
      <c r="BW361" s="965"/>
      <c r="BX361" s="965"/>
      <c r="BY361" s="965"/>
      <c r="BZ361" s="965"/>
      <c r="CA361" s="965"/>
      <c r="CB361" s="965"/>
      <c r="CC361" s="965"/>
      <c r="CD361" s="965"/>
      <c r="CE361" s="965"/>
      <c r="CF361" s="33"/>
      <c r="CG361" s="342"/>
      <c r="CH361" s="54"/>
      <c r="CI361" s="239"/>
      <c r="CJ361" s="219"/>
    </row>
    <row r="362" spans="1:88" s="12" customFormat="1" ht="14.25" customHeight="1">
      <c r="A362" s="672"/>
      <c r="B362" s="783"/>
      <c r="C362" s="277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  <c r="AF362" s="968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82"/>
      <c r="BA362" s="32"/>
      <c r="BB362" s="32"/>
      <c r="BC362" s="32"/>
      <c r="BD362" s="382"/>
      <c r="BE362" s="32"/>
      <c r="BF362" s="32"/>
      <c r="BG362" s="33"/>
      <c r="BH362" s="382"/>
      <c r="BI362" s="32"/>
      <c r="BJ362" s="32"/>
      <c r="BK362" s="33"/>
      <c r="BL362" s="382"/>
      <c r="BM362" s="32"/>
      <c r="BN362" s="32"/>
      <c r="BO362" s="33"/>
      <c r="BP362" s="1157"/>
      <c r="BQ362" s="30"/>
      <c r="BR362" s="30"/>
      <c r="BS362" s="30"/>
      <c r="BT362" s="965"/>
      <c r="BU362" s="965"/>
      <c r="BV362" s="965"/>
      <c r="BW362" s="965"/>
      <c r="BX362" s="965"/>
      <c r="BY362" s="965"/>
      <c r="BZ362" s="965"/>
      <c r="CA362" s="965"/>
      <c r="CB362" s="965"/>
      <c r="CC362" s="965"/>
      <c r="CD362" s="965"/>
      <c r="CE362" s="965"/>
      <c r="CF362" s="33"/>
      <c r="CG362" s="342"/>
      <c r="CH362" s="54"/>
      <c r="CI362" s="239"/>
      <c r="CJ362" s="219"/>
    </row>
    <row r="363" spans="1:88" s="12" customFormat="1" ht="14.25" customHeight="1">
      <c r="A363" s="672"/>
      <c r="B363" s="783" t="s">
        <v>502</v>
      </c>
      <c r="C363" s="277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445">
        <f>AB386</f>
        <v>427.88969999999995</v>
      </c>
      <c r="AC363" s="445">
        <f t="shared" ref="AC363:BA363" si="1104">AC386</f>
        <v>397.12259999999998</v>
      </c>
      <c r="AD363" s="445">
        <f t="shared" si="1104"/>
        <v>396.60389999999995</v>
      </c>
      <c r="AE363" s="445">
        <f t="shared" si="1104"/>
        <v>438.66900000000004</v>
      </c>
      <c r="AF363" s="445">
        <f t="shared" si="1104"/>
        <v>318.05444999999997</v>
      </c>
      <c r="AG363" s="445">
        <f t="shared" si="1104"/>
        <v>318.76425</v>
      </c>
      <c r="AH363" s="445">
        <f t="shared" si="1104"/>
        <v>310.45559999999995</v>
      </c>
      <c r="AI363" s="445">
        <f t="shared" si="1104"/>
        <v>290.13284999999996</v>
      </c>
      <c r="AJ363" s="445">
        <f t="shared" si="1104"/>
        <v>268.42800599999998</v>
      </c>
      <c r="AK363" s="445">
        <f t="shared" si="1104"/>
        <v>255.60540599999999</v>
      </c>
      <c r="AL363" s="445">
        <f t="shared" si="1104"/>
        <v>232.82938223999997</v>
      </c>
      <c r="AM363" s="445">
        <f t="shared" si="1104"/>
        <v>216.23416245301559</v>
      </c>
      <c r="AN363" s="445">
        <f t="shared" si="1104"/>
        <v>214.75258223999998</v>
      </c>
      <c r="AO363" s="445">
        <f t="shared" si="1104"/>
        <v>211.18374178439996</v>
      </c>
      <c r="AP363" s="445">
        <f t="shared" si="1104"/>
        <v>215.26742936655594</v>
      </c>
      <c r="AQ363" s="445">
        <f t="shared" si="1104"/>
        <v>199.06206327381628</v>
      </c>
      <c r="AR363" s="445">
        <f t="shared" si="1104"/>
        <v>196.62293322563789</v>
      </c>
      <c r="AS363" s="445">
        <f t="shared" si="1104"/>
        <v>202.78180788368897</v>
      </c>
      <c r="AT363" s="445">
        <f t="shared" si="1104"/>
        <v>205.21501201483488</v>
      </c>
      <c r="AU363" s="445">
        <f t="shared" si="1104"/>
        <v>198.69941413498321</v>
      </c>
      <c r="AV363" s="445">
        <f t="shared" si="1104"/>
        <v>196.61209588999853</v>
      </c>
      <c r="AW363" s="445">
        <f t="shared" si="1104"/>
        <v>208.81851127633303</v>
      </c>
      <c r="AX363" s="445">
        <f t="shared" si="1104"/>
        <v>220.55193482527974</v>
      </c>
      <c r="AY363" s="445">
        <f>AY386</f>
        <v>206.33039960148776</v>
      </c>
      <c r="AZ363" s="444">
        <f t="shared" ref="AZ363" si="1105">AZ386</f>
        <v>184.58401793992954</v>
      </c>
      <c r="BA363" s="445">
        <f t="shared" si="1104"/>
        <v>197.3604179399295</v>
      </c>
      <c r="BB363" s="445">
        <f t="shared" ref="BB363" si="1106">BB386</f>
        <v>211.9839779399295</v>
      </c>
      <c r="BC363" s="445">
        <f>BC386</f>
        <v>233.40754771307118</v>
      </c>
      <c r="BD363" s="444">
        <f t="shared" ref="BD363" si="1107">BD386</f>
        <v>201.04708311760609</v>
      </c>
      <c r="BE363" s="445">
        <f t="shared" ref="BE363:BG363" si="1108">BE386</f>
        <v>227.9427910373885</v>
      </c>
      <c r="BF363" s="445">
        <f t="shared" si="1108"/>
        <v>234.59604071738852</v>
      </c>
      <c r="BG363" s="446">
        <f t="shared" si="1108"/>
        <v>224.3492023785885</v>
      </c>
      <c r="BH363" s="444">
        <f t="shared" ref="BH363:BK363" si="1109">BH386</f>
        <v>226.07016365210393</v>
      </c>
      <c r="BI363" s="445">
        <f t="shared" si="1109"/>
        <v>241.06993824245777</v>
      </c>
      <c r="BJ363" s="445">
        <f t="shared" si="1109"/>
        <v>246.26084701724099</v>
      </c>
      <c r="BK363" s="446">
        <f t="shared" si="1109"/>
        <v>235.22485271142327</v>
      </c>
      <c r="BL363" s="444">
        <f t="shared" ref="BL363:BO363" si="1110">BL386</f>
        <v>237.12025056770116</v>
      </c>
      <c r="BM363" s="445">
        <f t="shared" si="1110"/>
        <v>252.90570301860726</v>
      </c>
      <c r="BN363" s="445">
        <f t="shared" si="1110"/>
        <v>258.26667789223342</v>
      </c>
      <c r="BO363" s="446">
        <f t="shared" si="1110"/>
        <v>246.67867558494592</v>
      </c>
      <c r="BP363" s="1157"/>
      <c r="BQ363" s="30"/>
      <c r="BR363" s="30"/>
      <c r="BS363" s="30"/>
      <c r="BT363" s="691"/>
      <c r="BU363" s="691"/>
      <c r="BV363" s="691">
        <f>SUM(X363:AA363)</f>
        <v>0</v>
      </c>
      <c r="BW363" s="691">
        <f>SUM(AB363:AE363)</f>
        <v>1660.2852</v>
      </c>
      <c r="BX363" s="691">
        <f>SUM(AF363:AI363)</f>
        <v>1237.40715</v>
      </c>
      <c r="BY363" s="691">
        <f>SUM(AJ363:AM363)</f>
        <v>973.0969566930155</v>
      </c>
      <c r="BZ363" s="691">
        <f>+SUM(AN363:AQ363)</f>
        <v>840.26581666477216</v>
      </c>
      <c r="CA363" s="691">
        <f>+SUM(AR363:AU363)</f>
        <v>803.31916725914493</v>
      </c>
      <c r="CB363" s="691">
        <f>SUM(AV363:AY363)</f>
        <v>832.31294159309914</v>
      </c>
      <c r="CC363" s="691">
        <f>SUM(AZ363:BC363)</f>
        <v>827.33596153285976</v>
      </c>
      <c r="CD363" s="691">
        <f>SUM(BD363:BG363)</f>
        <v>887.93511725097164</v>
      </c>
      <c r="CE363" s="691">
        <f>SUM(BH363:BK363)</f>
        <v>948.62580162322593</v>
      </c>
      <c r="CF363" s="692">
        <f>SUM(BL363:BO363)</f>
        <v>994.97130706348776</v>
      </c>
      <c r="CG363" s="342"/>
      <c r="CH363" s="54"/>
      <c r="CI363" s="239"/>
      <c r="CJ363" s="219"/>
    </row>
    <row r="364" spans="1:88" s="12" customFormat="1" ht="14.25" customHeight="1" outlineLevel="1">
      <c r="A364" s="672"/>
      <c r="B364" s="969" t="s">
        <v>551</v>
      </c>
      <c r="C364" s="277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970"/>
      <c r="AD364" s="970"/>
      <c r="AE364" s="970"/>
      <c r="AF364" s="76"/>
      <c r="AG364" s="971"/>
      <c r="AH364" s="971"/>
      <c r="AI364" s="971"/>
      <c r="AJ364" s="971"/>
      <c r="AK364" s="971"/>
      <c r="AL364" s="971"/>
      <c r="AM364" s="971"/>
      <c r="AN364" s="971"/>
      <c r="AO364" s="971"/>
      <c r="AP364" s="971"/>
      <c r="AQ364" s="971"/>
      <c r="AR364" s="971"/>
      <c r="AS364" s="971"/>
      <c r="AT364" s="971"/>
      <c r="AU364" s="971"/>
      <c r="AV364" s="971"/>
      <c r="AW364" s="971"/>
      <c r="AX364" s="971"/>
      <c r="AY364" s="971"/>
      <c r="AZ364" s="1106"/>
      <c r="BA364" s="971"/>
      <c r="BB364" s="971"/>
      <c r="BC364" s="971"/>
      <c r="BD364" s="1106"/>
      <c r="BE364" s="971"/>
      <c r="BF364" s="971"/>
      <c r="BG364" s="1098"/>
      <c r="BH364" s="1106"/>
      <c r="BI364" s="971"/>
      <c r="BJ364" s="971"/>
      <c r="BK364" s="1098"/>
      <c r="BL364" s="1106"/>
      <c r="BM364" s="971"/>
      <c r="BN364" s="971"/>
      <c r="BO364" s="1098"/>
      <c r="BP364" s="1157"/>
      <c r="BQ364" s="30"/>
      <c r="BR364" s="30"/>
      <c r="BS364" s="30"/>
      <c r="BT364" s="965"/>
      <c r="BU364" s="965"/>
      <c r="BV364" s="965"/>
      <c r="BW364" s="965"/>
      <c r="BX364" s="965"/>
      <c r="BY364" s="965"/>
      <c r="BZ364" s="965"/>
      <c r="CA364" s="965"/>
      <c r="CB364" s="965"/>
      <c r="CC364" s="965"/>
      <c r="CD364" s="965"/>
      <c r="CE364" s="965"/>
      <c r="CF364" s="966"/>
      <c r="CG364" s="342"/>
      <c r="CH364" s="54"/>
      <c r="CI364" s="239"/>
      <c r="CJ364" s="219"/>
    </row>
    <row r="365" spans="1:88" s="12" customFormat="1" ht="14.25" customHeight="1" outlineLevel="1">
      <c r="A365" s="672"/>
      <c r="B365" s="969" t="s">
        <v>314</v>
      </c>
      <c r="C365" s="277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972">
        <v>1</v>
      </c>
      <c r="AC365" s="972">
        <v>1</v>
      </c>
      <c r="AD365" s="972">
        <v>1</v>
      </c>
      <c r="AE365" s="972">
        <v>1</v>
      </c>
      <c r="AF365" s="972">
        <v>1</v>
      </c>
      <c r="AG365" s="973">
        <v>1</v>
      </c>
      <c r="AH365" s="973">
        <v>1</v>
      </c>
      <c r="AI365" s="973">
        <v>1</v>
      </c>
      <c r="AJ365" s="973">
        <v>1</v>
      </c>
      <c r="AK365" s="973">
        <v>1</v>
      </c>
      <c r="AL365" s="973">
        <v>1</v>
      </c>
      <c r="AM365" s="973">
        <v>1</v>
      </c>
      <c r="AN365" s="973">
        <v>1</v>
      </c>
      <c r="AO365" s="973">
        <v>1</v>
      </c>
      <c r="AP365" s="973">
        <v>1</v>
      </c>
      <c r="AQ365" s="973">
        <v>1</v>
      </c>
      <c r="AR365" s="973">
        <v>1</v>
      </c>
      <c r="AS365" s="973">
        <v>1</v>
      </c>
      <c r="AT365" s="973">
        <v>1</v>
      </c>
      <c r="AU365" s="973">
        <v>1</v>
      </c>
      <c r="AV365" s="973">
        <v>1</v>
      </c>
      <c r="AW365" s="973">
        <v>1</v>
      </c>
      <c r="AX365" s="973">
        <v>1</v>
      </c>
      <c r="AY365" s="973">
        <v>1</v>
      </c>
      <c r="AZ365" s="1107">
        <v>1</v>
      </c>
      <c r="BA365" s="973">
        <v>1</v>
      </c>
      <c r="BB365" s="973">
        <v>1</v>
      </c>
      <c r="BC365" s="973">
        <v>1</v>
      </c>
      <c r="BD365" s="1107">
        <v>1</v>
      </c>
      <c r="BE365" s="973">
        <v>1</v>
      </c>
      <c r="BF365" s="973">
        <v>1</v>
      </c>
      <c r="BG365" s="1108">
        <v>1</v>
      </c>
      <c r="BH365" s="1107">
        <f t="shared" ref="BH365:BH366" si="1111">BG365</f>
        <v>1</v>
      </c>
      <c r="BI365" s="973">
        <v>1</v>
      </c>
      <c r="BJ365" s="973">
        <v>1</v>
      </c>
      <c r="BK365" s="1108">
        <v>1</v>
      </c>
      <c r="BL365" s="1107">
        <f t="shared" ref="BL365:BL366" si="1112">BK365</f>
        <v>1</v>
      </c>
      <c r="BM365" s="973">
        <v>1</v>
      </c>
      <c r="BN365" s="973">
        <v>1</v>
      </c>
      <c r="BO365" s="1108">
        <v>1</v>
      </c>
      <c r="BP365" s="1157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1"/>
      <c r="CG365" s="342"/>
      <c r="CH365" s="54"/>
      <c r="CI365" s="239"/>
      <c r="CJ365" s="219"/>
    </row>
    <row r="366" spans="1:88" s="12" customFormat="1" ht="14.25" customHeight="1" outlineLevel="1">
      <c r="A366" s="672"/>
      <c r="B366" s="969" t="s">
        <v>348</v>
      </c>
      <c r="C366" s="277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972">
        <v>0.6</v>
      </c>
      <c r="AC366" s="972">
        <v>0.6</v>
      </c>
      <c r="AD366" s="972">
        <v>0.6</v>
      </c>
      <c r="AE366" s="972">
        <v>0.6</v>
      </c>
      <c r="AF366" s="972">
        <v>0.6</v>
      </c>
      <c r="AG366" s="973">
        <v>0.6</v>
      </c>
      <c r="AH366" s="973">
        <v>0.6</v>
      </c>
      <c r="AI366" s="973">
        <v>0.6</v>
      </c>
      <c r="AJ366" s="973">
        <v>0.6</v>
      </c>
      <c r="AK366" s="973">
        <v>0.6</v>
      </c>
      <c r="AL366" s="973">
        <v>0.6</v>
      </c>
      <c r="AM366" s="973">
        <v>0.6</v>
      </c>
      <c r="AN366" s="973">
        <v>0.6</v>
      </c>
      <c r="AO366" s="973">
        <v>0.56999999999999995</v>
      </c>
      <c r="AP366" s="973">
        <v>0.56999999999999995</v>
      </c>
      <c r="AQ366" s="973">
        <v>0.56999999999999995</v>
      </c>
      <c r="AR366" s="973">
        <v>0.56999999999999995</v>
      </c>
      <c r="AS366" s="973">
        <v>0.56999999999999995</v>
      </c>
      <c r="AT366" s="973">
        <v>0.56999999999999995</v>
      </c>
      <c r="AU366" s="973">
        <v>0.56999999999999995</v>
      </c>
      <c r="AV366" s="973">
        <f>AU366-0.8%</f>
        <v>0.56199999999999994</v>
      </c>
      <c r="AW366" s="973">
        <v>0.56999999999999995</v>
      </c>
      <c r="AX366" s="973">
        <v>0.56999999999999995</v>
      </c>
      <c r="AY366" s="973">
        <v>0.56999999999999995</v>
      </c>
      <c r="AZ366" s="1107">
        <f>AY366-1%</f>
        <v>0.55999999999999994</v>
      </c>
      <c r="BA366" s="973">
        <f t="shared" ref="BA366:BB367" si="1113">AZ366</f>
        <v>0.55999999999999994</v>
      </c>
      <c r="BB366" s="973">
        <f t="shared" si="1113"/>
        <v>0.55999999999999994</v>
      </c>
      <c r="BC366" s="973">
        <v>0.56999999999999995</v>
      </c>
      <c r="BD366" s="1107">
        <f>BC366-1%</f>
        <v>0.55999999999999994</v>
      </c>
      <c r="BE366" s="973">
        <f>BD366</f>
        <v>0.55999999999999994</v>
      </c>
      <c r="BF366" s="973">
        <f>BE366</f>
        <v>0.55999999999999994</v>
      </c>
      <c r="BG366" s="1108">
        <f>BF366</f>
        <v>0.55999999999999994</v>
      </c>
      <c r="BH366" s="1107">
        <f t="shared" si="1111"/>
        <v>0.55999999999999994</v>
      </c>
      <c r="BI366" s="973">
        <f>BH366</f>
        <v>0.55999999999999994</v>
      </c>
      <c r="BJ366" s="973">
        <f>BI366</f>
        <v>0.55999999999999994</v>
      </c>
      <c r="BK366" s="1108">
        <f>BJ366</f>
        <v>0.55999999999999994</v>
      </c>
      <c r="BL366" s="1107">
        <f t="shared" si="1112"/>
        <v>0.55999999999999994</v>
      </c>
      <c r="BM366" s="973">
        <f>BL366</f>
        <v>0.55999999999999994</v>
      </c>
      <c r="BN366" s="973">
        <f>BM366</f>
        <v>0.55999999999999994</v>
      </c>
      <c r="BO366" s="1108">
        <f>BN366</f>
        <v>0.55999999999999994</v>
      </c>
      <c r="BP366" s="1157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1"/>
      <c r="CG366" s="342"/>
      <c r="CH366" s="54"/>
      <c r="CI366" s="239"/>
      <c r="CJ366" s="219"/>
    </row>
    <row r="367" spans="1:88" s="12" customFormat="1" ht="14.25" customHeight="1" outlineLevel="1">
      <c r="A367" s="672"/>
      <c r="B367" s="969" t="s">
        <v>312</v>
      </c>
      <c r="C367" s="277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972">
        <v>0.1</v>
      </c>
      <c r="AC367" s="972">
        <v>0.1</v>
      </c>
      <c r="AD367" s="972">
        <v>0.1</v>
      </c>
      <c r="AE367" s="972">
        <v>0.1</v>
      </c>
      <c r="AF367" s="972">
        <v>0.1</v>
      </c>
      <c r="AG367" s="973">
        <v>0.1</v>
      </c>
      <c r="AH367" s="973">
        <v>0.1</v>
      </c>
      <c r="AI367" s="973">
        <v>0.1</v>
      </c>
      <c r="AJ367" s="973">
        <v>0.1</v>
      </c>
      <c r="AK367" s="973">
        <v>0.1</v>
      </c>
      <c r="AL367" s="973">
        <v>0.1</v>
      </c>
      <c r="AM367" s="973">
        <v>0.1</v>
      </c>
      <c r="AN367" s="973">
        <v>0.1</v>
      </c>
      <c r="AO367" s="973">
        <v>7.4999999999999997E-2</v>
      </c>
      <c r="AP367" s="973">
        <v>7.4999999999999997E-2</v>
      </c>
      <c r="AQ367" s="973">
        <v>7.4999999999999997E-2</v>
      </c>
      <c r="AR367" s="973">
        <v>7.4999999999999997E-2</v>
      </c>
      <c r="AS367" s="973">
        <v>7.4999999999999997E-2</v>
      </c>
      <c r="AT367" s="973">
        <v>7.4999999999999997E-2</v>
      </c>
      <c r="AU367" s="973">
        <v>7.4999999999999997E-2</v>
      </c>
      <c r="AV367" s="973">
        <f>AU367-0.8%</f>
        <v>6.7000000000000004E-2</v>
      </c>
      <c r="AW367" s="973">
        <v>7.4999999999999997E-2</v>
      </c>
      <c r="AX367" s="973">
        <v>7.4999999999999997E-2</v>
      </c>
      <c r="AY367" s="973">
        <v>7.4999999999999997E-2</v>
      </c>
      <c r="AZ367" s="1107">
        <f>AY367-1%</f>
        <v>6.5000000000000002E-2</v>
      </c>
      <c r="BA367" s="973">
        <f t="shared" si="1113"/>
        <v>6.5000000000000002E-2</v>
      </c>
      <c r="BB367" s="973">
        <f t="shared" si="1113"/>
        <v>6.5000000000000002E-2</v>
      </c>
      <c r="BC367" s="973">
        <v>7.4999999999999997E-2</v>
      </c>
      <c r="BD367" s="1107">
        <f>BC367-1%</f>
        <v>6.5000000000000002E-2</v>
      </c>
      <c r="BE367" s="973">
        <f t="shared" ref="BE367" si="1114">BD367</f>
        <v>6.5000000000000002E-2</v>
      </c>
      <c r="BF367" s="973">
        <f t="shared" ref="BF367" si="1115">BE367</f>
        <v>6.5000000000000002E-2</v>
      </c>
      <c r="BG367" s="1108">
        <f t="shared" ref="BG367" si="1116">BF367</f>
        <v>6.5000000000000002E-2</v>
      </c>
      <c r="BH367" s="1107">
        <f>BG367</f>
        <v>6.5000000000000002E-2</v>
      </c>
      <c r="BI367" s="973">
        <f t="shared" ref="BI367" si="1117">BH367</f>
        <v>6.5000000000000002E-2</v>
      </c>
      <c r="BJ367" s="973">
        <f t="shared" ref="BJ367" si="1118">BI367</f>
        <v>6.5000000000000002E-2</v>
      </c>
      <c r="BK367" s="1108">
        <f t="shared" ref="BK367" si="1119">BJ367</f>
        <v>6.5000000000000002E-2</v>
      </c>
      <c r="BL367" s="1107">
        <f>BK367</f>
        <v>6.5000000000000002E-2</v>
      </c>
      <c r="BM367" s="973">
        <f t="shared" ref="BM367" si="1120">BL367</f>
        <v>6.5000000000000002E-2</v>
      </c>
      <c r="BN367" s="973">
        <f t="shared" ref="BN367" si="1121">BM367</f>
        <v>6.5000000000000002E-2</v>
      </c>
      <c r="BO367" s="1108">
        <f t="shared" ref="BO367" si="1122">BN367</f>
        <v>6.5000000000000002E-2</v>
      </c>
      <c r="BP367" s="1157"/>
      <c r="BQ367" s="30"/>
      <c r="BR367" s="30"/>
      <c r="BS367" s="30"/>
      <c r="BT367" s="30"/>
      <c r="BU367" s="30"/>
      <c r="BV367" s="30"/>
      <c r="BW367" s="30"/>
      <c r="BX367" s="30"/>
      <c r="BY367" s="30"/>
      <c r="BZ367" s="30"/>
      <c r="CA367" s="30"/>
      <c r="CB367" s="30"/>
      <c r="CC367" s="30"/>
      <c r="CD367" s="30"/>
      <c r="CE367" s="30"/>
      <c r="CF367" s="31"/>
      <c r="CG367" s="342"/>
      <c r="CH367" s="54"/>
      <c r="CI367" s="239"/>
      <c r="CJ367" s="219"/>
    </row>
    <row r="368" spans="1:88" s="12" customFormat="1" ht="14.25" customHeight="1" outlineLevel="1">
      <c r="A368" s="672"/>
      <c r="B368" s="969" t="s">
        <v>313</v>
      </c>
      <c r="C368" s="277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972">
        <v>0.5</v>
      </c>
      <c r="AC368" s="972">
        <v>0.5</v>
      </c>
      <c r="AD368" s="972">
        <v>0.5</v>
      </c>
      <c r="AE368" s="972">
        <v>0.5</v>
      </c>
      <c r="AF368" s="972">
        <v>0.55000000000000004</v>
      </c>
      <c r="AG368" s="972">
        <v>0.55000000000000004</v>
      </c>
      <c r="AH368" s="972">
        <v>0.55000000000000004</v>
      </c>
      <c r="AI368" s="972">
        <v>0.55000000000000004</v>
      </c>
      <c r="AJ368" s="973">
        <v>0.6</v>
      </c>
      <c r="AK368" s="973">
        <v>0.6</v>
      </c>
      <c r="AL368" s="973">
        <v>0.6</v>
      </c>
      <c r="AM368" s="973">
        <v>0.6</v>
      </c>
      <c r="AN368" s="973">
        <v>0.6</v>
      </c>
      <c r="AO368" s="973">
        <v>0.6</v>
      </c>
      <c r="AP368" s="973">
        <v>0.6</v>
      </c>
      <c r="AQ368" s="973">
        <v>0.6</v>
      </c>
      <c r="AR368" s="973">
        <v>0.6</v>
      </c>
      <c r="AS368" s="973">
        <v>0.6</v>
      </c>
      <c r="AT368" s="973">
        <v>0.6</v>
      </c>
      <c r="AU368" s="973">
        <v>0.6</v>
      </c>
      <c r="AV368" s="973">
        <v>0.6</v>
      </c>
      <c r="AW368" s="973">
        <v>0.6</v>
      </c>
      <c r="AX368" s="973">
        <v>0.6</v>
      </c>
      <c r="AY368" s="973">
        <v>0.6</v>
      </c>
      <c r="AZ368" s="1107">
        <v>0.5</v>
      </c>
      <c r="BA368" s="973">
        <v>0.5</v>
      </c>
      <c r="BB368" s="973">
        <v>0.5</v>
      </c>
      <c r="BC368" s="973">
        <v>0.6</v>
      </c>
      <c r="BD368" s="1107">
        <v>0.5</v>
      </c>
      <c r="BE368" s="973">
        <v>0.5</v>
      </c>
      <c r="BF368" s="973">
        <v>0.5</v>
      </c>
      <c r="BG368" s="1108">
        <v>0.5</v>
      </c>
      <c r="BH368" s="1107">
        <f>BG368</f>
        <v>0.5</v>
      </c>
      <c r="BI368" s="973">
        <v>0.5</v>
      </c>
      <c r="BJ368" s="973">
        <v>0.5</v>
      </c>
      <c r="BK368" s="1108">
        <v>0.5</v>
      </c>
      <c r="BL368" s="1107">
        <f>BK368</f>
        <v>0.5</v>
      </c>
      <c r="BM368" s="973">
        <v>0.5</v>
      </c>
      <c r="BN368" s="973">
        <v>0.5</v>
      </c>
      <c r="BO368" s="1108">
        <v>0.5</v>
      </c>
      <c r="BP368" s="1157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1"/>
      <c r="CG368" s="342"/>
      <c r="CH368" s="54"/>
      <c r="CI368" s="239"/>
      <c r="CJ368" s="219"/>
    </row>
    <row r="369" spans="1:88" s="12" customFormat="1" ht="14.25" customHeight="1" outlineLevel="1">
      <c r="A369" s="672"/>
      <c r="B369" s="969"/>
      <c r="C369" s="277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974"/>
      <c r="AC369" s="974"/>
      <c r="AD369" s="974"/>
      <c r="AE369" s="974"/>
      <c r="AF369" s="974"/>
      <c r="AG369" s="975"/>
      <c r="AH369" s="975"/>
      <c r="AI369" s="975"/>
      <c r="AJ369" s="975"/>
      <c r="AK369" s="975"/>
      <c r="AL369" s="975"/>
      <c r="AM369" s="975"/>
      <c r="AN369" s="975"/>
      <c r="AO369" s="975"/>
      <c r="AP369" s="975"/>
      <c r="AQ369" s="975"/>
      <c r="AR369" s="975"/>
      <c r="AS369" s="975"/>
      <c r="AT369" s="975"/>
      <c r="AU369" s="975"/>
      <c r="AV369" s="975"/>
      <c r="AW369" s="975"/>
      <c r="AX369" s="975"/>
      <c r="AY369" s="975"/>
      <c r="AZ369" s="1109"/>
      <c r="BA369" s="975"/>
      <c r="BB369" s="975"/>
      <c r="BC369" s="975"/>
      <c r="BD369" s="1109"/>
      <c r="BE369" s="975"/>
      <c r="BF369" s="975"/>
      <c r="BG369" s="1095"/>
      <c r="BH369" s="1109"/>
      <c r="BI369" s="975"/>
      <c r="BJ369" s="975"/>
      <c r="BK369" s="1095"/>
      <c r="BL369" s="1109"/>
      <c r="BM369" s="975"/>
      <c r="BN369" s="975"/>
      <c r="BO369" s="1095"/>
      <c r="BP369" s="1157"/>
      <c r="BQ369" s="30"/>
      <c r="BR369" s="30"/>
      <c r="BS369" s="30"/>
      <c r="BT369" s="975"/>
      <c r="BU369" s="975"/>
      <c r="BV369" s="975"/>
      <c r="BW369" s="975"/>
      <c r="BX369" s="975"/>
      <c r="BY369" s="975"/>
      <c r="BZ369" s="975"/>
      <c r="CA369" s="975"/>
      <c r="CB369" s="975"/>
      <c r="CC369" s="975"/>
      <c r="CD369" s="975"/>
      <c r="CE369" s="975"/>
      <c r="CF369" s="1095"/>
      <c r="CG369" s="342"/>
      <c r="CH369" s="54"/>
      <c r="CI369" s="239"/>
      <c r="CJ369" s="219"/>
    </row>
    <row r="370" spans="1:88" s="12" customFormat="1" ht="14.25" customHeight="1" outlineLevel="1">
      <c r="A370" s="672"/>
      <c r="B370" s="969" t="s">
        <v>552</v>
      </c>
      <c r="C370" s="277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974"/>
      <c r="AC370" s="974"/>
      <c r="AD370" s="974"/>
      <c r="AE370" s="974"/>
      <c r="AF370" s="974"/>
      <c r="AG370" s="975"/>
      <c r="AH370" s="975"/>
      <c r="AI370" s="975"/>
      <c r="AJ370" s="975"/>
      <c r="AK370" s="975"/>
      <c r="AL370" s="975"/>
      <c r="AM370" s="975"/>
      <c r="AN370" s="975"/>
      <c r="AO370" s="975"/>
      <c r="AP370" s="975"/>
      <c r="AQ370" s="975"/>
      <c r="AR370" s="975"/>
      <c r="AS370" s="975"/>
      <c r="AT370" s="975"/>
      <c r="AU370" s="975"/>
      <c r="AV370" s="975"/>
      <c r="AW370" s="975"/>
      <c r="AX370" s="975"/>
      <c r="AY370" s="975"/>
      <c r="AZ370" s="1109"/>
      <c r="BA370" s="975"/>
      <c r="BB370" s="975"/>
      <c r="BC370" s="975"/>
      <c r="BD370" s="1109"/>
      <c r="BE370" s="975"/>
      <c r="BF370" s="975"/>
      <c r="BG370" s="1095"/>
      <c r="BH370" s="1109"/>
      <c r="BI370" s="975"/>
      <c r="BJ370" s="975"/>
      <c r="BK370" s="1095"/>
      <c r="BL370" s="1109"/>
      <c r="BM370" s="975"/>
      <c r="BN370" s="975"/>
      <c r="BO370" s="1095"/>
      <c r="BP370" s="1157"/>
      <c r="BQ370" s="30"/>
      <c r="BR370" s="30"/>
      <c r="BS370" s="30"/>
      <c r="BT370" s="975"/>
      <c r="BU370" s="975"/>
      <c r="BV370" s="975"/>
      <c r="BW370" s="975"/>
      <c r="BX370" s="975"/>
      <c r="BY370" s="975"/>
      <c r="BZ370" s="975"/>
      <c r="CA370" s="975"/>
      <c r="CB370" s="975"/>
      <c r="CC370" s="975"/>
      <c r="CD370" s="975"/>
      <c r="CE370" s="975"/>
      <c r="CF370" s="1095"/>
      <c r="CG370" s="342"/>
      <c r="CH370" s="54"/>
      <c r="CI370" s="239"/>
      <c r="CJ370" s="219"/>
    </row>
    <row r="371" spans="1:88" s="12" customFormat="1" ht="14.25" customHeight="1" outlineLevel="1">
      <c r="A371" s="672"/>
      <c r="B371" s="969" t="s">
        <v>314</v>
      </c>
      <c r="C371" s="277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830">
        <f t="shared" ref="AB371:AI371" si="1123">AB365*AB12</f>
        <v>658</v>
      </c>
      <c r="AC371" s="830">
        <f t="shared" si="1123"/>
        <v>558</v>
      </c>
      <c r="AD371" s="830">
        <f t="shared" si="1123"/>
        <v>580</v>
      </c>
      <c r="AE371" s="830">
        <f t="shared" si="1123"/>
        <v>722</v>
      </c>
      <c r="AF371" s="830">
        <f t="shared" si="1123"/>
        <v>373</v>
      </c>
      <c r="AG371" s="830">
        <f t="shared" si="1123"/>
        <v>342</v>
      </c>
      <c r="AH371" s="830">
        <f t="shared" si="1123"/>
        <v>325</v>
      </c>
      <c r="AI371" s="830">
        <f t="shared" si="1123"/>
        <v>317</v>
      </c>
      <c r="AJ371" s="830">
        <f t="shared" ref="AJ371:BA371" si="1124">AJ296</f>
        <v>210</v>
      </c>
      <c r="AK371" s="830">
        <f t="shared" si="1124"/>
        <v>148</v>
      </c>
      <c r="AL371" s="830">
        <f t="shared" si="1124"/>
        <v>57</v>
      </c>
      <c r="AM371" s="830">
        <f t="shared" si="1124"/>
        <v>50</v>
      </c>
      <c r="AN371" s="830">
        <f t="shared" si="1124"/>
        <v>25</v>
      </c>
      <c r="AO371" s="830">
        <f t="shared" si="1124"/>
        <v>16</v>
      </c>
      <c r="AP371" s="830">
        <f t="shared" si="1124"/>
        <v>16</v>
      </c>
      <c r="AQ371" s="830">
        <f t="shared" si="1124"/>
        <v>0</v>
      </c>
      <c r="AR371" s="830">
        <f t="shared" si="1124"/>
        <v>0</v>
      </c>
      <c r="AS371" s="830">
        <f t="shared" si="1124"/>
        <v>0</v>
      </c>
      <c r="AT371" s="830">
        <f t="shared" si="1124"/>
        <v>0</v>
      </c>
      <c r="AU371" s="830">
        <f t="shared" si="1124"/>
        <v>0</v>
      </c>
      <c r="AV371" s="830">
        <f t="shared" si="1124"/>
        <v>0</v>
      </c>
      <c r="AW371" s="830">
        <f t="shared" si="1124"/>
        <v>0</v>
      </c>
      <c r="AX371" s="830">
        <f t="shared" si="1124"/>
        <v>0</v>
      </c>
      <c r="AY371" s="830">
        <f t="shared" ref="AY371" si="1125">AY296</f>
        <v>0</v>
      </c>
      <c r="AZ371" s="1110">
        <f t="shared" si="1124"/>
        <v>0</v>
      </c>
      <c r="BA371" s="830">
        <f t="shared" si="1124"/>
        <v>0</v>
      </c>
      <c r="BB371" s="830">
        <f t="shared" ref="BB371:BD371" si="1126">BB296</f>
        <v>0</v>
      </c>
      <c r="BC371" s="830">
        <f t="shared" si="1126"/>
        <v>0</v>
      </c>
      <c r="BD371" s="1110">
        <f t="shared" si="1126"/>
        <v>0</v>
      </c>
      <c r="BE371" s="830">
        <f t="shared" ref="BE371:BG371" si="1127">BE296</f>
        <v>0</v>
      </c>
      <c r="BF371" s="830">
        <f t="shared" si="1127"/>
        <v>0</v>
      </c>
      <c r="BG371" s="831">
        <f t="shared" si="1127"/>
        <v>0</v>
      </c>
      <c r="BH371" s="1110">
        <f t="shared" ref="BH371:BK371" si="1128">BH296</f>
        <v>0</v>
      </c>
      <c r="BI371" s="830">
        <f t="shared" si="1128"/>
        <v>0</v>
      </c>
      <c r="BJ371" s="830">
        <f t="shared" si="1128"/>
        <v>0</v>
      </c>
      <c r="BK371" s="831">
        <f t="shared" si="1128"/>
        <v>0</v>
      </c>
      <c r="BL371" s="1110">
        <f t="shared" ref="BL371:BO371" si="1129">BL296</f>
        <v>0</v>
      </c>
      <c r="BM371" s="830">
        <f t="shared" si="1129"/>
        <v>0</v>
      </c>
      <c r="BN371" s="830">
        <f t="shared" si="1129"/>
        <v>0</v>
      </c>
      <c r="BO371" s="831">
        <f t="shared" si="1129"/>
        <v>0</v>
      </c>
      <c r="BP371" s="1157"/>
      <c r="BQ371" s="30"/>
      <c r="BR371" s="30"/>
      <c r="BS371" s="30"/>
      <c r="BT371" s="691"/>
      <c r="BU371" s="691"/>
      <c r="BV371" s="691"/>
      <c r="BW371" s="691"/>
      <c r="BX371" s="691"/>
      <c r="BY371" s="691"/>
      <c r="BZ371" s="691">
        <f>+SUM(AN371:AQ371)</f>
        <v>57</v>
      </c>
      <c r="CA371" s="691">
        <f>+SUM(AR371:AU371)</f>
        <v>0</v>
      </c>
      <c r="CB371" s="691">
        <f>SUM(AV371:AY371)</f>
        <v>0</v>
      </c>
      <c r="CC371" s="691">
        <f>SUM(AZ371:BC371)</f>
        <v>0</v>
      </c>
      <c r="CD371" s="691">
        <f>SUM(BD371:BG371)</f>
        <v>0</v>
      </c>
      <c r="CE371" s="691">
        <f>SUM(BH371:BK371)</f>
        <v>0</v>
      </c>
      <c r="CF371" s="692">
        <f t="shared" ref="CF371:CF375" si="1130">SUM(BL371:BO371)</f>
        <v>0</v>
      </c>
      <c r="CG371" s="342"/>
      <c r="CH371" s="54"/>
      <c r="CI371" s="239"/>
      <c r="CJ371" s="219"/>
    </row>
    <row r="372" spans="1:88" s="12" customFormat="1" ht="14.25" customHeight="1" outlineLevel="1">
      <c r="A372" s="672"/>
      <c r="B372" s="969" t="s">
        <v>348</v>
      </c>
      <c r="C372" s="277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830">
        <f t="shared" ref="AB372:BA372" si="1131">AB366*AB305</f>
        <v>75</v>
      </c>
      <c r="AC372" s="830">
        <f t="shared" si="1131"/>
        <v>75</v>
      </c>
      <c r="AD372" s="830">
        <f t="shared" si="1131"/>
        <v>75</v>
      </c>
      <c r="AE372" s="830">
        <f t="shared" si="1131"/>
        <v>60</v>
      </c>
      <c r="AF372" s="830">
        <f t="shared" si="1131"/>
        <v>96</v>
      </c>
      <c r="AG372" s="830">
        <f t="shared" si="1131"/>
        <v>108</v>
      </c>
      <c r="AH372" s="830">
        <f t="shared" si="1131"/>
        <v>97.2</v>
      </c>
      <c r="AI372" s="830">
        <f t="shared" si="1131"/>
        <v>87.48</v>
      </c>
      <c r="AJ372" s="830">
        <f t="shared" si="1131"/>
        <v>84.85560000000001</v>
      </c>
      <c r="AK372" s="830">
        <f t="shared" si="1131"/>
        <v>84.85560000000001</v>
      </c>
      <c r="AL372" s="830">
        <f t="shared" si="1131"/>
        <v>88.249824000000004</v>
      </c>
      <c r="AM372" s="830">
        <f t="shared" si="1131"/>
        <v>88.249824000000004</v>
      </c>
      <c r="AN372" s="830">
        <f t="shared" si="1131"/>
        <v>88.249824000000004</v>
      </c>
      <c r="AO372" s="830">
        <f t="shared" si="1131"/>
        <v>88.029199439999999</v>
      </c>
      <c r="AP372" s="830">
        <f t="shared" si="1131"/>
        <v>87.148907445600003</v>
      </c>
      <c r="AQ372" s="830">
        <f t="shared" si="1131"/>
        <v>83.9152292826398</v>
      </c>
      <c r="AR372" s="830">
        <f t="shared" si="1131"/>
        <v>80.918008378280419</v>
      </c>
      <c r="AS372" s="830">
        <f t="shared" si="1131"/>
        <v>87.391449048542867</v>
      </c>
      <c r="AT372" s="830">
        <f t="shared" si="1131"/>
        <v>70.000550687882821</v>
      </c>
      <c r="AU372" s="830">
        <f t="shared" si="1131"/>
        <v>70.700556194761646</v>
      </c>
      <c r="AV372" s="830">
        <f t="shared" si="1131"/>
        <v>70.40535036363265</v>
      </c>
      <c r="AW372" s="830">
        <f t="shared" si="1131"/>
        <v>71.407561756709271</v>
      </c>
      <c r="AX372" s="830">
        <f t="shared" si="1131"/>
        <v>68.551259286440896</v>
      </c>
      <c r="AY372" s="830">
        <f t="shared" ref="AY372" si="1132">AY366*AY305</f>
        <v>58.268570393474761</v>
      </c>
      <c r="AZ372" s="1110">
        <f t="shared" si="1131"/>
        <v>54.956462181635146</v>
      </c>
      <c r="BA372" s="830">
        <f t="shared" si="1131"/>
        <v>54.956462181635146</v>
      </c>
      <c r="BB372" s="830">
        <f t="shared" ref="BB372:BD372" si="1133">BB366*BB305</f>
        <v>54.956462181635146</v>
      </c>
      <c r="BC372" s="830">
        <f t="shared" si="1133"/>
        <v>41.953370683301834</v>
      </c>
      <c r="BD372" s="1110">
        <f t="shared" si="1133"/>
        <v>34.21039770806788</v>
      </c>
      <c r="BE372" s="830">
        <f t="shared" ref="BE372:BG372" si="1134">BE366*BE305</f>
        <v>34.21039770806788</v>
      </c>
      <c r="BF372" s="830">
        <f t="shared" si="1134"/>
        <v>34.21039770806788</v>
      </c>
      <c r="BG372" s="831">
        <f t="shared" si="1134"/>
        <v>34.21039770806788</v>
      </c>
      <c r="BH372" s="1110">
        <f t="shared" ref="BH372:BK372" si="1135">BH366*BH305</f>
        <v>35.920917593471273</v>
      </c>
      <c r="BI372" s="830">
        <f t="shared" si="1135"/>
        <v>35.920917593471273</v>
      </c>
      <c r="BJ372" s="830">
        <f t="shared" si="1135"/>
        <v>35.920917593471273</v>
      </c>
      <c r="BK372" s="831">
        <f t="shared" si="1135"/>
        <v>35.920917593471273</v>
      </c>
      <c r="BL372" s="1110">
        <f t="shared" ref="BL372:BO372" si="1136">BL366*BL305</f>
        <v>37.716963473144844</v>
      </c>
      <c r="BM372" s="830">
        <f t="shared" si="1136"/>
        <v>37.716963473144844</v>
      </c>
      <c r="BN372" s="830">
        <f t="shared" si="1136"/>
        <v>37.716963473144844</v>
      </c>
      <c r="BO372" s="831">
        <f t="shared" si="1136"/>
        <v>37.716963473144844</v>
      </c>
      <c r="BP372" s="1157"/>
      <c r="BQ372" s="30"/>
      <c r="BR372" s="30"/>
      <c r="BS372" s="30"/>
      <c r="BT372" s="691"/>
      <c r="BU372" s="691"/>
      <c r="BV372" s="691"/>
      <c r="BW372" s="691"/>
      <c r="BX372" s="691"/>
      <c r="BY372" s="691"/>
      <c r="BZ372" s="691">
        <f>+SUM(AN372:AQ372)</f>
        <v>347.34316016823982</v>
      </c>
      <c r="CA372" s="691">
        <f>+SUM(AR372:AU372)</f>
        <v>309.01056430946778</v>
      </c>
      <c r="CB372" s="691">
        <f>SUM(AV372:AY372)</f>
        <v>268.63274180025758</v>
      </c>
      <c r="CC372" s="691">
        <f>SUM(AZ372:BC372)</f>
        <v>206.82275722820728</v>
      </c>
      <c r="CD372" s="691">
        <f>SUM(BD372:BG372)</f>
        <v>136.84159083227152</v>
      </c>
      <c r="CE372" s="691">
        <f t="shared" ref="CE372:CE375" si="1137">SUM(BH372:BK372)</f>
        <v>143.68367037388509</v>
      </c>
      <c r="CF372" s="692">
        <f t="shared" si="1130"/>
        <v>150.86785389257938</v>
      </c>
      <c r="CG372" s="342"/>
      <c r="CH372" s="54"/>
      <c r="CI372" s="239"/>
      <c r="CJ372" s="219"/>
    </row>
    <row r="373" spans="1:88" s="12" customFormat="1" ht="14.25" customHeight="1" outlineLevel="1">
      <c r="A373" s="672"/>
      <c r="B373" s="969" t="s">
        <v>312</v>
      </c>
      <c r="C373" s="277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830">
        <f t="shared" ref="AB373:BA373" si="1138">AB367*AB10</f>
        <v>153.60000000000002</v>
      </c>
      <c r="AC373" s="830">
        <f t="shared" si="1138"/>
        <v>158.80000000000001</v>
      </c>
      <c r="AD373" s="830">
        <f t="shared" si="1138"/>
        <v>155.70000000000002</v>
      </c>
      <c r="AE373" s="830">
        <f t="shared" si="1138"/>
        <v>169.5</v>
      </c>
      <c r="AF373" s="830">
        <f t="shared" si="1138"/>
        <v>168.60000000000002</v>
      </c>
      <c r="AG373" s="830">
        <f t="shared" si="1138"/>
        <v>180</v>
      </c>
      <c r="AH373" s="830">
        <f t="shared" si="1138"/>
        <v>184.3</v>
      </c>
      <c r="AI373" s="830">
        <f t="shared" si="1138"/>
        <v>166.9</v>
      </c>
      <c r="AJ373" s="830">
        <f t="shared" si="1138"/>
        <v>164.8</v>
      </c>
      <c r="AK373" s="830">
        <f t="shared" si="1138"/>
        <v>174.5</v>
      </c>
      <c r="AL373" s="830">
        <f t="shared" si="1138"/>
        <v>193.10000000000002</v>
      </c>
      <c r="AM373" s="830">
        <f t="shared" si="1138"/>
        <v>186.91261989291903</v>
      </c>
      <c r="AN373" s="830">
        <f t="shared" si="1138"/>
        <v>183.70000000000002</v>
      </c>
      <c r="AO373" s="830">
        <f t="shared" si="1138"/>
        <v>149.625</v>
      </c>
      <c r="AP373" s="830">
        <f t="shared" si="1138"/>
        <v>161.17499999999998</v>
      </c>
      <c r="AQ373" s="830">
        <f t="shared" si="1138"/>
        <v>159.22499999999999</v>
      </c>
      <c r="AR373" s="830">
        <f t="shared" si="1138"/>
        <v>152.625</v>
      </c>
      <c r="AS373" s="830">
        <f t="shared" si="1138"/>
        <v>153.67499999999998</v>
      </c>
      <c r="AT373" s="830">
        <f t="shared" si="1138"/>
        <v>163.65</v>
      </c>
      <c r="AU373" s="830">
        <f t="shared" si="1138"/>
        <v>155.47499999999999</v>
      </c>
      <c r="AV373" s="830">
        <f t="shared" si="1138"/>
        <v>125.893</v>
      </c>
      <c r="AW373" s="830">
        <f t="shared" si="1138"/>
        <v>153.29999999999998</v>
      </c>
      <c r="AX373" s="830">
        <f t="shared" si="1138"/>
        <v>174.22499999999999</v>
      </c>
      <c r="AY373" s="830">
        <f t="shared" ref="AY373" si="1139">AY367*AY10</f>
        <v>171.75</v>
      </c>
      <c r="AZ373" s="1110">
        <f t="shared" si="1138"/>
        <v>146.64000000000001</v>
      </c>
      <c r="BA373" s="830">
        <f t="shared" si="1138"/>
        <v>156.715</v>
      </c>
      <c r="BB373" s="830">
        <f t="shared" ref="BB373:BD374" si="1140">BB367*BB10</f>
        <v>175.37</v>
      </c>
      <c r="BC373" s="830">
        <f t="shared" si="1140"/>
        <v>190.125</v>
      </c>
      <c r="BD373" s="1110">
        <f t="shared" si="1140"/>
        <v>166.79</v>
      </c>
      <c r="BE373" s="830">
        <f t="shared" ref="BE373:BG373" si="1141">BE367*BE10</f>
        <v>170.12580000000003</v>
      </c>
      <c r="BF373" s="830">
        <f t="shared" si="1141"/>
        <v>182.03460600000003</v>
      </c>
      <c r="BG373" s="831">
        <f t="shared" si="1141"/>
        <v>175.66339479000004</v>
      </c>
      <c r="BH373" s="1110">
        <f t="shared" ref="BH373:BK373" si="1142">BH367*BH10</f>
        <v>167.75854202445004</v>
      </c>
      <c r="BI373" s="830">
        <f t="shared" si="1142"/>
        <v>174.46888370542806</v>
      </c>
      <c r="BJ373" s="830">
        <f t="shared" si="1142"/>
        <v>186.68170556480803</v>
      </c>
      <c r="BK373" s="831">
        <f t="shared" si="1142"/>
        <v>179.21443734221569</v>
      </c>
      <c r="BL373" s="1110">
        <f t="shared" ref="BL373:BO373" si="1143">BL367*BL10</f>
        <v>171.14978766181596</v>
      </c>
      <c r="BM373" s="830">
        <f t="shared" si="1143"/>
        <v>177.99577916828861</v>
      </c>
      <c r="BN373" s="830">
        <f t="shared" si="1143"/>
        <v>190.45548371006882</v>
      </c>
      <c r="BO373" s="831">
        <f t="shared" si="1143"/>
        <v>182.83726436166609</v>
      </c>
      <c r="BP373" s="1157"/>
      <c r="BQ373" s="30"/>
      <c r="BR373" s="30"/>
      <c r="BS373" s="30"/>
      <c r="BT373" s="691"/>
      <c r="BU373" s="691"/>
      <c r="BV373" s="691"/>
      <c r="BW373" s="691"/>
      <c r="BX373" s="691"/>
      <c r="BY373" s="691"/>
      <c r="BZ373" s="691">
        <f>+SUM(AN373:AQ373)</f>
        <v>653.72500000000002</v>
      </c>
      <c r="CA373" s="691">
        <f>+SUM(AR373:AU373)</f>
        <v>625.42499999999995</v>
      </c>
      <c r="CB373" s="691">
        <f>SUM(AV373:AY373)</f>
        <v>625.16800000000001</v>
      </c>
      <c r="CC373" s="691">
        <f>SUM(AZ373:BC373)</f>
        <v>668.85</v>
      </c>
      <c r="CD373" s="691">
        <f>SUM(BD373:BG373)</f>
        <v>694.61380079000014</v>
      </c>
      <c r="CE373" s="691">
        <f t="shared" si="1137"/>
        <v>708.12356863690172</v>
      </c>
      <c r="CF373" s="692">
        <f t="shared" si="1130"/>
        <v>722.43831490183948</v>
      </c>
      <c r="CG373" s="342"/>
      <c r="CH373" s="54"/>
      <c r="CI373" s="239"/>
      <c r="CJ373" s="219"/>
    </row>
    <row r="374" spans="1:88" s="12" customFormat="1" ht="14.25" customHeight="1" outlineLevel="1">
      <c r="A374" s="672"/>
      <c r="B374" s="969" t="s">
        <v>313</v>
      </c>
      <c r="C374" s="277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830">
        <f t="shared" ref="AB374:BA374" si="1144">AB368*AB11</f>
        <v>266.5</v>
      </c>
      <c r="AC374" s="830">
        <f t="shared" si="1144"/>
        <v>298</v>
      </c>
      <c r="AD374" s="830">
        <f t="shared" si="1144"/>
        <v>269.5</v>
      </c>
      <c r="AE374" s="830">
        <f t="shared" si="1144"/>
        <v>221</v>
      </c>
      <c r="AF374" s="830">
        <f t="shared" si="1144"/>
        <v>260.15000000000003</v>
      </c>
      <c r="AG374" s="830">
        <f t="shared" si="1144"/>
        <v>279.95000000000005</v>
      </c>
      <c r="AH374" s="830">
        <f t="shared" si="1144"/>
        <v>286</v>
      </c>
      <c r="AI374" s="830">
        <f t="shared" si="1144"/>
        <v>257.95000000000005</v>
      </c>
      <c r="AJ374" s="830">
        <f t="shared" si="1144"/>
        <v>336.59999999999997</v>
      </c>
      <c r="AK374" s="830">
        <f t="shared" si="1144"/>
        <v>370.8</v>
      </c>
      <c r="AL374" s="830">
        <f t="shared" si="1144"/>
        <v>400.8</v>
      </c>
      <c r="AM374" s="830">
        <f t="shared" si="1144"/>
        <v>362.4</v>
      </c>
      <c r="AN374" s="830">
        <f t="shared" si="1144"/>
        <v>393.59999999999997</v>
      </c>
      <c r="AO374" s="830">
        <f t="shared" si="1144"/>
        <v>421.8</v>
      </c>
      <c r="AP374" s="830">
        <f t="shared" si="1144"/>
        <v>426.59999999999997</v>
      </c>
      <c r="AQ374" s="830">
        <f t="shared" si="1144"/>
        <v>402</v>
      </c>
      <c r="AR374" s="830">
        <f t="shared" si="1144"/>
        <v>403.2</v>
      </c>
      <c r="AS374" s="830">
        <f t="shared" si="1144"/>
        <v>414</v>
      </c>
      <c r="AT374" s="830">
        <f t="shared" si="1144"/>
        <v>435</v>
      </c>
      <c r="AU374" s="830">
        <f t="shared" si="1144"/>
        <v>420</v>
      </c>
      <c r="AV374" s="830">
        <f t="shared" si="1144"/>
        <v>437.4</v>
      </c>
      <c r="AW374" s="830">
        <f t="shared" si="1144"/>
        <v>453</v>
      </c>
      <c r="AX374" s="830">
        <f t="shared" si="1144"/>
        <v>477</v>
      </c>
      <c r="AY374" s="830">
        <f t="shared" ref="AY374" si="1145">AY368*AY11</f>
        <v>446.4</v>
      </c>
      <c r="AZ374" s="1110">
        <f t="shared" si="1144"/>
        <v>401.5</v>
      </c>
      <c r="BA374" s="830">
        <f t="shared" si="1144"/>
        <v>434</v>
      </c>
      <c r="BB374" s="830">
        <f t="shared" ref="BB374" si="1146">BB368*BB11</f>
        <v>465.5</v>
      </c>
      <c r="BC374" s="830">
        <f t="shared" si="1140"/>
        <v>537.6</v>
      </c>
      <c r="BD374" s="1110">
        <f t="shared" si="1140"/>
        <v>463</v>
      </c>
      <c r="BE374" s="830">
        <f t="shared" ref="BE374:BG374" si="1147">BE368*BE11</f>
        <v>474.11200000000002</v>
      </c>
      <c r="BF374" s="830">
        <f t="shared" si="1147"/>
        <v>483.59424000000001</v>
      </c>
      <c r="BG374" s="831">
        <f t="shared" si="1147"/>
        <v>459.41452800000002</v>
      </c>
      <c r="BH374" s="1110">
        <f t="shared" ref="BH374:BK374" si="1148">BH368*BH11</f>
        <v>468.60281856</v>
      </c>
      <c r="BI374" s="830">
        <f t="shared" si="1148"/>
        <v>506.09104404480001</v>
      </c>
      <c r="BJ374" s="830">
        <f t="shared" si="1148"/>
        <v>511.15195448524804</v>
      </c>
      <c r="BK374" s="831">
        <f t="shared" si="1148"/>
        <v>485.59435676098559</v>
      </c>
      <c r="BL374" s="1110">
        <f t="shared" ref="BL374:BO374" si="1149">BL368*BL11</f>
        <v>495.30624389620533</v>
      </c>
      <c r="BM374" s="830">
        <f t="shared" si="1149"/>
        <v>534.93074340790179</v>
      </c>
      <c r="BN374" s="830">
        <f t="shared" si="1149"/>
        <v>540.28005084198082</v>
      </c>
      <c r="BO374" s="831">
        <f t="shared" si="1149"/>
        <v>513.26604829988173</v>
      </c>
      <c r="BP374" s="1157"/>
      <c r="BQ374" s="30"/>
      <c r="BR374" s="30"/>
      <c r="BS374" s="30"/>
      <c r="BT374" s="691"/>
      <c r="BU374" s="691"/>
      <c r="BV374" s="691"/>
      <c r="BW374" s="691"/>
      <c r="BX374" s="691"/>
      <c r="BY374" s="691"/>
      <c r="BZ374" s="691">
        <f>+SUM(AN374:AQ374)</f>
        <v>1644</v>
      </c>
      <c r="CA374" s="691">
        <f>+SUM(AR374:AU374)</f>
        <v>1672.2</v>
      </c>
      <c r="CB374" s="691">
        <f>SUM(AV374:AY374)</f>
        <v>1813.8000000000002</v>
      </c>
      <c r="CC374" s="691">
        <f>SUM(AZ374:BC374)</f>
        <v>1838.6</v>
      </c>
      <c r="CD374" s="691">
        <f>SUM(BD374:BG374)</f>
        <v>1880.120768</v>
      </c>
      <c r="CE374" s="691">
        <f t="shared" si="1137"/>
        <v>1971.4401738510337</v>
      </c>
      <c r="CF374" s="692">
        <f t="shared" si="1130"/>
        <v>2083.7830864459697</v>
      </c>
      <c r="CG374" s="342"/>
      <c r="CH374" s="54"/>
      <c r="CI374" s="239"/>
      <c r="CJ374" s="219"/>
    </row>
    <row r="375" spans="1:88" s="12" customFormat="1" ht="14.25" customHeight="1" outlineLevel="1">
      <c r="A375" s="672"/>
      <c r="B375" s="969" t="s">
        <v>553</v>
      </c>
      <c r="C375" s="277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830">
        <f>AB371+AB372+AB373+AB374</f>
        <v>1153.0999999999999</v>
      </c>
      <c r="AC375" s="830">
        <f t="shared" ref="AC375:AX375" si="1150">AC371+AC372+AC373+AC374</f>
        <v>1089.8</v>
      </c>
      <c r="AD375" s="830">
        <f t="shared" si="1150"/>
        <v>1080.2</v>
      </c>
      <c r="AE375" s="830">
        <f t="shared" si="1150"/>
        <v>1172.5</v>
      </c>
      <c r="AF375" s="830">
        <f t="shared" si="1150"/>
        <v>897.75</v>
      </c>
      <c r="AG375" s="830">
        <f t="shared" si="1150"/>
        <v>909.95</v>
      </c>
      <c r="AH375" s="830">
        <f t="shared" si="1150"/>
        <v>892.5</v>
      </c>
      <c r="AI375" s="830">
        <f t="shared" si="1150"/>
        <v>829.33</v>
      </c>
      <c r="AJ375" s="830">
        <f t="shared" si="1150"/>
        <v>796.25559999999996</v>
      </c>
      <c r="AK375" s="830">
        <f t="shared" si="1150"/>
        <v>778.15560000000005</v>
      </c>
      <c r="AL375" s="830">
        <f t="shared" si="1150"/>
        <v>739.14982400000008</v>
      </c>
      <c r="AM375" s="830">
        <f t="shared" si="1150"/>
        <v>687.56244389291896</v>
      </c>
      <c r="AN375" s="830">
        <f t="shared" si="1150"/>
        <v>690.54982399999994</v>
      </c>
      <c r="AO375" s="830">
        <f t="shared" si="1150"/>
        <v>675.45419944000002</v>
      </c>
      <c r="AP375" s="830">
        <f t="shared" si="1150"/>
        <v>690.92390744559998</v>
      </c>
      <c r="AQ375" s="830">
        <f t="shared" si="1150"/>
        <v>645.14022928263978</v>
      </c>
      <c r="AR375" s="830">
        <f t="shared" si="1150"/>
        <v>636.74300837828036</v>
      </c>
      <c r="AS375" s="830">
        <f t="shared" si="1150"/>
        <v>655.06644904854284</v>
      </c>
      <c r="AT375" s="830">
        <f t="shared" si="1150"/>
        <v>668.65055068788286</v>
      </c>
      <c r="AU375" s="830">
        <f t="shared" si="1150"/>
        <v>646.17555619476161</v>
      </c>
      <c r="AV375" s="830">
        <f t="shared" si="1150"/>
        <v>633.6983503636327</v>
      </c>
      <c r="AW375" s="830">
        <f t="shared" si="1150"/>
        <v>677.70756175670931</v>
      </c>
      <c r="AX375" s="830">
        <f t="shared" si="1150"/>
        <v>719.7762592864409</v>
      </c>
      <c r="AY375" s="830">
        <f t="shared" ref="AY375" si="1151">AY371+AY372+AY373+AY374</f>
        <v>676.41857039347474</v>
      </c>
      <c r="AZ375" s="1110">
        <f t="shared" ref="AZ375:BG375" si="1152">AZ371+AZ372+AZ373+AZ374</f>
        <v>603.09646218163516</v>
      </c>
      <c r="BA375" s="830">
        <f t="shared" si="1152"/>
        <v>645.67146218163521</v>
      </c>
      <c r="BB375" s="830">
        <f t="shared" ref="BB375:BD375" si="1153">BB371+BB372+BB373+BB374</f>
        <v>695.82646218163518</v>
      </c>
      <c r="BC375" s="830">
        <f t="shared" si="1153"/>
        <v>769.67837068330186</v>
      </c>
      <c r="BD375" s="1110">
        <f t="shared" si="1153"/>
        <v>664.00039770806791</v>
      </c>
      <c r="BE375" s="830">
        <f t="shared" si="1152"/>
        <v>678.44819770806794</v>
      </c>
      <c r="BF375" s="830">
        <f t="shared" si="1152"/>
        <v>699.8392437080679</v>
      </c>
      <c r="BG375" s="831">
        <f t="shared" si="1152"/>
        <v>669.28832049806795</v>
      </c>
      <c r="BH375" s="1110">
        <f t="shared" ref="BH375:BK375" si="1154">BH371+BH372+BH373+BH374</f>
        <v>672.28227817792128</v>
      </c>
      <c r="BI375" s="830">
        <f t="shared" si="1154"/>
        <v>716.48084534369934</v>
      </c>
      <c r="BJ375" s="830">
        <f t="shared" si="1154"/>
        <v>733.75457764352734</v>
      </c>
      <c r="BK375" s="831">
        <f t="shared" si="1154"/>
        <v>700.72971169667255</v>
      </c>
      <c r="BL375" s="1110">
        <f t="shared" ref="BL375:BO375" si="1155">BL371+BL372+BL373+BL374</f>
        <v>704.17299503116612</v>
      </c>
      <c r="BM375" s="830">
        <f t="shared" si="1155"/>
        <v>750.64348604933525</v>
      </c>
      <c r="BN375" s="830">
        <f t="shared" si="1155"/>
        <v>768.45249802519447</v>
      </c>
      <c r="BO375" s="831">
        <f t="shared" si="1155"/>
        <v>733.82027613469268</v>
      </c>
      <c r="BP375" s="1157"/>
      <c r="BQ375" s="30"/>
      <c r="BR375" s="30"/>
      <c r="BS375" s="30"/>
      <c r="BT375" s="691"/>
      <c r="BU375" s="691"/>
      <c r="BV375" s="691"/>
      <c r="BW375" s="691"/>
      <c r="BX375" s="691"/>
      <c r="BY375" s="691"/>
      <c r="BZ375" s="691">
        <f>+SUM(AN375:AQ375)</f>
        <v>2702.0681601682395</v>
      </c>
      <c r="CA375" s="691">
        <f>+SUM(AR375:AU375)</f>
        <v>2606.6355643094676</v>
      </c>
      <c r="CB375" s="691">
        <f>SUM(AV375:AY375)</f>
        <v>2707.6007418002573</v>
      </c>
      <c r="CC375" s="691">
        <f>SUM(AZ375:BC375)</f>
        <v>2714.2727572282074</v>
      </c>
      <c r="CD375" s="691">
        <f>SUM(BD375:BG375)</f>
        <v>2711.5761596222719</v>
      </c>
      <c r="CE375" s="691">
        <f t="shared" si="1137"/>
        <v>2823.2474128618205</v>
      </c>
      <c r="CF375" s="692">
        <f t="shared" si="1130"/>
        <v>2957.0892552403884</v>
      </c>
      <c r="CG375" s="342"/>
      <c r="CH375" s="54"/>
      <c r="CI375" s="239"/>
      <c r="CJ375" s="219"/>
    </row>
    <row r="376" spans="1:88" s="12" customFormat="1" ht="14.25" customHeight="1" outlineLevel="1">
      <c r="A376" s="672"/>
      <c r="B376" s="969"/>
      <c r="C376" s="277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830"/>
      <c r="AC376" s="830"/>
      <c r="AD376" s="830"/>
      <c r="AE376" s="830"/>
      <c r="AF376" s="830"/>
      <c r="AG376" s="830"/>
      <c r="AH376" s="830"/>
      <c r="AI376" s="830"/>
      <c r="AJ376" s="830"/>
      <c r="AK376" s="830"/>
      <c r="AL376" s="830"/>
      <c r="AM376" s="830"/>
      <c r="AN376" s="830"/>
      <c r="AO376" s="830"/>
      <c r="AP376" s="830"/>
      <c r="AQ376" s="830"/>
      <c r="AR376" s="830"/>
      <c r="AS376" s="830"/>
      <c r="AT376" s="830"/>
      <c r="AU376" s="830"/>
      <c r="AV376" s="830"/>
      <c r="AW376" s="830"/>
      <c r="AX376" s="830"/>
      <c r="AY376" s="830"/>
      <c r="AZ376" s="1110"/>
      <c r="BA376" s="830"/>
      <c r="BB376" s="830"/>
      <c r="BC376" s="830"/>
      <c r="BD376" s="1110"/>
      <c r="BE376" s="830"/>
      <c r="BF376" s="830"/>
      <c r="BG376" s="831"/>
      <c r="BH376" s="1110"/>
      <c r="BI376" s="830"/>
      <c r="BJ376" s="830"/>
      <c r="BK376" s="831"/>
      <c r="BL376" s="1110"/>
      <c r="BM376" s="830"/>
      <c r="BN376" s="830"/>
      <c r="BO376" s="831"/>
      <c r="BP376" s="1157"/>
      <c r="BQ376" s="30"/>
      <c r="BR376" s="30"/>
      <c r="BS376" s="30"/>
      <c r="BT376" s="975"/>
      <c r="BU376" s="975"/>
      <c r="BV376" s="975"/>
      <c r="BW376" s="975"/>
      <c r="BX376" s="975"/>
      <c r="BY376" s="975"/>
      <c r="BZ376" s="975"/>
      <c r="CA376" s="975"/>
      <c r="CB376" s="975"/>
      <c r="CC376" s="975"/>
      <c r="CD376" s="975"/>
      <c r="CE376" s="975"/>
      <c r="CF376" s="831"/>
      <c r="CG376" s="342"/>
      <c r="CH376" s="54"/>
      <c r="CI376" s="239"/>
      <c r="CJ376" s="219"/>
    </row>
    <row r="377" spans="1:88" s="12" customFormat="1" ht="14.25" customHeight="1" outlineLevel="1">
      <c r="A377" s="672"/>
      <c r="B377" s="969" t="s">
        <v>554</v>
      </c>
      <c r="C377" s="277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472">
        <f t="shared" ref="AB377:BA377" si="1156">AB375/AB14</f>
        <v>0.33994693396226411</v>
      </c>
      <c r="AC377" s="472">
        <f t="shared" si="1156"/>
        <v>0.3151532677848467</v>
      </c>
      <c r="AD377" s="472">
        <f t="shared" si="1156"/>
        <v>0.31165608770917486</v>
      </c>
      <c r="AE377" s="472">
        <f t="shared" si="1156"/>
        <v>0.34283625730994149</v>
      </c>
      <c r="AF377" s="472">
        <f t="shared" si="1156"/>
        <v>0.28764818968279399</v>
      </c>
      <c r="AG377" s="472">
        <f t="shared" si="1156"/>
        <v>0.27284857571214394</v>
      </c>
      <c r="AH377" s="472">
        <f t="shared" si="1156"/>
        <v>0.26327433628318586</v>
      </c>
      <c r="AI377" s="472">
        <f t="shared" si="1156"/>
        <v>0.27839207787848275</v>
      </c>
      <c r="AJ377" s="472">
        <f t="shared" si="1156"/>
        <v>0.27599847487001733</v>
      </c>
      <c r="AK377" s="472">
        <f t="shared" si="1156"/>
        <v>0.25538418116179851</v>
      </c>
      <c r="AL377" s="472">
        <f t="shared" si="1156"/>
        <v>0.22785136374845871</v>
      </c>
      <c r="AM377" s="472">
        <f t="shared" si="1156"/>
        <v>0.22705871510112613</v>
      </c>
      <c r="AN377" s="472">
        <f t="shared" si="1156"/>
        <v>0.2315340378347773</v>
      </c>
      <c r="AO377" s="472">
        <f t="shared" si="1156"/>
        <v>0.20519793197009417</v>
      </c>
      <c r="AP377" s="472">
        <f t="shared" si="1156"/>
        <v>0.1973284207572634</v>
      </c>
      <c r="AQ377" s="472">
        <f t="shared" si="1156"/>
        <v>0.19735094196471084</v>
      </c>
      <c r="AR377" s="472">
        <f t="shared" si="1156"/>
        <v>0.20214063758040646</v>
      </c>
      <c r="AS377" s="472">
        <f t="shared" si="1156"/>
        <v>0.19654298890745145</v>
      </c>
      <c r="AT377" s="472">
        <f t="shared" si="1156"/>
        <v>0.19474851685666519</v>
      </c>
      <c r="AU377" s="472">
        <f t="shared" si="1156"/>
        <v>0.20261923913443763</v>
      </c>
      <c r="AV377" s="472">
        <f t="shared" si="1156"/>
        <v>0.21069966115351008</v>
      </c>
      <c r="AW377" s="472">
        <f t="shared" si="1156"/>
        <v>0.20708594965011354</v>
      </c>
      <c r="AX377" s="472">
        <f t="shared" si="1156"/>
        <v>0.19587850272689333</v>
      </c>
      <c r="AY377" s="472">
        <f t="shared" ref="AY377" si="1157">AY375/AY14</f>
        <v>0.19813459646081821</v>
      </c>
      <c r="AZ377" s="471">
        <f t="shared" si="1156"/>
        <v>0.17727042478218599</v>
      </c>
      <c r="BA377" s="472">
        <f t="shared" si="1156"/>
        <v>0.17483022080749477</v>
      </c>
      <c r="BB377" s="472">
        <f t="shared" ref="BB377:BD377" si="1158">BB375/BB14</f>
        <v>0.16905404814908531</v>
      </c>
      <c r="BC377" s="472">
        <f t="shared" si="1158"/>
        <v>0.20523613537436136</v>
      </c>
      <c r="BD377" s="471">
        <f t="shared" si="1158"/>
        <v>0.17525197709663345</v>
      </c>
      <c r="BE377" s="472">
        <f t="shared" ref="BE377:BG377" si="1159">BE375/BE14</f>
        <v>0.17200391157397543</v>
      </c>
      <c r="BF377" s="472">
        <f t="shared" si="1159"/>
        <v>0.16674700417123717</v>
      </c>
      <c r="BG377" s="473">
        <f t="shared" si="1159"/>
        <v>0.16924124578607563</v>
      </c>
      <c r="BH377" s="471">
        <f t="shared" ref="BH377:BK377" si="1160">BH375/BH14</f>
        <v>0.1745911952218899</v>
      </c>
      <c r="BI377" s="472">
        <f t="shared" si="1160"/>
        <v>0.17520494843986037</v>
      </c>
      <c r="BJ377" s="472">
        <f t="shared" si="1160"/>
        <v>0.1690392947677109</v>
      </c>
      <c r="BK377" s="473">
        <f t="shared" si="1160"/>
        <v>0.1718816617417564</v>
      </c>
      <c r="BL377" s="471">
        <f t="shared" ref="BL377:BO377" si="1161">BL375/BL14</f>
        <v>0.17719253384779127</v>
      </c>
      <c r="BM377" s="472">
        <f t="shared" si="1161"/>
        <v>0.1779096526177496</v>
      </c>
      <c r="BN377" s="472">
        <f t="shared" si="1161"/>
        <v>0.17168308009087541</v>
      </c>
      <c r="BO377" s="473">
        <f t="shared" si="1161"/>
        <v>0.17446065456571364</v>
      </c>
      <c r="BP377" s="1157"/>
      <c r="BQ377" s="30"/>
      <c r="BR377" s="30"/>
      <c r="BS377" s="30"/>
      <c r="BT377" s="472"/>
      <c r="BU377" s="472"/>
      <c r="BV377" s="472"/>
      <c r="BW377" s="472"/>
      <c r="BX377" s="472"/>
      <c r="BY377" s="472"/>
      <c r="BZ377" s="472">
        <f t="shared" ref="BZ377:CC377" si="1162">BZ375/BZ14</f>
        <v>0.20714059969404741</v>
      </c>
      <c r="CA377" s="472">
        <f t="shared" si="1162"/>
        <v>0.19889691541426616</v>
      </c>
      <c r="CB377" s="472">
        <f t="shared" si="1162"/>
        <v>0.20253250627137234</v>
      </c>
      <c r="CC377" s="472">
        <f t="shared" si="1162"/>
        <v>0.1814175205668051</v>
      </c>
      <c r="CD377" s="472">
        <f t="shared" ref="CD377:CE377" si="1163">CD375/CD14</f>
        <v>0.1707018996706679</v>
      </c>
      <c r="CE377" s="472">
        <f t="shared" si="1163"/>
        <v>0.17259604765519831</v>
      </c>
      <c r="CF377" s="473">
        <f t="shared" ref="CF377" si="1164">CF375/CF14</f>
        <v>0.232696085691313</v>
      </c>
      <c r="CG377" s="342"/>
      <c r="CH377" s="54"/>
      <c r="CI377" s="239"/>
      <c r="CJ377" s="219"/>
    </row>
    <row r="378" spans="1:88" s="12" customFormat="1" ht="14.25" customHeight="1" outlineLevel="1">
      <c r="A378" s="672"/>
      <c r="B378" s="969"/>
      <c r="C378" s="277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830"/>
      <c r="AC378" s="830"/>
      <c r="AD378" s="830"/>
      <c r="AE378" s="830"/>
      <c r="AF378" s="830"/>
      <c r="AG378" s="830"/>
      <c r="AH378" s="830"/>
      <c r="AI378" s="830"/>
      <c r="AJ378" s="830"/>
      <c r="AK378" s="830"/>
      <c r="AL378" s="830"/>
      <c r="AM378" s="830"/>
      <c r="AN378" s="830"/>
      <c r="AO378" s="830"/>
      <c r="AP378" s="830"/>
      <c r="AQ378" s="830"/>
      <c r="AR378" s="830"/>
      <c r="AS378" s="830"/>
      <c r="AT378" s="830"/>
      <c r="AU378" s="830"/>
      <c r="AV378" s="830"/>
      <c r="AW378" s="830"/>
      <c r="AX378" s="830"/>
      <c r="AY378" s="830"/>
      <c r="AZ378" s="1110"/>
      <c r="BA378" s="830"/>
      <c r="BB378" s="830"/>
      <c r="BC378" s="830"/>
      <c r="BD378" s="1110"/>
      <c r="BE378" s="830"/>
      <c r="BF378" s="830"/>
      <c r="BG378" s="831"/>
      <c r="BH378" s="1110"/>
      <c r="BI378" s="830"/>
      <c r="BJ378" s="830"/>
      <c r="BK378" s="831"/>
      <c r="BL378" s="1110"/>
      <c r="BM378" s="830"/>
      <c r="BN378" s="830"/>
      <c r="BO378" s="831"/>
      <c r="BP378" s="1157"/>
      <c r="BQ378" s="30"/>
      <c r="BR378" s="30"/>
      <c r="BS378" s="30"/>
      <c r="BT378" s="975"/>
      <c r="BU378" s="975"/>
      <c r="BV378" s="975"/>
      <c r="BW378" s="975"/>
      <c r="BX378" s="975"/>
      <c r="BY378" s="975"/>
      <c r="BZ378" s="975"/>
      <c r="CA378" s="975"/>
      <c r="CB378" s="975"/>
      <c r="CC378" s="975"/>
      <c r="CD378" s="975"/>
      <c r="CE378" s="975"/>
      <c r="CF378" s="831"/>
      <c r="CG378" s="342"/>
      <c r="CH378" s="54"/>
      <c r="CI378" s="239"/>
      <c r="CJ378" s="219"/>
    </row>
    <row r="379" spans="1:88" s="12" customFormat="1" ht="14.25" customHeight="1" outlineLevel="1">
      <c r="A379" s="672"/>
      <c r="B379" s="969" t="s">
        <v>556</v>
      </c>
      <c r="C379" s="277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830"/>
      <c r="AC379" s="830"/>
      <c r="AD379" s="830"/>
      <c r="AE379" s="830"/>
      <c r="AF379" s="830"/>
      <c r="AG379" s="830"/>
      <c r="AH379" s="830"/>
      <c r="AI379" s="830"/>
      <c r="AJ379" s="830"/>
      <c r="AK379" s="830"/>
      <c r="AL379" s="830"/>
      <c r="AM379" s="830"/>
      <c r="AN379" s="830"/>
      <c r="AO379" s="830"/>
      <c r="AP379" s="830"/>
      <c r="AQ379" s="830"/>
      <c r="AR379" s="830"/>
      <c r="AS379" s="830"/>
      <c r="AT379" s="830"/>
      <c r="AU379" s="830"/>
      <c r="AV379" s="830"/>
      <c r="AW379" s="830"/>
      <c r="AX379" s="830"/>
      <c r="AY379" s="830"/>
      <c r="AZ379" s="1110"/>
      <c r="BA379" s="830"/>
      <c r="BB379" s="830"/>
      <c r="BC379" s="830"/>
      <c r="BD379" s="1110"/>
      <c r="BE379" s="830"/>
      <c r="BF379" s="830"/>
      <c r="BG379" s="831"/>
      <c r="BH379" s="1110"/>
      <c r="BI379" s="830"/>
      <c r="BJ379" s="830"/>
      <c r="BK379" s="831"/>
      <c r="BL379" s="1110"/>
      <c r="BM379" s="830"/>
      <c r="BN379" s="830"/>
      <c r="BO379" s="831"/>
      <c r="BP379" s="1157"/>
      <c r="BQ379" s="30"/>
      <c r="BR379" s="30"/>
      <c r="BS379" s="30"/>
      <c r="BT379" s="975"/>
      <c r="BU379" s="975"/>
      <c r="BV379" s="975"/>
      <c r="BW379" s="975"/>
      <c r="BX379" s="975"/>
      <c r="BY379" s="975"/>
      <c r="BZ379" s="975"/>
      <c r="CA379" s="975"/>
      <c r="CB379" s="975"/>
      <c r="CC379" s="975"/>
      <c r="CD379" s="975"/>
      <c r="CE379" s="975"/>
      <c r="CF379" s="831"/>
      <c r="CG379" s="342"/>
      <c r="CH379" s="54"/>
      <c r="CI379" s="239"/>
      <c r="CJ379" s="219"/>
    </row>
    <row r="380" spans="1:88" s="12" customFormat="1" ht="14.25" customHeight="1" outlineLevel="1">
      <c r="A380" s="672"/>
      <c r="B380" s="969" t="s">
        <v>314</v>
      </c>
      <c r="C380" s="277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974">
        <v>0.4</v>
      </c>
      <c r="AC380" s="974">
        <v>0.4</v>
      </c>
      <c r="AD380" s="974">
        <v>0.4</v>
      </c>
      <c r="AE380" s="974">
        <v>0.4</v>
      </c>
      <c r="AF380" s="974">
        <v>0.4</v>
      </c>
      <c r="AG380" s="974">
        <v>0.4</v>
      </c>
      <c r="AH380" s="974">
        <v>0.4</v>
      </c>
      <c r="AI380" s="974">
        <v>0.4</v>
      </c>
      <c r="AJ380" s="974">
        <v>0.4</v>
      </c>
      <c r="AK380" s="974">
        <v>0.4</v>
      </c>
      <c r="AL380" s="974">
        <v>0.4</v>
      </c>
      <c r="AM380" s="974">
        <v>0.4</v>
      </c>
      <c r="AN380" s="974">
        <v>0.4</v>
      </c>
      <c r="AO380" s="974">
        <v>0.4</v>
      </c>
      <c r="AP380" s="974">
        <v>0.4</v>
      </c>
      <c r="AQ380" s="974">
        <v>0.4</v>
      </c>
      <c r="AR380" s="974">
        <v>0.4</v>
      </c>
      <c r="AS380" s="974">
        <v>0.4</v>
      </c>
      <c r="AT380" s="974">
        <v>0.4</v>
      </c>
      <c r="AU380" s="974">
        <v>0.4</v>
      </c>
      <c r="AV380" s="974">
        <v>0.4</v>
      </c>
      <c r="AW380" s="1139">
        <v>0.4</v>
      </c>
      <c r="AX380" s="1139">
        <v>0.4</v>
      </c>
      <c r="AY380" s="1139">
        <v>0.4</v>
      </c>
      <c r="AZ380" s="1140">
        <v>0.4</v>
      </c>
      <c r="BA380" s="1139">
        <v>0.4</v>
      </c>
      <c r="BB380" s="1139">
        <v>0.4</v>
      </c>
      <c r="BC380" s="1139">
        <v>0.4</v>
      </c>
      <c r="BD380" s="1140">
        <v>0.4</v>
      </c>
      <c r="BE380" s="1139">
        <v>0.4</v>
      </c>
      <c r="BF380" s="1139">
        <f>BE380</f>
        <v>0.4</v>
      </c>
      <c r="BG380" s="1141">
        <f t="shared" ref="BG380:BO380" si="1165">BF380</f>
        <v>0.4</v>
      </c>
      <c r="BH380" s="1140">
        <f t="shared" si="1165"/>
        <v>0.4</v>
      </c>
      <c r="BI380" s="1139">
        <f t="shared" si="1165"/>
        <v>0.4</v>
      </c>
      <c r="BJ380" s="1139">
        <f t="shared" si="1165"/>
        <v>0.4</v>
      </c>
      <c r="BK380" s="1141">
        <f t="shared" si="1165"/>
        <v>0.4</v>
      </c>
      <c r="BL380" s="1140">
        <f t="shared" si="1165"/>
        <v>0.4</v>
      </c>
      <c r="BM380" s="1139">
        <f t="shared" si="1165"/>
        <v>0.4</v>
      </c>
      <c r="BN380" s="1139">
        <f t="shared" si="1165"/>
        <v>0.4</v>
      </c>
      <c r="BO380" s="1141">
        <f t="shared" si="1165"/>
        <v>0.4</v>
      </c>
      <c r="BP380" s="1157"/>
      <c r="BQ380" s="30"/>
      <c r="BR380" s="30"/>
      <c r="BS380" s="30"/>
      <c r="BT380" s="975"/>
      <c r="BU380" s="975"/>
      <c r="BV380" s="975"/>
      <c r="BW380" s="975"/>
      <c r="BX380" s="975"/>
      <c r="BY380" s="975"/>
      <c r="BZ380" s="975"/>
      <c r="CA380" s="975"/>
      <c r="CB380" s="975"/>
      <c r="CC380" s="975"/>
      <c r="CD380" s="975"/>
      <c r="CE380" s="975"/>
      <c r="CF380" s="1096"/>
      <c r="CG380" s="342"/>
      <c r="CH380" s="54"/>
      <c r="CI380" s="239"/>
      <c r="CJ380" s="219"/>
    </row>
    <row r="381" spans="1:88" s="12" customFormat="1" ht="14.25" customHeight="1" outlineLevel="1">
      <c r="A381" s="672"/>
      <c r="B381" s="969" t="s">
        <v>557</v>
      </c>
      <c r="C381" s="277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974">
        <v>0.45</v>
      </c>
      <c r="AC381" s="974">
        <v>0.45</v>
      </c>
      <c r="AD381" s="974">
        <v>0.45</v>
      </c>
      <c r="AE381" s="974">
        <v>0.45</v>
      </c>
      <c r="AF381" s="974">
        <v>0.45</v>
      </c>
      <c r="AG381" s="974">
        <v>0.45</v>
      </c>
      <c r="AH381" s="974">
        <v>0.45</v>
      </c>
      <c r="AI381" s="974">
        <v>0.45</v>
      </c>
      <c r="AJ381" s="974">
        <v>0.45</v>
      </c>
      <c r="AK381" s="974">
        <v>0.45</v>
      </c>
      <c r="AL381" s="974">
        <v>0.45</v>
      </c>
      <c r="AM381" s="974">
        <v>0.45</v>
      </c>
      <c r="AN381" s="974">
        <v>0.45</v>
      </c>
      <c r="AO381" s="974">
        <v>0.45</v>
      </c>
      <c r="AP381" s="974">
        <v>0.45</v>
      </c>
      <c r="AQ381" s="974">
        <v>0.45</v>
      </c>
      <c r="AR381" s="974">
        <v>0.45</v>
      </c>
      <c r="AS381" s="974">
        <v>0.45</v>
      </c>
      <c r="AT381" s="974">
        <v>0.45</v>
      </c>
      <c r="AU381" s="974">
        <v>0.45</v>
      </c>
      <c r="AV381" s="974">
        <v>0.45</v>
      </c>
      <c r="AW381" s="1139">
        <v>0.45</v>
      </c>
      <c r="AX381" s="1139">
        <v>0.45</v>
      </c>
      <c r="AY381" s="1139">
        <v>0.45</v>
      </c>
      <c r="AZ381" s="1140">
        <v>0.45</v>
      </c>
      <c r="BA381" s="1139">
        <v>0.45</v>
      </c>
      <c r="BB381" s="1139">
        <v>0.45</v>
      </c>
      <c r="BC381" s="1139">
        <v>0.45</v>
      </c>
      <c r="BD381" s="1140">
        <v>0.45</v>
      </c>
      <c r="BE381" s="1139">
        <v>0.4</v>
      </c>
      <c r="BF381" s="1139">
        <f>BE381</f>
        <v>0.4</v>
      </c>
      <c r="BG381" s="1141">
        <f t="shared" ref="BG381:BO381" si="1166">BF381</f>
        <v>0.4</v>
      </c>
      <c r="BH381" s="1140">
        <f t="shared" si="1166"/>
        <v>0.4</v>
      </c>
      <c r="BI381" s="1139">
        <f t="shared" si="1166"/>
        <v>0.4</v>
      </c>
      <c r="BJ381" s="1139">
        <f t="shared" si="1166"/>
        <v>0.4</v>
      </c>
      <c r="BK381" s="1141">
        <f t="shared" si="1166"/>
        <v>0.4</v>
      </c>
      <c r="BL381" s="1140">
        <f t="shared" si="1166"/>
        <v>0.4</v>
      </c>
      <c r="BM381" s="1139">
        <f t="shared" si="1166"/>
        <v>0.4</v>
      </c>
      <c r="BN381" s="1139">
        <f t="shared" si="1166"/>
        <v>0.4</v>
      </c>
      <c r="BO381" s="1141">
        <f t="shared" si="1166"/>
        <v>0.4</v>
      </c>
      <c r="BP381" s="1157"/>
      <c r="BQ381" s="30"/>
      <c r="BR381" s="30"/>
      <c r="BS381" s="30"/>
      <c r="BT381" s="975"/>
      <c r="BU381" s="975"/>
      <c r="BV381" s="975"/>
      <c r="BW381" s="975"/>
      <c r="BX381" s="975"/>
      <c r="BY381" s="975"/>
      <c r="BZ381" s="975"/>
      <c r="CA381" s="975"/>
      <c r="CB381" s="975"/>
      <c r="CC381" s="975"/>
      <c r="CD381" s="975"/>
      <c r="CE381" s="975"/>
      <c r="CF381" s="1096"/>
      <c r="CG381" s="342"/>
      <c r="CH381" s="54"/>
      <c r="CI381" s="239"/>
      <c r="CJ381" s="219"/>
    </row>
    <row r="382" spans="1:88" s="12" customFormat="1" ht="14.25" customHeight="1" outlineLevel="1">
      <c r="A382" s="672"/>
      <c r="B382" s="969" t="s">
        <v>312</v>
      </c>
      <c r="C382" s="277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974">
        <v>0.64</v>
      </c>
      <c r="AC382" s="974">
        <v>0.64</v>
      </c>
      <c r="AD382" s="974">
        <v>0.64</v>
      </c>
      <c r="AE382" s="974">
        <v>0.64</v>
      </c>
      <c r="AF382" s="974">
        <v>0.64</v>
      </c>
      <c r="AG382" s="974">
        <v>0.64</v>
      </c>
      <c r="AH382" s="974">
        <v>0.64</v>
      </c>
      <c r="AI382" s="974">
        <v>0.64</v>
      </c>
      <c r="AJ382" s="974">
        <v>0.64</v>
      </c>
      <c r="AK382" s="974">
        <v>0.64</v>
      </c>
      <c r="AL382" s="974">
        <v>0.64</v>
      </c>
      <c r="AM382" s="974">
        <v>0.64</v>
      </c>
      <c r="AN382" s="974">
        <v>0.64</v>
      </c>
      <c r="AO382" s="974">
        <v>0.64</v>
      </c>
      <c r="AP382" s="974">
        <v>0.64</v>
      </c>
      <c r="AQ382" s="974">
        <v>0.64</v>
      </c>
      <c r="AR382" s="974">
        <v>0.64</v>
      </c>
      <c r="AS382" s="974">
        <v>0.64</v>
      </c>
      <c r="AT382" s="974">
        <v>0.64</v>
      </c>
      <c r="AU382" s="974">
        <v>0.64</v>
      </c>
      <c r="AV382" s="974">
        <v>0.64</v>
      </c>
      <c r="AW382" s="1139">
        <v>0.64</v>
      </c>
      <c r="AX382" s="1139">
        <v>0.64</v>
      </c>
      <c r="AY382" s="1139">
        <v>0.64</v>
      </c>
      <c r="AZ382" s="1140">
        <v>0.64</v>
      </c>
      <c r="BA382" s="1139">
        <v>0.64</v>
      </c>
      <c r="BB382" s="1139">
        <v>0.64</v>
      </c>
      <c r="BC382" s="1139">
        <v>0.64</v>
      </c>
      <c r="BD382" s="1140">
        <v>0.64</v>
      </c>
      <c r="BE382" s="1139">
        <v>0.6</v>
      </c>
      <c r="BF382" s="1139">
        <f>BE382</f>
        <v>0.6</v>
      </c>
      <c r="BG382" s="1141">
        <f t="shared" ref="BG382:BO382" si="1167">BF382</f>
        <v>0.6</v>
      </c>
      <c r="BH382" s="1140">
        <f t="shared" si="1167"/>
        <v>0.6</v>
      </c>
      <c r="BI382" s="1139">
        <f t="shared" si="1167"/>
        <v>0.6</v>
      </c>
      <c r="BJ382" s="1139">
        <f t="shared" si="1167"/>
        <v>0.6</v>
      </c>
      <c r="BK382" s="1141">
        <f t="shared" si="1167"/>
        <v>0.6</v>
      </c>
      <c r="BL382" s="1140">
        <f t="shared" si="1167"/>
        <v>0.6</v>
      </c>
      <c r="BM382" s="1139">
        <f t="shared" si="1167"/>
        <v>0.6</v>
      </c>
      <c r="BN382" s="1139">
        <f t="shared" si="1167"/>
        <v>0.6</v>
      </c>
      <c r="BO382" s="1141">
        <f t="shared" si="1167"/>
        <v>0.6</v>
      </c>
      <c r="BP382" s="1157"/>
      <c r="BQ382" s="30"/>
      <c r="BR382" s="30"/>
      <c r="BS382" s="30"/>
      <c r="BT382" s="975"/>
      <c r="BU382" s="975"/>
      <c r="BV382" s="975"/>
      <c r="BW382" s="975"/>
      <c r="BX382" s="975"/>
      <c r="BY382" s="975"/>
      <c r="BZ382" s="975"/>
      <c r="CA382" s="975"/>
      <c r="CB382" s="975"/>
      <c r="CC382" s="975"/>
      <c r="CD382" s="975"/>
      <c r="CE382" s="975"/>
      <c r="CF382" s="1096"/>
      <c r="CG382" s="342"/>
      <c r="CH382" s="54"/>
      <c r="CI382" s="239"/>
      <c r="CJ382" s="219"/>
    </row>
    <row r="383" spans="1:88" s="12" customFormat="1" ht="14.25" customHeight="1" outlineLevel="1">
      <c r="A383" s="672"/>
      <c r="B383" s="969" t="s">
        <v>545</v>
      </c>
      <c r="C383" s="277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974">
        <v>0.55000000000000004</v>
      </c>
      <c r="AC383" s="974">
        <v>0.55000000000000004</v>
      </c>
      <c r="AD383" s="974">
        <v>0.55000000000000004</v>
      </c>
      <c r="AE383" s="974">
        <v>0.55000000000000004</v>
      </c>
      <c r="AF383" s="974">
        <v>0.55000000000000004</v>
      </c>
      <c r="AG383" s="974">
        <v>0.55000000000000004</v>
      </c>
      <c r="AH383" s="974">
        <v>0.55000000000000004</v>
      </c>
      <c r="AI383" s="974">
        <v>0.55000000000000004</v>
      </c>
      <c r="AJ383" s="974">
        <v>0.55000000000000004</v>
      </c>
      <c r="AK383" s="974">
        <v>0.55000000000000004</v>
      </c>
      <c r="AL383" s="974">
        <v>0.55000000000000004</v>
      </c>
      <c r="AM383" s="974">
        <v>0.55000000000000004</v>
      </c>
      <c r="AN383" s="974">
        <v>0.55000000000000004</v>
      </c>
      <c r="AO383" s="974">
        <v>0.55000000000000004</v>
      </c>
      <c r="AP383" s="974">
        <v>0.55000000000000004</v>
      </c>
      <c r="AQ383" s="974">
        <v>0.55000000000000004</v>
      </c>
      <c r="AR383" s="974">
        <v>0.55000000000000004</v>
      </c>
      <c r="AS383" s="974">
        <v>0.55000000000000004</v>
      </c>
      <c r="AT383" s="974">
        <v>0.55000000000000004</v>
      </c>
      <c r="AU383" s="974">
        <v>0.55000000000000004</v>
      </c>
      <c r="AV383" s="974">
        <v>0.55000000000000004</v>
      </c>
      <c r="AW383" s="1139">
        <v>0.55000000000000004</v>
      </c>
      <c r="AX383" s="1139">
        <v>0.55000000000000004</v>
      </c>
      <c r="AY383" s="1139">
        <v>0.55000000000000004</v>
      </c>
      <c r="AZ383" s="1140">
        <v>0.55000000000000004</v>
      </c>
      <c r="BA383" s="1139">
        <v>0.55000000000000004</v>
      </c>
      <c r="BB383" s="1139">
        <v>0.55000000000000004</v>
      </c>
      <c r="BC383" s="1139">
        <v>0.55000000000000004</v>
      </c>
      <c r="BD383" s="1140">
        <v>0.55000000000000004</v>
      </c>
      <c r="BE383" s="1139">
        <v>0.5</v>
      </c>
      <c r="BF383" s="1139">
        <f>BE383</f>
        <v>0.5</v>
      </c>
      <c r="BG383" s="1141">
        <f t="shared" ref="BG383:BO383" si="1168">BF383</f>
        <v>0.5</v>
      </c>
      <c r="BH383" s="1140">
        <f t="shared" si="1168"/>
        <v>0.5</v>
      </c>
      <c r="BI383" s="1139">
        <f t="shared" si="1168"/>
        <v>0.5</v>
      </c>
      <c r="BJ383" s="1139">
        <f t="shared" si="1168"/>
        <v>0.5</v>
      </c>
      <c r="BK383" s="1141">
        <f t="shared" si="1168"/>
        <v>0.5</v>
      </c>
      <c r="BL383" s="1140">
        <f t="shared" si="1168"/>
        <v>0.5</v>
      </c>
      <c r="BM383" s="1139">
        <f t="shared" si="1168"/>
        <v>0.5</v>
      </c>
      <c r="BN383" s="1139">
        <f t="shared" si="1168"/>
        <v>0.5</v>
      </c>
      <c r="BO383" s="1141">
        <f t="shared" si="1168"/>
        <v>0.5</v>
      </c>
      <c r="BP383" s="1157"/>
      <c r="BQ383" s="30"/>
      <c r="BR383" s="30"/>
      <c r="BS383" s="30"/>
      <c r="BT383" s="975"/>
      <c r="BU383" s="975"/>
      <c r="BV383" s="975"/>
      <c r="BW383" s="975"/>
      <c r="BX383" s="975"/>
      <c r="BY383" s="975"/>
      <c r="BZ383" s="975"/>
      <c r="CA383" s="975"/>
      <c r="CB383" s="975"/>
      <c r="CC383" s="975"/>
      <c r="CD383" s="975"/>
      <c r="CE383" s="975"/>
      <c r="CF383" s="1096"/>
      <c r="CG383" s="342"/>
      <c r="CH383" s="54"/>
      <c r="CI383" s="239"/>
      <c r="CJ383" s="219"/>
    </row>
    <row r="384" spans="1:88" s="12" customFormat="1" ht="14.25" customHeight="1" outlineLevel="1">
      <c r="A384" s="672"/>
      <c r="B384" s="969"/>
      <c r="C384" s="277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830"/>
      <c r="AC384" s="830"/>
      <c r="AD384" s="830"/>
      <c r="AE384" s="830"/>
      <c r="AF384" s="830"/>
      <c r="AG384" s="830"/>
      <c r="AH384" s="830"/>
      <c r="AI384" s="830"/>
      <c r="AJ384" s="830"/>
      <c r="AK384" s="830"/>
      <c r="AL384" s="830"/>
      <c r="AM384" s="830"/>
      <c r="AN384" s="830"/>
      <c r="AO384" s="830"/>
      <c r="AP384" s="830"/>
      <c r="AQ384" s="830"/>
      <c r="AR384" s="830"/>
      <c r="AS384" s="830"/>
      <c r="AT384" s="830"/>
      <c r="AU384" s="830"/>
      <c r="AV384" s="830"/>
      <c r="AW384" s="830"/>
      <c r="AX384" s="830"/>
      <c r="AY384" s="830"/>
      <c r="AZ384" s="1110"/>
      <c r="BA384" s="830"/>
      <c r="BB384" s="830"/>
      <c r="BC384" s="830"/>
      <c r="BD384" s="1110"/>
      <c r="BE384" s="830"/>
      <c r="BF384" s="830"/>
      <c r="BG384" s="831"/>
      <c r="BH384" s="1110"/>
      <c r="BI384" s="830"/>
      <c r="BJ384" s="830"/>
      <c r="BK384" s="831"/>
      <c r="BL384" s="1110"/>
      <c r="BM384" s="830"/>
      <c r="BN384" s="830"/>
      <c r="BO384" s="831"/>
      <c r="BP384" s="1157"/>
      <c r="BQ384" s="30"/>
      <c r="BR384" s="30"/>
      <c r="BS384" s="30"/>
      <c r="BT384" s="975"/>
      <c r="BU384" s="975"/>
      <c r="BV384" s="975"/>
      <c r="BW384" s="975"/>
      <c r="BX384" s="975"/>
      <c r="BY384" s="975"/>
      <c r="BZ384" s="975"/>
      <c r="CA384" s="975"/>
      <c r="CB384" s="975"/>
      <c r="CC384" s="975"/>
      <c r="CD384" s="975"/>
      <c r="CE384" s="975"/>
      <c r="CF384" s="831"/>
      <c r="CG384" s="342"/>
      <c r="CH384" s="54"/>
      <c r="CI384" s="239"/>
      <c r="CJ384" s="219"/>
    </row>
    <row r="385" spans="1:88" s="12" customFormat="1" ht="14.25" customHeight="1" outlineLevel="1">
      <c r="A385" s="672"/>
      <c r="B385" s="969" t="s">
        <v>558</v>
      </c>
      <c r="C385" s="277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830">
        <f>(1-AB380)*AB371+(1-AB381)*AB372+(1-AB382)*AB373+(1-AB383)*AB374</f>
        <v>611.27099999999996</v>
      </c>
      <c r="AC385" s="830">
        <f t="shared" ref="AC385:AX385" si="1169">(1-AC380)*AC371+(1-AC381)*AC372+(1-AC382)*AC373+(1-AC383)*AC374</f>
        <v>567.31799999999998</v>
      </c>
      <c r="AD385" s="830">
        <f t="shared" si="1169"/>
        <v>566.577</v>
      </c>
      <c r="AE385" s="830">
        <f t="shared" si="1169"/>
        <v>626.67000000000007</v>
      </c>
      <c r="AF385" s="830">
        <f t="shared" si="1169"/>
        <v>454.36349999999999</v>
      </c>
      <c r="AG385" s="830">
        <f t="shared" si="1169"/>
        <v>455.37750000000005</v>
      </c>
      <c r="AH385" s="830">
        <f t="shared" si="1169"/>
        <v>443.50799999999998</v>
      </c>
      <c r="AI385" s="830">
        <f t="shared" si="1169"/>
        <v>414.47550000000001</v>
      </c>
      <c r="AJ385" s="830">
        <f t="shared" si="1169"/>
        <v>383.46857999999997</v>
      </c>
      <c r="AK385" s="830">
        <f t="shared" si="1169"/>
        <v>365.15057999999999</v>
      </c>
      <c r="AL385" s="830">
        <f t="shared" si="1169"/>
        <v>332.61340319999999</v>
      </c>
      <c r="AM385" s="830">
        <f t="shared" si="1169"/>
        <v>308.90594636145084</v>
      </c>
      <c r="AN385" s="830">
        <f t="shared" si="1169"/>
        <v>306.78940319999998</v>
      </c>
      <c r="AO385" s="830">
        <f t="shared" si="1169"/>
        <v>301.69105969199995</v>
      </c>
      <c r="AP385" s="830">
        <f t="shared" si="1169"/>
        <v>307.52489909507995</v>
      </c>
      <c r="AQ385" s="830">
        <f t="shared" si="1169"/>
        <v>284.37437610545186</v>
      </c>
      <c r="AR385" s="830">
        <f t="shared" si="1169"/>
        <v>280.88990460805417</v>
      </c>
      <c r="AS385" s="830">
        <f t="shared" si="1169"/>
        <v>289.68829697669855</v>
      </c>
      <c r="AT385" s="830">
        <f t="shared" si="1169"/>
        <v>293.16430287833555</v>
      </c>
      <c r="AU385" s="830">
        <f t="shared" si="1169"/>
        <v>283.85630590711889</v>
      </c>
      <c r="AV385" s="830">
        <f t="shared" si="1169"/>
        <v>280.87442269999792</v>
      </c>
      <c r="AW385" s="830">
        <f t="shared" si="1169"/>
        <v>298.31215896619005</v>
      </c>
      <c r="AX385" s="830">
        <f t="shared" si="1169"/>
        <v>315.0741926075425</v>
      </c>
      <c r="AY385" s="830">
        <f t="shared" ref="AY385" si="1170">(1-AY380)*AY371+(1-AY381)*AY372+(1-AY382)*AY373+(1-AY383)*AY374</f>
        <v>294.7577137164111</v>
      </c>
      <c r="AZ385" s="1110">
        <f t="shared" ref="AZ385:BG385" si="1171">(1-AZ380)*AZ371+(1-AZ381)*AZ372+(1-AZ382)*AZ373+(1-AZ383)*AZ374</f>
        <v>263.69145419989934</v>
      </c>
      <c r="BA385" s="830">
        <f t="shared" si="1171"/>
        <v>281.94345419989929</v>
      </c>
      <c r="BB385" s="830">
        <f t="shared" ref="BB385:BD385" si="1172">(1-BB380)*BB371+(1-BB381)*BB372+(1-BB382)*BB373+(1-BB383)*BB374</f>
        <v>302.83425419989931</v>
      </c>
      <c r="BC385" s="830">
        <f t="shared" si="1172"/>
        <v>333.43935387581598</v>
      </c>
      <c r="BD385" s="1110">
        <f t="shared" si="1172"/>
        <v>287.21011873943729</v>
      </c>
      <c r="BE385" s="830">
        <f t="shared" si="1171"/>
        <v>325.63255862484073</v>
      </c>
      <c r="BF385" s="830">
        <f t="shared" si="1171"/>
        <v>335.13720102484075</v>
      </c>
      <c r="BG385" s="831">
        <f t="shared" si="1171"/>
        <v>320.49886054084072</v>
      </c>
      <c r="BH385" s="1110">
        <f t="shared" ref="BH385:BK385" si="1173">(1-BH380)*BH371+(1-BH381)*BH372+(1-BH382)*BH373+(1-BH383)*BH374</f>
        <v>322.95737664586278</v>
      </c>
      <c r="BI385" s="830">
        <f t="shared" si="1173"/>
        <v>344.38562606065398</v>
      </c>
      <c r="BJ385" s="830">
        <f t="shared" si="1173"/>
        <v>351.80121002463</v>
      </c>
      <c r="BK385" s="831">
        <f t="shared" si="1173"/>
        <v>336.03550387346183</v>
      </c>
      <c r="BL385" s="1110">
        <f t="shared" ref="BL385:BO385" si="1174">(1-BL380)*BL371+(1-BL381)*BL372+(1-BL382)*BL373+(1-BL383)*BL374</f>
        <v>338.74321509671597</v>
      </c>
      <c r="BM385" s="830">
        <f t="shared" si="1174"/>
        <v>361.29386145515326</v>
      </c>
      <c r="BN385" s="830">
        <f t="shared" si="1174"/>
        <v>368.95239698890487</v>
      </c>
      <c r="BO385" s="831">
        <f t="shared" si="1174"/>
        <v>352.39810797849418</v>
      </c>
      <c r="BP385" s="1157"/>
      <c r="BQ385" s="30"/>
      <c r="BR385" s="30"/>
      <c r="BS385" s="30"/>
      <c r="BT385" s="975"/>
      <c r="BU385" s="975"/>
      <c r="BV385" s="975"/>
      <c r="BW385" s="975"/>
      <c r="BX385" s="975"/>
      <c r="BY385" s="975"/>
      <c r="BZ385" s="975"/>
      <c r="CA385" s="975"/>
      <c r="CB385" s="975"/>
      <c r="CC385" s="975"/>
      <c r="CD385" s="975">
        <f>(1-CD380)*CD371+(1-CD381)*CD372+(1-CD382)*CD373+(1-CD383)*CD374</f>
        <v>2711.5761596222719</v>
      </c>
      <c r="CE385" s="975">
        <f>(1-CE380)*CE371+(1-CE381)*CE372+(1-CE382)*CE373+(1-CE383)*CE374</f>
        <v>2823.2474128618205</v>
      </c>
      <c r="CF385" s="831">
        <f>(1-CF380)*CF371+(1-CF381)*CF372+(1-CF382)*CF373+(1-CF383)*CF374</f>
        <v>2957.0892552403884</v>
      </c>
      <c r="CG385" s="342"/>
      <c r="CH385" s="54"/>
      <c r="CI385" s="239"/>
      <c r="CJ385" s="219"/>
    </row>
    <row r="386" spans="1:88" s="12" customFormat="1" ht="14.25" customHeight="1" outlineLevel="1">
      <c r="A386" s="672"/>
      <c r="B386" s="969" t="s">
        <v>559</v>
      </c>
      <c r="C386" s="277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830">
        <f>0.7*AB385</f>
        <v>427.88969999999995</v>
      </c>
      <c r="AC386" s="830">
        <f t="shared" ref="AC386:AX386" si="1175">0.7*AC385</f>
        <v>397.12259999999998</v>
      </c>
      <c r="AD386" s="830">
        <f t="shared" si="1175"/>
        <v>396.60389999999995</v>
      </c>
      <c r="AE386" s="830">
        <f t="shared" si="1175"/>
        <v>438.66900000000004</v>
      </c>
      <c r="AF386" s="830">
        <f t="shared" si="1175"/>
        <v>318.05444999999997</v>
      </c>
      <c r="AG386" s="830">
        <f t="shared" si="1175"/>
        <v>318.76425</v>
      </c>
      <c r="AH386" s="830">
        <f t="shared" si="1175"/>
        <v>310.45559999999995</v>
      </c>
      <c r="AI386" s="830">
        <f t="shared" si="1175"/>
        <v>290.13284999999996</v>
      </c>
      <c r="AJ386" s="830">
        <f t="shared" si="1175"/>
        <v>268.42800599999998</v>
      </c>
      <c r="AK386" s="830">
        <f t="shared" si="1175"/>
        <v>255.60540599999999</v>
      </c>
      <c r="AL386" s="830">
        <f t="shared" si="1175"/>
        <v>232.82938223999997</v>
      </c>
      <c r="AM386" s="830">
        <f t="shared" si="1175"/>
        <v>216.23416245301559</v>
      </c>
      <c r="AN386" s="830">
        <f t="shared" si="1175"/>
        <v>214.75258223999998</v>
      </c>
      <c r="AO386" s="830">
        <f t="shared" si="1175"/>
        <v>211.18374178439996</v>
      </c>
      <c r="AP386" s="830">
        <f t="shared" si="1175"/>
        <v>215.26742936655594</v>
      </c>
      <c r="AQ386" s="830">
        <f t="shared" si="1175"/>
        <v>199.06206327381628</v>
      </c>
      <c r="AR386" s="830">
        <f t="shared" si="1175"/>
        <v>196.62293322563789</v>
      </c>
      <c r="AS386" s="830">
        <f t="shared" si="1175"/>
        <v>202.78180788368897</v>
      </c>
      <c r="AT386" s="830">
        <f t="shared" si="1175"/>
        <v>205.21501201483488</v>
      </c>
      <c r="AU386" s="830">
        <f t="shared" si="1175"/>
        <v>198.69941413498321</v>
      </c>
      <c r="AV386" s="830">
        <f t="shared" si="1175"/>
        <v>196.61209588999853</v>
      </c>
      <c r="AW386" s="830">
        <f t="shared" si="1175"/>
        <v>208.81851127633303</v>
      </c>
      <c r="AX386" s="830">
        <f t="shared" si="1175"/>
        <v>220.55193482527974</v>
      </c>
      <c r="AY386" s="830">
        <f t="shared" ref="AY386" si="1176">0.7*AY385</f>
        <v>206.33039960148776</v>
      </c>
      <c r="AZ386" s="1110">
        <f t="shared" ref="AZ386:BG386" si="1177">0.7*AZ385</f>
        <v>184.58401793992954</v>
      </c>
      <c r="BA386" s="830">
        <f t="shared" si="1177"/>
        <v>197.3604179399295</v>
      </c>
      <c r="BB386" s="830">
        <f t="shared" ref="BB386:BD386" si="1178">0.7*BB385</f>
        <v>211.9839779399295</v>
      </c>
      <c r="BC386" s="830">
        <f t="shared" si="1178"/>
        <v>233.40754771307118</v>
      </c>
      <c r="BD386" s="1110">
        <f t="shared" si="1178"/>
        <v>201.04708311760609</v>
      </c>
      <c r="BE386" s="830">
        <f t="shared" si="1177"/>
        <v>227.9427910373885</v>
      </c>
      <c r="BF386" s="830">
        <f t="shared" si="1177"/>
        <v>234.59604071738852</v>
      </c>
      <c r="BG386" s="831">
        <f t="shared" si="1177"/>
        <v>224.3492023785885</v>
      </c>
      <c r="BH386" s="1110">
        <f t="shared" ref="BH386:BK386" si="1179">0.7*BH385</f>
        <v>226.07016365210393</v>
      </c>
      <c r="BI386" s="830">
        <f t="shared" si="1179"/>
        <v>241.06993824245777</v>
      </c>
      <c r="BJ386" s="830">
        <f t="shared" si="1179"/>
        <v>246.26084701724099</v>
      </c>
      <c r="BK386" s="831">
        <f t="shared" si="1179"/>
        <v>235.22485271142327</v>
      </c>
      <c r="BL386" s="1110">
        <f t="shared" ref="BL386:BO386" si="1180">0.7*BL385</f>
        <v>237.12025056770116</v>
      </c>
      <c r="BM386" s="830">
        <f t="shared" si="1180"/>
        <v>252.90570301860726</v>
      </c>
      <c r="BN386" s="830">
        <f t="shared" si="1180"/>
        <v>258.26667789223342</v>
      </c>
      <c r="BO386" s="831">
        <f t="shared" si="1180"/>
        <v>246.67867558494592</v>
      </c>
      <c r="BP386" s="1157"/>
      <c r="BQ386" s="30"/>
      <c r="BR386" s="30"/>
      <c r="BS386" s="30"/>
      <c r="BT386" s="975"/>
      <c r="BU386" s="975"/>
      <c r="BV386" s="975"/>
      <c r="BW386" s="975"/>
      <c r="BX386" s="975"/>
      <c r="BY386" s="975"/>
      <c r="BZ386" s="975"/>
      <c r="CA386" s="975"/>
      <c r="CB386" s="975"/>
      <c r="CC386" s="975"/>
      <c r="CD386" s="975">
        <f>0.7*CD385</f>
        <v>1898.1033117355903</v>
      </c>
      <c r="CE386" s="975">
        <f>0.7*CE385</f>
        <v>1976.2731890032742</v>
      </c>
      <c r="CF386" s="831">
        <f>0.7*CF385</f>
        <v>2069.9624786682716</v>
      </c>
      <c r="CG386" s="342"/>
      <c r="CH386" s="54"/>
      <c r="CI386" s="239"/>
      <c r="CJ386" s="219"/>
    </row>
    <row r="387" spans="1:88" s="12" customFormat="1" ht="14.25" customHeight="1">
      <c r="A387" s="672"/>
      <c r="B387" s="969"/>
      <c r="C387" s="277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830"/>
      <c r="AC387" s="830"/>
      <c r="AD387" s="830"/>
      <c r="AE387" s="830"/>
      <c r="AF387" s="830"/>
      <c r="AG387" s="830"/>
      <c r="AH387" s="830"/>
      <c r="AI387" s="830"/>
      <c r="AJ387" s="830"/>
      <c r="AK387" s="830"/>
      <c r="AL387" s="830"/>
      <c r="AM387" s="830"/>
      <c r="AN387" s="830"/>
      <c r="AO387" s="830"/>
      <c r="AP387" s="830"/>
      <c r="AQ387" s="830"/>
      <c r="AR387" s="830"/>
      <c r="AS387" s="830"/>
      <c r="AT387" s="830"/>
      <c r="AU387" s="830"/>
      <c r="AV387" s="830"/>
      <c r="AW387" s="830"/>
      <c r="AX387" s="830"/>
      <c r="AY387" s="830"/>
      <c r="AZ387" s="1111"/>
      <c r="BA387" s="976"/>
      <c r="BB387" s="976"/>
      <c r="BC387" s="830"/>
      <c r="BD387" s="1111"/>
      <c r="BE387" s="976"/>
      <c r="BF387" s="976"/>
      <c r="BG387" s="1097"/>
      <c r="BH387" s="1111"/>
      <c r="BI387" s="976"/>
      <c r="BJ387" s="976"/>
      <c r="BK387" s="1097"/>
      <c r="BL387" s="1111"/>
      <c r="BM387" s="976"/>
      <c r="BN387" s="976"/>
      <c r="BO387" s="1097"/>
      <c r="BP387" s="1157"/>
      <c r="BQ387" s="30"/>
      <c r="BR387" s="30"/>
      <c r="BS387" s="30"/>
      <c r="BT387" s="975"/>
      <c r="BU387" s="975"/>
      <c r="BV387" s="975"/>
      <c r="BW387" s="975"/>
      <c r="BX387" s="975"/>
      <c r="BY387" s="975"/>
      <c r="BZ387" s="975"/>
      <c r="CA387" s="975"/>
      <c r="CB387" s="975"/>
      <c r="CC387" s="975"/>
      <c r="CD387" s="975"/>
      <c r="CE387" s="975"/>
      <c r="CF387" s="1097"/>
      <c r="CG387" s="342"/>
      <c r="CH387" s="54"/>
      <c r="CI387" s="239"/>
      <c r="CJ387" s="219"/>
    </row>
    <row r="388" spans="1:88" s="12" customFormat="1" ht="14.25" customHeight="1">
      <c r="A388" s="672"/>
      <c r="B388" s="783" t="s">
        <v>561</v>
      </c>
      <c r="C388" s="277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445">
        <f>+AB311*0.4</f>
        <v>27.136000000000003</v>
      </c>
      <c r="AC388" s="445">
        <f t="shared" ref="AC388:BA388" si="1181">+AC311*0.4</f>
        <v>55.328000000000003</v>
      </c>
      <c r="AD388" s="445">
        <f t="shared" si="1181"/>
        <v>65.853999999999999</v>
      </c>
      <c r="AE388" s="445">
        <f t="shared" si="1181"/>
        <v>27.360000000000003</v>
      </c>
      <c r="AF388" s="445">
        <f t="shared" si="1181"/>
        <v>26</v>
      </c>
      <c r="AG388" s="445">
        <f t="shared" si="1181"/>
        <v>55.328000000000003</v>
      </c>
      <c r="AH388" s="445">
        <f t="shared" si="1181"/>
        <v>64</v>
      </c>
      <c r="AI388" s="445">
        <f t="shared" si="1181"/>
        <v>24</v>
      </c>
      <c r="AJ388" s="445">
        <f t="shared" si="1181"/>
        <v>26</v>
      </c>
      <c r="AK388" s="445">
        <f t="shared" si="1181"/>
        <v>60</v>
      </c>
      <c r="AL388" s="445">
        <f t="shared" si="1181"/>
        <v>64</v>
      </c>
      <c r="AM388" s="445">
        <f t="shared" si="1181"/>
        <v>24</v>
      </c>
      <c r="AN388" s="445">
        <f t="shared" si="1181"/>
        <v>25.22</v>
      </c>
      <c r="AO388" s="445">
        <f t="shared" si="1181"/>
        <v>60</v>
      </c>
      <c r="AP388" s="445">
        <f t="shared" si="1181"/>
        <v>68</v>
      </c>
      <c r="AQ388" s="445">
        <f t="shared" si="1181"/>
        <v>22</v>
      </c>
      <c r="AR388" s="445">
        <f t="shared" si="1181"/>
        <v>16.8</v>
      </c>
      <c r="AS388" s="445">
        <f t="shared" si="1181"/>
        <v>64</v>
      </c>
      <c r="AT388" s="445">
        <f t="shared" si="1181"/>
        <v>68</v>
      </c>
      <c r="AU388" s="445">
        <f t="shared" si="1181"/>
        <v>26</v>
      </c>
      <c r="AV388" s="445">
        <f t="shared" si="1181"/>
        <v>17.600000000000001</v>
      </c>
      <c r="AW388" s="445">
        <f t="shared" si="1181"/>
        <v>47.2</v>
      </c>
      <c r="AX388" s="445">
        <f t="shared" si="1181"/>
        <v>70</v>
      </c>
      <c r="AY388" s="445">
        <f t="shared" ref="AY388" si="1182">+AY311*0.4</f>
        <v>22.400000000000002</v>
      </c>
      <c r="AZ388" s="444">
        <f t="shared" si="1181"/>
        <v>16</v>
      </c>
      <c r="BA388" s="445">
        <f t="shared" si="1181"/>
        <v>44</v>
      </c>
      <c r="BB388" s="445">
        <f t="shared" ref="BB388:BD388" si="1183">+BB311*0.4</f>
        <v>64.63600000000001</v>
      </c>
      <c r="BC388" s="445">
        <f t="shared" si="1183"/>
        <v>12</v>
      </c>
      <c r="BD388" s="444">
        <f t="shared" si="1183"/>
        <v>11.200000000000001</v>
      </c>
      <c r="BE388" s="445">
        <f t="shared" ref="BE388:BG388" si="1184">+BE311*0.4</f>
        <v>44</v>
      </c>
      <c r="BF388" s="445">
        <f t="shared" si="1184"/>
        <v>60</v>
      </c>
      <c r="BG388" s="446">
        <f t="shared" si="1184"/>
        <v>24.8</v>
      </c>
      <c r="BH388" s="444">
        <f t="shared" ref="BH388:BK388" si="1185">+BH311*0.4</f>
        <v>20</v>
      </c>
      <c r="BI388" s="445">
        <f t="shared" si="1185"/>
        <v>44</v>
      </c>
      <c r="BJ388" s="445">
        <f t="shared" si="1185"/>
        <v>60</v>
      </c>
      <c r="BK388" s="446">
        <f t="shared" si="1185"/>
        <v>24.040000000000003</v>
      </c>
      <c r="BL388" s="444">
        <f t="shared" ref="BL388:BO388" si="1186">+BL311*0.4</f>
        <v>20</v>
      </c>
      <c r="BM388" s="445">
        <f t="shared" si="1186"/>
        <v>44</v>
      </c>
      <c r="BN388" s="445">
        <f t="shared" si="1186"/>
        <v>60</v>
      </c>
      <c r="BO388" s="446">
        <f t="shared" si="1186"/>
        <v>24.040000000000003</v>
      </c>
      <c r="BP388" s="1157"/>
      <c r="BQ388" s="30"/>
      <c r="BR388" s="30"/>
      <c r="BS388" s="30"/>
      <c r="BT388" s="691"/>
      <c r="BU388" s="691"/>
      <c r="BV388" s="691">
        <f>SUM(X388:AA388)</f>
        <v>0</v>
      </c>
      <c r="BW388" s="691">
        <f>SUM(AB388:AE388)</f>
        <v>175.678</v>
      </c>
      <c r="BX388" s="691">
        <f>SUM(AF388:AI388)</f>
        <v>169.328</v>
      </c>
      <c r="BY388" s="691">
        <f>SUM(AJ388:AM388)</f>
        <v>174</v>
      </c>
      <c r="BZ388" s="691">
        <f>+SUM(AN388:AQ388)</f>
        <v>175.22</v>
      </c>
      <c r="CA388" s="691">
        <f>+SUM(AR388:AU388)</f>
        <v>174.8</v>
      </c>
      <c r="CB388" s="691">
        <f>SUM(AV388:AY388)</f>
        <v>157.20000000000002</v>
      </c>
      <c r="CC388" s="691">
        <f>SUM(AZ388:BC388)</f>
        <v>136.63600000000002</v>
      </c>
      <c r="CD388" s="691">
        <f>SUM(BD388:BG388)</f>
        <v>140</v>
      </c>
      <c r="CE388" s="691">
        <f>SUM(BH388:BK388)</f>
        <v>148.04</v>
      </c>
      <c r="CF388" s="692">
        <f>SUM(BL388:BO388)</f>
        <v>148.04</v>
      </c>
      <c r="CG388" s="342"/>
      <c r="CH388" s="54"/>
      <c r="CI388" s="239"/>
      <c r="CJ388" s="219"/>
    </row>
    <row r="389" spans="1:88" s="12" customFormat="1" ht="14.25" customHeight="1">
      <c r="A389" s="672"/>
      <c r="B389" s="969"/>
      <c r="C389" s="277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971"/>
      <c r="AC389" s="971"/>
      <c r="AD389" s="971"/>
      <c r="AE389" s="971"/>
      <c r="AF389" s="971"/>
      <c r="AG389" s="971"/>
      <c r="AH389" s="971"/>
      <c r="AI389" s="971"/>
      <c r="AJ389" s="971"/>
      <c r="AK389" s="971"/>
      <c r="AL389" s="971"/>
      <c r="AM389" s="971"/>
      <c r="AN389" s="971"/>
      <c r="AO389" s="971"/>
      <c r="AP389" s="971"/>
      <c r="AQ389" s="971"/>
      <c r="AR389" s="971"/>
      <c r="AS389" s="971"/>
      <c r="AT389" s="971"/>
      <c r="AU389" s="971"/>
      <c r="AV389" s="971"/>
      <c r="AW389" s="971"/>
      <c r="AX389" s="971"/>
      <c r="AY389" s="971"/>
      <c r="AZ389" s="1106"/>
      <c r="BA389" s="971"/>
      <c r="BB389" s="971"/>
      <c r="BC389" s="971"/>
      <c r="BD389" s="1106"/>
      <c r="BE389" s="971"/>
      <c r="BF389" s="971"/>
      <c r="BG389" s="1098"/>
      <c r="BH389" s="1106"/>
      <c r="BI389" s="971"/>
      <c r="BJ389" s="971"/>
      <c r="BK389" s="1098"/>
      <c r="BL389" s="1106"/>
      <c r="BM389" s="971"/>
      <c r="BN389" s="971"/>
      <c r="BO389" s="1098"/>
      <c r="BP389" s="1157"/>
      <c r="BQ389" s="30"/>
      <c r="BR389" s="30"/>
      <c r="BS389" s="30"/>
      <c r="BT389" s="965"/>
      <c r="BU389" s="965"/>
      <c r="BV389" s="965"/>
      <c r="BW389" s="965"/>
      <c r="BX389" s="965"/>
      <c r="BY389" s="965"/>
      <c r="BZ389" s="965"/>
      <c r="CA389" s="965"/>
      <c r="CB389" s="965"/>
      <c r="CC389" s="965"/>
      <c r="CD389" s="965"/>
      <c r="CE389" s="965"/>
      <c r="CF389" s="1098"/>
      <c r="CG389" s="342"/>
      <c r="CH389" s="54"/>
      <c r="CI389" s="239"/>
      <c r="CJ389" s="219"/>
    </row>
    <row r="390" spans="1:88" s="12" customFormat="1" ht="14.25" customHeight="1">
      <c r="A390" s="672"/>
      <c r="B390" s="783" t="s">
        <v>560</v>
      </c>
      <c r="C390" s="277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976">
        <f>AB399+AB400+AB401+AB402</f>
        <v>510.73919999999998</v>
      </c>
      <c r="AC390" s="976">
        <f t="shared" ref="AC390:AX390" si="1187">AC399+AC400+AC401+AC402</f>
        <v>514.96159999999998</v>
      </c>
      <c r="AD390" s="976">
        <f t="shared" si="1187"/>
        <v>510.40380000000005</v>
      </c>
      <c r="AE390" s="976">
        <f t="shared" si="1187"/>
        <v>528.19200000000001</v>
      </c>
      <c r="AF390" s="976">
        <f t="shared" si="1187"/>
        <v>492.24</v>
      </c>
      <c r="AG390" s="976">
        <f t="shared" si="1187"/>
        <v>518.12159999999994</v>
      </c>
      <c r="AH390" s="976">
        <f t="shared" si="1187"/>
        <v>525.79999999999995</v>
      </c>
      <c r="AI390" s="976">
        <f t="shared" si="1187"/>
        <v>474.80000000000007</v>
      </c>
      <c r="AJ390" s="976">
        <f t="shared" si="1187"/>
        <v>439.94</v>
      </c>
      <c r="AK390" s="976">
        <f t="shared" si="1187"/>
        <v>464.67999999999995</v>
      </c>
      <c r="AL390" s="976">
        <f t="shared" si="1187"/>
        <v>512.91999999999996</v>
      </c>
      <c r="AM390" s="976">
        <f t="shared" si="1187"/>
        <v>494.90523978583809</v>
      </c>
      <c r="AN390" s="976">
        <f t="shared" si="1187"/>
        <v>489.49376996441947</v>
      </c>
      <c r="AO390" s="976">
        <f t="shared" si="1187"/>
        <v>529.88643673452316</v>
      </c>
      <c r="AP390" s="976">
        <f t="shared" si="1187"/>
        <v>565.20689017879431</v>
      </c>
      <c r="AQ390" s="976">
        <f t="shared" si="1187"/>
        <v>550.96</v>
      </c>
      <c r="AR390" s="976">
        <f t="shared" si="1187"/>
        <v>531.20000000000005</v>
      </c>
      <c r="AS390" s="976">
        <f t="shared" si="1187"/>
        <v>539.87308060996372</v>
      </c>
      <c r="AT390" s="976">
        <f t="shared" si="1187"/>
        <v>561.60861181192524</v>
      </c>
      <c r="AU390" s="976">
        <f t="shared" si="1187"/>
        <v>535.9335046968713</v>
      </c>
      <c r="AV390" s="976">
        <f t="shared" si="1187"/>
        <v>501.15088911734153</v>
      </c>
      <c r="AW390" s="976">
        <f>AW399+AW400+AW401+AW402</f>
        <v>537.27088911734154</v>
      </c>
      <c r="AX390" s="976">
        <f t="shared" si="1187"/>
        <v>601.23268195305752</v>
      </c>
      <c r="AY390" s="976">
        <f>AY399+AY400+AY401+AY402</f>
        <v>581.59216173813775</v>
      </c>
      <c r="AZ390" s="1111">
        <f t="shared" ref="AZ390:BG390" si="1188">AZ399+AZ400+AZ401+AZ402</f>
        <v>580.33521544679513</v>
      </c>
      <c r="BA390" s="976">
        <f t="shared" si="1188"/>
        <v>619.25610024133039</v>
      </c>
      <c r="BB390" s="976">
        <f t="shared" ref="BB390" si="1189">BB399+BB400+BB401+BB402</f>
        <v>686.76920000000007</v>
      </c>
      <c r="BC390" s="976">
        <f>BC399+BC400+BC401+BC402</f>
        <v>645.62506168577102</v>
      </c>
      <c r="BD390" s="1111">
        <f t="shared" ref="BD390" si="1190">BD399+BD400+BD401+BD402</f>
        <v>652.97990766559406</v>
      </c>
      <c r="BE390" s="976">
        <f t="shared" si="1188"/>
        <v>665.91078766559406</v>
      </c>
      <c r="BF390" s="976">
        <f t="shared" si="1188"/>
        <v>706.08407966790435</v>
      </c>
      <c r="BG390" s="1097">
        <f t="shared" si="1188"/>
        <v>679.71798655185307</v>
      </c>
      <c r="BH390" s="1111">
        <f t="shared" ref="BH390:BK390" si="1191">BH399+BH400+BH401+BH402</f>
        <v>658.94502899265262</v>
      </c>
      <c r="BI390" s="976">
        <f t="shared" si="1191"/>
        <v>688.65737848846743</v>
      </c>
      <c r="BJ390" s="976">
        <f t="shared" si="1191"/>
        <v>729.0501532521555</v>
      </c>
      <c r="BK390" s="1097">
        <f t="shared" si="1191"/>
        <v>698.97739765483414</v>
      </c>
      <c r="BL390" s="1111">
        <f t="shared" ref="BL390:BO390" si="1192">BL399+BL400+BL401+BL402</f>
        <v>677.93257372743869</v>
      </c>
      <c r="BM390" s="976">
        <f t="shared" si="1192"/>
        <v>708.5805034789023</v>
      </c>
      <c r="BN390" s="976">
        <f t="shared" si="1192"/>
        <v>749.92607226350401</v>
      </c>
      <c r="BO390" s="1097">
        <f t="shared" si="1192"/>
        <v>718.96514175192408</v>
      </c>
      <c r="BP390" s="1157"/>
      <c r="BQ390" s="30"/>
      <c r="BR390" s="30"/>
      <c r="BS390" s="30"/>
      <c r="BT390" s="691"/>
      <c r="BU390" s="691"/>
      <c r="BV390" s="691"/>
      <c r="BW390" s="691"/>
      <c r="BX390" s="691"/>
      <c r="BY390" s="691"/>
      <c r="BZ390" s="691">
        <f>+SUM(AN390:AQ390)</f>
        <v>2135.5470968777372</v>
      </c>
      <c r="CA390" s="691">
        <f>+SUM(AR390:AU390)</f>
        <v>2168.6151971187601</v>
      </c>
      <c r="CB390" s="691">
        <f>SUM(AV390:AY390)</f>
        <v>2221.2466219258786</v>
      </c>
      <c r="CC390" s="691">
        <f>SUM(AZ390:BC390)</f>
        <v>2531.9855773738968</v>
      </c>
      <c r="CD390" s="691">
        <f>SUM(BD390:BG390)</f>
        <v>2704.6927615509458</v>
      </c>
      <c r="CE390" s="691">
        <f>SUM(BH390:BK390)</f>
        <v>2775.6299583881096</v>
      </c>
      <c r="CF390" s="692">
        <f>SUM(BL390:BO390)</f>
        <v>2855.4042912217687</v>
      </c>
      <c r="CG390" s="342"/>
      <c r="CH390" s="54"/>
      <c r="CI390" s="239"/>
      <c r="CJ390" s="219"/>
    </row>
    <row r="391" spans="1:88" s="12" customFormat="1" ht="14.25" customHeight="1" outlineLevel="1">
      <c r="A391" s="672"/>
      <c r="B391" s="969"/>
      <c r="C391" s="277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971"/>
      <c r="AC391" s="971"/>
      <c r="AD391" s="971"/>
      <c r="AE391" s="971"/>
      <c r="AF391" s="971"/>
      <c r="AG391" s="971"/>
      <c r="AH391" s="971"/>
      <c r="AI391" s="971"/>
      <c r="AJ391" s="971"/>
      <c r="AK391" s="971"/>
      <c r="AL391" s="971"/>
      <c r="AM391" s="971"/>
      <c r="AN391" s="971"/>
      <c r="AO391" s="971"/>
      <c r="AP391" s="971"/>
      <c r="AQ391" s="971"/>
      <c r="AR391" s="971"/>
      <c r="AS391" s="971"/>
      <c r="AT391" s="971"/>
      <c r="AU391" s="971"/>
      <c r="AV391" s="971"/>
      <c r="AW391" s="971"/>
      <c r="AX391" s="971"/>
      <c r="AY391" s="971"/>
      <c r="AZ391" s="1106"/>
      <c r="BA391" s="971"/>
      <c r="BB391" s="971"/>
      <c r="BC391" s="971"/>
      <c r="BD391" s="1106"/>
      <c r="BE391" s="971"/>
      <c r="BF391" s="971"/>
      <c r="BG391" s="1098"/>
      <c r="BH391" s="1106"/>
      <c r="BI391" s="971"/>
      <c r="BJ391" s="971"/>
      <c r="BK391" s="1098"/>
      <c r="BL391" s="1106"/>
      <c r="BM391" s="971"/>
      <c r="BN391" s="971"/>
      <c r="BO391" s="1098"/>
      <c r="BP391" s="1157"/>
      <c r="BQ391" s="30"/>
      <c r="BR391" s="30"/>
      <c r="BS391" s="30"/>
      <c r="BT391" s="965"/>
      <c r="BU391" s="965"/>
      <c r="BV391" s="965"/>
      <c r="BW391" s="965"/>
      <c r="BX391" s="965"/>
      <c r="BY391" s="965"/>
      <c r="BZ391" s="965"/>
      <c r="CA391" s="965"/>
      <c r="CB391" s="965"/>
      <c r="CC391" s="965"/>
      <c r="CD391" s="965"/>
      <c r="CE391" s="965"/>
      <c r="CF391" s="1098"/>
      <c r="CG391" s="342"/>
      <c r="CH391" s="54"/>
      <c r="CI391" s="239"/>
      <c r="CJ391" s="219"/>
    </row>
    <row r="392" spans="1:88" s="12" customFormat="1" ht="14.25" customHeight="1" outlineLevel="1">
      <c r="A392" s="672"/>
      <c r="B392" s="969" t="s">
        <v>562</v>
      </c>
      <c r="C392" s="277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971"/>
      <c r="AC392" s="971"/>
      <c r="AD392" s="971"/>
      <c r="AE392" s="971"/>
      <c r="AF392" s="971"/>
      <c r="AG392" s="971"/>
      <c r="AH392" s="971"/>
      <c r="AI392" s="971"/>
      <c r="AJ392" s="971"/>
      <c r="AK392" s="971"/>
      <c r="AL392" s="971"/>
      <c r="AM392" s="971"/>
      <c r="AN392" s="971"/>
      <c r="AO392" s="971"/>
      <c r="AP392" s="971"/>
      <c r="AQ392" s="971"/>
      <c r="AR392" s="971"/>
      <c r="AS392" s="971"/>
      <c r="AT392" s="971"/>
      <c r="AU392" s="971"/>
      <c r="AV392" s="971"/>
      <c r="AW392" s="971"/>
      <c r="AX392" s="971"/>
      <c r="AY392" s="971"/>
      <c r="AZ392" s="1106"/>
      <c r="BA392" s="971"/>
      <c r="BB392" s="971"/>
      <c r="BC392" s="971"/>
      <c r="BD392" s="1106"/>
      <c r="BE392" s="971"/>
      <c r="BF392" s="971"/>
      <c r="BG392" s="1098"/>
      <c r="BH392" s="1106"/>
      <c r="BI392" s="971"/>
      <c r="BJ392" s="971"/>
      <c r="BK392" s="1098"/>
      <c r="BL392" s="1106"/>
      <c r="BM392" s="971"/>
      <c r="BN392" s="971"/>
      <c r="BO392" s="1098"/>
      <c r="BP392" s="1157"/>
      <c r="BQ392" s="30"/>
      <c r="BR392" s="30"/>
      <c r="BS392" s="30"/>
      <c r="BT392" s="965"/>
      <c r="BU392" s="965"/>
      <c r="BV392" s="965"/>
      <c r="BW392" s="965"/>
      <c r="BX392" s="965"/>
      <c r="BY392" s="965"/>
      <c r="BZ392" s="965"/>
      <c r="CA392" s="965"/>
      <c r="CB392" s="965"/>
      <c r="CC392" s="965"/>
      <c r="CD392" s="965"/>
      <c r="CE392" s="965"/>
      <c r="CF392" s="1098"/>
      <c r="CG392" s="342"/>
      <c r="CH392" s="54"/>
      <c r="CI392" s="239"/>
      <c r="CJ392" s="219"/>
    </row>
    <row r="393" spans="1:88" s="12" customFormat="1" ht="14.25" customHeight="1" outlineLevel="1">
      <c r="A393" s="672"/>
      <c r="B393" s="969" t="s">
        <v>312</v>
      </c>
      <c r="C393" s="277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971">
        <v>0.2</v>
      </c>
      <c r="AC393" s="971">
        <v>0.2</v>
      </c>
      <c r="AD393" s="971">
        <v>0.2</v>
      </c>
      <c r="AE393" s="971">
        <v>0.2</v>
      </c>
      <c r="AF393" s="971">
        <v>0.2</v>
      </c>
      <c r="AG393" s="971">
        <v>0.2</v>
      </c>
      <c r="AH393" s="971">
        <v>0.2</v>
      </c>
      <c r="AI393" s="971">
        <v>0.2</v>
      </c>
      <c r="AJ393" s="971">
        <v>0.2</v>
      </c>
      <c r="AK393" s="971">
        <v>0.2</v>
      </c>
      <c r="AL393" s="971">
        <v>0.2</v>
      </c>
      <c r="AM393" s="971">
        <v>0.2</v>
      </c>
      <c r="AN393" s="971">
        <v>0.2</v>
      </c>
      <c r="AO393" s="971">
        <v>0.2</v>
      </c>
      <c r="AP393" s="971">
        <v>0.2</v>
      </c>
      <c r="AQ393" s="971">
        <v>0.2</v>
      </c>
      <c r="AR393" s="971">
        <v>0.2</v>
      </c>
      <c r="AS393" s="971">
        <v>0.2</v>
      </c>
      <c r="AT393" s="971">
        <v>0.2</v>
      </c>
      <c r="AU393" s="971">
        <v>0.2</v>
      </c>
      <c r="AV393" s="971">
        <v>0.2</v>
      </c>
      <c r="AW393" s="971">
        <v>0.2</v>
      </c>
      <c r="AX393" s="971">
        <v>0.2</v>
      </c>
      <c r="AY393" s="971">
        <v>0.2</v>
      </c>
      <c r="AZ393" s="1106">
        <v>0.2</v>
      </c>
      <c r="BA393" s="971">
        <v>0.2</v>
      </c>
      <c r="BB393" s="971">
        <v>0.2</v>
      </c>
      <c r="BC393" s="971">
        <v>0.2</v>
      </c>
      <c r="BD393" s="1106">
        <v>0.2</v>
      </c>
      <c r="BE393" s="971">
        <v>0.2</v>
      </c>
      <c r="BF393" s="971">
        <v>0.2</v>
      </c>
      <c r="BG393" s="1098">
        <v>0.2</v>
      </c>
      <c r="BH393" s="1106">
        <v>0.2</v>
      </c>
      <c r="BI393" s="971">
        <v>0.2</v>
      </c>
      <c r="BJ393" s="971">
        <v>0.2</v>
      </c>
      <c r="BK393" s="1098">
        <v>0.2</v>
      </c>
      <c r="BL393" s="1106">
        <v>0.2</v>
      </c>
      <c r="BM393" s="971">
        <v>0.2</v>
      </c>
      <c r="BN393" s="971">
        <v>0.2</v>
      </c>
      <c r="BO393" s="1098">
        <v>0.2</v>
      </c>
      <c r="BP393" s="1157"/>
      <c r="BQ393" s="30"/>
      <c r="BR393" s="30"/>
      <c r="BS393" s="30"/>
      <c r="BT393" s="965"/>
      <c r="BU393" s="965"/>
      <c r="BV393" s="965"/>
      <c r="BW393" s="965"/>
      <c r="BX393" s="965"/>
      <c r="BY393" s="965"/>
      <c r="BZ393" s="965"/>
      <c r="CA393" s="965"/>
      <c r="CB393" s="965"/>
      <c r="CC393" s="965"/>
      <c r="CD393" s="965"/>
      <c r="CE393" s="965"/>
      <c r="CF393" s="1098"/>
      <c r="CG393" s="342"/>
      <c r="CH393" s="54"/>
      <c r="CI393" s="239"/>
      <c r="CJ393" s="219"/>
    </row>
    <row r="394" spans="1:88" s="12" customFormat="1" ht="14.25" customHeight="1" outlineLevel="1">
      <c r="A394" s="672"/>
      <c r="B394" s="969" t="s">
        <v>482</v>
      </c>
      <c r="C394" s="277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971">
        <v>0.12</v>
      </c>
      <c r="AC394" s="971">
        <v>0.12</v>
      </c>
      <c r="AD394" s="971">
        <v>0.12</v>
      </c>
      <c r="AE394" s="971">
        <v>0.12</v>
      </c>
      <c r="AF394" s="971">
        <v>0.12</v>
      </c>
      <c r="AG394" s="971">
        <v>0.12</v>
      </c>
      <c r="AH394" s="971">
        <v>0.12</v>
      </c>
      <c r="AI394" s="971">
        <v>0.12</v>
      </c>
      <c r="AJ394" s="971">
        <v>0.12</v>
      </c>
      <c r="AK394" s="971">
        <v>0.12</v>
      </c>
      <c r="AL394" s="971">
        <v>0.12</v>
      </c>
      <c r="AM394" s="971">
        <v>0.12</v>
      </c>
      <c r="AN394" s="971">
        <v>0.12</v>
      </c>
      <c r="AO394" s="971">
        <v>0.12</v>
      </c>
      <c r="AP394" s="971">
        <v>0.12</v>
      </c>
      <c r="AQ394" s="971">
        <v>0.12</v>
      </c>
      <c r="AR394" s="971">
        <v>0.12</v>
      </c>
      <c r="AS394" s="971">
        <v>0.12</v>
      </c>
      <c r="AT394" s="971">
        <v>0.12</v>
      </c>
      <c r="AU394" s="971">
        <v>0.12</v>
      </c>
      <c r="AV394" s="971">
        <v>0.12</v>
      </c>
      <c r="AW394" s="971">
        <v>0.12</v>
      </c>
      <c r="AX394" s="971">
        <v>0.12</v>
      </c>
      <c r="AY394" s="971">
        <v>0.12</v>
      </c>
      <c r="AZ394" s="1106">
        <v>0.12</v>
      </c>
      <c r="BA394" s="971">
        <v>0.12</v>
      </c>
      <c r="BB394" s="971">
        <v>0.12</v>
      </c>
      <c r="BC394" s="971">
        <v>0.12</v>
      </c>
      <c r="BD394" s="1106">
        <v>0.12</v>
      </c>
      <c r="BE394" s="971">
        <v>0.12</v>
      </c>
      <c r="BF394" s="971">
        <v>0.12</v>
      </c>
      <c r="BG394" s="1098">
        <v>0.12</v>
      </c>
      <c r="BH394" s="1106">
        <v>0.12</v>
      </c>
      <c r="BI394" s="971">
        <v>0.12</v>
      </c>
      <c r="BJ394" s="971">
        <v>0.12</v>
      </c>
      <c r="BK394" s="1098">
        <v>0.12</v>
      </c>
      <c r="BL394" s="1106">
        <v>0.12</v>
      </c>
      <c r="BM394" s="971">
        <v>0.12</v>
      </c>
      <c r="BN394" s="971">
        <v>0.12</v>
      </c>
      <c r="BO394" s="1098">
        <v>0.12</v>
      </c>
      <c r="BP394" s="1157"/>
      <c r="BQ394" s="30"/>
      <c r="BR394" s="30"/>
      <c r="BS394" s="30"/>
      <c r="BT394" s="965"/>
      <c r="BU394" s="965"/>
      <c r="BV394" s="965"/>
      <c r="BW394" s="965"/>
      <c r="BX394" s="965"/>
      <c r="BY394" s="965"/>
      <c r="BZ394" s="965"/>
      <c r="CA394" s="965"/>
      <c r="CB394" s="965"/>
      <c r="CC394" s="965"/>
      <c r="CD394" s="965"/>
      <c r="CE394" s="965"/>
      <c r="CF394" s="1098"/>
      <c r="CG394" s="342"/>
      <c r="CH394" s="54"/>
      <c r="CI394" s="239"/>
      <c r="CJ394" s="219"/>
    </row>
    <row r="395" spans="1:88" s="12" customFormat="1" ht="14.25" customHeight="1" outlineLevel="1">
      <c r="A395" s="672"/>
      <c r="B395" s="969" t="s">
        <v>314</v>
      </c>
      <c r="C395" s="277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971">
        <v>0.12</v>
      </c>
      <c r="AC395" s="971">
        <v>0.12</v>
      </c>
      <c r="AD395" s="971">
        <v>0.12</v>
      </c>
      <c r="AE395" s="971">
        <v>0.12</v>
      </c>
      <c r="AF395" s="971">
        <v>0.12</v>
      </c>
      <c r="AG395" s="971">
        <v>0.12</v>
      </c>
      <c r="AH395" s="971">
        <v>0.12</v>
      </c>
      <c r="AI395" s="971">
        <v>0.12</v>
      </c>
      <c r="AJ395" s="971">
        <v>0.12</v>
      </c>
      <c r="AK395" s="971">
        <v>0.12</v>
      </c>
      <c r="AL395" s="971">
        <v>0.12</v>
      </c>
      <c r="AM395" s="971">
        <v>0.12</v>
      </c>
      <c r="AN395" s="971">
        <v>0.12</v>
      </c>
      <c r="AO395" s="971">
        <v>0.12</v>
      </c>
      <c r="AP395" s="971">
        <v>0.12</v>
      </c>
      <c r="AQ395" s="971">
        <v>0.12</v>
      </c>
      <c r="AR395" s="971">
        <v>0.12</v>
      </c>
      <c r="AS395" s="971">
        <v>0.12</v>
      </c>
      <c r="AT395" s="971">
        <v>0.12</v>
      </c>
      <c r="AU395" s="971">
        <v>0.12</v>
      </c>
      <c r="AV395" s="971">
        <v>0.12</v>
      </c>
      <c r="AW395" s="971">
        <v>0.12</v>
      </c>
      <c r="AX395" s="971">
        <v>0.12</v>
      </c>
      <c r="AY395" s="971">
        <v>0.12</v>
      </c>
      <c r="AZ395" s="1106">
        <v>0.12</v>
      </c>
      <c r="BA395" s="971">
        <v>0.12</v>
      </c>
      <c r="BB395" s="971">
        <v>0.12</v>
      </c>
      <c r="BC395" s="971">
        <v>0.12</v>
      </c>
      <c r="BD395" s="1106">
        <v>0.12</v>
      </c>
      <c r="BE395" s="971">
        <v>0.12</v>
      </c>
      <c r="BF395" s="971">
        <v>0.12</v>
      </c>
      <c r="BG395" s="1098">
        <v>0.12</v>
      </c>
      <c r="BH395" s="1106">
        <v>0.12</v>
      </c>
      <c r="BI395" s="971">
        <v>0.12</v>
      </c>
      <c r="BJ395" s="971">
        <v>0.12</v>
      </c>
      <c r="BK395" s="1098">
        <v>0.12</v>
      </c>
      <c r="BL395" s="1106">
        <v>0.12</v>
      </c>
      <c r="BM395" s="971">
        <v>0.12</v>
      </c>
      <c r="BN395" s="971">
        <v>0.12</v>
      </c>
      <c r="BO395" s="1098">
        <v>0.12</v>
      </c>
      <c r="BP395" s="1157"/>
      <c r="BQ395" s="30"/>
      <c r="BR395" s="30"/>
      <c r="BS395" s="30"/>
      <c r="BT395" s="965"/>
      <c r="BU395" s="965"/>
      <c r="BV395" s="965"/>
      <c r="BW395" s="965"/>
      <c r="BX395" s="965"/>
      <c r="BY395" s="965"/>
      <c r="BZ395" s="965"/>
      <c r="CA395" s="965"/>
      <c r="CB395" s="965"/>
      <c r="CC395" s="965"/>
      <c r="CD395" s="965"/>
      <c r="CE395" s="965"/>
      <c r="CF395" s="1098"/>
      <c r="CG395" s="342"/>
      <c r="CH395" s="54"/>
      <c r="CI395" s="239"/>
      <c r="CJ395" s="219"/>
    </row>
    <row r="396" spans="1:88" s="12" customFormat="1" ht="14.25" customHeight="1" outlineLevel="1">
      <c r="A396" s="672"/>
      <c r="B396" s="969" t="s">
        <v>563</v>
      </c>
      <c r="C396" s="277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971">
        <v>0.12</v>
      </c>
      <c r="AC396" s="971">
        <v>0.12</v>
      </c>
      <c r="AD396" s="971">
        <v>0.12</v>
      </c>
      <c r="AE396" s="971">
        <v>0.12</v>
      </c>
      <c r="AF396" s="971">
        <v>0.12</v>
      </c>
      <c r="AG396" s="971">
        <v>0.12</v>
      </c>
      <c r="AH396" s="971">
        <v>0.12</v>
      </c>
      <c r="AI396" s="971">
        <v>0.12</v>
      </c>
      <c r="AJ396" s="971">
        <v>0.12</v>
      </c>
      <c r="AK396" s="971">
        <v>0.12</v>
      </c>
      <c r="AL396" s="971">
        <v>0.12</v>
      </c>
      <c r="AM396" s="971">
        <v>0.12</v>
      </c>
      <c r="AN396" s="971">
        <v>0.12</v>
      </c>
      <c r="AO396" s="971">
        <v>0.12</v>
      </c>
      <c r="AP396" s="971">
        <v>0.12</v>
      </c>
      <c r="AQ396" s="971">
        <v>0.12</v>
      </c>
      <c r="AR396" s="971">
        <v>0.12</v>
      </c>
      <c r="AS396" s="971">
        <v>0.12</v>
      </c>
      <c r="AT396" s="971">
        <v>0.12</v>
      </c>
      <c r="AU396" s="971">
        <v>0.12</v>
      </c>
      <c r="AV396" s="971">
        <v>0.12</v>
      </c>
      <c r="AW396" s="971">
        <v>0.12</v>
      </c>
      <c r="AX396" s="971">
        <v>0.12</v>
      </c>
      <c r="AY396" s="971">
        <v>0.12</v>
      </c>
      <c r="AZ396" s="1106">
        <v>0.12</v>
      </c>
      <c r="BA396" s="971">
        <v>0.12</v>
      </c>
      <c r="BB396" s="971">
        <v>0.12</v>
      </c>
      <c r="BC396" s="971">
        <v>0.12</v>
      </c>
      <c r="BD396" s="1106">
        <v>0.12</v>
      </c>
      <c r="BE396" s="971">
        <v>0.12</v>
      </c>
      <c r="BF396" s="971">
        <v>0.12</v>
      </c>
      <c r="BG396" s="1098">
        <v>0.12</v>
      </c>
      <c r="BH396" s="1106">
        <v>0.12</v>
      </c>
      <c r="BI396" s="971">
        <v>0.12</v>
      </c>
      <c r="BJ396" s="971">
        <v>0.12</v>
      </c>
      <c r="BK396" s="1098">
        <v>0.12</v>
      </c>
      <c r="BL396" s="1106">
        <v>0.12</v>
      </c>
      <c r="BM396" s="971">
        <v>0.12</v>
      </c>
      <c r="BN396" s="971">
        <v>0.12</v>
      </c>
      <c r="BO396" s="1098">
        <v>0.12</v>
      </c>
      <c r="BP396" s="1157"/>
      <c r="BQ396" s="30"/>
      <c r="BR396" s="30"/>
      <c r="BS396" s="30"/>
      <c r="BT396" s="965"/>
      <c r="BU396" s="965"/>
      <c r="BV396" s="965"/>
      <c r="BW396" s="965"/>
      <c r="BX396" s="965"/>
      <c r="BY396" s="965"/>
      <c r="BZ396" s="965"/>
      <c r="CA396" s="965"/>
      <c r="CB396" s="965"/>
      <c r="CC396" s="965"/>
      <c r="CD396" s="965"/>
      <c r="CE396" s="965"/>
      <c r="CF396" s="1098"/>
      <c r="CG396" s="342"/>
      <c r="CH396" s="54"/>
      <c r="CI396" s="239"/>
      <c r="CJ396" s="219"/>
    </row>
    <row r="397" spans="1:88" s="12" customFormat="1" ht="14.25" customHeight="1" outlineLevel="1">
      <c r="A397" s="672"/>
      <c r="B397" s="969"/>
      <c r="C397" s="277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971"/>
      <c r="AC397" s="971"/>
      <c r="AD397" s="971"/>
      <c r="AE397" s="971"/>
      <c r="AF397" s="971"/>
      <c r="AG397" s="971"/>
      <c r="AH397" s="971"/>
      <c r="AI397" s="971"/>
      <c r="AJ397" s="971"/>
      <c r="AK397" s="971"/>
      <c r="AL397" s="971"/>
      <c r="AM397" s="971"/>
      <c r="AN397" s="971"/>
      <c r="AO397" s="971"/>
      <c r="AP397" s="971"/>
      <c r="AQ397" s="971"/>
      <c r="AR397" s="971"/>
      <c r="AS397" s="971"/>
      <c r="AT397" s="971"/>
      <c r="AU397" s="971"/>
      <c r="AV397" s="971"/>
      <c r="AW397" s="971"/>
      <c r="AX397" s="971"/>
      <c r="AY397" s="971"/>
      <c r="AZ397" s="1106"/>
      <c r="BA397" s="971"/>
      <c r="BB397" s="971"/>
      <c r="BC397" s="971"/>
      <c r="BD397" s="1106"/>
      <c r="BE397" s="971"/>
      <c r="BF397" s="971"/>
      <c r="BG397" s="1098"/>
      <c r="BH397" s="1106"/>
      <c r="BI397" s="971"/>
      <c r="BJ397" s="971"/>
      <c r="BK397" s="1098"/>
      <c r="BL397" s="1106"/>
      <c r="BM397" s="971"/>
      <c r="BN397" s="971"/>
      <c r="BO397" s="1098"/>
      <c r="BP397" s="1157"/>
      <c r="BQ397" s="30"/>
      <c r="BR397" s="30"/>
      <c r="BS397" s="30"/>
      <c r="BT397" s="965"/>
      <c r="BU397" s="965"/>
      <c r="BV397" s="965"/>
      <c r="BW397" s="965"/>
      <c r="BX397" s="965"/>
      <c r="BY397" s="965"/>
      <c r="BZ397" s="965"/>
      <c r="CA397" s="965"/>
      <c r="CB397" s="965"/>
      <c r="CC397" s="965"/>
      <c r="CD397" s="965"/>
      <c r="CE397" s="965"/>
      <c r="CF397" s="1098"/>
      <c r="CG397" s="342"/>
      <c r="CH397" s="54"/>
      <c r="CI397" s="239"/>
      <c r="CJ397" s="219"/>
    </row>
    <row r="398" spans="1:88" s="12" customFormat="1" ht="14.25" customHeight="1" outlineLevel="1">
      <c r="A398" s="672"/>
      <c r="B398" s="969" t="s">
        <v>564</v>
      </c>
      <c r="C398" s="277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971"/>
      <c r="AC398" s="971"/>
      <c r="AD398" s="971"/>
      <c r="AE398" s="971"/>
      <c r="AF398" s="971"/>
      <c r="AG398" s="971"/>
      <c r="AH398" s="971"/>
      <c r="AI398" s="971"/>
      <c r="AJ398" s="971"/>
      <c r="AK398" s="971"/>
      <c r="AL398" s="971"/>
      <c r="AM398" s="971"/>
      <c r="AN398" s="971"/>
      <c r="AO398" s="971"/>
      <c r="AP398" s="971"/>
      <c r="AQ398" s="971"/>
      <c r="AR398" s="971"/>
      <c r="AS398" s="971"/>
      <c r="AT398" s="971"/>
      <c r="AU398" s="971"/>
      <c r="AV398" s="971"/>
      <c r="AW398" s="971"/>
      <c r="AX398" s="971"/>
      <c r="AY398" s="971"/>
      <c r="AZ398" s="1106"/>
      <c r="BA398" s="971"/>
      <c r="BB398" s="971"/>
      <c r="BC398" s="971"/>
      <c r="BD398" s="1106"/>
      <c r="BE398" s="971"/>
      <c r="BF398" s="971"/>
      <c r="BG398" s="1098"/>
      <c r="BH398" s="1106"/>
      <c r="BI398" s="971"/>
      <c r="BJ398" s="971"/>
      <c r="BK398" s="1098"/>
      <c r="BL398" s="1106"/>
      <c r="BM398" s="971"/>
      <c r="BN398" s="971"/>
      <c r="BO398" s="1098"/>
      <c r="BP398" s="1157"/>
      <c r="BQ398" s="30"/>
      <c r="BR398" s="30"/>
      <c r="BS398" s="30"/>
      <c r="BT398" s="965"/>
      <c r="BU398" s="965"/>
      <c r="BV398" s="965"/>
      <c r="BW398" s="965"/>
      <c r="BX398" s="965"/>
      <c r="BY398" s="965"/>
      <c r="BZ398" s="965"/>
      <c r="CA398" s="965"/>
      <c r="CB398" s="965"/>
      <c r="CC398" s="965"/>
      <c r="CD398" s="965"/>
      <c r="CE398" s="965"/>
      <c r="CF398" s="1098"/>
      <c r="CG398" s="342"/>
      <c r="CH398" s="54"/>
      <c r="CI398" s="239"/>
      <c r="CJ398" s="219"/>
    </row>
    <row r="399" spans="1:88" s="12" customFormat="1" ht="14.25" customHeight="1" outlineLevel="1">
      <c r="A399" s="672"/>
      <c r="B399" s="969" t="s">
        <v>312</v>
      </c>
      <c r="C399" s="277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977">
        <f t="shared" ref="AB399:BA399" si="1193">AB10*AB393</f>
        <v>307.20000000000005</v>
      </c>
      <c r="AC399" s="977">
        <f t="shared" si="1193"/>
        <v>317.60000000000002</v>
      </c>
      <c r="AD399" s="977">
        <f t="shared" si="1193"/>
        <v>311.40000000000003</v>
      </c>
      <c r="AE399" s="977">
        <f t="shared" si="1193"/>
        <v>339</v>
      </c>
      <c r="AF399" s="977">
        <f t="shared" si="1193"/>
        <v>337.20000000000005</v>
      </c>
      <c r="AG399" s="977">
        <f t="shared" si="1193"/>
        <v>360</v>
      </c>
      <c r="AH399" s="977">
        <f t="shared" si="1193"/>
        <v>368.6</v>
      </c>
      <c r="AI399" s="977">
        <f t="shared" si="1193"/>
        <v>333.8</v>
      </c>
      <c r="AJ399" s="977">
        <f t="shared" si="1193"/>
        <v>329.6</v>
      </c>
      <c r="AK399" s="977">
        <f t="shared" si="1193"/>
        <v>349</v>
      </c>
      <c r="AL399" s="977">
        <f t="shared" si="1193"/>
        <v>386.20000000000005</v>
      </c>
      <c r="AM399" s="977">
        <f t="shared" si="1193"/>
        <v>373.82523978583805</v>
      </c>
      <c r="AN399" s="977">
        <f t="shared" si="1193"/>
        <v>367.40000000000003</v>
      </c>
      <c r="AO399" s="977">
        <f t="shared" si="1193"/>
        <v>399</v>
      </c>
      <c r="AP399" s="977">
        <f t="shared" si="1193"/>
        <v>429.8</v>
      </c>
      <c r="AQ399" s="977">
        <f t="shared" si="1193"/>
        <v>424.6</v>
      </c>
      <c r="AR399" s="977">
        <f t="shared" si="1193"/>
        <v>407</v>
      </c>
      <c r="AS399" s="977">
        <f t="shared" si="1193"/>
        <v>409.8</v>
      </c>
      <c r="AT399" s="977">
        <f t="shared" si="1193"/>
        <v>436.40000000000003</v>
      </c>
      <c r="AU399" s="977">
        <f t="shared" si="1193"/>
        <v>414.6</v>
      </c>
      <c r="AV399" s="977">
        <f t="shared" si="1193"/>
        <v>375.8</v>
      </c>
      <c r="AW399" s="977">
        <f t="shared" si="1193"/>
        <v>408.8</v>
      </c>
      <c r="AX399" s="977">
        <f t="shared" si="1193"/>
        <v>464.6</v>
      </c>
      <c r="AY399" s="977">
        <f t="shared" ref="AY399" si="1194">AY10*AY393</f>
        <v>458</v>
      </c>
      <c r="AZ399" s="1112">
        <f t="shared" si="1193"/>
        <v>451.20000000000005</v>
      </c>
      <c r="BA399" s="977">
        <f t="shared" si="1193"/>
        <v>482.20000000000005</v>
      </c>
      <c r="BB399" s="977">
        <f t="shared" ref="BB399:BD399" si="1195">BB10*BB393</f>
        <v>539.6</v>
      </c>
      <c r="BC399" s="977">
        <f t="shared" si="1195"/>
        <v>507</v>
      </c>
      <c r="BD399" s="1112">
        <f t="shared" si="1195"/>
        <v>513.20000000000005</v>
      </c>
      <c r="BE399" s="977">
        <f t="shared" ref="BE399:BG399" si="1196">BE10*BE393</f>
        <v>523.46400000000006</v>
      </c>
      <c r="BF399" s="977">
        <f t="shared" si="1196"/>
        <v>560.10648000000015</v>
      </c>
      <c r="BG399" s="1099">
        <f t="shared" si="1196"/>
        <v>540.50275320000014</v>
      </c>
      <c r="BH399" s="1112">
        <f t="shared" ref="BH399:BK399" si="1197">BH10*BH393</f>
        <v>516.18012930600014</v>
      </c>
      <c r="BI399" s="977">
        <f t="shared" si="1197"/>
        <v>536.82733447824012</v>
      </c>
      <c r="BJ399" s="977">
        <f t="shared" si="1197"/>
        <v>574.40524789171695</v>
      </c>
      <c r="BK399" s="1099">
        <f t="shared" si="1197"/>
        <v>551.42903797604822</v>
      </c>
      <c r="BL399" s="1112">
        <f t="shared" ref="BL399:BO399" si="1198">BL10*BL393</f>
        <v>526.61473126712599</v>
      </c>
      <c r="BM399" s="977">
        <f t="shared" si="1198"/>
        <v>547.67932051781111</v>
      </c>
      <c r="BN399" s="977">
        <f t="shared" si="1198"/>
        <v>586.01687295405793</v>
      </c>
      <c r="BO399" s="1099">
        <f t="shared" si="1198"/>
        <v>562.57619803589557</v>
      </c>
      <c r="BP399" s="1158"/>
      <c r="BQ399" s="979"/>
      <c r="BR399" s="979"/>
      <c r="BS399" s="979"/>
      <c r="BT399" s="980"/>
      <c r="BU399" s="980"/>
      <c r="BV399" s="980"/>
      <c r="BW399" s="980"/>
      <c r="BX399" s="980"/>
      <c r="BY399" s="980"/>
      <c r="BZ399" s="980"/>
      <c r="CA399" s="980"/>
      <c r="CB399" s="980"/>
      <c r="CC399" s="980"/>
      <c r="CD399" s="980"/>
      <c r="CE399" s="980"/>
      <c r="CF399" s="1099"/>
      <c r="CG399" s="342"/>
      <c r="CH399" s="54"/>
      <c r="CI399" s="239"/>
      <c r="CJ399" s="219"/>
    </row>
    <row r="400" spans="1:88" s="12" customFormat="1" ht="14.25" customHeight="1" outlineLevel="1">
      <c r="A400" s="672"/>
      <c r="B400" s="969" t="s">
        <v>482</v>
      </c>
      <c r="C400" s="277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977">
        <f t="shared" ref="AB400:BA400" si="1199">AB394*AB11</f>
        <v>63.96</v>
      </c>
      <c r="AC400" s="977">
        <f t="shared" si="1199"/>
        <v>71.52</v>
      </c>
      <c r="AD400" s="977">
        <f t="shared" si="1199"/>
        <v>64.679999999999993</v>
      </c>
      <c r="AE400" s="977">
        <f t="shared" si="1199"/>
        <v>53.04</v>
      </c>
      <c r="AF400" s="977">
        <f t="shared" si="1199"/>
        <v>56.76</v>
      </c>
      <c r="AG400" s="977">
        <f t="shared" si="1199"/>
        <v>61.08</v>
      </c>
      <c r="AH400" s="977">
        <f t="shared" si="1199"/>
        <v>62.4</v>
      </c>
      <c r="AI400" s="977">
        <f t="shared" si="1199"/>
        <v>56.28</v>
      </c>
      <c r="AJ400" s="977">
        <f t="shared" si="1199"/>
        <v>67.319999999999993</v>
      </c>
      <c r="AK400" s="977">
        <f t="shared" si="1199"/>
        <v>74.16</v>
      </c>
      <c r="AL400" s="977">
        <f t="shared" si="1199"/>
        <v>80.16</v>
      </c>
      <c r="AM400" s="977">
        <f t="shared" si="1199"/>
        <v>72.48</v>
      </c>
      <c r="AN400" s="977">
        <f t="shared" si="1199"/>
        <v>78.72</v>
      </c>
      <c r="AO400" s="977">
        <f t="shared" si="1199"/>
        <v>84.36</v>
      </c>
      <c r="AP400" s="977">
        <f t="shared" si="1199"/>
        <v>85.32</v>
      </c>
      <c r="AQ400" s="977">
        <f t="shared" si="1199"/>
        <v>80.399999999999991</v>
      </c>
      <c r="AR400" s="977">
        <f t="shared" si="1199"/>
        <v>80.64</v>
      </c>
      <c r="AS400" s="977">
        <f t="shared" si="1199"/>
        <v>82.8</v>
      </c>
      <c r="AT400" s="977">
        <f t="shared" si="1199"/>
        <v>87</v>
      </c>
      <c r="AU400" s="977">
        <f t="shared" si="1199"/>
        <v>84</v>
      </c>
      <c r="AV400" s="977">
        <f t="shared" si="1199"/>
        <v>87.47999999999999</v>
      </c>
      <c r="AW400" s="977">
        <f t="shared" si="1199"/>
        <v>90.6</v>
      </c>
      <c r="AX400" s="977">
        <f t="shared" si="1199"/>
        <v>95.399999999999991</v>
      </c>
      <c r="AY400" s="977">
        <f t="shared" ref="AY400" si="1200">AY394*AY11</f>
        <v>89.28</v>
      </c>
      <c r="AZ400" s="1112">
        <f t="shared" si="1199"/>
        <v>96.36</v>
      </c>
      <c r="BA400" s="977">
        <f t="shared" si="1199"/>
        <v>104.16</v>
      </c>
      <c r="BB400" s="977">
        <f t="shared" ref="BB400:BD401" si="1201">BB394*BB11</f>
        <v>111.72</v>
      </c>
      <c r="BC400" s="977">
        <f t="shared" si="1201"/>
        <v>107.52</v>
      </c>
      <c r="BD400" s="1112">
        <f t="shared" si="1201"/>
        <v>111.11999999999999</v>
      </c>
      <c r="BE400" s="977">
        <f t="shared" ref="BE400:BG400" si="1202">BE394*BE11</f>
        <v>113.78688</v>
      </c>
      <c r="BF400" s="977">
        <f t="shared" si="1202"/>
        <v>116.0626176</v>
      </c>
      <c r="BG400" s="1099">
        <f t="shared" si="1202"/>
        <v>110.25948672</v>
      </c>
      <c r="BH400" s="1112">
        <f t="shared" ref="BH400:BK400" si="1203">BH394*BH11</f>
        <v>112.46467645439999</v>
      </c>
      <c r="BI400" s="977">
        <f t="shared" si="1203"/>
        <v>121.46185057075201</v>
      </c>
      <c r="BJ400" s="977">
        <f t="shared" si="1203"/>
        <v>122.67646907645953</v>
      </c>
      <c r="BK400" s="1099">
        <f t="shared" si="1203"/>
        <v>116.54264562263654</v>
      </c>
      <c r="BL400" s="1112">
        <f t="shared" ref="BL400:BO400" si="1204">BL394*BL11</f>
        <v>118.87349853508927</v>
      </c>
      <c r="BM400" s="977">
        <f t="shared" si="1204"/>
        <v>128.38337841789644</v>
      </c>
      <c r="BN400" s="977">
        <f t="shared" si="1204"/>
        <v>129.6672122020754</v>
      </c>
      <c r="BO400" s="1099">
        <f t="shared" si="1204"/>
        <v>123.18385159197162</v>
      </c>
      <c r="BP400" s="1158"/>
      <c r="BQ400" s="979"/>
      <c r="BR400" s="979"/>
      <c r="BS400" s="979"/>
      <c r="BT400" s="980"/>
      <c r="BU400" s="980"/>
      <c r="BV400" s="980"/>
      <c r="BW400" s="980"/>
      <c r="BX400" s="980"/>
      <c r="BY400" s="980"/>
      <c r="BZ400" s="980"/>
      <c r="CA400" s="980"/>
      <c r="CB400" s="980"/>
      <c r="CC400" s="980"/>
      <c r="CD400" s="980"/>
      <c r="CE400" s="980"/>
      <c r="CF400" s="1099"/>
      <c r="CG400" s="342"/>
      <c r="CH400" s="54"/>
      <c r="CI400" s="239"/>
      <c r="CJ400" s="219"/>
    </row>
    <row r="401" spans="1:88" s="12" customFormat="1" ht="14.25" customHeight="1" outlineLevel="1">
      <c r="A401" s="672"/>
      <c r="B401" s="969" t="s">
        <v>314</v>
      </c>
      <c r="C401" s="277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977">
        <f t="shared" ref="AB401:BA401" si="1205">AB395*AB12</f>
        <v>78.959999999999994</v>
      </c>
      <c r="AC401" s="977">
        <f t="shared" si="1205"/>
        <v>66.959999999999994</v>
      </c>
      <c r="AD401" s="977">
        <f t="shared" si="1205"/>
        <v>69.599999999999994</v>
      </c>
      <c r="AE401" s="977">
        <f t="shared" si="1205"/>
        <v>86.64</v>
      </c>
      <c r="AF401" s="977">
        <f t="shared" si="1205"/>
        <v>44.76</v>
      </c>
      <c r="AG401" s="977">
        <f t="shared" si="1205"/>
        <v>41.04</v>
      </c>
      <c r="AH401" s="977">
        <f t="shared" si="1205"/>
        <v>39</v>
      </c>
      <c r="AI401" s="977">
        <f t="shared" si="1205"/>
        <v>38.04</v>
      </c>
      <c r="AJ401" s="977">
        <f t="shared" si="1205"/>
        <v>0</v>
      </c>
      <c r="AK401" s="977">
        <f t="shared" si="1205"/>
        <v>0</v>
      </c>
      <c r="AL401" s="977">
        <f t="shared" si="1205"/>
        <v>0</v>
      </c>
      <c r="AM401" s="977">
        <f t="shared" si="1205"/>
        <v>0</v>
      </c>
      <c r="AN401" s="977">
        <f t="shared" si="1205"/>
        <v>0</v>
      </c>
      <c r="AO401" s="977">
        <f t="shared" si="1205"/>
        <v>0</v>
      </c>
      <c r="AP401" s="977">
        <f t="shared" si="1205"/>
        <v>0</v>
      </c>
      <c r="AQ401" s="977">
        <f t="shared" si="1205"/>
        <v>0</v>
      </c>
      <c r="AR401" s="977">
        <f t="shared" si="1205"/>
        <v>0</v>
      </c>
      <c r="AS401" s="977">
        <f t="shared" si="1205"/>
        <v>0</v>
      </c>
      <c r="AT401" s="977">
        <f t="shared" si="1205"/>
        <v>0</v>
      </c>
      <c r="AU401" s="977">
        <f t="shared" si="1205"/>
        <v>0</v>
      </c>
      <c r="AV401" s="977">
        <f t="shared" si="1205"/>
        <v>0</v>
      </c>
      <c r="AW401" s="977">
        <f t="shared" si="1205"/>
        <v>0</v>
      </c>
      <c r="AX401" s="977">
        <f t="shared" si="1205"/>
        <v>0</v>
      </c>
      <c r="AY401" s="977">
        <f t="shared" ref="AY401" si="1206">AY395*AY12</f>
        <v>0</v>
      </c>
      <c r="AZ401" s="1112">
        <f t="shared" si="1205"/>
        <v>0</v>
      </c>
      <c r="BA401" s="977">
        <f t="shared" si="1205"/>
        <v>0</v>
      </c>
      <c r="BB401" s="977">
        <f t="shared" ref="BB401" si="1207">BB395*BB12</f>
        <v>0</v>
      </c>
      <c r="BC401" s="977">
        <f t="shared" si="1201"/>
        <v>0</v>
      </c>
      <c r="BD401" s="1112">
        <f t="shared" si="1201"/>
        <v>0</v>
      </c>
      <c r="BE401" s="977">
        <f t="shared" ref="BE401:BG401" si="1208">BE395*BE12</f>
        <v>0</v>
      </c>
      <c r="BF401" s="977">
        <f t="shared" si="1208"/>
        <v>0</v>
      </c>
      <c r="BG401" s="1099">
        <f t="shared" si="1208"/>
        <v>0</v>
      </c>
      <c r="BH401" s="1112">
        <f t="shared" ref="BH401:BK401" si="1209">BH395*BH12</f>
        <v>0</v>
      </c>
      <c r="BI401" s="977">
        <f t="shared" si="1209"/>
        <v>0</v>
      </c>
      <c r="BJ401" s="977">
        <f t="shared" si="1209"/>
        <v>0</v>
      </c>
      <c r="BK401" s="1099">
        <f t="shared" si="1209"/>
        <v>0</v>
      </c>
      <c r="BL401" s="1112">
        <f t="shared" ref="BL401:BO401" si="1210">BL395*BL12</f>
        <v>0</v>
      </c>
      <c r="BM401" s="977">
        <f t="shared" si="1210"/>
        <v>0</v>
      </c>
      <c r="BN401" s="977">
        <f t="shared" si="1210"/>
        <v>0</v>
      </c>
      <c r="BO401" s="1099">
        <f t="shared" si="1210"/>
        <v>0</v>
      </c>
      <c r="BP401" s="1158"/>
      <c r="BQ401" s="979"/>
      <c r="BR401" s="979"/>
      <c r="BS401" s="979"/>
      <c r="BT401" s="980"/>
      <c r="BU401" s="980"/>
      <c r="BV401" s="980"/>
      <c r="BW401" s="980"/>
      <c r="BX401" s="980"/>
      <c r="BY401" s="980"/>
      <c r="BZ401" s="980"/>
      <c r="CA401" s="980"/>
      <c r="CB401" s="980"/>
      <c r="CC401" s="980"/>
      <c r="CD401" s="980"/>
      <c r="CE401" s="980"/>
      <c r="CF401" s="1099"/>
      <c r="CG401" s="342"/>
      <c r="CH401" s="54"/>
      <c r="CI401" s="239"/>
      <c r="CJ401" s="219"/>
    </row>
    <row r="402" spans="1:88" s="12" customFormat="1" ht="14.25" customHeight="1" outlineLevel="1">
      <c r="A402" s="672"/>
      <c r="B402" s="969" t="s">
        <v>563</v>
      </c>
      <c r="C402" s="277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977">
        <f>AB396*(AB288-AB296-AB311-AB322)</f>
        <v>60.619199999999992</v>
      </c>
      <c r="AC402" s="977">
        <f t="shared" ref="AC402:AX402" si="1211">AC396*(AC288-AC296-AC311-AC322)</f>
        <v>58.881600000000006</v>
      </c>
      <c r="AD402" s="977">
        <f t="shared" si="1211"/>
        <v>64.723799999999997</v>
      </c>
      <c r="AE402" s="977">
        <f t="shared" si="1211"/>
        <v>49.512</v>
      </c>
      <c r="AF402" s="977">
        <f t="shared" si="1211"/>
        <v>53.519999999999996</v>
      </c>
      <c r="AG402" s="977">
        <f t="shared" si="1211"/>
        <v>56.001599999999996</v>
      </c>
      <c r="AH402" s="977">
        <f t="shared" si="1211"/>
        <v>55.8</v>
      </c>
      <c r="AI402" s="977">
        <f t="shared" si="1211"/>
        <v>46.68</v>
      </c>
      <c r="AJ402" s="977">
        <f t="shared" si="1211"/>
        <v>43.019999999999996</v>
      </c>
      <c r="AK402" s="977">
        <f t="shared" si="1211"/>
        <v>41.519999999999996</v>
      </c>
      <c r="AL402" s="977">
        <f t="shared" si="1211"/>
        <v>46.559999999999995</v>
      </c>
      <c r="AM402" s="977">
        <f t="shared" si="1211"/>
        <v>48.6</v>
      </c>
      <c r="AN402" s="977">
        <f t="shared" si="1211"/>
        <v>43.373769964419488</v>
      </c>
      <c r="AO402" s="977">
        <f t="shared" si="1211"/>
        <v>46.526436734523195</v>
      </c>
      <c r="AP402" s="977">
        <f t="shared" si="1211"/>
        <v>50.086890178794306</v>
      </c>
      <c r="AQ402" s="977">
        <f t="shared" si="1211"/>
        <v>45.959999999999994</v>
      </c>
      <c r="AR402" s="977">
        <f t="shared" si="1211"/>
        <v>43.56</v>
      </c>
      <c r="AS402" s="977">
        <f t="shared" si="1211"/>
        <v>47.273080609963749</v>
      </c>
      <c r="AT402" s="977">
        <f t="shared" si="1211"/>
        <v>38.208611811925188</v>
      </c>
      <c r="AU402" s="977">
        <f t="shared" si="1211"/>
        <v>37.333504696871302</v>
      </c>
      <c r="AV402" s="977">
        <f t="shared" si="1211"/>
        <v>37.870889117341584</v>
      </c>
      <c r="AW402" s="977">
        <f t="shared" si="1211"/>
        <v>37.870889117341584</v>
      </c>
      <c r="AX402" s="977">
        <f t="shared" si="1211"/>
        <v>41.232681953057572</v>
      </c>
      <c r="AY402" s="977">
        <f t="shared" ref="AY402" si="1212">AY396*(AY288-AY296-AY311-AY322)</f>
        <v>34.312161738137718</v>
      </c>
      <c r="AZ402" s="1112">
        <f t="shared" ref="AZ402:BG402" si="1213">AZ396*(AZ288-AZ296-AZ311-AZ322)</f>
        <v>32.775215446795045</v>
      </c>
      <c r="BA402" s="977">
        <f t="shared" si="1213"/>
        <v>32.896100241330345</v>
      </c>
      <c r="BB402" s="977">
        <f t="shared" ref="BB402:BD402" si="1214">BB396*(BB288-BB296-BB311-BB322)</f>
        <v>35.449199999999998</v>
      </c>
      <c r="BC402" s="977">
        <f t="shared" si="1214"/>
        <v>31.10506168577102</v>
      </c>
      <c r="BD402" s="1112">
        <f t="shared" si="1214"/>
        <v>28.659907665593984</v>
      </c>
      <c r="BE402" s="977">
        <f t="shared" si="1213"/>
        <v>28.659907665593984</v>
      </c>
      <c r="BF402" s="977">
        <f t="shared" si="1213"/>
        <v>29.91498206790428</v>
      </c>
      <c r="BG402" s="1099">
        <f t="shared" si="1213"/>
        <v>28.95574663185284</v>
      </c>
      <c r="BH402" s="1112">
        <f t="shared" ref="BH402:BK402" si="1215">BH396*(BH288-BH296-BH311-BH322)</f>
        <v>30.300223232252449</v>
      </c>
      <c r="BI402" s="977">
        <f t="shared" si="1215"/>
        <v>30.368193439475395</v>
      </c>
      <c r="BJ402" s="977">
        <f t="shared" si="1215"/>
        <v>31.968436283979045</v>
      </c>
      <c r="BK402" s="1099">
        <f t="shared" si="1215"/>
        <v>31.005714056149333</v>
      </c>
      <c r="BL402" s="1112">
        <f t="shared" ref="BL402:BO402" si="1216">BL396*(BL288-BL296-BL311-BL322)</f>
        <v>32.444343925223407</v>
      </c>
      <c r="BM402" s="977">
        <f t="shared" si="1216"/>
        <v>32.517804543194728</v>
      </c>
      <c r="BN402" s="977">
        <f t="shared" si="1216"/>
        <v>34.241987107370676</v>
      </c>
      <c r="BO402" s="1099">
        <f t="shared" si="1216"/>
        <v>33.205092124056954</v>
      </c>
      <c r="BP402" s="1158"/>
      <c r="BQ402" s="979"/>
      <c r="BR402" s="979"/>
      <c r="BS402" s="979"/>
      <c r="BT402" s="980"/>
      <c r="BU402" s="980"/>
      <c r="BV402" s="980"/>
      <c r="BW402" s="980"/>
      <c r="BX402" s="980"/>
      <c r="BY402" s="980"/>
      <c r="BZ402" s="980"/>
      <c r="CA402" s="980"/>
      <c r="CB402" s="980"/>
      <c r="CC402" s="980"/>
      <c r="CD402" s="980"/>
      <c r="CE402" s="980"/>
      <c r="CF402" s="1099"/>
      <c r="CG402" s="342"/>
      <c r="CH402" s="54"/>
      <c r="CI402" s="239"/>
      <c r="CJ402" s="219"/>
    </row>
    <row r="403" spans="1:88" s="12" customFormat="1" ht="14.25" customHeight="1" outlineLevel="1">
      <c r="A403" s="672"/>
      <c r="B403" s="969"/>
      <c r="C403" s="277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971"/>
      <c r="AC403" s="971"/>
      <c r="AD403" s="971"/>
      <c r="AE403" s="971"/>
      <c r="AF403" s="971"/>
      <c r="AG403" s="971"/>
      <c r="AH403" s="971"/>
      <c r="AI403" s="971"/>
      <c r="AJ403" s="971"/>
      <c r="AK403" s="971"/>
      <c r="AL403" s="971"/>
      <c r="AM403" s="971"/>
      <c r="AN403" s="971"/>
      <c r="AO403" s="971"/>
      <c r="AP403" s="971"/>
      <c r="AQ403" s="971"/>
      <c r="AR403" s="971"/>
      <c r="AS403" s="971"/>
      <c r="AT403" s="971"/>
      <c r="AU403" s="971"/>
      <c r="AV403" s="971"/>
      <c r="AW403" s="971"/>
      <c r="AX403" s="971"/>
      <c r="AY403" s="971"/>
      <c r="AZ403" s="1106"/>
      <c r="BA403" s="971"/>
      <c r="BB403" s="971"/>
      <c r="BC403" s="971"/>
      <c r="BD403" s="1106"/>
      <c r="BE403" s="971"/>
      <c r="BF403" s="971"/>
      <c r="BG403" s="1098"/>
      <c r="BH403" s="1106"/>
      <c r="BI403" s="971"/>
      <c r="BJ403" s="971"/>
      <c r="BK403" s="1098"/>
      <c r="BL403" s="1106"/>
      <c r="BM403" s="971"/>
      <c r="BN403" s="971"/>
      <c r="BO403" s="1098"/>
      <c r="BP403" s="1157"/>
      <c r="BQ403" s="30"/>
      <c r="BR403" s="30"/>
      <c r="BS403" s="30"/>
      <c r="BT403" s="965"/>
      <c r="BU403" s="965"/>
      <c r="BV403" s="965"/>
      <c r="BW403" s="965"/>
      <c r="BX403" s="965"/>
      <c r="BY403" s="965"/>
      <c r="BZ403" s="965"/>
      <c r="CA403" s="965"/>
      <c r="CB403" s="965"/>
      <c r="CC403" s="965"/>
      <c r="CD403" s="965"/>
      <c r="CE403" s="965"/>
      <c r="CF403" s="1098"/>
      <c r="CG403" s="342"/>
      <c r="CH403" s="54"/>
      <c r="CI403" s="239"/>
      <c r="CJ403" s="219"/>
    </row>
    <row r="404" spans="1:88" s="12" customFormat="1" ht="14.25" customHeight="1">
      <c r="A404" s="672"/>
      <c r="B404" s="969"/>
      <c r="C404" s="277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971"/>
      <c r="AC404" s="971"/>
      <c r="AD404" s="971"/>
      <c r="AE404" s="971"/>
      <c r="AF404" s="971"/>
      <c r="AG404" s="971"/>
      <c r="AH404" s="971"/>
      <c r="AI404" s="971"/>
      <c r="AJ404" s="971"/>
      <c r="AK404" s="971"/>
      <c r="AL404" s="971"/>
      <c r="AM404" s="971"/>
      <c r="AN404" s="971"/>
      <c r="AO404" s="971"/>
      <c r="AP404" s="971"/>
      <c r="AQ404" s="971"/>
      <c r="AR404" s="971"/>
      <c r="AS404" s="971"/>
      <c r="AT404" s="971"/>
      <c r="AU404" s="971"/>
      <c r="AV404" s="971"/>
      <c r="AW404" s="971"/>
      <c r="AX404" s="971"/>
      <c r="AY404" s="971"/>
      <c r="AZ404" s="1106"/>
      <c r="BA404" s="971"/>
      <c r="BB404" s="971"/>
      <c r="BC404" s="971"/>
      <c r="BD404" s="1106"/>
      <c r="BE404" s="971"/>
      <c r="BF404" s="971"/>
      <c r="BG404" s="1098"/>
      <c r="BH404" s="1106"/>
      <c r="BI404" s="971"/>
      <c r="BJ404" s="971"/>
      <c r="BK404" s="1098"/>
      <c r="BL404" s="1106"/>
      <c r="BM404" s="971"/>
      <c r="BN404" s="971"/>
      <c r="BO404" s="1098"/>
      <c r="BP404" s="1157"/>
      <c r="BQ404" s="30"/>
      <c r="BR404" s="30"/>
      <c r="BS404" s="30"/>
      <c r="BT404" s="965"/>
      <c r="BU404" s="965"/>
      <c r="BV404" s="965"/>
      <c r="BW404" s="965"/>
      <c r="BX404" s="965"/>
      <c r="BY404" s="965"/>
      <c r="BZ404" s="965"/>
      <c r="CA404" s="965"/>
      <c r="CB404" s="965"/>
      <c r="CC404" s="965"/>
      <c r="CD404" s="965"/>
      <c r="CE404" s="965"/>
      <c r="CF404" s="1098"/>
      <c r="CG404" s="342"/>
      <c r="CH404" s="54"/>
      <c r="CI404" s="239"/>
      <c r="CJ404" s="219"/>
    </row>
    <row r="405" spans="1:88" s="12" customFormat="1" ht="14.25" customHeight="1">
      <c r="A405" s="672"/>
      <c r="B405" s="783" t="s">
        <v>498</v>
      </c>
      <c r="C405" s="277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981">
        <f>+CFS!AB13</f>
        <v>224</v>
      </c>
      <c r="AC405" s="981">
        <f>+CFS!AC13</f>
        <v>220</v>
      </c>
      <c r="AD405" s="981">
        <f>+CFS!AD13</f>
        <v>213</v>
      </c>
      <c r="AE405" s="981">
        <f>+CFS!AE13</f>
        <v>247</v>
      </c>
      <c r="AF405" s="981">
        <f>+CFS!AF13</f>
        <v>243</v>
      </c>
      <c r="AG405" s="981">
        <f>+CFS!AG13</f>
        <v>241</v>
      </c>
      <c r="AH405" s="981">
        <f>+CFS!AH13</f>
        <v>241</v>
      </c>
      <c r="AI405" s="981">
        <f>+CFS!AI13</f>
        <v>232</v>
      </c>
      <c r="AJ405" s="981">
        <f>+CFS!AJ13</f>
        <v>228</v>
      </c>
      <c r="AK405" s="981">
        <f>+CFS!AK13</f>
        <v>221</v>
      </c>
      <c r="AL405" s="981">
        <f>+CFS!AL13</f>
        <v>217</v>
      </c>
      <c r="AM405" s="981">
        <f>+CFS!AM13</f>
        <v>213</v>
      </c>
      <c r="AN405" s="981">
        <f>+CFS!AN13</f>
        <v>213</v>
      </c>
      <c r="AO405" s="981">
        <f>+CFS!AO13</f>
        <v>213</v>
      </c>
      <c r="AP405" s="981">
        <f>+CFS!AP13</f>
        <v>213</v>
      </c>
      <c r="AQ405" s="981">
        <f>+CFS!AQ13</f>
        <v>211</v>
      </c>
      <c r="AR405" s="981">
        <f>+CFS!AR13</f>
        <v>203</v>
      </c>
      <c r="AS405" s="981">
        <f>+CFS!AS13</f>
        <v>198</v>
      </c>
      <c r="AT405" s="981">
        <f>+CFS!AT13</f>
        <v>193</v>
      </c>
      <c r="AU405" s="981">
        <f>+CFS!AU13</f>
        <v>172</v>
      </c>
      <c r="AV405" s="981">
        <f>+CFS!AV13</f>
        <v>161</v>
      </c>
      <c r="AW405" s="981">
        <f>+CFS!AW13</f>
        <v>155</v>
      </c>
      <c r="AX405" s="981">
        <f>+CFS!AX13</f>
        <v>150</v>
      </c>
      <c r="AY405" s="981">
        <f>+CFS!AY13</f>
        <v>139</v>
      </c>
      <c r="AZ405" s="1113">
        <f>+CFS!AZ13</f>
        <v>139</v>
      </c>
      <c r="BA405" s="981">
        <f>+CFS!BA13</f>
        <v>134</v>
      </c>
      <c r="BB405" s="981">
        <f>+CFS!BB13</f>
        <v>133</v>
      </c>
      <c r="BC405" s="981">
        <f>+CFS!BC13</f>
        <v>133</v>
      </c>
      <c r="BD405" s="1113">
        <f>+CFS!BD13</f>
        <v>137</v>
      </c>
      <c r="BE405" s="981">
        <f>+CFS!BE13</f>
        <v>129</v>
      </c>
      <c r="BF405" s="981">
        <f>+CFS!BF13</f>
        <v>128</v>
      </c>
      <c r="BG405" s="1114">
        <f>+CFS!BG13</f>
        <v>128</v>
      </c>
      <c r="BH405" s="1113">
        <f>+CFS!BH13</f>
        <v>132</v>
      </c>
      <c r="BI405" s="981">
        <f>+CFS!BI13</f>
        <v>124</v>
      </c>
      <c r="BJ405" s="981">
        <f>+CFS!BJ13</f>
        <v>123</v>
      </c>
      <c r="BK405" s="1114">
        <f>+CFS!BK13</f>
        <v>123</v>
      </c>
      <c r="BL405" s="1113">
        <f>+CFS!BL13</f>
        <v>127</v>
      </c>
      <c r="BM405" s="981">
        <f>+CFS!BM13</f>
        <v>119</v>
      </c>
      <c r="BN405" s="981">
        <f>+CFS!BN13</f>
        <v>118</v>
      </c>
      <c r="BO405" s="1114">
        <f>+CFS!BO13</f>
        <v>118</v>
      </c>
      <c r="BP405" s="1157"/>
      <c r="BQ405" s="30"/>
      <c r="BR405" s="30"/>
      <c r="BS405" s="30"/>
      <c r="BT405" s="691"/>
      <c r="BU405" s="691"/>
      <c r="BV405" s="691">
        <f>SUM(X405:AA405)</f>
        <v>0</v>
      </c>
      <c r="BW405" s="691">
        <f>SUM(AB405:AE405)</f>
        <v>904</v>
      </c>
      <c r="BX405" s="691">
        <f>SUM(AF405:AI405)</f>
        <v>957</v>
      </c>
      <c r="BY405" s="691">
        <f>SUM(AJ405:AM405)</f>
        <v>879</v>
      </c>
      <c r="BZ405" s="691">
        <f>+SUM(AN405:AQ405)</f>
        <v>850</v>
      </c>
      <c r="CA405" s="691">
        <f>+SUM(AR405:AU405)</f>
        <v>766</v>
      </c>
      <c r="CB405" s="691">
        <f>SUM(AV405:AY405)</f>
        <v>605</v>
      </c>
      <c r="CC405" s="691">
        <f>SUM(AZ405:BC405)</f>
        <v>539</v>
      </c>
      <c r="CD405" s="691">
        <f>SUM(BD405:BG405)</f>
        <v>522</v>
      </c>
      <c r="CE405" s="691">
        <f>SUM(BH405:BK405)</f>
        <v>502</v>
      </c>
      <c r="CF405" s="692">
        <f>SUM(BL405:BO405)</f>
        <v>482</v>
      </c>
      <c r="CG405" s="342"/>
      <c r="CH405" s="363"/>
      <c r="CI405" s="239"/>
      <c r="CJ405" s="219"/>
    </row>
    <row r="406" spans="1:88" s="12" customFormat="1" ht="14.25" customHeight="1">
      <c r="A406" s="672"/>
      <c r="B406" s="783"/>
      <c r="C406" s="277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981"/>
      <c r="AC406" s="981"/>
      <c r="AD406" s="981"/>
      <c r="AE406" s="981"/>
      <c r="AF406" s="981"/>
      <c r="AG406" s="981"/>
      <c r="AH406" s="981"/>
      <c r="AI406" s="981"/>
      <c r="AJ406" s="981"/>
      <c r="AK406" s="981"/>
      <c r="AL406" s="981"/>
      <c r="AM406" s="981"/>
      <c r="AN406" s="981"/>
      <c r="AO406" s="981"/>
      <c r="AP406" s="981"/>
      <c r="AQ406" s="981"/>
      <c r="AR406" s="981"/>
      <c r="AS406" s="981"/>
      <c r="AT406" s="981"/>
      <c r="AU406" s="981"/>
      <c r="AV406" s="981"/>
      <c r="AW406" s="981"/>
      <c r="AX406" s="981"/>
      <c r="AY406" s="981"/>
      <c r="AZ406" s="1113"/>
      <c r="BA406" s="982"/>
      <c r="BB406" s="982"/>
      <c r="BC406" s="981"/>
      <c r="BD406" s="1113"/>
      <c r="BE406" s="982"/>
      <c r="BF406" s="982"/>
      <c r="BG406" s="1100"/>
      <c r="BH406" s="1115"/>
      <c r="BI406" s="982"/>
      <c r="BJ406" s="982"/>
      <c r="BK406" s="1100"/>
      <c r="BL406" s="1115"/>
      <c r="BM406" s="982"/>
      <c r="BN406" s="982"/>
      <c r="BO406" s="1100"/>
      <c r="BP406" s="1157"/>
      <c r="BQ406" s="30"/>
      <c r="BR406" s="30"/>
      <c r="BS406" s="30"/>
      <c r="BT406" s="445"/>
      <c r="BU406" s="445"/>
      <c r="BV406" s="445"/>
      <c r="BW406" s="445"/>
      <c r="BX406" s="445"/>
      <c r="BY406" s="445"/>
      <c r="BZ406" s="445"/>
      <c r="CA406" s="445"/>
      <c r="CB406" s="445"/>
      <c r="CC406" s="445"/>
      <c r="CD406" s="445"/>
      <c r="CE406" s="445"/>
      <c r="CF406" s="1100"/>
      <c r="CG406" s="342"/>
      <c r="CH406" s="363"/>
      <c r="CI406" s="239"/>
      <c r="CJ406" s="219"/>
    </row>
    <row r="407" spans="1:88" s="12" customFormat="1" ht="14.25" customHeight="1">
      <c r="A407" s="672"/>
      <c r="B407" s="983" t="s">
        <v>565</v>
      </c>
      <c r="C407" s="984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32"/>
      <c r="S407" s="232"/>
      <c r="T407" s="232"/>
      <c r="U407" s="232"/>
      <c r="V407" s="232"/>
      <c r="W407" s="232"/>
      <c r="X407" s="232"/>
      <c r="Y407" s="232"/>
      <c r="Z407" s="232"/>
      <c r="AA407" s="232"/>
      <c r="AB407" s="985">
        <f>AB359-AB363-AB388-AB390-AB405</f>
        <v>474.2351000000001</v>
      </c>
      <c r="AC407" s="985">
        <f t="shared" ref="AC407:AX407" si="1217">AC359-AC363-AC388-AC390-AC405</f>
        <v>517.58780000000013</v>
      </c>
      <c r="AD407" s="985">
        <f t="shared" si="1217"/>
        <v>536.13829999999984</v>
      </c>
      <c r="AE407" s="985">
        <f t="shared" si="1217"/>
        <v>630.779</v>
      </c>
      <c r="AF407" s="985">
        <f t="shared" si="1217"/>
        <v>510.7055499999999</v>
      </c>
      <c r="AG407" s="985">
        <f t="shared" si="1217"/>
        <v>550.78615000000013</v>
      </c>
      <c r="AH407" s="985">
        <f t="shared" si="1217"/>
        <v>508.74440000000004</v>
      </c>
      <c r="AI407" s="985">
        <f t="shared" si="1217"/>
        <v>513.06714999999997</v>
      </c>
      <c r="AJ407" s="985">
        <f t="shared" si="1217"/>
        <v>548.63199399999985</v>
      </c>
      <c r="AK407" s="985">
        <f t="shared" si="1217"/>
        <v>475.71459400000015</v>
      </c>
      <c r="AL407" s="985">
        <f t="shared" si="1217"/>
        <v>438.25061775999995</v>
      </c>
      <c r="AM407" s="985">
        <f t="shared" si="1217"/>
        <v>439.86059776114621</v>
      </c>
      <c r="AN407" s="985">
        <f t="shared" si="1217"/>
        <v>433.53364779558046</v>
      </c>
      <c r="AO407" s="985">
        <f t="shared" si="1217"/>
        <v>396.92982148107694</v>
      </c>
      <c r="AP407" s="985">
        <f t="shared" si="1217"/>
        <v>395.52568045464977</v>
      </c>
      <c r="AQ407" s="985">
        <f t="shared" si="1217"/>
        <v>390.97793672618377</v>
      </c>
      <c r="AR407" s="985">
        <f t="shared" si="1217"/>
        <v>386.37706677436199</v>
      </c>
      <c r="AS407" s="985">
        <f t="shared" si="1217"/>
        <v>346.34511150634728</v>
      </c>
      <c r="AT407" s="985">
        <f t="shared" si="1217"/>
        <v>404.17637617323987</v>
      </c>
      <c r="AU407" s="985">
        <f t="shared" si="1217"/>
        <v>390.36708116814543</v>
      </c>
      <c r="AV407" s="985">
        <f t="shared" si="1217"/>
        <v>307.63701499265994</v>
      </c>
      <c r="AW407" s="985">
        <f t="shared" si="1217"/>
        <v>321.71059960632533</v>
      </c>
      <c r="AX407" s="985">
        <f t="shared" si="1217"/>
        <v>353.21538322166282</v>
      </c>
      <c r="AY407" s="985">
        <f>AY359-AY363-AY388-AY390-AY405</f>
        <v>331.67743866037449</v>
      </c>
      <c r="AZ407" s="1143">
        <f t="shared" ref="AZ407:BA407" si="1218">AZ359-AZ363-AZ388-AZ390-AZ405</f>
        <v>338.08076661327539</v>
      </c>
      <c r="BA407" s="985">
        <f t="shared" si="1218"/>
        <v>324.38348181874017</v>
      </c>
      <c r="BB407" s="985">
        <f t="shared" ref="BB407" si="1219">BB359-BB363-BB388-BB390-BB405</f>
        <v>363.61082206007052</v>
      </c>
      <c r="BC407" s="985">
        <f>BC359-BC363-BC388-BC390-BC405</f>
        <v>285.96739060115783</v>
      </c>
      <c r="BD407" s="1143">
        <f t="shared" ref="BD407" si="1220">BD359-BD363-BD388-BD390-BD405</f>
        <v>339.77300921679989</v>
      </c>
      <c r="BE407" s="986">
        <f t="shared" ref="BE407:BG407" si="1221">AVERAGE(BA407:BD407)*BE416/AVERAGE(BA416:BD416)</f>
        <v>330.21415679197457</v>
      </c>
      <c r="BF407" s="986">
        <f t="shared" si="1221"/>
        <v>331.04318988442839</v>
      </c>
      <c r="BG407" s="1117">
        <f t="shared" si="1221"/>
        <v>322.0344320244298</v>
      </c>
      <c r="BH407" s="1116">
        <f t="shared" ref="BH407" si="1222">AVERAGE(BD407:BG407)*BH416/AVERAGE(BD416:BG416)</f>
        <v>330.14658537207475</v>
      </c>
      <c r="BI407" s="986">
        <f t="shared" ref="BI407" si="1223">AVERAGE(BE407:BH407)*BI416/AVERAGE(BE416:BH416)</f>
        <v>327.85667398682682</v>
      </c>
      <c r="BJ407" s="986">
        <f t="shared" ref="BJ407" si="1224">AVERAGE(BF407:BI407)*BJ416/AVERAGE(BF416:BI416)</f>
        <v>327.45672124396992</v>
      </c>
      <c r="BK407" s="1117">
        <f t="shared" ref="BK407" si="1225">AVERAGE(BG407:BJ407)*BK416/AVERAGE(BG416:BJ416)</f>
        <v>326.41938079698241</v>
      </c>
      <c r="BL407" s="1116">
        <f t="shared" ref="BL407" si="1226">AVERAGE(BH407:BK407)*BL416/AVERAGE(BH416:BK416)</f>
        <v>327.34090118451741</v>
      </c>
      <c r="BM407" s="986">
        <f t="shared" ref="BM407" si="1227">AVERAGE(BI407:BL407)*BM416/AVERAGE(BI416:BL416)</f>
        <v>326.77192495819696</v>
      </c>
      <c r="BN407" s="986">
        <f t="shared" ref="BN407" si="1228">AVERAGE(BJ407:BM407)*BN416/AVERAGE(BJ416:BM416)</f>
        <v>326.73730433323527</v>
      </c>
      <c r="BO407" s="1117">
        <f t="shared" ref="BO407" si="1229">AVERAGE(BK407:BN407)*BO416/AVERAGE(BK416:BN416)</f>
        <v>326.38608107268101</v>
      </c>
      <c r="BP407" s="1159"/>
      <c r="BQ407" s="987"/>
      <c r="BR407" s="987"/>
      <c r="BS407" s="987"/>
      <c r="BT407" s="1101"/>
      <c r="BU407" s="1101"/>
      <c r="BV407" s="1101"/>
      <c r="BW407" s="1101"/>
      <c r="BX407" s="1101"/>
      <c r="BY407" s="1101"/>
      <c r="BZ407" s="1101">
        <f>+SUM(AN407:AQ407)</f>
        <v>1616.967086457491</v>
      </c>
      <c r="CA407" s="1101">
        <f>+SUM(AR407:AU407)</f>
        <v>1527.2656356220946</v>
      </c>
      <c r="CB407" s="1101">
        <f>SUM(AV407:AY407)</f>
        <v>1314.2404364810227</v>
      </c>
      <c r="CC407" s="1101">
        <f>SUM(AZ407:BC407)</f>
        <v>1312.0424610932439</v>
      </c>
      <c r="CD407" s="1101">
        <f>SUM(BD407:BG407)</f>
        <v>1323.0647879176327</v>
      </c>
      <c r="CE407" s="1101">
        <f>SUM(BH407:BK407)</f>
        <v>1311.8793613998539</v>
      </c>
      <c r="CF407" s="1102">
        <f>SUM(BL407:BO407)</f>
        <v>1307.2362115486305</v>
      </c>
      <c r="CG407" s="342"/>
      <c r="CH407" s="363"/>
      <c r="CI407" s="239"/>
      <c r="CJ407" s="219"/>
    </row>
    <row r="408" spans="1:88" s="12" customFormat="1" ht="14.25" hidden="1" customHeight="1" outlineLevel="1">
      <c r="A408" s="672"/>
      <c r="B408" s="988"/>
      <c r="C408" s="277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981"/>
      <c r="AC408" s="981"/>
      <c r="AD408" s="981"/>
      <c r="AE408" s="981"/>
      <c r="AF408" s="981"/>
      <c r="AG408" s="981"/>
      <c r="AH408" s="981"/>
      <c r="AI408" s="981"/>
      <c r="AJ408" s="981"/>
      <c r="AK408" s="981"/>
      <c r="AL408" s="981"/>
      <c r="AM408" s="981"/>
      <c r="AN408" s="981"/>
      <c r="AO408" s="981"/>
      <c r="AP408" s="981"/>
      <c r="AQ408" s="981"/>
      <c r="AR408" s="981"/>
      <c r="AS408" s="981"/>
      <c r="AT408" s="981"/>
      <c r="AU408" s="981"/>
      <c r="AV408" s="981"/>
      <c r="AW408" s="981"/>
      <c r="AX408" s="981"/>
      <c r="AY408" s="981"/>
      <c r="AZ408" s="982"/>
      <c r="BA408" s="982"/>
      <c r="BB408" s="982"/>
      <c r="BC408" s="982"/>
      <c r="BD408" s="982"/>
      <c r="BE408" s="982"/>
      <c r="BF408" s="982"/>
      <c r="BG408" s="982"/>
      <c r="BH408" s="982"/>
      <c r="BI408" s="982"/>
      <c r="BJ408" s="982"/>
      <c r="BK408" s="982"/>
      <c r="BL408" s="982"/>
      <c r="BM408" s="982"/>
      <c r="BN408" s="982"/>
      <c r="BO408" s="982"/>
      <c r="BP408" s="652"/>
      <c r="BQ408" s="30"/>
      <c r="BR408" s="30"/>
      <c r="BS408" s="30"/>
      <c r="BT408" s="445"/>
      <c r="BU408" s="445"/>
      <c r="BV408" s="445"/>
      <c r="BW408" s="445"/>
      <c r="BX408" s="445"/>
      <c r="BY408" s="445"/>
      <c r="BZ408" s="445"/>
      <c r="CA408" s="445"/>
      <c r="CB408" s="445"/>
      <c r="CC408" s="445"/>
      <c r="CD408" s="445"/>
      <c r="CE408" s="445"/>
      <c r="CF408" s="472"/>
      <c r="CG408" s="54"/>
      <c r="CH408"/>
      <c r="CI408" s="239"/>
      <c r="CJ408" s="219"/>
    </row>
    <row r="409" spans="1:88" s="12" customFormat="1" ht="14.25" hidden="1" customHeight="1" outlineLevel="1">
      <c r="A409" s="672"/>
      <c r="B409" s="989" t="s">
        <v>573</v>
      </c>
      <c r="C409" s="277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981"/>
      <c r="AC409" s="981"/>
      <c r="AD409" s="981"/>
      <c r="AE409" s="981"/>
      <c r="AF409" s="981"/>
      <c r="AG409" s="981"/>
      <c r="AH409" s="981"/>
      <c r="AI409" s="981"/>
      <c r="AJ409" s="981"/>
      <c r="AK409" s="981"/>
      <c r="AL409" s="981"/>
      <c r="AM409" s="981"/>
      <c r="AN409" s="981"/>
      <c r="AO409" s="981"/>
      <c r="AP409" s="981"/>
      <c r="AQ409" s="981"/>
      <c r="AR409" s="981"/>
      <c r="AS409" s="981"/>
      <c r="AT409" s="981"/>
      <c r="AU409" s="981"/>
      <c r="AV409" s="981"/>
      <c r="AW409" s="981"/>
      <c r="AX409" s="981"/>
      <c r="AY409" s="981"/>
      <c r="AZ409" s="982"/>
      <c r="BA409" s="982"/>
      <c r="BB409" s="982"/>
      <c r="BC409" s="982"/>
      <c r="BD409" s="982"/>
      <c r="BE409" s="982"/>
      <c r="BF409" s="982"/>
      <c r="BG409" s="982"/>
      <c r="BH409" s="982"/>
      <c r="BI409" s="982"/>
      <c r="BJ409" s="982"/>
      <c r="BK409" s="982"/>
      <c r="BL409" s="982"/>
      <c r="BM409" s="982"/>
      <c r="BN409" s="982"/>
      <c r="BO409" s="982"/>
      <c r="BP409" s="652"/>
      <c r="BQ409" s="30"/>
      <c r="BR409" s="30"/>
      <c r="BS409" s="30"/>
      <c r="BT409" s="445"/>
      <c r="BU409" s="445"/>
      <c r="BV409" s="445"/>
      <c r="BW409" s="445"/>
      <c r="BX409" s="445"/>
      <c r="BY409" s="445"/>
      <c r="BZ409" s="445"/>
      <c r="CA409" s="445"/>
      <c r="CB409" s="445"/>
      <c r="CC409" s="445"/>
      <c r="CD409" s="445"/>
      <c r="CE409" s="445"/>
      <c r="CF409" s="982"/>
      <c r="CG409" s="54"/>
      <c r="CH409"/>
      <c r="CI409" s="239"/>
      <c r="CJ409" s="219"/>
    </row>
    <row r="410" spans="1:88" ht="14.25" hidden="1" customHeight="1" outlineLevel="1">
      <c r="A410" s="672"/>
      <c r="B410" s="990" t="s">
        <v>568</v>
      </c>
      <c r="C410" s="991"/>
      <c r="D410" s="992"/>
      <c r="E410" s="992"/>
      <c r="F410" s="992"/>
      <c r="G410" s="992"/>
      <c r="H410" s="992"/>
      <c r="I410" s="992"/>
      <c r="J410" s="992"/>
      <c r="K410" s="992"/>
      <c r="L410" s="992"/>
      <c r="M410" s="992"/>
      <c r="N410" s="992"/>
      <c r="O410" s="992"/>
      <c r="P410" s="992"/>
      <c r="Q410" s="992"/>
      <c r="R410" s="992"/>
      <c r="S410" s="992"/>
      <c r="T410" s="992"/>
      <c r="U410" s="992"/>
      <c r="V410" s="992"/>
      <c r="W410" s="992"/>
      <c r="X410" s="992"/>
      <c r="Y410" s="992"/>
      <c r="Z410" s="992"/>
      <c r="AA410" s="992"/>
      <c r="AB410" s="993"/>
      <c r="AC410" s="993"/>
      <c r="AD410" s="993"/>
      <c r="AE410" s="993"/>
      <c r="AF410" s="993"/>
      <c r="AG410" s="993"/>
      <c r="AH410" s="993"/>
      <c r="AI410" s="993"/>
      <c r="AJ410" s="993"/>
      <c r="AK410" s="993"/>
      <c r="AL410" s="993"/>
      <c r="AM410" s="993"/>
      <c r="AN410" s="993">
        <f>0.4*4*(AN10/SUM($AN10:$AQ10))</f>
        <v>0.36268509378084901</v>
      </c>
      <c r="AO410" s="993">
        <f>0.4*4*(AO10/SUM($AN10:$AQ10))</f>
        <v>0.39387956564659432</v>
      </c>
      <c r="AP410" s="993">
        <f>0.4*4*(AP10/SUM($AN10:$AQ10))</f>
        <v>0.42428430404738404</v>
      </c>
      <c r="AQ410" s="993">
        <f>0.4*4*(AQ10/SUM($AN10:$AQ10))</f>
        <v>0.41915103652517277</v>
      </c>
      <c r="AR410" s="993">
        <f>0.45*4*(AR10/SUM($AR10:$AU10))</f>
        <v>0.43926130231442617</v>
      </c>
      <c r="AS410" s="993">
        <f>0.45*4*(AS10/SUM($AR10:$AU10))</f>
        <v>0.4422832473917736</v>
      </c>
      <c r="AT410" s="993">
        <f>0.45*4*(AT10/SUM($AR10:$AU10))</f>
        <v>0.47099172562657399</v>
      </c>
      <c r="AU410" s="993">
        <f>0.45*4*(AU10/SUM($AR10:$AU10))</f>
        <v>0.44746372466722628</v>
      </c>
      <c r="AV410" s="993">
        <f>0.5*4*(AV10/SUM($AV10:$AY10))</f>
        <v>0.44025304592314901</v>
      </c>
      <c r="AW410" s="993">
        <f>0.5*4*(AW10/SUM($AV10:$AY10))</f>
        <v>0.47891283973758203</v>
      </c>
      <c r="AX410" s="993">
        <f>0.5*4*(AX10/SUM($AV10:$AY10))</f>
        <v>0.54428303655107779</v>
      </c>
      <c r="AY410" s="993">
        <f>0.45*4*(AY10/SUM($AR10:$AU10))</f>
        <v>0.49430387336611104</v>
      </c>
      <c r="AZ410" s="993">
        <f t="shared" ref="AZ410:BC410" si="1230">0.55*4*(AZ10/SUM($AZ10:$BC10))</f>
        <v>0.50133333333333341</v>
      </c>
      <c r="BA410" s="993">
        <f t="shared" si="1230"/>
        <v>0.5357777777777778</v>
      </c>
      <c r="BB410" s="993">
        <f t="shared" si="1230"/>
        <v>0.59955555555555551</v>
      </c>
      <c r="BC410" s="993">
        <f t="shared" si="1230"/>
        <v>0.56333333333333335</v>
      </c>
      <c r="BD410" s="993">
        <f>0.55*4*(BD10/SUM($BD10:$BG10))</f>
        <v>0.52826189111513933</v>
      </c>
      <c r="BE410" s="993">
        <f t="shared" ref="BE410:BG410" si="1231">0.55*4*(BE10/SUM($BD10:$BG10))</f>
        <v>0.53882712893744211</v>
      </c>
      <c r="BF410" s="993">
        <f t="shared" si="1231"/>
        <v>0.57654502796306317</v>
      </c>
      <c r="BG410" s="993">
        <f t="shared" si="1231"/>
        <v>0.5563659519843559</v>
      </c>
      <c r="BH410" s="993">
        <f>0.55*4*(BH10/SUM($BD10:$BG10))</f>
        <v>0.53132948414505987</v>
      </c>
      <c r="BI410" s="993">
        <f t="shared" ref="BI410:BK410" si="1232">0.55*4*(BI10/SUM($BD10:$BG10))</f>
        <v>0.55258266351086227</v>
      </c>
      <c r="BJ410" s="993">
        <f t="shared" si="1232"/>
        <v>0.59126344995662261</v>
      </c>
      <c r="BK410" s="993">
        <f t="shared" si="1232"/>
        <v>0.56761291195835772</v>
      </c>
      <c r="BL410" s="993">
        <f>0.55*4*(BL10/SUM($BD10:$BG10))</f>
        <v>0.5420703309202316</v>
      </c>
      <c r="BM410" s="993">
        <f t="shared" ref="BM410:BO410" si="1233">0.55*4*(BM10/SUM($BD10:$BG10))</f>
        <v>0.56375314415704092</v>
      </c>
      <c r="BN410" s="993">
        <f t="shared" si="1233"/>
        <v>0.60321586424803386</v>
      </c>
      <c r="BO410" s="993">
        <f t="shared" si="1233"/>
        <v>0.57908722967811255</v>
      </c>
      <c r="BP410" s="994"/>
      <c r="BQ410" s="995"/>
      <c r="BR410" s="995"/>
      <c r="BS410" s="995"/>
      <c r="BT410" s="996"/>
      <c r="BU410" s="996"/>
      <c r="BV410" s="996"/>
      <c r="BW410" s="996"/>
      <c r="BX410" s="996"/>
      <c r="BY410" s="996"/>
      <c r="BZ410" s="996"/>
      <c r="CA410" s="996"/>
      <c r="CB410" s="996"/>
      <c r="CC410" s="996"/>
      <c r="CD410" s="996"/>
      <c r="CE410" s="996"/>
      <c r="CF410" s="993"/>
      <c r="CG410" s="716"/>
    </row>
    <row r="411" spans="1:88" ht="14.25" hidden="1" customHeight="1" outlineLevel="1">
      <c r="A411" s="672"/>
      <c r="B411" s="993" t="s">
        <v>567</v>
      </c>
      <c r="C411" s="993"/>
      <c r="D411" s="993"/>
      <c r="E411" s="993"/>
      <c r="F411" s="993"/>
      <c r="G411" s="993"/>
      <c r="H411" s="993"/>
      <c r="I411" s="993"/>
      <c r="J411" s="993"/>
      <c r="K411" s="993"/>
      <c r="L411" s="993"/>
      <c r="M411" s="993"/>
      <c r="N411" s="993"/>
      <c r="O411" s="993"/>
      <c r="P411" s="993"/>
      <c r="Q411" s="993"/>
      <c r="R411" s="993"/>
      <c r="S411" s="993"/>
      <c r="T411" s="993"/>
      <c r="U411" s="993"/>
      <c r="V411" s="993"/>
      <c r="W411" s="993"/>
      <c r="X411" s="993"/>
      <c r="Y411" s="993"/>
      <c r="Z411" s="993"/>
      <c r="AA411" s="993"/>
      <c r="AB411" s="993"/>
      <c r="AC411" s="993"/>
      <c r="AD411" s="993"/>
      <c r="AE411" s="993"/>
      <c r="AF411" s="993"/>
      <c r="AG411" s="993"/>
      <c r="AH411" s="993"/>
      <c r="AI411" s="993"/>
      <c r="AJ411" s="993"/>
      <c r="AK411" s="993"/>
      <c r="AL411" s="993"/>
      <c r="AM411" s="993"/>
      <c r="AN411" s="993"/>
      <c r="AO411" s="993"/>
      <c r="AP411" s="993"/>
      <c r="AQ411" s="993"/>
      <c r="AR411" s="993"/>
      <c r="AS411" s="993"/>
      <c r="AT411" s="993"/>
      <c r="AU411" s="993"/>
      <c r="AV411" s="993">
        <v>0.01</v>
      </c>
      <c r="AW411" s="993">
        <v>0.02</v>
      </c>
      <c r="AX411" s="993">
        <v>0.02</v>
      </c>
      <c r="AY411" s="993">
        <f>AX411</f>
        <v>0.02</v>
      </c>
      <c r="AZ411" s="993">
        <f t="shared" ref="AZ411:BG411" si="1234">AY411+0.005</f>
        <v>2.5000000000000001E-2</v>
      </c>
      <c r="BA411" s="993">
        <f t="shared" si="1234"/>
        <v>3.0000000000000002E-2</v>
      </c>
      <c r="BB411" s="993">
        <f t="shared" si="1234"/>
        <v>3.5000000000000003E-2</v>
      </c>
      <c r="BC411" s="993">
        <f t="shared" si="1234"/>
        <v>0.04</v>
      </c>
      <c r="BD411" s="993">
        <f t="shared" si="1234"/>
        <v>4.4999999999999998E-2</v>
      </c>
      <c r="BE411" s="993">
        <f t="shared" si="1234"/>
        <v>4.9999999999999996E-2</v>
      </c>
      <c r="BF411" s="993">
        <f t="shared" si="1234"/>
        <v>5.4999999999999993E-2</v>
      </c>
      <c r="BG411" s="993">
        <f t="shared" si="1234"/>
        <v>5.9999999999999991E-2</v>
      </c>
      <c r="BH411" s="993">
        <f t="shared" ref="BH411" si="1235">BG411+0.005</f>
        <v>6.4999999999999988E-2</v>
      </c>
      <c r="BI411" s="993">
        <f t="shared" ref="BI411" si="1236">BH411+0.005</f>
        <v>6.9999999999999993E-2</v>
      </c>
      <c r="BJ411" s="993">
        <f t="shared" ref="BJ411" si="1237">BI411+0.005</f>
        <v>7.4999999999999997E-2</v>
      </c>
      <c r="BK411" s="993">
        <f t="shared" ref="BK411" si="1238">BJ411+0.005</f>
        <v>0.08</v>
      </c>
      <c r="BL411" s="993">
        <f t="shared" ref="BL411" si="1239">BK411+0.005</f>
        <v>8.5000000000000006E-2</v>
      </c>
      <c r="BM411" s="993">
        <f t="shared" ref="BM411" si="1240">BL411+0.005</f>
        <v>9.0000000000000011E-2</v>
      </c>
      <c r="BN411" s="993">
        <f t="shared" ref="BN411" si="1241">BM411+0.005</f>
        <v>9.5000000000000015E-2</v>
      </c>
      <c r="BO411" s="993">
        <f t="shared" ref="BO411" si="1242">BN411+0.005</f>
        <v>0.10000000000000002</v>
      </c>
      <c r="BP411" s="993"/>
      <c r="BQ411" s="993"/>
      <c r="BR411" s="993"/>
      <c r="BS411" s="993"/>
      <c r="BT411" s="993"/>
      <c r="BU411" s="993"/>
      <c r="BV411" s="993"/>
      <c r="BW411" s="993"/>
      <c r="BX411" s="993"/>
      <c r="BY411" s="993"/>
      <c r="BZ411" s="993"/>
      <c r="CA411" s="993"/>
      <c r="CB411" s="993"/>
      <c r="CC411" s="993"/>
      <c r="CD411" s="993"/>
      <c r="CE411" s="993"/>
      <c r="CF411" s="993"/>
      <c r="CG411" s="993"/>
    </row>
    <row r="412" spans="1:88" s="12" customFormat="1" ht="14.25" hidden="1" customHeight="1" outlineLevel="1">
      <c r="A412" s="672"/>
      <c r="B412" s="989"/>
      <c r="C412" s="277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981"/>
      <c r="AC412" s="981"/>
      <c r="AD412" s="981"/>
      <c r="AE412" s="981"/>
      <c r="AF412" s="981"/>
      <c r="AG412" s="981"/>
      <c r="AH412" s="981"/>
      <c r="AI412" s="981"/>
      <c r="AJ412" s="981"/>
      <c r="AK412" s="981"/>
      <c r="AL412" s="981"/>
      <c r="AM412" s="981"/>
      <c r="AN412" s="981"/>
      <c r="AO412" s="981"/>
      <c r="AP412" s="981"/>
      <c r="AQ412" s="981"/>
      <c r="AR412" s="981"/>
      <c r="AS412" s="981"/>
      <c r="AT412" s="981"/>
      <c r="AU412" s="981"/>
      <c r="AV412" s="981"/>
      <c r="AW412" s="981"/>
      <c r="AX412" s="981"/>
      <c r="AY412" s="981"/>
      <c r="AZ412" s="982"/>
      <c r="BA412" s="982"/>
      <c r="BB412" s="982"/>
      <c r="BC412" s="982"/>
      <c r="BD412" s="982"/>
      <c r="BE412" s="982"/>
      <c r="BF412" s="982"/>
      <c r="BG412" s="982"/>
      <c r="BH412" s="982"/>
      <c r="BI412" s="982"/>
      <c r="BJ412" s="982"/>
      <c r="BK412" s="982"/>
      <c r="BL412" s="982"/>
      <c r="BM412" s="982"/>
      <c r="BN412" s="982"/>
      <c r="BO412" s="982"/>
      <c r="BP412" s="652"/>
      <c r="BQ412" s="30"/>
      <c r="BR412" s="30"/>
      <c r="BS412" s="30"/>
      <c r="BT412" s="445"/>
      <c r="BU412" s="445"/>
      <c r="BV412" s="445"/>
      <c r="BW412" s="445"/>
      <c r="BX412" s="445"/>
      <c r="BY412" s="445"/>
      <c r="BZ412" s="445"/>
      <c r="CA412" s="445"/>
      <c r="CB412" s="445"/>
      <c r="CC412" s="445"/>
      <c r="CD412" s="445"/>
      <c r="CE412" s="445"/>
      <c r="CF412" s="982"/>
      <c r="CG412" s="54"/>
      <c r="CH412"/>
      <c r="CI412" s="239"/>
      <c r="CJ412" s="219"/>
    </row>
    <row r="413" spans="1:88" ht="14.25" hidden="1" customHeight="1" outlineLevel="1">
      <c r="A413" s="997"/>
      <c r="B413" s="998" t="s">
        <v>569</v>
      </c>
      <c r="C413" s="999"/>
      <c r="D413" s="1000"/>
      <c r="E413" s="1000"/>
      <c r="F413" s="1000"/>
      <c r="G413" s="1000"/>
      <c r="H413" s="1000"/>
      <c r="I413" s="1000"/>
      <c r="J413" s="1000"/>
      <c r="K413" s="1000"/>
      <c r="L413" s="1000"/>
      <c r="M413" s="1000"/>
      <c r="N413" s="1000"/>
      <c r="O413" s="1000"/>
      <c r="P413" s="1000"/>
      <c r="Q413" s="1000"/>
      <c r="R413" s="1000"/>
      <c r="S413" s="1000"/>
      <c r="T413" s="1000"/>
      <c r="U413" s="1000"/>
      <c r="V413" s="1000"/>
      <c r="W413" s="1000"/>
      <c r="X413" s="1000"/>
      <c r="Y413" s="1000"/>
      <c r="Z413" s="1000"/>
      <c r="AA413" s="1000"/>
      <c r="AB413" s="1001"/>
      <c r="AC413" s="1001"/>
      <c r="AD413" s="1001"/>
      <c r="AE413" s="1001"/>
      <c r="AF413" s="1001"/>
      <c r="AG413" s="1001"/>
      <c r="AH413" s="1001"/>
      <c r="AI413" s="1001"/>
      <c r="AJ413" s="1001"/>
      <c r="AK413" s="1001"/>
      <c r="AL413" s="1001"/>
      <c r="AM413" s="1001"/>
      <c r="AN413" s="1001">
        <f>(AN410*5000+AN411*3000)/4</f>
        <v>453.35636722606125</v>
      </c>
      <c r="AO413" s="1001">
        <f t="shared" ref="AO413:AX413" si="1243">(AO410*5000+AO411*3000)/4</f>
        <v>492.34945705824288</v>
      </c>
      <c r="AP413" s="1001">
        <f t="shared" si="1243"/>
        <v>530.35538005923001</v>
      </c>
      <c r="AQ413" s="1001">
        <f t="shared" si="1243"/>
        <v>523.93879565646591</v>
      </c>
      <c r="AR413" s="1001">
        <f t="shared" si="1243"/>
        <v>549.07662789303276</v>
      </c>
      <c r="AS413" s="1001">
        <f t="shared" si="1243"/>
        <v>552.854059239717</v>
      </c>
      <c r="AT413" s="1001">
        <f t="shared" si="1243"/>
        <v>588.73965703321744</v>
      </c>
      <c r="AU413" s="1001">
        <f t="shared" si="1243"/>
        <v>559.32965583403291</v>
      </c>
      <c r="AV413" s="1001">
        <f t="shared" si="1243"/>
        <v>557.81630740393621</v>
      </c>
      <c r="AW413" s="1001">
        <f t="shared" si="1243"/>
        <v>613.6410496719775</v>
      </c>
      <c r="AX413" s="1001">
        <f t="shared" si="1243"/>
        <v>695.35379568884719</v>
      </c>
      <c r="AY413" s="1001">
        <f t="shared" ref="AY413" si="1244">(AY410*5000+AY411*3000)/4</f>
        <v>632.87984170763878</v>
      </c>
      <c r="AZ413" s="1001">
        <f t="shared" ref="AZ413:BG413" si="1245">(AZ410*5000+AZ411*3000)/4</f>
        <v>645.41666666666674</v>
      </c>
      <c r="BA413" s="1001">
        <f t="shared" si="1245"/>
        <v>692.22222222222229</v>
      </c>
      <c r="BB413" s="1001">
        <f t="shared" si="1245"/>
        <v>775.69444444444434</v>
      </c>
      <c r="BC413" s="1001">
        <f t="shared" si="1245"/>
        <v>734.16666666666674</v>
      </c>
      <c r="BD413" s="1001">
        <f t="shared" si="1245"/>
        <v>694.07736389392414</v>
      </c>
      <c r="BE413" s="1001">
        <f t="shared" si="1245"/>
        <v>711.03391117180263</v>
      </c>
      <c r="BF413" s="1001">
        <f t="shared" si="1245"/>
        <v>761.93128495382894</v>
      </c>
      <c r="BG413" s="1001">
        <f t="shared" si="1245"/>
        <v>740.45743998044486</v>
      </c>
      <c r="BH413" s="1001">
        <f t="shared" ref="BH413:BK413" si="1246">(BH410*5000+BH411*3000)/4</f>
        <v>712.91185518132488</v>
      </c>
      <c r="BI413" s="1001">
        <f t="shared" si="1246"/>
        <v>743.22832938857789</v>
      </c>
      <c r="BJ413" s="1001">
        <f t="shared" si="1246"/>
        <v>795.32931244577821</v>
      </c>
      <c r="BK413" s="1001">
        <f t="shared" si="1246"/>
        <v>769.51613994794718</v>
      </c>
      <c r="BL413" s="1001">
        <f t="shared" ref="BL413:BO413" si="1247">(BL410*5000+BL411*3000)/4</f>
        <v>741.33791365028947</v>
      </c>
      <c r="BM413" s="1001">
        <f t="shared" si="1247"/>
        <v>772.1914301963011</v>
      </c>
      <c r="BN413" s="1001">
        <f t="shared" si="1247"/>
        <v>825.26983031004238</v>
      </c>
      <c r="BO413" s="1001">
        <f t="shared" si="1247"/>
        <v>798.85903709764068</v>
      </c>
      <c r="BP413" s="978"/>
      <c r="BQ413" s="979"/>
      <c r="BR413" s="979"/>
      <c r="BS413" s="979"/>
      <c r="BT413" s="1001"/>
      <c r="BU413" s="1001"/>
      <c r="BV413" s="1001"/>
      <c r="BW413" s="1001"/>
      <c r="BX413" s="1001"/>
      <c r="BY413" s="1001"/>
      <c r="BZ413" s="1001"/>
      <c r="CA413" s="1001"/>
      <c r="CB413" s="1001"/>
      <c r="CC413" s="1001"/>
      <c r="CD413" s="1001"/>
      <c r="CE413" s="1001"/>
      <c r="CF413" s="1001"/>
      <c r="CG413" s="1003"/>
    </row>
    <row r="414" spans="1:88" ht="14.25" hidden="1" customHeight="1" outlineLevel="1">
      <c r="A414" s="997"/>
      <c r="B414" s="998" t="s">
        <v>571</v>
      </c>
      <c r="C414" s="999"/>
      <c r="D414" s="1000"/>
      <c r="E414" s="1000"/>
      <c r="F414" s="1000"/>
      <c r="G414" s="1000"/>
      <c r="H414" s="1000"/>
      <c r="I414" s="1000"/>
      <c r="J414" s="1000"/>
      <c r="K414" s="1000"/>
      <c r="L414" s="1000"/>
      <c r="M414" s="1000"/>
      <c r="N414" s="1000"/>
      <c r="O414" s="1000"/>
      <c r="P414" s="1000"/>
      <c r="Q414" s="1000"/>
      <c r="R414" s="1000"/>
      <c r="S414" s="1000"/>
      <c r="T414" s="1000"/>
      <c r="U414" s="1000"/>
      <c r="V414" s="1000"/>
      <c r="W414" s="1000"/>
      <c r="X414" s="1000"/>
      <c r="Y414" s="1000"/>
      <c r="Z414" s="1000"/>
      <c r="AA414" s="1000"/>
      <c r="AB414" s="1001"/>
      <c r="AC414" s="1001"/>
      <c r="AD414" s="1001"/>
      <c r="AE414" s="1001"/>
      <c r="AF414" s="1001"/>
      <c r="AG414" s="1001"/>
      <c r="AH414" s="1001"/>
      <c r="AI414" s="1001"/>
      <c r="AJ414" s="1001"/>
      <c r="AK414" s="1001"/>
      <c r="AL414" s="1001"/>
      <c r="AM414" s="1001"/>
      <c r="AN414" s="993">
        <f t="shared" ref="AN414:BC414" si="1248">AN413/AN10</f>
        <v>0.246791707798618</v>
      </c>
      <c r="AO414" s="993">
        <f t="shared" si="1248"/>
        <v>0.24679170779861798</v>
      </c>
      <c r="AP414" s="993">
        <f t="shared" si="1248"/>
        <v>0.24679170779861798</v>
      </c>
      <c r="AQ414" s="993">
        <f t="shared" si="1248"/>
        <v>0.24679170779861795</v>
      </c>
      <c r="AR414" s="993">
        <f t="shared" si="1248"/>
        <v>0.26981652476316104</v>
      </c>
      <c r="AS414" s="993">
        <f t="shared" si="1248"/>
        <v>0.26981652476316104</v>
      </c>
      <c r="AT414" s="993">
        <f t="shared" si="1248"/>
        <v>0.26981652476316104</v>
      </c>
      <c r="AU414" s="993">
        <f t="shared" si="1248"/>
        <v>0.26981652476316109</v>
      </c>
      <c r="AV414" s="993">
        <f t="shared" si="1248"/>
        <v>0.29686871069927417</v>
      </c>
      <c r="AW414" s="993">
        <f t="shared" si="1248"/>
        <v>0.30021577772601638</v>
      </c>
      <c r="AX414" s="993">
        <f t="shared" si="1248"/>
        <v>0.2993343933227926</v>
      </c>
      <c r="AY414" s="993">
        <f t="shared" ref="AY414" si="1249">AY413/AY10</f>
        <v>0.27636674310377241</v>
      </c>
      <c r="AZ414" s="993">
        <f t="shared" si="1248"/>
        <v>0.2860889479905438</v>
      </c>
      <c r="BA414" s="993">
        <f t="shared" si="1248"/>
        <v>0.28711000506935808</v>
      </c>
      <c r="BB414" s="993">
        <f t="shared" si="1248"/>
        <v>0.28750720698459759</v>
      </c>
      <c r="BC414" s="993">
        <f t="shared" si="1248"/>
        <v>0.28961209730440501</v>
      </c>
      <c r="BD414" s="993">
        <f t="shared" ref="BD414:BG414" si="1250">BD413/BD10</f>
        <v>0.27049000931173972</v>
      </c>
      <c r="BE414" s="993">
        <f t="shared" si="1250"/>
        <v>0.2716648752050963</v>
      </c>
      <c r="BF414" s="993">
        <f t="shared" si="1250"/>
        <v>0.27206658453722182</v>
      </c>
      <c r="BG414" s="993">
        <f t="shared" si="1250"/>
        <v>0.2739884063852146</v>
      </c>
      <c r="BH414" s="993">
        <f t="shared" ref="BH414:BK414" si="1251">BH413/BH10</f>
        <v>0.27622599736252113</v>
      </c>
      <c r="BI414" s="993">
        <f t="shared" si="1251"/>
        <v>0.2768966040490265</v>
      </c>
      <c r="BJ414" s="993">
        <f t="shared" si="1251"/>
        <v>0.27692271801656954</v>
      </c>
      <c r="BK414" s="993">
        <f t="shared" si="1251"/>
        <v>0.27909888197849014</v>
      </c>
      <c r="BL414" s="993">
        <f t="shared" ref="BL414:BO414" si="1252">BL413/BL10</f>
        <v>0.28154849062672532</v>
      </c>
      <c r="BM414" s="993">
        <f t="shared" si="1252"/>
        <v>0.28198670326505004</v>
      </c>
      <c r="BN414" s="993">
        <f t="shared" si="1252"/>
        <v>0.28165394834108853</v>
      </c>
      <c r="BO414" s="993">
        <f t="shared" si="1252"/>
        <v>0.28400029716389419</v>
      </c>
      <c r="BP414" s="978"/>
      <c r="BQ414" s="979"/>
      <c r="BR414" s="979"/>
      <c r="BS414" s="979"/>
      <c r="BT414" s="1002"/>
      <c r="BU414" s="1002"/>
      <c r="BV414" s="1002"/>
      <c r="BW414" s="1002"/>
      <c r="BX414" s="1002"/>
      <c r="BY414" s="1002"/>
      <c r="BZ414" s="1002"/>
      <c r="CA414" s="1002"/>
      <c r="CB414" s="1002"/>
      <c r="CC414" s="1002"/>
      <c r="CD414" s="1002"/>
      <c r="CE414" s="1002"/>
      <c r="CF414" s="993"/>
      <c r="CG414" s="1003"/>
    </row>
    <row r="415" spans="1:88" s="12" customFormat="1" ht="14.25" hidden="1" customHeight="1" outlineLevel="1">
      <c r="A415" s="672"/>
      <c r="B415" s="989" t="s">
        <v>570</v>
      </c>
      <c r="C415" s="277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981"/>
      <c r="AC415" s="981"/>
      <c r="AD415" s="981"/>
      <c r="AE415" s="981"/>
      <c r="AF415" s="981"/>
      <c r="AG415" s="981"/>
      <c r="AH415" s="981"/>
      <c r="AI415" s="981"/>
      <c r="AJ415" s="981"/>
      <c r="AK415" s="981"/>
      <c r="AL415" s="981"/>
      <c r="AM415" s="981"/>
      <c r="AN415" s="993">
        <f>1-AN414</f>
        <v>0.75320829220138197</v>
      </c>
      <c r="AO415" s="993">
        <f t="shared" ref="AO415:AX415" si="1253">1-AO414</f>
        <v>0.75320829220138208</v>
      </c>
      <c r="AP415" s="993">
        <f t="shared" si="1253"/>
        <v>0.75320829220138208</v>
      </c>
      <c r="AQ415" s="993">
        <f t="shared" si="1253"/>
        <v>0.75320829220138208</v>
      </c>
      <c r="AR415" s="993">
        <f t="shared" si="1253"/>
        <v>0.73018347523683902</v>
      </c>
      <c r="AS415" s="993">
        <f t="shared" si="1253"/>
        <v>0.73018347523683902</v>
      </c>
      <c r="AT415" s="993">
        <f t="shared" si="1253"/>
        <v>0.73018347523683902</v>
      </c>
      <c r="AU415" s="993">
        <f t="shared" si="1253"/>
        <v>0.73018347523683891</v>
      </c>
      <c r="AV415" s="993">
        <f t="shared" si="1253"/>
        <v>0.70313128930072577</v>
      </c>
      <c r="AW415" s="993">
        <f t="shared" si="1253"/>
        <v>0.69978422227398362</v>
      </c>
      <c r="AX415" s="993">
        <f t="shared" si="1253"/>
        <v>0.70066560667720745</v>
      </c>
      <c r="AY415" s="993">
        <f t="shared" ref="AY415" si="1254">1-AY414</f>
        <v>0.72363325689622759</v>
      </c>
      <c r="AZ415" s="993">
        <f t="shared" ref="AZ415:BG415" si="1255">1-AZ414</f>
        <v>0.71391105200945626</v>
      </c>
      <c r="BA415" s="993">
        <f t="shared" si="1255"/>
        <v>0.71288999493064198</v>
      </c>
      <c r="BB415" s="993">
        <f t="shared" si="1255"/>
        <v>0.71249279301540236</v>
      </c>
      <c r="BC415" s="993">
        <f t="shared" si="1255"/>
        <v>0.71038790269559504</v>
      </c>
      <c r="BD415" s="993">
        <f t="shared" si="1255"/>
        <v>0.72950999068826028</v>
      </c>
      <c r="BE415" s="993">
        <f t="shared" si="1255"/>
        <v>0.7283351247949037</v>
      </c>
      <c r="BF415" s="993">
        <f t="shared" si="1255"/>
        <v>0.72793341546277812</v>
      </c>
      <c r="BG415" s="993">
        <f t="shared" si="1255"/>
        <v>0.7260115936147854</v>
      </c>
      <c r="BH415" s="993">
        <f t="shared" ref="BH415:BK415" si="1256">1-BH414</f>
        <v>0.72377400263747882</v>
      </c>
      <c r="BI415" s="993">
        <f t="shared" si="1256"/>
        <v>0.7231033959509735</v>
      </c>
      <c r="BJ415" s="993">
        <f t="shared" si="1256"/>
        <v>0.72307728198343046</v>
      </c>
      <c r="BK415" s="993">
        <f t="shared" si="1256"/>
        <v>0.72090111802150991</v>
      </c>
      <c r="BL415" s="993">
        <f t="shared" ref="BL415:BO415" si="1257">1-BL414</f>
        <v>0.71845150937327462</v>
      </c>
      <c r="BM415" s="993">
        <f t="shared" si="1257"/>
        <v>0.71801329673494996</v>
      </c>
      <c r="BN415" s="993">
        <f t="shared" si="1257"/>
        <v>0.71834605165891152</v>
      </c>
      <c r="BO415" s="993">
        <f t="shared" si="1257"/>
        <v>0.71599970283610581</v>
      </c>
      <c r="BP415" s="652"/>
      <c r="BQ415" s="30"/>
      <c r="BR415" s="30"/>
      <c r="BS415" s="30"/>
      <c r="BT415" s="445"/>
      <c r="BU415" s="445"/>
      <c r="BV415" s="445"/>
      <c r="BW415" s="445"/>
      <c r="BX415" s="445"/>
      <c r="BY415" s="445"/>
      <c r="BZ415" s="445"/>
      <c r="CA415" s="445"/>
      <c r="CB415" s="445"/>
      <c r="CC415" s="445"/>
      <c r="CD415" s="445"/>
      <c r="CE415" s="445"/>
      <c r="CF415" s="993"/>
      <c r="CG415" s="54"/>
      <c r="CH415"/>
      <c r="CI415" s="239"/>
      <c r="CJ415" s="219"/>
    </row>
    <row r="416" spans="1:88" ht="14.25" hidden="1" customHeight="1" outlineLevel="1">
      <c r="A416" s="997"/>
      <c r="B416" s="998" t="s">
        <v>572</v>
      </c>
      <c r="C416" s="999"/>
      <c r="D416" s="1000"/>
      <c r="E416" s="1000"/>
      <c r="F416" s="1000"/>
      <c r="G416" s="1000"/>
      <c r="H416" s="1000"/>
      <c r="I416" s="1000"/>
      <c r="J416" s="1000"/>
      <c r="K416" s="1000"/>
      <c r="L416" s="1000"/>
      <c r="M416" s="1000"/>
      <c r="N416" s="1000"/>
      <c r="O416" s="1000"/>
      <c r="P416" s="1000"/>
      <c r="Q416" s="1000"/>
      <c r="R416" s="1000"/>
      <c r="S416" s="1000"/>
      <c r="T416" s="1000"/>
      <c r="U416" s="1000"/>
      <c r="V416" s="1000"/>
      <c r="W416" s="1000"/>
      <c r="X416" s="1000"/>
      <c r="Y416" s="1000"/>
      <c r="Z416" s="1000"/>
      <c r="AA416" s="1000"/>
      <c r="AB416" s="1001"/>
      <c r="AC416" s="1001"/>
      <c r="AD416" s="1001"/>
      <c r="AE416" s="1001"/>
      <c r="AF416" s="1001"/>
      <c r="AG416" s="1001"/>
      <c r="AH416" s="1001"/>
      <c r="AI416" s="1001"/>
      <c r="AJ416" s="1001"/>
      <c r="AK416" s="1001"/>
      <c r="AL416" s="1001"/>
      <c r="AM416" s="1001"/>
      <c r="AN416" s="1004">
        <f>100*AN415+(100*0.6)*AN414</f>
        <v>90.128331688055269</v>
      </c>
      <c r="AO416" s="1004">
        <f t="shared" ref="AO416:AX416" si="1258">100*AO415+(100*0.6)*AO414</f>
        <v>90.128331688055283</v>
      </c>
      <c r="AP416" s="1004">
        <f t="shared" si="1258"/>
        <v>90.128331688055283</v>
      </c>
      <c r="AQ416" s="1004">
        <f t="shared" si="1258"/>
        <v>90.128331688055283</v>
      </c>
      <c r="AR416" s="1004">
        <f t="shared" si="1258"/>
        <v>89.207339009473557</v>
      </c>
      <c r="AS416" s="1004">
        <f t="shared" si="1258"/>
        <v>89.207339009473557</v>
      </c>
      <c r="AT416" s="1004">
        <f t="shared" si="1258"/>
        <v>89.207339009473557</v>
      </c>
      <c r="AU416" s="1004">
        <f t="shared" si="1258"/>
        <v>89.207339009473543</v>
      </c>
      <c r="AV416" s="1004">
        <f t="shared" si="1258"/>
        <v>88.125251572029029</v>
      </c>
      <c r="AW416" s="1004">
        <f t="shared" si="1258"/>
        <v>87.99136889095935</v>
      </c>
      <c r="AX416" s="1004">
        <f t="shared" si="1258"/>
        <v>88.026624267088309</v>
      </c>
      <c r="AY416" s="1004">
        <f t="shared" ref="AY416" si="1259">100*AY415+(100*0.6)*AY414</f>
        <v>88.945330275849102</v>
      </c>
      <c r="AZ416" s="1004">
        <f t="shared" ref="AZ416:BG416" si="1260">100*AZ415+(100*0.6)*AZ414</f>
        <v>88.556442080378261</v>
      </c>
      <c r="BA416" s="1004">
        <f t="shared" si="1260"/>
        <v>88.515599797225676</v>
      </c>
      <c r="BB416" s="1004">
        <f t="shared" si="1260"/>
        <v>88.499711720616091</v>
      </c>
      <c r="BC416" s="1004">
        <f t="shared" si="1260"/>
        <v>88.415516107823805</v>
      </c>
      <c r="BD416" s="1004">
        <f t="shared" si="1260"/>
        <v>89.180399627530406</v>
      </c>
      <c r="BE416" s="1004">
        <f t="shared" si="1260"/>
        <v>89.133404991796141</v>
      </c>
      <c r="BF416" s="1004">
        <f t="shared" si="1260"/>
        <v>89.117336618511132</v>
      </c>
      <c r="BG416" s="1004">
        <f t="shared" si="1260"/>
        <v>89.04046374459142</v>
      </c>
      <c r="BH416" s="1004">
        <f t="shared" ref="BH416:BK416" si="1261">100*BH415+(100*0.6)*BH414</f>
        <v>88.950960105499149</v>
      </c>
      <c r="BI416" s="1004">
        <f t="shared" si="1261"/>
        <v>88.924135838038936</v>
      </c>
      <c r="BJ416" s="1004">
        <f t="shared" si="1261"/>
        <v>88.923091279337214</v>
      </c>
      <c r="BK416" s="1004">
        <f t="shared" si="1261"/>
        <v>88.8360447208604</v>
      </c>
      <c r="BL416" s="1004">
        <f t="shared" ref="BL416:BO416" si="1262">100*BL415+(100*0.6)*BL414</f>
        <v>88.738060374930981</v>
      </c>
      <c r="BM416" s="1004">
        <f t="shared" si="1262"/>
        <v>88.720531869398002</v>
      </c>
      <c r="BN416" s="1004">
        <f t="shared" si="1262"/>
        <v>88.733842066356459</v>
      </c>
      <c r="BO416" s="1004">
        <f t="shared" si="1262"/>
        <v>88.639988113444247</v>
      </c>
      <c r="BP416" s="978"/>
      <c r="BQ416" s="979"/>
      <c r="BR416" s="979"/>
      <c r="BS416" s="979"/>
      <c r="BT416" s="1002"/>
      <c r="BU416" s="1002"/>
      <c r="BV416" s="1002"/>
      <c r="BW416" s="1002"/>
      <c r="BX416" s="1002"/>
      <c r="BY416" s="1002"/>
      <c r="BZ416" s="1002"/>
      <c r="CA416" s="1002"/>
      <c r="CB416" s="1002"/>
      <c r="CC416" s="1002"/>
      <c r="CD416" s="1002"/>
      <c r="CE416" s="1002"/>
      <c r="CF416" s="1004"/>
      <c r="CG416" s="1003"/>
    </row>
    <row r="417" spans="1:88" s="12" customFormat="1" ht="14.25" hidden="1" customHeight="1" outlineLevel="1">
      <c r="A417" s="672"/>
      <c r="B417" s="989"/>
      <c r="C417" s="277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981"/>
      <c r="AC417" s="981"/>
      <c r="AD417" s="981"/>
      <c r="AE417" s="981"/>
      <c r="AF417" s="981"/>
      <c r="AG417" s="981"/>
      <c r="AH417" s="981"/>
      <c r="AI417" s="981"/>
      <c r="AJ417" s="981"/>
      <c r="AK417" s="981"/>
      <c r="AL417" s="981"/>
      <c r="AM417" s="981"/>
      <c r="AN417" s="993"/>
      <c r="AO417" s="993"/>
      <c r="AP417" s="993"/>
      <c r="AQ417" s="993"/>
      <c r="AR417" s="993"/>
      <c r="AS417" s="993"/>
      <c r="AT417" s="993"/>
      <c r="AU417" s="993"/>
      <c r="AV417" s="993"/>
      <c r="AW417" s="993"/>
      <c r="AX417" s="993"/>
      <c r="AY417" s="993"/>
      <c r="AZ417" s="982"/>
      <c r="BA417" s="982"/>
      <c r="BB417" s="982"/>
      <c r="BC417" s="982"/>
      <c r="BD417" s="982"/>
      <c r="BE417" s="982"/>
      <c r="BF417" s="982"/>
      <c r="BG417" s="982"/>
      <c r="BH417" s="982"/>
      <c r="BI417" s="982"/>
      <c r="BJ417" s="982"/>
      <c r="BK417" s="982"/>
      <c r="BL417" s="982"/>
      <c r="BM417" s="982"/>
      <c r="BN417" s="982"/>
      <c r="BO417" s="982"/>
      <c r="BP417" s="652"/>
      <c r="BQ417" s="30"/>
      <c r="BR417" s="30"/>
      <c r="BS417" s="30"/>
      <c r="BT417" s="445"/>
      <c r="BU417" s="445"/>
      <c r="BV417" s="445"/>
      <c r="BW417" s="445"/>
      <c r="BX417" s="445"/>
      <c r="BY417" s="445"/>
      <c r="BZ417" s="445"/>
      <c r="CA417" s="445"/>
      <c r="CB417" s="445"/>
      <c r="CC417" s="445"/>
      <c r="CD417" s="445"/>
      <c r="CE417" s="445"/>
      <c r="CF417" s="982"/>
      <c r="CG417" s="54"/>
      <c r="CH417"/>
      <c r="CI417" s="239"/>
      <c r="CJ417" s="219"/>
    </row>
    <row r="418" spans="1:88" s="12" customFormat="1" ht="14.25" hidden="1" customHeight="1" outlineLevel="1">
      <c r="A418" s="672"/>
      <c r="B418" s="988"/>
      <c r="C418" s="277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981"/>
      <c r="AC418" s="981"/>
      <c r="AD418" s="981"/>
      <c r="AE418" s="981"/>
      <c r="AF418" s="981"/>
      <c r="AG418" s="981"/>
      <c r="AH418" s="981"/>
      <c r="AI418" s="981"/>
      <c r="AJ418" s="981"/>
      <c r="AK418" s="981"/>
      <c r="AL418" s="981"/>
      <c r="AM418" s="981"/>
      <c r="AN418" s="981"/>
      <c r="AO418" s="981"/>
      <c r="AP418" s="981"/>
      <c r="AQ418" s="981"/>
      <c r="AR418" s="981"/>
      <c r="AS418" s="981"/>
      <c r="AT418" s="981"/>
      <c r="AU418" s="981"/>
      <c r="AV418" s="981"/>
      <c r="AW418" s="981"/>
      <c r="AX418" s="981"/>
      <c r="AY418" s="981"/>
      <c r="AZ418" s="982"/>
      <c r="BA418" s="982"/>
      <c r="BB418" s="982"/>
      <c r="BC418" s="982"/>
      <c r="BD418" s="982"/>
      <c r="BE418" s="982"/>
      <c r="BF418" s="982"/>
      <c r="BG418" s="982"/>
      <c r="BH418" s="982"/>
      <c r="BI418" s="982"/>
      <c r="BJ418" s="982"/>
      <c r="BK418" s="982"/>
      <c r="BL418" s="982"/>
      <c r="BM418" s="982"/>
      <c r="BN418" s="982"/>
      <c r="BO418" s="982"/>
      <c r="BP418" s="652"/>
      <c r="BQ418" s="30"/>
      <c r="BR418" s="30"/>
      <c r="BS418" s="30"/>
      <c r="BT418" s="445"/>
      <c r="BU418" s="445"/>
      <c r="BV418" s="445"/>
      <c r="BW418" s="445"/>
      <c r="BX418" s="445"/>
      <c r="BY418" s="445"/>
      <c r="BZ418" s="445"/>
      <c r="CA418" s="445"/>
      <c r="CB418" s="445"/>
      <c r="CC418" s="445"/>
      <c r="CD418" s="445"/>
      <c r="CE418" s="445"/>
      <c r="CF418" s="982"/>
      <c r="CG418" s="54"/>
      <c r="CH418"/>
      <c r="CI418" s="239"/>
      <c r="CJ418" s="219"/>
    </row>
    <row r="419" spans="1:88" s="12" customFormat="1" ht="14.25" hidden="1" customHeight="1" outlineLevel="1">
      <c r="A419" s="672"/>
      <c r="B419" s="988" t="s">
        <v>566</v>
      </c>
      <c r="C419" s="277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981"/>
      <c r="AC419" s="981"/>
      <c r="AD419" s="1005">
        <v>90</v>
      </c>
      <c r="AE419" s="1005">
        <v>111</v>
      </c>
      <c r="AF419" s="1005">
        <v>120</v>
      </c>
      <c r="AG419" s="1005">
        <v>105</v>
      </c>
      <c r="AH419" s="1005">
        <v>146</v>
      </c>
      <c r="AI419" s="1005">
        <v>170</v>
      </c>
      <c r="AJ419" s="1005">
        <v>150</v>
      </c>
      <c r="AK419" s="1005">
        <v>95</v>
      </c>
      <c r="AL419" s="1005">
        <v>70</v>
      </c>
      <c r="AM419" s="982">
        <v>105</v>
      </c>
      <c r="AN419" s="982">
        <v>105</v>
      </c>
      <c r="AO419" s="982">
        <v>56</v>
      </c>
      <c r="AP419" s="982">
        <v>0</v>
      </c>
      <c r="AQ419" s="982">
        <v>0</v>
      </c>
      <c r="AR419" s="981"/>
      <c r="AS419" s="981"/>
      <c r="AT419" s="981"/>
      <c r="AU419" s="981"/>
      <c r="AV419" s="981"/>
      <c r="AW419" s="981"/>
      <c r="AX419" s="981"/>
      <c r="AY419" s="981"/>
      <c r="AZ419" s="982"/>
      <c r="BA419" s="982"/>
      <c r="BB419" s="982"/>
      <c r="BC419" s="982"/>
      <c r="BD419" s="982"/>
      <c r="BE419" s="982"/>
      <c r="BF419" s="982"/>
      <c r="BG419" s="982"/>
      <c r="BH419" s="982"/>
      <c r="BI419" s="982"/>
      <c r="BJ419" s="982"/>
      <c r="BK419" s="982"/>
      <c r="BL419" s="982"/>
      <c r="BM419" s="982"/>
      <c r="BN419" s="982"/>
      <c r="BO419" s="982"/>
      <c r="BP419" s="652"/>
      <c r="BQ419" s="30"/>
      <c r="BR419" s="30"/>
      <c r="BS419" s="30"/>
      <c r="BT419" s="445"/>
      <c r="BU419" s="445"/>
      <c r="BV419" s="445"/>
      <c r="BW419" s="445"/>
      <c r="BX419" s="445"/>
      <c r="BY419" s="445"/>
      <c r="BZ419" s="445"/>
      <c r="CA419" s="445"/>
      <c r="CB419" s="445"/>
      <c r="CC419" s="445"/>
      <c r="CD419" s="445"/>
      <c r="CE419" s="445"/>
      <c r="CF419" s="445"/>
      <c r="CG419" s="54"/>
      <c r="CH419"/>
      <c r="CI419" s="239"/>
      <c r="CJ419" s="219"/>
    </row>
    <row r="420" spans="1:88" s="12" customFormat="1" ht="14.25" customHeight="1" collapsed="1">
      <c r="A420" s="672"/>
      <c r="B420" s="988"/>
      <c r="C420" s="277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981"/>
      <c r="AC420" s="981"/>
      <c r="AD420" s="981"/>
      <c r="AE420" s="981"/>
      <c r="AF420" s="981"/>
      <c r="AG420" s="981"/>
      <c r="AH420" s="981"/>
      <c r="AI420" s="981"/>
      <c r="AJ420" s="981"/>
      <c r="AK420" s="981"/>
      <c r="AL420" s="981"/>
      <c r="AM420" s="981"/>
      <c r="AN420" s="981"/>
      <c r="AO420" s="981"/>
      <c r="AP420" s="981"/>
      <c r="AQ420" s="981"/>
      <c r="AR420" s="981"/>
      <c r="AS420" s="981"/>
      <c r="AT420" s="981"/>
      <c r="AU420" s="981"/>
      <c r="AV420" s="981"/>
      <c r="AW420" s="981"/>
      <c r="AX420" s="981"/>
      <c r="AY420" s="981"/>
      <c r="AZ420" s="982"/>
      <c r="BA420" s="982"/>
      <c r="BB420" s="982"/>
      <c r="BC420" s="982"/>
      <c r="BD420" s="982"/>
      <c r="BE420" s="982"/>
      <c r="BF420" s="982"/>
      <c r="BG420" s="982"/>
      <c r="BH420" s="982"/>
      <c r="BI420" s="982"/>
      <c r="BJ420" s="982"/>
      <c r="BK420" s="982"/>
      <c r="BL420" s="982"/>
      <c r="BM420" s="982"/>
      <c r="BN420" s="982"/>
      <c r="BO420" s="982"/>
      <c r="BP420" s="652"/>
      <c r="BQ420" s="30"/>
      <c r="BR420" s="30"/>
      <c r="BS420" s="30"/>
      <c r="BT420" s="445"/>
      <c r="BU420" s="445"/>
      <c r="BV420" s="445"/>
      <c r="BW420" s="445"/>
      <c r="BX420" s="445"/>
      <c r="BY420" s="445"/>
      <c r="BZ420" s="445"/>
      <c r="CA420" s="445"/>
      <c r="CB420" s="445"/>
      <c r="CC420" s="445"/>
      <c r="CD420" s="445"/>
      <c r="CE420" s="445"/>
      <c r="CF420" s="445"/>
      <c r="CG420" s="54"/>
      <c r="CH420"/>
      <c r="CI420" s="239"/>
      <c r="CJ420" s="219"/>
    </row>
    <row r="421" spans="1:88" ht="14.25" customHeight="1">
      <c r="A421" s="1"/>
      <c r="B421" s="1006"/>
      <c r="C421" s="1007"/>
      <c r="D421" s="1008"/>
      <c r="E421" s="1008"/>
      <c r="F421" s="1008"/>
      <c r="G421" s="1008"/>
      <c r="H421" s="1008"/>
      <c r="I421" s="1008"/>
      <c r="J421" s="1008"/>
      <c r="K421" s="1008"/>
      <c r="L421" s="1008"/>
      <c r="M421" s="1008"/>
      <c r="N421" s="1008"/>
      <c r="O421" s="1008"/>
      <c r="P421" s="1008"/>
      <c r="Q421" s="1008"/>
      <c r="R421" s="1008"/>
      <c r="S421" s="1008"/>
      <c r="T421" s="1008"/>
      <c r="U421" s="1008"/>
      <c r="V421" s="1008"/>
      <c r="W421" s="1008"/>
      <c r="X421" s="1008"/>
      <c r="Y421" s="1008"/>
      <c r="Z421" s="1008"/>
      <c r="AA421" s="1008"/>
      <c r="AB421" s="1008"/>
      <c r="AC421" s="1008"/>
      <c r="AD421" s="1008"/>
      <c r="AE421" s="1008"/>
      <c r="AF421" s="1008"/>
      <c r="AG421" s="1008"/>
      <c r="AH421" s="1008"/>
      <c r="AI421" s="1008"/>
      <c r="AJ421" s="1008"/>
      <c r="AK421" s="1008"/>
      <c r="AL421" s="1008"/>
      <c r="AM421" s="1008"/>
      <c r="AN421" s="1008"/>
      <c r="AO421" s="1008"/>
      <c r="AP421" s="1008"/>
      <c r="AQ421" s="1008"/>
      <c r="AR421" s="1008"/>
      <c r="AS421" s="1008"/>
      <c r="AT421" s="1008"/>
      <c r="AU421" s="1008"/>
      <c r="AV421" s="1008"/>
      <c r="AW421" s="1008"/>
      <c r="AX421" s="1008"/>
      <c r="AY421" s="1008"/>
      <c r="AZ421" s="1008"/>
      <c r="BA421" s="1008"/>
      <c r="BB421" s="1008"/>
      <c r="BC421" s="1008"/>
      <c r="BD421" s="1008"/>
      <c r="BE421" s="1008"/>
      <c r="BF421" s="1008"/>
      <c r="BG421" s="1008"/>
      <c r="BH421" s="1008"/>
      <c r="BI421" s="1008"/>
      <c r="BJ421" s="1008"/>
      <c r="BK421" s="1008"/>
      <c r="BL421" s="1008"/>
      <c r="BM421" s="1008"/>
      <c r="BN421" s="1008"/>
      <c r="BO421" s="1008"/>
      <c r="BP421" s="1009"/>
      <c r="BQ421" s="173"/>
      <c r="BR421" s="173"/>
      <c r="BS421" s="173"/>
      <c r="BT421" s="1008"/>
      <c r="BU421" s="1008"/>
      <c r="BV421" s="1008"/>
      <c r="BW421" s="1008"/>
      <c r="BX421" s="1008"/>
      <c r="BY421" s="1008"/>
      <c r="BZ421" s="1008"/>
      <c r="CA421" s="1008"/>
      <c r="CB421" s="1008"/>
      <c r="CC421" s="1008"/>
      <c r="CD421" s="1008"/>
      <c r="CE421" s="1008"/>
      <c r="CF421" s="1008"/>
      <c r="CG421" s="363"/>
    </row>
    <row r="422" spans="1:88" ht="14.25" hidden="1" customHeight="1" outlineLevel="1">
      <c r="A422" s="1"/>
      <c r="B422" s="1010" t="s">
        <v>448</v>
      </c>
      <c r="C422" s="1011"/>
      <c r="D422" s="1012" t="str">
        <f t="shared" ref="D422:BC422" si="1263">D$6</f>
        <v>F1Q05A</v>
      </c>
      <c r="E422" s="1012" t="str">
        <f t="shared" si="1263"/>
        <v>F2Q05A</v>
      </c>
      <c r="F422" s="1012" t="str">
        <f t="shared" si="1263"/>
        <v>F3Q05A</v>
      </c>
      <c r="G422" s="1012" t="str">
        <f t="shared" si="1263"/>
        <v>F4Q05A</v>
      </c>
      <c r="H422" s="1012" t="str">
        <f t="shared" si="1263"/>
        <v>F1Q06A</v>
      </c>
      <c r="I422" s="1012" t="str">
        <f t="shared" si="1263"/>
        <v>F2Q06A</v>
      </c>
      <c r="J422" s="1012" t="str">
        <f t="shared" si="1263"/>
        <v>F3Q06A</v>
      </c>
      <c r="K422" s="1012" t="str">
        <f t="shared" si="1263"/>
        <v>F4Q06A</v>
      </c>
      <c r="L422" s="1012" t="str">
        <f t="shared" si="1263"/>
        <v>F1Q07A</v>
      </c>
      <c r="M422" s="1012" t="str">
        <f t="shared" si="1263"/>
        <v>F2Q07A</v>
      </c>
      <c r="N422" s="1012" t="str">
        <f t="shared" si="1263"/>
        <v>F3Q07A</v>
      </c>
      <c r="O422" s="1012" t="str">
        <f t="shared" si="1263"/>
        <v>F4Q07A</v>
      </c>
      <c r="P422" s="1012" t="str">
        <f t="shared" si="1263"/>
        <v>F1Q08A</v>
      </c>
      <c r="Q422" s="1012" t="str">
        <f t="shared" si="1263"/>
        <v>F2Q08A</v>
      </c>
      <c r="R422" s="1012" t="str">
        <f t="shared" si="1263"/>
        <v>F3Q08A</v>
      </c>
      <c r="S422" s="1012" t="str">
        <f t="shared" si="1263"/>
        <v>F4Q08A</v>
      </c>
      <c r="T422" s="1012" t="str">
        <f t="shared" si="1263"/>
        <v>F1Q09A</v>
      </c>
      <c r="U422" s="1012" t="str">
        <f t="shared" si="1263"/>
        <v>F2Q09A</v>
      </c>
      <c r="V422" s="1012" t="str">
        <f t="shared" si="1263"/>
        <v>F3Q09A</v>
      </c>
      <c r="W422" s="1012" t="str">
        <f t="shared" si="1263"/>
        <v>F4Q09A</v>
      </c>
      <c r="X422" s="1012" t="str">
        <f t="shared" si="1263"/>
        <v>F1Q10A</v>
      </c>
      <c r="Y422" s="1012" t="str">
        <f t="shared" si="1263"/>
        <v>F2Q10A</v>
      </c>
      <c r="Z422" s="1012" t="str">
        <f t="shared" si="1263"/>
        <v>F3Q10A</v>
      </c>
      <c r="AA422" s="1012" t="str">
        <f t="shared" si="1263"/>
        <v>F4Q10A</v>
      </c>
      <c r="AB422" s="1012" t="str">
        <f t="shared" si="1263"/>
        <v>F1Q11A</v>
      </c>
      <c r="AC422" s="1012" t="str">
        <f t="shared" si="1263"/>
        <v>F2Q11A</v>
      </c>
      <c r="AD422" s="1012" t="str">
        <f t="shared" si="1263"/>
        <v>F3Q11A</v>
      </c>
      <c r="AE422" s="1012" t="str">
        <f t="shared" si="1263"/>
        <v>F4Q11A</v>
      </c>
      <c r="AF422" s="1012" t="str">
        <f t="shared" si="1263"/>
        <v>F1Q12A</v>
      </c>
      <c r="AG422" s="1012" t="str">
        <f t="shared" si="1263"/>
        <v>F2Q12A</v>
      </c>
      <c r="AH422" s="1012" t="str">
        <f t="shared" si="1263"/>
        <v>F3Q12A</v>
      </c>
      <c r="AI422" s="1012" t="str">
        <f t="shared" si="1263"/>
        <v>F4Q12A</v>
      </c>
      <c r="AJ422" s="1012" t="str">
        <f t="shared" si="1263"/>
        <v>F1Q13A</v>
      </c>
      <c r="AK422" s="1012" t="str">
        <f t="shared" si="1263"/>
        <v>F2Q13A</v>
      </c>
      <c r="AL422" s="1012" t="str">
        <f t="shared" si="1263"/>
        <v>F3Q13A</v>
      </c>
      <c r="AM422" s="1012" t="str">
        <f t="shared" si="1263"/>
        <v>F4Q13A</v>
      </c>
      <c r="AN422" s="1012" t="str">
        <f t="shared" si="1263"/>
        <v>F1Q14A</v>
      </c>
      <c r="AO422" s="1012" t="str">
        <f t="shared" si="1263"/>
        <v>F2Q14A</v>
      </c>
      <c r="AP422" s="1012" t="str">
        <f t="shared" si="1263"/>
        <v>F3Q14A</v>
      </c>
      <c r="AQ422" s="1012" t="str">
        <f t="shared" si="1263"/>
        <v>F4Q14A</v>
      </c>
      <c r="AR422" s="1012" t="str">
        <f t="shared" si="1263"/>
        <v>F1Q15A</v>
      </c>
      <c r="AS422" s="1012" t="str">
        <f t="shared" si="1263"/>
        <v>F2Q15A</v>
      </c>
      <c r="AT422" s="1012" t="str">
        <f t="shared" si="1263"/>
        <v>F3Q15A</v>
      </c>
      <c r="AU422" s="1012" t="str">
        <f t="shared" si="1263"/>
        <v>F4Q15A</v>
      </c>
      <c r="AV422" s="1012" t="str">
        <f t="shared" si="1263"/>
        <v>F1Q16A</v>
      </c>
      <c r="AW422" s="1012" t="str">
        <f t="shared" si="1263"/>
        <v>F2Q16A</v>
      </c>
      <c r="AX422" s="1012" t="str">
        <f t="shared" si="1263"/>
        <v>F3Q16A</v>
      </c>
      <c r="AY422" s="1012" t="str">
        <f t="shared" si="1263"/>
        <v>F4Q16A</v>
      </c>
      <c r="AZ422" s="1012" t="str">
        <f t="shared" si="1263"/>
        <v>F1Q17A</v>
      </c>
      <c r="BA422" s="1012" t="str">
        <f t="shared" si="1263"/>
        <v>F2Q17A</v>
      </c>
      <c r="BB422" s="1012" t="str">
        <f t="shared" si="1263"/>
        <v>F3Q17A</v>
      </c>
      <c r="BC422" s="1012" t="str">
        <f t="shared" si="1263"/>
        <v>F4Q17A</v>
      </c>
      <c r="BD422" s="1012"/>
      <c r="BE422" s="1012"/>
      <c r="BF422" s="1012"/>
      <c r="BG422" s="1012"/>
      <c r="BH422" s="1012"/>
      <c r="BI422" s="1012"/>
      <c r="BJ422" s="1012"/>
      <c r="BK422" s="1012"/>
      <c r="BL422" s="1012"/>
      <c r="BM422" s="1012"/>
      <c r="BN422" s="1012"/>
      <c r="BO422" s="1012"/>
      <c r="BP422" s="652"/>
      <c r="BQ422" s="1012" t="str">
        <f t="shared" ref="BQ422:CF422" si="1264">BQ$6</f>
        <v>FY2005A</v>
      </c>
      <c r="BR422" s="1012" t="str">
        <f t="shared" si="1264"/>
        <v>FY2006A</v>
      </c>
      <c r="BS422" s="1012" t="str">
        <f t="shared" si="1264"/>
        <v>FY2007A</v>
      </c>
      <c r="BT422" s="1012" t="str">
        <f t="shared" si="1264"/>
        <v>FY2008A</v>
      </c>
      <c r="BU422" s="1012" t="str">
        <f t="shared" si="1264"/>
        <v>FY2009A</v>
      </c>
      <c r="BV422" s="1012" t="str">
        <f t="shared" si="1264"/>
        <v>FY2010A</v>
      </c>
      <c r="BW422" s="1012" t="str">
        <f t="shared" si="1264"/>
        <v>FY2011A</v>
      </c>
      <c r="BX422" s="1012" t="str">
        <f t="shared" si="1264"/>
        <v>FY2012A</v>
      </c>
      <c r="BY422" s="1012" t="str">
        <f t="shared" si="1264"/>
        <v>FY2013A</v>
      </c>
      <c r="BZ422" s="1012" t="str">
        <f t="shared" si="1264"/>
        <v>FY2014A</v>
      </c>
      <c r="CA422" s="1012" t="str">
        <f t="shared" si="1264"/>
        <v>FY2015A</v>
      </c>
      <c r="CB422" s="1012" t="str">
        <f t="shared" si="1264"/>
        <v>FY2016A</v>
      </c>
      <c r="CC422" s="1012" t="str">
        <f t="shared" si="1264"/>
        <v>FY2017E</v>
      </c>
      <c r="CD422" s="1012" t="str">
        <f t="shared" si="1264"/>
        <v>FY2018E</v>
      </c>
      <c r="CE422" s="1012" t="str">
        <f t="shared" si="1264"/>
        <v>FY2019E</v>
      </c>
      <c r="CF422" s="1012" t="str">
        <f t="shared" si="1264"/>
        <v>FY2020E</v>
      </c>
      <c r="CG422" s="318"/>
    </row>
    <row r="423" spans="1:88" ht="14.25" hidden="1" customHeight="1" outlineLevel="1">
      <c r="B423" s="989" t="s">
        <v>344</v>
      </c>
      <c r="C423" s="318"/>
      <c r="D423" s="1013"/>
      <c r="E423" s="1013"/>
      <c r="F423" s="1013"/>
      <c r="G423" s="1014"/>
      <c r="H423" s="1013"/>
      <c r="I423" s="1013"/>
      <c r="J423" s="1013"/>
      <c r="K423" s="1014"/>
      <c r="L423" s="1015">
        <v>315.13799</v>
      </c>
      <c r="M423" s="1015">
        <v>315.85751999999997</v>
      </c>
      <c r="N423" s="1015">
        <v>356.40199999999999</v>
      </c>
      <c r="O423" s="1015">
        <v>365.31243000000001</v>
      </c>
      <c r="P423" s="1015">
        <v>346.30824999999999</v>
      </c>
      <c r="Q423" s="1015">
        <v>383.40195</v>
      </c>
      <c r="R423" s="1015">
        <v>398.60518000000002</v>
      </c>
      <c r="S423" s="1015">
        <v>313.31494000000004</v>
      </c>
      <c r="T423" s="1015">
        <v>241.09366</v>
      </c>
      <c r="U423" s="1015">
        <v>293.90568000000002</v>
      </c>
      <c r="V423" s="1015">
        <v>349.23462999999998</v>
      </c>
      <c r="W423" s="1015">
        <v>370.88532000000004</v>
      </c>
      <c r="X423" s="1015">
        <v>410.1</v>
      </c>
      <c r="Y423" s="1015">
        <v>453.6</v>
      </c>
      <c r="Z423" s="1015">
        <v>474.3</v>
      </c>
      <c r="AA423" s="1015">
        <v>455.4</v>
      </c>
      <c r="AB423" s="1015">
        <v>442.97487559368398</v>
      </c>
      <c r="AC423" s="1015">
        <v>473.61534114897893</v>
      </c>
      <c r="AD423" s="1015">
        <v>473.31020000000001</v>
      </c>
      <c r="AE423" s="1016">
        <v>550</v>
      </c>
      <c r="AF423" s="1015">
        <v>550</v>
      </c>
      <c r="AG423" s="1017"/>
      <c r="AH423" s="1017"/>
      <c r="AI423" s="1017"/>
      <c r="AJ423" s="1017"/>
      <c r="AK423" s="1017"/>
      <c r="AL423" s="1017"/>
      <c r="AM423" s="1017"/>
      <c r="AN423" s="1017"/>
      <c r="AO423" s="1017"/>
      <c r="AP423" s="1017"/>
      <c r="AQ423" s="1017"/>
      <c r="AR423" s="1017"/>
      <c r="AS423" s="1017"/>
      <c r="AT423" s="1017"/>
      <c r="AU423" s="1017"/>
      <c r="AV423" s="1017"/>
      <c r="AW423" s="1017"/>
      <c r="AX423" s="1017"/>
      <c r="AY423" s="1017"/>
      <c r="AZ423" s="1017"/>
      <c r="BA423" s="1017"/>
      <c r="BB423" s="1017"/>
      <c r="BC423" s="1017"/>
      <c r="BD423" s="1017"/>
      <c r="BE423" s="1017"/>
      <c r="BF423" s="1017"/>
      <c r="BG423" s="1017"/>
      <c r="BH423" s="1017"/>
      <c r="BI423" s="1017"/>
      <c r="BJ423" s="1017"/>
      <c r="BK423" s="1017"/>
      <c r="BL423" s="1017"/>
      <c r="BM423" s="1017"/>
      <c r="BN423" s="1017"/>
      <c r="BO423" s="1017"/>
      <c r="BP423" s="1018"/>
      <c r="BQ423" s="1019"/>
      <c r="BR423" s="1019"/>
      <c r="BS423" s="1020">
        <f t="shared" ref="BS423:BS436" si="1265">SUM(L423:O423)</f>
        <v>1352.70994</v>
      </c>
      <c r="BT423" s="318">
        <f t="shared" ref="BT423:BT436" si="1266">SUM(P423:S423)</f>
        <v>1441.63032</v>
      </c>
      <c r="BU423" s="318">
        <f t="shared" ref="BU423:BU436" si="1267">SUM(T423:W423)</f>
        <v>1255.1192900000001</v>
      </c>
      <c r="BV423" s="318">
        <f t="shared" ref="BV423:BV436" si="1268">SUM(X423:AA423)</f>
        <v>1793.4</v>
      </c>
      <c r="BW423" s="318">
        <f t="shared" ref="BW423:BW436" si="1269">SUM(AB423:AE423)</f>
        <v>1939.9004167426629</v>
      </c>
      <c r="BX423" s="318"/>
      <c r="BY423" s="318"/>
      <c r="BZ423" s="318"/>
      <c r="CA423" s="318"/>
      <c r="CB423" s="318"/>
      <c r="CC423" s="318"/>
      <c r="CD423" s="318"/>
      <c r="CE423" s="318"/>
      <c r="CF423" s="318"/>
      <c r="CG423" s="318"/>
    </row>
    <row r="424" spans="1:88" ht="14.25" hidden="1" customHeight="1" outlineLevel="1">
      <c r="B424" s="989" t="s">
        <v>346</v>
      </c>
      <c r="C424" s="318"/>
      <c r="D424" s="1013"/>
      <c r="E424" s="1013"/>
      <c r="F424" s="1013"/>
      <c r="G424" s="1014"/>
      <c r="H424" s="1013"/>
      <c r="I424" s="1013"/>
      <c r="J424" s="1013"/>
      <c r="K424" s="1014"/>
      <c r="L424" s="1015">
        <v>394.37145000000004</v>
      </c>
      <c r="M424" s="1015">
        <v>420.73800000000011</v>
      </c>
      <c r="N424" s="1015">
        <v>467.88056</v>
      </c>
      <c r="O424" s="1015">
        <v>469.97540999999995</v>
      </c>
      <c r="P424" s="1015">
        <v>502.04910999999998</v>
      </c>
      <c r="Q424" s="1015">
        <v>454.05453000000006</v>
      </c>
      <c r="R424" s="1015">
        <v>404.22489999999993</v>
      </c>
      <c r="S424" s="1015">
        <v>364.58553999999998</v>
      </c>
      <c r="T424" s="1015">
        <v>276.60102749999999</v>
      </c>
      <c r="U424" s="1015">
        <v>275.45319499999988</v>
      </c>
      <c r="V424" s="1015">
        <v>358.12433249999998</v>
      </c>
      <c r="W424" s="1015">
        <v>389.24048999999997</v>
      </c>
      <c r="X424" s="1015">
        <v>410.1</v>
      </c>
      <c r="Y424" s="1015">
        <v>453.6</v>
      </c>
      <c r="Z424" s="1015">
        <v>474.3</v>
      </c>
      <c r="AA424" s="1015">
        <v>455.4</v>
      </c>
      <c r="AB424" s="1015">
        <v>454.20449838629116</v>
      </c>
      <c r="AC424" s="1015">
        <v>471.41263822072483</v>
      </c>
      <c r="AD424" s="1015">
        <v>430.73316</v>
      </c>
      <c r="AE424" s="1016">
        <v>537.79999999999995</v>
      </c>
      <c r="AF424" s="1015">
        <v>537.79999999999995</v>
      </c>
      <c r="AG424" s="1017"/>
      <c r="AH424" s="1017"/>
      <c r="AI424" s="1017"/>
      <c r="AJ424" s="1017"/>
      <c r="AK424" s="1017"/>
      <c r="AL424" s="1017"/>
      <c r="AM424" s="1017"/>
      <c r="AN424" s="1017"/>
      <c r="AO424" s="1017"/>
      <c r="AP424" s="1017"/>
      <c r="AQ424" s="1017"/>
      <c r="AR424" s="1017"/>
      <c r="AS424" s="1017"/>
      <c r="AT424" s="1017"/>
      <c r="AU424" s="1017"/>
      <c r="AV424" s="1017"/>
      <c r="AW424" s="1017"/>
      <c r="AX424" s="1017"/>
      <c r="AY424" s="1017"/>
      <c r="AZ424" s="1017"/>
      <c r="BA424" s="1017"/>
      <c r="BB424" s="1017"/>
      <c r="BC424" s="1017"/>
      <c r="BD424" s="1017"/>
      <c r="BE424" s="1017"/>
      <c r="BF424" s="1017"/>
      <c r="BG424" s="1017"/>
      <c r="BH424" s="1017"/>
      <c r="BI424" s="1017"/>
      <c r="BJ424" s="1017"/>
      <c r="BK424" s="1017"/>
      <c r="BL424" s="1017"/>
      <c r="BM424" s="1017"/>
      <c r="BN424" s="1017"/>
      <c r="BO424" s="1017"/>
      <c r="BP424" s="1018"/>
      <c r="BQ424" s="1019"/>
      <c r="BR424" s="1019"/>
      <c r="BS424" s="1020">
        <f t="shared" si="1265"/>
        <v>1752.9654200000002</v>
      </c>
      <c r="BT424" s="318">
        <f t="shared" si="1266"/>
        <v>1724.91408</v>
      </c>
      <c r="BU424" s="318">
        <f t="shared" si="1267"/>
        <v>1299.4190449999999</v>
      </c>
      <c r="BV424" s="318">
        <f t="shared" si="1268"/>
        <v>1793.4</v>
      </c>
      <c r="BW424" s="318">
        <f t="shared" si="1269"/>
        <v>1894.1502966070159</v>
      </c>
      <c r="BX424" s="318"/>
      <c r="BY424" s="318"/>
      <c r="BZ424" s="318"/>
      <c r="CA424" s="318"/>
      <c r="CB424" s="318"/>
      <c r="CC424" s="318"/>
      <c r="CD424" s="318"/>
      <c r="CE424" s="318"/>
      <c r="CF424" s="318"/>
      <c r="CG424" s="318"/>
    </row>
    <row r="425" spans="1:88" ht="14.25" hidden="1" customHeight="1" outlineLevel="1">
      <c r="B425" s="989" t="s">
        <v>345</v>
      </c>
      <c r="C425" s="318"/>
      <c r="D425" s="1013"/>
      <c r="E425" s="1013"/>
      <c r="F425" s="1013"/>
      <c r="G425" s="1014"/>
      <c r="H425" s="1013"/>
      <c r="I425" s="1013"/>
      <c r="J425" s="1013"/>
      <c r="K425" s="1014"/>
      <c r="L425" s="1015">
        <v>416.49055999999996</v>
      </c>
      <c r="M425" s="1015">
        <v>427.40447999999998</v>
      </c>
      <c r="N425" s="1015">
        <v>463.71744000000001</v>
      </c>
      <c r="O425" s="1015">
        <v>452.71216000000004</v>
      </c>
      <c r="P425" s="1015">
        <v>400.64264000000003</v>
      </c>
      <c r="Q425" s="1015">
        <v>431.54352</v>
      </c>
      <c r="R425" s="1015">
        <v>467.16991999999999</v>
      </c>
      <c r="S425" s="1015">
        <v>324.09952000000004</v>
      </c>
      <c r="T425" s="1015">
        <v>284.30531250000001</v>
      </c>
      <c r="U425" s="1015">
        <v>400.64112500000005</v>
      </c>
      <c r="V425" s="1015">
        <v>460.64103749999998</v>
      </c>
      <c r="W425" s="1015">
        <v>502.87419</v>
      </c>
      <c r="X425" s="1015">
        <v>546.79999999999995</v>
      </c>
      <c r="Y425" s="1015">
        <v>604.79999999999995</v>
      </c>
      <c r="Z425" s="1015">
        <v>632.4</v>
      </c>
      <c r="AA425" s="1015">
        <v>607.20000000000005</v>
      </c>
      <c r="AB425" s="1015">
        <v>638.82062602002497</v>
      </c>
      <c r="AC425" s="1015">
        <v>642.97202063029624</v>
      </c>
      <c r="AD425" s="1015">
        <v>652.95663999999999</v>
      </c>
      <c r="AE425" s="1016">
        <v>607.20000000000005</v>
      </c>
      <c r="AF425" s="1015">
        <v>598.20000000000005</v>
      </c>
      <c r="AG425" s="1017"/>
      <c r="AH425" s="1017"/>
      <c r="AI425" s="1017"/>
      <c r="AJ425" s="1017"/>
      <c r="AK425" s="1017"/>
      <c r="AL425" s="1017"/>
      <c r="AM425" s="1017"/>
      <c r="AN425" s="1017"/>
      <c r="AO425" s="1017"/>
      <c r="AP425" s="1017"/>
      <c r="AQ425" s="1017"/>
      <c r="AR425" s="1017"/>
      <c r="AS425" s="1017"/>
      <c r="AT425" s="1017"/>
      <c r="AU425" s="1017"/>
      <c r="AV425" s="1017"/>
      <c r="AW425" s="1017"/>
      <c r="AX425" s="1017"/>
      <c r="AY425" s="1017"/>
      <c r="AZ425" s="1017"/>
      <c r="BA425" s="1017"/>
      <c r="BB425" s="1017"/>
      <c r="BC425" s="1017"/>
      <c r="BD425" s="1017"/>
      <c r="BE425" s="1017"/>
      <c r="BF425" s="1017"/>
      <c r="BG425" s="1017"/>
      <c r="BH425" s="1017"/>
      <c r="BI425" s="1017"/>
      <c r="BJ425" s="1017"/>
      <c r="BK425" s="1017"/>
      <c r="BL425" s="1017"/>
      <c r="BM425" s="1017"/>
      <c r="BN425" s="1017"/>
      <c r="BO425" s="1017"/>
      <c r="BP425" s="1018"/>
      <c r="BQ425" s="1019"/>
      <c r="BR425" s="1019"/>
      <c r="BS425" s="1020">
        <f t="shared" si="1265"/>
        <v>1760.3246399999998</v>
      </c>
      <c r="BT425" s="318">
        <f t="shared" si="1266"/>
        <v>1623.4556</v>
      </c>
      <c r="BU425" s="318">
        <f t="shared" si="1267"/>
        <v>1648.461665</v>
      </c>
      <c r="BV425" s="318">
        <f t="shared" si="1268"/>
        <v>2391.1999999999998</v>
      </c>
      <c r="BW425" s="318">
        <f t="shared" si="1269"/>
        <v>2541.9492866503215</v>
      </c>
      <c r="BX425" s="318"/>
      <c r="BY425" s="318"/>
      <c r="BZ425" s="318"/>
      <c r="CA425" s="318"/>
      <c r="CB425" s="318"/>
      <c r="CC425" s="318"/>
      <c r="CD425" s="318"/>
      <c r="CE425" s="318"/>
      <c r="CF425" s="318"/>
      <c r="CG425" s="318"/>
    </row>
    <row r="426" spans="1:88" ht="14.25" hidden="1" customHeight="1" outlineLevel="1">
      <c r="B426" s="988" t="s">
        <v>312</v>
      </c>
      <c r="C426" s="318"/>
      <c r="D426" s="1021"/>
      <c r="E426" s="1021"/>
      <c r="F426" s="1021"/>
      <c r="G426" s="1021"/>
      <c r="H426" s="1021"/>
      <c r="I426" s="1021"/>
      <c r="J426" s="1021"/>
      <c r="K426" s="1021"/>
      <c r="L426" s="1022">
        <f t="shared" ref="L426:AG426" si="1270">SUM(L423:L425)</f>
        <v>1126</v>
      </c>
      <c r="M426" s="1022">
        <f t="shared" si="1270"/>
        <v>1164</v>
      </c>
      <c r="N426" s="1022">
        <f t="shared" si="1270"/>
        <v>1288</v>
      </c>
      <c r="O426" s="1022">
        <f t="shared" si="1270"/>
        <v>1288</v>
      </c>
      <c r="P426" s="1022">
        <f t="shared" si="1270"/>
        <v>1249</v>
      </c>
      <c r="Q426" s="1022">
        <f t="shared" si="1270"/>
        <v>1269</v>
      </c>
      <c r="R426" s="1022">
        <f t="shared" si="1270"/>
        <v>1270</v>
      </c>
      <c r="S426" s="1022">
        <f t="shared" si="1270"/>
        <v>1002</v>
      </c>
      <c r="T426" s="1022">
        <f t="shared" si="1270"/>
        <v>802</v>
      </c>
      <c r="U426" s="1022">
        <f t="shared" si="1270"/>
        <v>970</v>
      </c>
      <c r="V426" s="1022">
        <f t="shared" si="1270"/>
        <v>1168</v>
      </c>
      <c r="W426" s="1022">
        <f t="shared" si="1270"/>
        <v>1263</v>
      </c>
      <c r="X426" s="1022">
        <f t="shared" si="1270"/>
        <v>1367</v>
      </c>
      <c r="Y426" s="1022">
        <f t="shared" si="1270"/>
        <v>1512</v>
      </c>
      <c r="Z426" s="1022">
        <f t="shared" si="1270"/>
        <v>1581</v>
      </c>
      <c r="AA426" s="1022">
        <f t="shared" si="1270"/>
        <v>1518</v>
      </c>
      <c r="AB426" s="1022">
        <f t="shared" si="1270"/>
        <v>1536</v>
      </c>
      <c r="AC426" s="1022">
        <f t="shared" si="1270"/>
        <v>1588</v>
      </c>
      <c r="AD426" s="1022">
        <f t="shared" si="1270"/>
        <v>1557</v>
      </c>
      <c r="AE426" s="1022">
        <f t="shared" si="1270"/>
        <v>1695</v>
      </c>
      <c r="AF426" s="1022">
        <f t="shared" si="1270"/>
        <v>1686</v>
      </c>
      <c r="AG426" s="1022">
        <f t="shared" si="1270"/>
        <v>0</v>
      </c>
      <c r="AH426" s="1017"/>
      <c r="AI426" s="1017"/>
      <c r="AJ426" s="1017"/>
      <c r="AK426" s="1017"/>
      <c r="AL426" s="1017"/>
      <c r="AM426" s="1017"/>
      <c r="AN426" s="1017"/>
      <c r="AO426" s="1017"/>
      <c r="AP426" s="1017"/>
      <c r="AQ426" s="1017"/>
      <c r="AR426" s="1017"/>
      <c r="AS426" s="1017"/>
      <c r="AT426" s="1017"/>
      <c r="AU426" s="1017"/>
      <c r="AV426" s="1017"/>
      <c r="AW426" s="1017"/>
      <c r="AX426" s="1017"/>
      <c r="AY426" s="1017"/>
      <c r="AZ426" s="1017"/>
      <c r="BA426" s="1017"/>
      <c r="BB426" s="1017"/>
      <c r="BC426" s="1017"/>
      <c r="BD426" s="1017"/>
      <c r="BE426" s="1017"/>
      <c r="BF426" s="1017"/>
      <c r="BG426" s="1017"/>
      <c r="BH426" s="1017"/>
      <c r="BI426" s="1017"/>
      <c r="BJ426" s="1017"/>
      <c r="BK426" s="1017"/>
      <c r="BL426" s="1017"/>
      <c r="BM426" s="1017"/>
      <c r="BN426" s="1017"/>
      <c r="BO426" s="1017"/>
      <c r="BP426" s="1018"/>
      <c r="BQ426" s="1019"/>
      <c r="BR426" s="1019"/>
      <c r="BS426" s="1023">
        <f t="shared" si="1265"/>
        <v>4866</v>
      </c>
      <c r="BT426" s="318">
        <f t="shared" si="1266"/>
        <v>4790</v>
      </c>
      <c r="BU426" s="318">
        <f t="shared" si="1267"/>
        <v>4203</v>
      </c>
      <c r="BV426" s="318">
        <f t="shared" si="1268"/>
        <v>5978</v>
      </c>
      <c r="BW426" s="318">
        <f t="shared" si="1269"/>
        <v>6376</v>
      </c>
      <c r="BX426" s="318"/>
      <c r="BY426" s="318"/>
      <c r="BZ426" s="318"/>
      <c r="CA426" s="318"/>
      <c r="CB426" s="318"/>
      <c r="CC426" s="318"/>
      <c r="CD426" s="318"/>
      <c r="CE426" s="318"/>
      <c r="CF426" s="318"/>
      <c r="CG426" s="318"/>
    </row>
    <row r="427" spans="1:88" ht="14.25" hidden="1" customHeight="1" outlineLevel="1">
      <c r="B427" s="989" t="s">
        <v>342</v>
      </c>
      <c r="C427" s="318"/>
      <c r="D427" s="1013"/>
      <c r="E427" s="1013"/>
      <c r="F427" s="1013"/>
      <c r="G427" s="1014"/>
      <c r="H427" s="1013"/>
      <c r="I427" s="1013"/>
      <c r="J427" s="1013"/>
      <c r="K427" s="1014"/>
      <c r="L427" s="1015">
        <v>207.9</v>
      </c>
      <c r="M427" s="1015">
        <v>213.95</v>
      </c>
      <c r="N427" s="1015">
        <v>214.5</v>
      </c>
      <c r="O427" s="1015">
        <v>237.05</v>
      </c>
      <c r="P427" s="1015">
        <v>233.75</v>
      </c>
      <c r="Q427" s="1015">
        <v>241.45</v>
      </c>
      <c r="R427" s="1015">
        <v>234.85</v>
      </c>
      <c r="S427" s="1015">
        <v>187</v>
      </c>
      <c r="T427" s="1015">
        <v>173.8</v>
      </c>
      <c r="U427" s="1015">
        <v>192.5</v>
      </c>
      <c r="V427" s="1015">
        <v>216.15</v>
      </c>
      <c r="W427" s="1015">
        <v>226.6</v>
      </c>
      <c r="X427" s="1015">
        <v>138.2054800423191</v>
      </c>
      <c r="Y427" s="1015">
        <v>150.10337713076598</v>
      </c>
      <c r="Z427" s="1015">
        <v>173.27327093525182</v>
      </c>
      <c r="AA427" s="1015">
        <v>162.23538373254337</v>
      </c>
      <c r="AB427" s="1015">
        <v>154.06085080829453</v>
      </c>
      <c r="AC427" s="1015">
        <v>149.13663801100296</v>
      </c>
      <c r="AD427" s="1015">
        <v>142.55976258992806</v>
      </c>
      <c r="AE427" s="1015">
        <v>123.68760220905628</v>
      </c>
      <c r="AF427" s="1015">
        <v>100</v>
      </c>
      <c r="AG427" s="1024"/>
      <c r="AH427" s="1017"/>
      <c r="AI427" s="1017"/>
      <c r="AJ427" s="1017"/>
      <c r="AK427" s="1017"/>
      <c r="AL427" s="1017"/>
      <c r="AM427" s="1017"/>
      <c r="AN427" s="1017"/>
      <c r="AO427" s="1017"/>
      <c r="AP427" s="1017"/>
      <c r="AQ427" s="1017"/>
      <c r="AR427" s="1017"/>
      <c r="AS427" s="1017"/>
      <c r="AT427" s="1017"/>
      <c r="AU427" s="1017"/>
      <c r="AV427" s="1017"/>
      <c r="AW427" s="1017"/>
      <c r="AX427" s="1017"/>
      <c r="AY427" s="1017"/>
      <c r="AZ427" s="1017"/>
      <c r="BA427" s="1017"/>
      <c r="BB427" s="1017"/>
      <c r="BC427" s="1017"/>
      <c r="BD427" s="1017"/>
      <c r="BE427" s="1017"/>
      <c r="BF427" s="1017"/>
      <c r="BG427" s="1017"/>
      <c r="BH427" s="1017"/>
      <c r="BI427" s="1017"/>
      <c r="BJ427" s="1017"/>
      <c r="BK427" s="1017"/>
      <c r="BL427" s="1017"/>
      <c r="BM427" s="1017"/>
      <c r="BN427" s="1017"/>
      <c r="BO427" s="1017"/>
      <c r="BP427" s="1018"/>
      <c r="BQ427" s="1019"/>
      <c r="BR427" s="1019"/>
      <c r="BS427" s="1020">
        <f t="shared" si="1265"/>
        <v>873.40000000000009</v>
      </c>
      <c r="BT427" s="318">
        <f t="shared" si="1266"/>
        <v>897.05</v>
      </c>
      <c r="BU427" s="318">
        <f t="shared" si="1267"/>
        <v>809.05000000000007</v>
      </c>
      <c r="BV427" s="318">
        <f t="shared" si="1268"/>
        <v>623.81751184088023</v>
      </c>
      <c r="BW427" s="318">
        <f t="shared" si="1269"/>
        <v>569.44485361828185</v>
      </c>
      <c r="BX427" s="318"/>
      <c r="BY427" s="318"/>
      <c r="BZ427" s="318"/>
      <c r="CA427" s="318"/>
      <c r="CB427" s="318"/>
      <c r="CC427" s="318"/>
      <c r="CD427" s="318"/>
      <c r="CE427" s="318"/>
      <c r="CF427" s="318"/>
      <c r="CG427" s="318"/>
    </row>
    <row r="428" spans="1:88" ht="14.25" hidden="1" customHeight="1" outlineLevel="1">
      <c r="B428" s="989" t="s">
        <v>343</v>
      </c>
      <c r="C428" s="318"/>
      <c r="D428" s="1013"/>
      <c r="E428" s="1013"/>
      <c r="F428" s="1013"/>
      <c r="G428" s="1014"/>
      <c r="H428" s="1013"/>
      <c r="I428" s="1013"/>
      <c r="J428" s="1013"/>
      <c r="K428" s="1014"/>
      <c r="L428" s="1015">
        <v>170.1</v>
      </c>
      <c r="M428" s="1015">
        <v>175.05</v>
      </c>
      <c r="N428" s="1015">
        <v>175.5</v>
      </c>
      <c r="O428" s="1015">
        <v>193.95</v>
      </c>
      <c r="P428" s="1015">
        <v>191.25</v>
      </c>
      <c r="Q428" s="1015">
        <v>197.55</v>
      </c>
      <c r="R428" s="1015">
        <v>192.15</v>
      </c>
      <c r="S428" s="1015">
        <v>153</v>
      </c>
      <c r="T428" s="1015">
        <v>142.19999999999999</v>
      </c>
      <c r="U428" s="1015">
        <v>157.5</v>
      </c>
      <c r="V428" s="1015">
        <v>176.85</v>
      </c>
      <c r="W428" s="1015">
        <v>185.4</v>
      </c>
      <c r="X428" s="1015">
        <v>301.7945199576809</v>
      </c>
      <c r="Y428" s="1015">
        <v>365.89662286923402</v>
      </c>
      <c r="Z428" s="1015">
        <v>405.72672906474816</v>
      </c>
      <c r="AA428" s="1015">
        <v>375.76461626745663</v>
      </c>
      <c r="AB428" s="1015">
        <v>378.9391491917055</v>
      </c>
      <c r="AC428" s="1015">
        <v>446.86336198899704</v>
      </c>
      <c r="AD428" s="1015">
        <v>396.44023741007197</v>
      </c>
      <c r="AE428" s="1015">
        <v>318.31239779094369</v>
      </c>
      <c r="AF428" s="1015">
        <v>373</v>
      </c>
      <c r="AG428" s="1024"/>
      <c r="AH428" s="1017"/>
      <c r="AI428" s="1017"/>
      <c r="AJ428" s="1017"/>
      <c r="AK428" s="1017"/>
      <c r="AL428" s="1017"/>
      <c r="AM428" s="1017"/>
      <c r="AN428" s="1017"/>
      <c r="AO428" s="1017"/>
      <c r="AP428" s="1017"/>
      <c r="AQ428" s="1017"/>
      <c r="AR428" s="1017"/>
      <c r="AS428" s="1017"/>
      <c r="AT428" s="1017"/>
      <c r="AU428" s="1017"/>
      <c r="AV428" s="1017"/>
      <c r="AW428" s="1017"/>
      <c r="AX428" s="1017"/>
      <c r="AY428" s="1017"/>
      <c r="AZ428" s="1017"/>
      <c r="BA428" s="1017"/>
      <c r="BB428" s="1017"/>
      <c r="BC428" s="1017"/>
      <c r="BD428" s="1017"/>
      <c r="BE428" s="1017"/>
      <c r="BF428" s="1017"/>
      <c r="BG428" s="1017"/>
      <c r="BH428" s="1017"/>
      <c r="BI428" s="1017"/>
      <c r="BJ428" s="1017"/>
      <c r="BK428" s="1017"/>
      <c r="BL428" s="1017"/>
      <c r="BM428" s="1017"/>
      <c r="BN428" s="1017"/>
      <c r="BO428" s="1017"/>
      <c r="BP428" s="1018"/>
      <c r="BQ428" s="1019"/>
      <c r="BR428" s="1019"/>
      <c r="BS428" s="1020">
        <f t="shared" si="1265"/>
        <v>714.59999999999991</v>
      </c>
      <c r="BT428" s="318">
        <f t="shared" si="1266"/>
        <v>733.95</v>
      </c>
      <c r="BU428" s="318">
        <f t="shared" si="1267"/>
        <v>661.94999999999993</v>
      </c>
      <c r="BV428" s="318">
        <f t="shared" si="1268"/>
        <v>1449.1824881591199</v>
      </c>
      <c r="BW428" s="318">
        <f t="shared" si="1269"/>
        <v>1540.5551463817183</v>
      </c>
      <c r="BX428" s="318"/>
      <c r="BY428" s="318"/>
      <c r="BZ428" s="318"/>
      <c r="CA428" s="318"/>
      <c r="CB428" s="318"/>
      <c r="CC428" s="318"/>
      <c r="CD428" s="318"/>
      <c r="CE428" s="318"/>
      <c r="CF428" s="318"/>
      <c r="CG428" s="318"/>
    </row>
    <row r="429" spans="1:88" ht="14.25" hidden="1" customHeight="1" outlineLevel="1">
      <c r="B429" s="988" t="s">
        <v>313</v>
      </c>
      <c r="C429" s="318"/>
      <c r="D429" s="1021"/>
      <c r="E429" s="1021"/>
      <c r="F429" s="1021"/>
      <c r="G429" s="1021"/>
      <c r="H429" s="1021"/>
      <c r="I429" s="1021"/>
      <c r="J429" s="1021"/>
      <c r="K429" s="1021"/>
      <c r="L429" s="1022">
        <f t="shared" ref="L429:AF429" si="1271">SUM(L427:L428)</f>
        <v>378</v>
      </c>
      <c r="M429" s="1022">
        <f t="shared" si="1271"/>
        <v>389</v>
      </c>
      <c r="N429" s="1022">
        <f t="shared" si="1271"/>
        <v>390</v>
      </c>
      <c r="O429" s="1022">
        <f t="shared" si="1271"/>
        <v>431</v>
      </c>
      <c r="P429" s="1022">
        <f t="shared" si="1271"/>
        <v>425</v>
      </c>
      <c r="Q429" s="1022">
        <f t="shared" si="1271"/>
        <v>439</v>
      </c>
      <c r="R429" s="1022">
        <f t="shared" si="1271"/>
        <v>427</v>
      </c>
      <c r="S429" s="1022">
        <f t="shared" si="1271"/>
        <v>340</v>
      </c>
      <c r="T429" s="1022">
        <f t="shared" si="1271"/>
        <v>316</v>
      </c>
      <c r="U429" s="1022">
        <f t="shared" si="1271"/>
        <v>350</v>
      </c>
      <c r="V429" s="1022">
        <f t="shared" si="1271"/>
        <v>393</v>
      </c>
      <c r="W429" s="1022">
        <f t="shared" si="1271"/>
        <v>412</v>
      </c>
      <c r="X429" s="1022">
        <f t="shared" si="1271"/>
        <v>440</v>
      </c>
      <c r="Y429" s="1022">
        <f t="shared" si="1271"/>
        <v>516</v>
      </c>
      <c r="Z429" s="1022">
        <f t="shared" si="1271"/>
        <v>579</v>
      </c>
      <c r="AA429" s="1022">
        <f t="shared" si="1271"/>
        <v>538</v>
      </c>
      <c r="AB429" s="1022">
        <f t="shared" si="1271"/>
        <v>533</v>
      </c>
      <c r="AC429" s="1022">
        <f t="shared" si="1271"/>
        <v>596</v>
      </c>
      <c r="AD429" s="1022">
        <f t="shared" si="1271"/>
        <v>539</v>
      </c>
      <c r="AE429" s="1022">
        <f t="shared" si="1271"/>
        <v>442</v>
      </c>
      <c r="AF429" s="1022">
        <f t="shared" si="1271"/>
        <v>473</v>
      </c>
      <c r="AG429" s="1017"/>
      <c r="AH429" s="1017"/>
      <c r="AI429" s="1017"/>
      <c r="AJ429" s="1017"/>
      <c r="AK429" s="1017"/>
      <c r="AL429" s="1017"/>
      <c r="AM429" s="1017"/>
      <c r="AN429" s="1017"/>
      <c r="AO429" s="1017"/>
      <c r="AP429" s="1017"/>
      <c r="AQ429" s="1017"/>
      <c r="AR429" s="1017"/>
      <c r="AS429" s="1017"/>
      <c r="AT429" s="1017"/>
      <c r="AU429" s="1017"/>
      <c r="AV429" s="1017"/>
      <c r="AW429" s="1017"/>
      <c r="AX429" s="1017"/>
      <c r="AY429" s="1017"/>
      <c r="AZ429" s="1017"/>
      <c r="BA429" s="1017"/>
      <c r="BB429" s="1017"/>
      <c r="BC429" s="1017"/>
      <c r="BD429" s="1017"/>
      <c r="BE429" s="1017"/>
      <c r="BF429" s="1017"/>
      <c r="BG429" s="1017"/>
      <c r="BH429" s="1017"/>
      <c r="BI429" s="1017"/>
      <c r="BJ429" s="1017"/>
      <c r="BK429" s="1017"/>
      <c r="BL429" s="1017"/>
      <c r="BM429" s="1017"/>
      <c r="BN429" s="1017"/>
      <c r="BO429" s="1017"/>
      <c r="BP429" s="1018"/>
      <c r="BQ429" s="1019"/>
      <c r="BR429" s="1019"/>
      <c r="BS429" s="1023">
        <f t="shared" si="1265"/>
        <v>1588</v>
      </c>
      <c r="BT429" s="318">
        <f t="shared" si="1266"/>
        <v>1631</v>
      </c>
      <c r="BU429" s="318">
        <f t="shared" si="1267"/>
        <v>1471</v>
      </c>
      <c r="BV429" s="318">
        <f t="shared" si="1268"/>
        <v>2073</v>
      </c>
      <c r="BW429" s="318">
        <f t="shared" si="1269"/>
        <v>2110</v>
      </c>
      <c r="BX429" s="318"/>
      <c r="BY429" s="318"/>
      <c r="BZ429" s="318"/>
      <c r="CA429" s="318"/>
      <c r="CB429" s="318"/>
      <c r="CC429" s="318"/>
      <c r="CD429" s="318"/>
      <c r="CE429" s="318"/>
      <c r="CF429" s="318"/>
      <c r="CG429" s="318"/>
    </row>
    <row r="430" spans="1:88" ht="14.25" hidden="1" customHeight="1" outlineLevel="1">
      <c r="B430" s="989" t="s">
        <v>339</v>
      </c>
      <c r="C430" s="318"/>
      <c r="D430" s="1013"/>
      <c r="E430" s="1013"/>
      <c r="F430" s="1013"/>
      <c r="G430" s="1014"/>
      <c r="H430" s="1015">
        <v>849</v>
      </c>
      <c r="I430" s="1015">
        <v>927</v>
      </c>
      <c r="J430" s="1015">
        <v>944</v>
      </c>
      <c r="K430" s="1015">
        <v>828</v>
      </c>
      <c r="L430" s="1015">
        <v>773</v>
      </c>
      <c r="M430" s="1015">
        <v>800</v>
      </c>
      <c r="N430" s="1015">
        <v>849</v>
      </c>
      <c r="O430" s="1015">
        <v>895</v>
      </c>
      <c r="P430" s="1015">
        <v>720</v>
      </c>
      <c r="Q430" s="1015">
        <v>681</v>
      </c>
      <c r="R430" s="1015">
        <v>673</v>
      </c>
      <c r="S430" s="1015">
        <v>464</v>
      </c>
      <c r="T430" s="1015">
        <v>400</v>
      </c>
      <c r="U430" s="1015">
        <v>410</v>
      </c>
      <c r="V430" s="1015">
        <v>450</v>
      </c>
      <c r="W430" s="1015">
        <v>465</v>
      </c>
      <c r="X430" s="1015">
        <v>424</v>
      </c>
      <c r="Y430" s="1015">
        <v>416</v>
      </c>
      <c r="Z430" s="1015">
        <v>438</v>
      </c>
      <c r="AA430" s="1015">
        <v>435</v>
      </c>
      <c r="AB430" s="1015">
        <v>334</v>
      </c>
      <c r="AC430" s="1015">
        <v>228</v>
      </c>
      <c r="AD430" s="1015">
        <v>263</v>
      </c>
      <c r="AE430" s="1015">
        <v>279</v>
      </c>
      <c r="AF430" s="1015">
        <v>87</v>
      </c>
      <c r="AG430" s="1015">
        <v>90</v>
      </c>
      <c r="AH430" s="1017"/>
      <c r="AI430" s="1017"/>
      <c r="AJ430" s="1017"/>
      <c r="AK430" s="1017"/>
      <c r="AL430" s="1017"/>
      <c r="AM430" s="1017"/>
      <c r="AN430" s="1017"/>
      <c r="AO430" s="1017"/>
      <c r="AP430" s="1017"/>
      <c r="AQ430" s="1017"/>
      <c r="AR430" s="1017"/>
      <c r="AS430" s="1017"/>
      <c r="AT430" s="1017"/>
      <c r="AU430" s="1017"/>
      <c r="AV430" s="1017"/>
      <c r="AW430" s="1017"/>
      <c r="AX430" s="1017"/>
      <c r="AY430" s="1017"/>
      <c r="AZ430" s="1017"/>
      <c r="BA430" s="1017"/>
      <c r="BB430" s="1017"/>
      <c r="BC430" s="1017"/>
      <c r="BD430" s="1017"/>
      <c r="BE430" s="1017"/>
      <c r="BF430" s="1017"/>
      <c r="BG430" s="1017"/>
      <c r="BH430" s="1017"/>
      <c r="BI430" s="1017"/>
      <c r="BJ430" s="1017"/>
      <c r="BK430" s="1017"/>
      <c r="BL430" s="1017"/>
      <c r="BM430" s="1017"/>
      <c r="BN430" s="1017"/>
      <c r="BO430" s="1017"/>
      <c r="BP430" s="1018"/>
      <c r="BQ430" s="1019"/>
      <c r="BR430" s="1019"/>
      <c r="BS430" s="1020">
        <f t="shared" si="1265"/>
        <v>3317</v>
      </c>
      <c r="BT430" s="318">
        <f t="shared" si="1266"/>
        <v>2538</v>
      </c>
      <c r="BU430" s="318">
        <f t="shared" si="1267"/>
        <v>1725</v>
      </c>
      <c r="BV430" s="318">
        <f t="shared" si="1268"/>
        <v>1713</v>
      </c>
      <c r="BW430" s="318">
        <f t="shared" si="1269"/>
        <v>1104</v>
      </c>
      <c r="BX430" s="318"/>
      <c r="BY430" s="318"/>
      <c r="BZ430" s="318"/>
      <c r="CA430" s="318"/>
      <c r="CB430" s="318"/>
      <c r="CC430" s="318"/>
      <c r="CD430" s="318"/>
      <c r="CE430" s="318"/>
      <c r="CF430" s="318"/>
      <c r="CG430" s="318"/>
    </row>
    <row r="431" spans="1:88" ht="14.25" hidden="1" customHeight="1" outlineLevel="1">
      <c r="B431" s="989" t="s">
        <v>340</v>
      </c>
      <c r="C431" s="318"/>
      <c r="D431" s="1013"/>
      <c r="E431" s="1013"/>
      <c r="F431" s="1013"/>
      <c r="G431" s="1014"/>
      <c r="H431" s="1013"/>
      <c r="I431" s="1013"/>
      <c r="J431" s="1013"/>
      <c r="K431" s="1014"/>
      <c r="L431" s="1015">
        <v>55</v>
      </c>
      <c r="M431" s="1015">
        <v>74</v>
      </c>
      <c r="N431" s="1015">
        <v>82</v>
      </c>
      <c r="O431" s="1015">
        <v>84</v>
      </c>
      <c r="P431" s="1015">
        <v>87</v>
      </c>
      <c r="Q431" s="1015">
        <v>87</v>
      </c>
      <c r="R431" s="1015">
        <v>91</v>
      </c>
      <c r="S431" s="1015">
        <v>72</v>
      </c>
      <c r="T431" s="1015">
        <v>65</v>
      </c>
      <c r="U431" s="1015">
        <v>95</v>
      </c>
      <c r="V431" s="1015">
        <v>124</v>
      </c>
      <c r="W431" s="1015">
        <v>139</v>
      </c>
      <c r="X431" s="1015">
        <v>139</v>
      </c>
      <c r="Y431" s="1015">
        <v>146</v>
      </c>
      <c r="Z431" s="1015">
        <v>162</v>
      </c>
      <c r="AA431" s="1015">
        <v>162</v>
      </c>
      <c r="AB431" s="1015">
        <v>188.35974228919201</v>
      </c>
      <c r="AC431" s="1015">
        <v>189.71171855964309</v>
      </c>
      <c r="AD431" s="1015">
        <v>199.56891059719959</v>
      </c>
      <c r="AE431" s="1015">
        <v>199.61349053341638</v>
      </c>
      <c r="AF431" s="1015">
        <v>140.79462716458033</v>
      </c>
      <c r="AG431" s="1017"/>
      <c r="AH431" s="1017"/>
      <c r="AI431" s="1017"/>
      <c r="AJ431" s="1017"/>
      <c r="AK431" s="1017"/>
      <c r="AL431" s="1017"/>
      <c r="AM431" s="1017"/>
      <c r="AN431" s="1017"/>
      <c r="AO431" s="1017"/>
      <c r="AP431" s="1017"/>
      <c r="AQ431" s="1017"/>
      <c r="AR431" s="1017"/>
      <c r="AS431" s="1017"/>
      <c r="AT431" s="1017"/>
      <c r="AU431" s="1017"/>
      <c r="AV431" s="1017"/>
      <c r="AW431" s="1017"/>
      <c r="AX431" s="1017"/>
      <c r="AY431" s="1017"/>
      <c r="AZ431" s="1017"/>
      <c r="BA431" s="1017"/>
      <c r="BB431" s="1017"/>
      <c r="BC431" s="1017"/>
      <c r="BD431" s="1017"/>
      <c r="BE431" s="1017"/>
      <c r="BF431" s="1017"/>
      <c r="BG431" s="1017"/>
      <c r="BH431" s="1017"/>
      <c r="BI431" s="1017"/>
      <c r="BJ431" s="1017"/>
      <c r="BK431" s="1017"/>
      <c r="BL431" s="1017"/>
      <c r="BM431" s="1017"/>
      <c r="BN431" s="1017"/>
      <c r="BO431" s="1017"/>
      <c r="BP431" s="1018"/>
      <c r="BQ431" s="1019"/>
      <c r="BR431" s="1019"/>
      <c r="BS431" s="1020">
        <f t="shared" si="1265"/>
        <v>295</v>
      </c>
      <c r="BT431" s="318">
        <f t="shared" si="1266"/>
        <v>337</v>
      </c>
      <c r="BU431" s="318">
        <f t="shared" si="1267"/>
        <v>423</v>
      </c>
      <c r="BV431" s="318">
        <f t="shared" si="1268"/>
        <v>609</v>
      </c>
      <c r="BW431" s="318">
        <f t="shared" si="1269"/>
        <v>777.25386197945113</v>
      </c>
      <c r="BX431" s="318"/>
      <c r="BY431" s="318"/>
      <c r="BZ431" s="318"/>
      <c r="CA431" s="318"/>
      <c r="CB431" s="318"/>
      <c r="CC431" s="318"/>
      <c r="CD431" s="318"/>
      <c r="CE431" s="318"/>
      <c r="CF431" s="318"/>
      <c r="CG431" s="318"/>
    </row>
    <row r="432" spans="1:88" ht="14.25" hidden="1" customHeight="1" outlineLevel="1">
      <c r="B432" s="989" t="s">
        <v>469</v>
      </c>
      <c r="C432" s="318"/>
      <c r="D432" s="1013"/>
      <c r="E432" s="1013"/>
      <c r="F432" s="1013"/>
      <c r="G432" s="1014"/>
      <c r="H432" s="1013"/>
      <c r="I432" s="1013"/>
      <c r="J432" s="1013"/>
      <c r="K432" s="1014"/>
      <c r="L432" s="1015">
        <v>36</v>
      </c>
      <c r="M432" s="1015">
        <v>44</v>
      </c>
      <c r="N432" s="1015">
        <v>41</v>
      </c>
      <c r="O432" s="1015">
        <v>37</v>
      </c>
      <c r="P432" s="1015">
        <v>52</v>
      </c>
      <c r="Q432" s="1015">
        <v>52</v>
      </c>
      <c r="R432" s="1015">
        <v>55</v>
      </c>
      <c r="S432" s="1015">
        <v>43</v>
      </c>
      <c r="T432" s="1015">
        <v>41</v>
      </c>
      <c r="U432" s="1015">
        <v>62</v>
      </c>
      <c r="V432" s="1015">
        <v>82</v>
      </c>
      <c r="W432" s="1015">
        <v>95</v>
      </c>
      <c r="X432" s="1015">
        <v>97</v>
      </c>
      <c r="Y432" s="1015">
        <v>102</v>
      </c>
      <c r="Z432" s="1015">
        <v>113</v>
      </c>
      <c r="AA432" s="1015">
        <v>113</v>
      </c>
      <c r="AB432" s="1015">
        <v>136.24863402698819</v>
      </c>
      <c r="AC432" s="1015">
        <v>135.67417478515296</v>
      </c>
      <c r="AD432" s="1015">
        <v>145.32588619174814</v>
      </c>
      <c r="AE432" s="1015">
        <v>149.23323453939582</v>
      </c>
      <c r="AF432" s="1015">
        <v>100</v>
      </c>
      <c r="AG432" s="1015"/>
      <c r="AH432" s="1017"/>
      <c r="AI432" s="1017"/>
      <c r="AJ432" s="1017"/>
      <c r="AK432" s="1017"/>
      <c r="AL432" s="1017"/>
      <c r="AM432" s="1017"/>
      <c r="AN432" s="1017"/>
      <c r="AO432" s="1017"/>
      <c r="AP432" s="1017"/>
      <c r="AQ432" s="1017"/>
      <c r="AR432" s="1017"/>
      <c r="AS432" s="1017"/>
      <c r="AT432" s="1017"/>
      <c r="AU432" s="1017"/>
      <c r="AV432" s="1017"/>
      <c r="AW432" s="1017"/>
      <c r="AX432" s="1017"/>
      <c r="AY432" s="1017"/>
      <c r="AZ432" s="1017"/>
      <c r="BA432" s="1017"/>
      <c r="BB432" s="1017"/>
      <c r="BC432" s="1017"/>
      <c r="BD432" s="1017"/>
      <c r="BE432" s="1017"/>
      <c r="BF432" s="1017"/>
      <c r="BG432" s="1017"/>
      <c r="BH432" s="1017"/>
      <c r="BI432" s="1017"/>
      <c r="BJ432" s="1017"/>
      <c r="BK432" s="1017"/>
      <c r="BL432" s="1017"/>
      <c r="BM432" s="1017"/>
      <c r="BN432" s="1017"/>
      <c r="BO432" s="1017"/>
      <c r="BP432" s="1018"/>
      <c r="BQ432" s="1019"/>
      <c r="BR432" s="1019"/>
      <c r="BS432" s="1020">
        <f t="shared" si="1265"/>
        <v>158</v>
      </c>
      <c r="BT432" s="318">
        <f t="shared" si="1266"/>
        <v>202</v>
      </c>
      <c r="BU432" s="318">
        <f t="shared" si="1267"/>
        <v>280</v>
      </c>
      <c r="BV432" s="318">
        <f t="shared" si="1268"/>
        <v>425</v>
      </c>
      <c r="BW432" s="318">
        <f t="shared" si="1269"/>
        <v>566.4819295432851</v>
      </c>
      <c r="BX432" s="318"/>
      <c r="BY432" s="318"/>
      <c r="BZ432" s="318"/>
      <c r="CA432" s="318"/>
      <c r="CB432" s="318"/>
      <c r="CC432" s="318"/>
      <c r="CD432" s="318"/>
      <c r="CE432" s="318"/>
      <c r="CF432" s="318"/>
      <c r="CG432" s="318"/>
    </row>
    <row r="433" spans="1:88" ht="14.25" hidden="1" customHeight="1" outlineLevel="1">
      <c r="B433" s="989" t="s">
        <v>355</v>
      </c>
      <c r="C433" s="318"/>
      <c r="D433" s="1013"/>
      <c r="E433" s="1013"/>
      <c r="F433" s="1013"/>
      <c r="G433" s="1014"/>
      <c r="H433" s="1013"/>
      <c r="I433" s="1013"/>
      <c r="J433" s="1013"/>
      <c r="K433" s="1014"/>
      <c r="L433" s="1015">
        <v>19</v>
      </c>
      <c r="M433" s="1015">
        <v>20</v>
      </c>
      <c r="N433" s="1015">
        <v>21</v>
      </c>
      <c r="O433" s="1015">
        <v>22</v>
      </c>
      <c r="P433" s="1015">
        <v>20</v>
      </c>
      <c r="Q433" s="1015">
        <v>20</v>
      </c>
      <c r="R433" s="1015">
        <v>21</v>
      </c>
      <c r="S433" s="1015">
        <v>17</v>
      </c>
      <c r="T433" s="1015">
        <v>6</v>
      </c>
      <c r="U433" s="1015">
        <v>12</v>
      </c>
      <c r="V433" s="1015">
        <v>18</v>
      </c>
      <c r="W433" s="1015">
        <v>19</v>
      </c>
      <c r="X433" s="1015">
        <v>18</v>
      </c>
      <c r="Y433" s="1015">
        <v>20</v>
      </c>
      <c r="Z433" s="1015">
        <v>22</v>
      </c>
      <c r="AA433" s="1015">
        <v>22</v>
      </c>
      <c r="AB433" s="1015">
        <v>25</v>
      </c>
      <c r="AC433" s="1015">
        <v>27</v>
      </c>
      <c r="AD433" s="1015">
        <v>27</v>
      </c>
      <c r="AE433" s="1015">
        <v>22</v>
      </c>
      <c r="AF433" s="1015">
        <v>20</v>
      </c>
      <c r="AG433" s="1017"/>
      <c r="AH433" s="1017"/>
      <c r="AI433" s="1017"/>
      <c r="AJ433" s="1017"/>
      <c r="AK433" s="1017"/>
      <c r="AL433" s="1017"/>
      <c r="AM433" s="1017"/>
      <c r="AN433" s="1017"/>
      <c r="AO433" s="1017"/>
      <c r="AP433" s="1017"/>
      <c r="AQ433" s="1017"/>
      <c r="AR433" s="1017"/>
      <c r="AS433" s="1017"/>
      <c r="AT433" s="1017"/>
      <c r="AU433" s="1017"/>
      <c r="AV433" s="1017"/>
      <c r="AW433" s="1017"/>
      <c r="AX433" s="1017"/>
      <c r="AY433" s="1017"/>
      <c r="AZ433" s="1017"/>
      <c r="BA433" s="1017"/>
      <c r="BB433" s="1017"/>
      <c r="BC433" s="1017"/>
      <c r="BD433" s="1017"/>
      <c r="BE433" s="1017"/>
      <c r="BF433" s="1017"/>
      <c r="BG433" s="1017"/>
      <c r="BH433" s="1017"/>
      <c r="BI433" s="1017"/>
      <c r="BJ433" s="1017"/>
      <c r="BK433" s="1017"/>
      <c r="BL433" s="1017"/>
      <c r="BM433" s="1017"/>
      <c r="BN433" s="1017"/>
      <c r="BO433" s="1017"/>
      <c r="BP433" s="1018"/>
      <c r="BQ433" s="1019"/>
      <c r="BR433" s="1019"/>
      <c r="BS433" s="1020">
        <f t="shared" si="1265"/>
        <v>82</v>
      </c>
      <c r="BT433" s="318">
        <f t="shared" si="1266"/>
        <v>78</v>
      </c>
      <c r="BU433" s="318">
        <f t="shared" si="1267"/>
        <v>55</v>
      </c>
      <c r="BV433" s="318">
        <f t="shared" si="1268"/>
        <v>82</v>
      </c>
      <c r="BW433" s="318">
        <f t="shared" si="1269"/>
        <v>101</v>
      </c>
      <c r="BX433" s="318"/>
      <c r="BY433" s="318"/>
      <c r="BZ433" s="318"/>
      <c r="CA433" s="318"/>
      <c r="CB433" s="318"/>
      <c r="CC433" s="318"/>
      <c r="CD433" s="318"/>
      <c r="CE433" s="318"/>
      <c r="CF433" s="318"/>
      <c r="CG433" s="318"/>
    </row>
    <row r="434" spans="1:88" ht="14.25" hidden="1" customHeight="1" outlineLevel="1">
      <c r="B434" s="989" t="s">
        <v>362</v>
      </c>
      <c r="C434" s="318"/>
      <c r="D434" s="1013"/>
      <c r="E434" s="1013"/>
      <c r="F434" s="1013"/>
      <c r="G434" s="1014"/>
      <c r="H434" s="1013"/>
      <c r="I434" s="1013"/>
      <c r="J434" s="1013"/>
      <c r="K434" s="1014"/>
      <c r="L434" s="1015">
        <v>0</v>
      </c>
      <c r="M434" s="1015">
        <v>10</v>
      </c>
      <c r="N434" s="1015">
        <v>20</v>
      </c>
      <c r="O434" s="1015">
        <v>25</v>
      </c>
      <c r="P434" s="1015">
        <v>15</v>
      </c>
      <c r="Q434" s="1015">
        <v>15</v>
      </c>
      <c r="R434" s="1015">
        <v>15</v>
      </c>
      <c r="S434" s="1015">
        <v>12</v>
      </c>
      <c r="T434" s="1015">
        <v>18</v>
      </c>
      <c r="U434" s="1015">
        <v>21</v>
      </c>
      <c r="V434" s="1015">
        <v>24</v>
      </c>
      <c r="W434" s="1015">
        <v>25</v>
      </c>
      <c r="X434" s="1015">
        <v>24</v>
      </c>
      <c r="Y434" s="1015">
        <v>24</v>
      </c>
      <c r="Z434" s="1015">
        <v>27</v>
      </c>
      <c r="AA434" s="1015">
        <v>27</v>
      </c>
      <c r="AB434" s="1015">
        <v>27.111108262203832</v>
      </c>
      <c r="AC434" s="1015">
        <v>27.037543774490146</v>
      </c>
      <c r="AD434" s="1015">
        <v>27.243024405451457</v>
      </c>
      <c r="AE434" s="1015">
        <v>27.731576739209491</v>
      </c>
      <c r="AF434" s="1015">
        <v>20</v>
      </c>
      <c r="AG434" s="1017"/>
      <c r="AH434" s="1017"/>
      <c r="AI434" s="1017"/>
      <c r="AJ434" s="1017"/>
      <c r="AK434" s="1017"/>
      <c r="AL434" s="1017"/>
      <c r="AM434" s="1017"/>
      <c r="AN434" s="1017"/>
      <c r="AO434" s="1017"/>
      <c r="AP434" s="1017"/>
      <c r="AQ434" s="1017"/>
      <c r="AR434" s="1017"/>
      <c r="AS434" s="1017"/>
      <c r="AT434" s="1017"/>
      <c r="AU434" s="1017"/>
      <c r="AV434" s="1017"/>
      <c r="AW434" s="1017"/>
      <c r="AX434" s="1017"/>
      <c r="AY434" s="1017"/>
      <c r="AZ434" s="1017"/>
      <c r="BA434" s="1017"/>
      <c r="BB434" s="1017"/>
      <c r="BC434" s="1017"/>
      <c r="BD434" s="1017"/>
      <c r="BE434" s="1017"/>
      <c r="BF434" s="1017"/>
      <c r="BG434" s="1017"/>
      <c r="BH434" s="1017"/>
      <c r="BI434" s="1017"/>
      <c r="BJ434" s="1017"/>
      <c r="BK434" s="1017"/>
      <c r="BL434" s="1017"/>
      <c r="BM434" s="1017"/>
      <c r="BN434" s="1017"/>
      <c r="BO434" s="1017"/>
      <c r="BP434" s="1018"/>
      <c r="BQ434" s="1019"/>
      <c r="BR434" s="1019"/>
      <c r="BS434" s="1020">
        <f t="shared" si="1265"/>
        <v>55</v>
      </c>
      <c r="BT434" s="318">
        <f t="shared" si="1266"/>
        <v>57</v>
      </c>
      <c r="BU434" s="318">
        <f t="shared" si="1267"/>
        <v>88</v>
      </c>
      <c r="BV434" s="318">
        <f t="shared" si="1268"/>
        <v>102</v>
      </c>
      <c r="BW434" s="318">
        <f t="shared" si="1269"/>
        <v>109.12325318135493</v>
      </c>
      <c r="BX434" s="318"/>
      <c r="BY434" s="318"/>
      <c r="BZ434" s="318"/>
      <c r="CA434" s="318"/>
      <c r="CB434" s="318"/>
      <c r="CC434" s="318"/>
      <c r="CD434" s="318"/>
      <c r="CE434" s="318"/>
      <c r="CF434" s="318"/>
      <c r="CG434" s="318"/>
    </row>
    <row r="435" spans="1:88" ht="14.25" hidden="1" customHeight="1" outlineLevel="1">
      <c r="B435" s="989" t="s">
        <v>370</v>
      </c>
      <c r="C435" s="318"/>
      <c r="D435" s="1013"/>
      <c r="E435" s="1013"/>
      <c r="F435" s="1013"/>
      <c r="G435" s="1014"/>
      <c r="H435" s="1013"/>
      <c r="I435" s="1013"/>
      <c r="J435" s="1013"/>
      <c r="K435" s="1014"/>
      <c r="L435" s="1015">
        <v>0</v>
      </c>
      <c r="M435" s="1015">
        <v>0</v>
      </c>
      <c r="N435" s="1015">
        <v>0</v>
      </c>
      <c r="O435" s="1015">
        <v>0</v>
      </c>
      <c r="P435" s="1015">
        <v>0</v>
      </c>
      <c r="Q435" s="1015">
        <v>0</v>
      </c>
      <c r="R435" s="1015">
        <v>0</v>
      </c>
      <c r="S435" s="1015">
        <v>0</v>
      </c>
      <c r="T435" s="1015">
        <v>0</v>
      </c>
      <c r="U435" s="1015">
        <v>0</v>
      </c>
      <c r="V435" s="1015">
        <v>0</v>
      </c>
      <c r="W435" s="1015">
        <v>0</v>
      </c>
      <c r="X435" s="1015">
        <v>0</v>
      </c>
      <c r="Y435" s="1015">
        <v>0</v>
      </c>
      <c r="Z435" s="1015">
        <v>0</v>
      </c>
      <c r="AA435" s="1015">
        <v>0</v>
      </c>
      <c r="AB435" s="1015">
        <v>0</v>
      </c>
      <c r="AC435" s="1015">
        <v>0</v>
      </c>
      <c r="AD435" s="1015">
        <v>0</v>
      </c>
      <c r="AE435" s="1015">
        <v>0.64867925481108424</v>
      </c>
      <c r="AF435" s="1015">
        <v>0.79462716458033</v>
      </c>
      <c r="AG435" s="1017"/>
      <c r="AH435" s="1017"/>
      <c r="AI435" s="1017"/>
      <c r="AJ435" s="1017"/>
      <c r="AK435" s="1017"/>
      <c r="AL435" s="1017"/>
      <c r="AM435" s="1017"/>
      <c r="AN435" s="1017"/>
      <c r="AO435" s="1017"/>
      <c r="AP435" s="1017"/>
      <c r="AQ435" s="1017"/>
      <c r="AR435" s="1017"/>
      <c r="AS435" s="1017"/>
      <c r="AT435" s="1017"/>
      <c r="AU435" s="1017"/>
      <c r="AV435" s="1017"/>
      <c r="AW435" s="1017"/>
      <c r="AX435" s="1017"/>
      <c r="AY435" s="1017"/>
      <c r="AZ435" s="1017"/>
      <c r="BA435" s="1017"/>
      <c r="BB435" s="1017"/>
      <c r="BC435" s="1017"/>
      <c r="BD435" s="1017"/>
      <c r="BE435" s="1017"/>
      <c r="BF435" s="1017"/>
      <c r="BG435" s="1017"/>
      <c r="BH435" s="1017"/>
      <c r="BI435" s="1017"/>
      <c r="BJ435" s="1017"/>
      <c r="BK435" s="1017"/>
      <c r="BL435" s="1017"/>
      <c r="BM435" s="1017"/>
      <c r="BN435" s="1017"/>
      <c r="BO435" s="1017"/>
      <c r="BP435" s="1018"/>
      <c r="BQ435" s="1019"/>
      <c r="BR435" s="1019"/>
      <c r="BS435" s="1020">
        <f t="shared" si="1265"/>
        <v>0</v>
      </c>
      <c r="BT435" s="318">
        <f t="shared" si="1266"/>
        <v>0</v>
      </c>
      <c r="BU435" s="318">
        <f t="shared" si="1267"/>
        <v>0</v>
      </c>
      <c r="BV435" s="318">
        <f t="shared" si="1268"/>
        <v>0</v>
      </c>
      <c r="BW435" s="318">
        <f t="shared" si="1269"/>
        <v>0.64867925481108424</v>
      </c>
      <c r="BX435" s="318"/>
      <c r="BY435" s="318"/>
      <c r="BZ435" s="318"/>
      <c r="CA435" s="318"/>
      <c r="CB435" s="318"/>
      <c r="CC435" s="318"/>
      <c r="CD435" s="318"/>
      <c r="CE435" s="318"/>
      <c r="CF435" s="318"/>
      <c r="CG435" s="318"/>
    </row>
    <row r="436" spans="1:88" ht="14.25" hidden="1" customHeight="1" outlineLevel="1">
      <c r="B436" s="989" t="s">
        <v>341</v>
      </c>
      <c r="C436" s="318"/>
      <c r="D436" s="1013"/>
      <c r="E436" s="1013"/>
      <c r="F436" s="1013"/>
      <c r="G436" s="1014"/>
      <c r="H436" s="1013"/>
      <c r="I436" s="1013"/>
      <c r="J436" s="1013"/>
      <c r="K436" s="1014"/>
      <c r="L436" s="1015">
        <v>140</v>
      </c>
      <c r="M436" s="1015">
        <v>162</v>
      </c>
      <c r="N436" s="1015">
        <v>183</v>
      </c>
      <c r="O436" s="1015">
        <v>159</v>
      </c>
      <c r="P436" s="1015">
        <v>130</v>
      </c>
      <c r="Q436" s="1015">
        <v>152</v>
      </c>
      <c r="R436" s="1015">
        <v>170</v>
      </c>
      <c r="S436" s="1015">
        <v>123</v>
      </c>
      <c r="T436" s="1015">
        <v>98</v>
      </c>
      <c r="U436" s="1015">
        <v>109</v>
      </c>
      <c r="V436" s="1015">
        <v>117</v>
      </c>
      <c r="W436" s="1015">
        <v>154</v>
      </c>
      <c r="X436" s="1015">
        <v>154</v>
      </c>
      <c r="Y436" s="1015">
        <v>165</v>
      </c>
      <c r="Z436" s="1015">
        <v>167</v>
      </c>
      <c r="AA436" s="1015">
        <v>170</v>
      </c>
      <c r="AB436" s="1015">
        <v>135.64025771080799</v>
      </c>
      <c r="AC436" s="1015">
        <v>140.28828144035691</v>
      </c>
      <c r="AD436" s="1015">
        <v>117.43108940280041</v>
      </c>
      <c r="AE436" s="1015">
        <v>243.38650946658368</v>
      </c>
      <c r="AF436" s="1015">
        <v>145.20537283541967</v>
      </c>
      <c r="AG436" s="1017"/>
      <c r="AH436" s="1017"/>
      <c r="AI436" s="1017"/>
      <c r="AJ436" s="1017"/>
      <c r="AK436" s="1017"/>
      <c r="AL436" s="1017"/>
      <c r="AM436" s="1017"/>
      <c r="AN436" s="1017"/>
      <c r="AO436" s="1017"/>
      <c r="AP436" s="1017"/>
      <c r="AQ436" s="1017"/>
      <c r="AR436" s="1017"/>
      <c r="AS436" s="1017"/>
      <c r="AT436" s="1017"/>
      <c r="AU436" s="1017"/>
      <c r="AV436" s="1017"/>
      <c r="AW436" s="1017"/>
      <c r="AX436" s="1017"/>
      <c r="AY436" s="1017"/>
      <c r="AZ436" s="1017"/>
      <c r="BA436" s="1017"/>
      <c r="BB436" s="1017"/>
      <c r="BC436" s="1017"/>
      <c r="BD436" s="1017"/>
      <c r="BE436" s="1017"/>
      <c r="BF436" s="1017"/>
      <c r="BG436" s="1017"/>
      <c r="BH436" s="1017"/>
      <c r="BI436" s="1017"/>
      <c r="BJ436" s="1017"/>
      <c r="BK436" s="1017"/>
      <c r="BL436" s="1017"/>
      <c r="BM436" s="1017"/>
      <c r="BN436" s="1017"/>
      <c r="BO436" s="1017"/>
      <c r="BP436" s="1018"/>
      <c r="BQ436" s="1019"/>
      <c r="BR436" s="1019"/>
      <c r="BS436" s="1020">
        <f t="shared" si="1265"/>
        <v>644</v>
      </c>
      <c r="BT436" s="318">
        <f t="shared" si="1266"/>
        <v>575</v>
      </c>
      <c r="BU436" s="318">
        <f t="shared" si="1267"/>
        <v>478</v>
      </c>
      <c r="BV436" s="318">
        <f t="shared" si="1268"/>
        <v>656</v>
      </c>
      <c r="BW436" s="318">
        <f t="shared" si="1269"/>
        <v>636.74613802054898</v>
      </c>
      <c r="BX436" s="318"/>
      <c r="BY436" s="318"/>
      <c r="BZ436" s="318"/>
      <c r="CA436" s="318"/>
      <c r="CB436" s="318"/>
      <c r="CC436" s="318"/>
      <c r="CD436" s="318"/>
      <c r="CE436" s="318"/>
      <c r="CF436" s="318"/>
      <c r="CG436" s="318"/>
    </row>
    <row r="437" spans="1:88" ht="14.25" hidden="1" customHeight="1" outlineLevel="1">
      <c r="B437" s="988" t="s">
        <v>314</v>
      </c>
      <c r="C437" s="318"/>
      <c r="D437" s="1013"/>
      <c r="E437" s="1013"/>
      <c r="F437" s="1013"/>
      <c r="G437" s="1014"/>
      <c r="H437" s="1013"/>
      <c r="I437" s="1013"/>
      <c r="J437" s="1013"/>
      <c r="K437" s="1014"/>
      <c r="L437" s="1022">
        <f t="shared" ref="L437:AF437" si="1272">L430+L431+L436</f>
        <v>968</v>
      </c>
      <c r="M437" s="1022">
        <f t="shared" si="1272"/>
        <v>1036</v>
      </c>
      <c r="N437" s="1022">
        <f t="shared" si="1272"/>
        <v>1114</v>
      </c>
      <c r="O437" s="1022">
        <f t="shared" si="1272"/>
        <v>1138</v>
      </c>
      <c r="P437" s="1022">
        <f t="shared" si="1272"/>
        <v>937</v>
      </c>
      <c r="Q437" s="1022">
        <f t="shared" si="1272"/>
        <v>920</v>
      </c>
      <c r="R437" s="1022">
        <f t="shared" si="1272"/>
        <v>934</v>
      </c>
      <c r="S437" s="1022">
        <f t="shared" si="1272"/>
        <v>659</v>
      </c>
      <c r="T437" s="1022">
        <f t="shared" si="1272"/>
        <v>563</v>
      </c>
      <c r="U437" s="1022">
        <f t="shared" si="1272"/>
        <v>614</v>
      </c>
      <c r="V437" s="1022">
        <f t="shared" si="1272"/>
        <v>691</v>
      </c>
      <c r="W437" s="1022">
        <f t="shared" si="1272"/>
        <v>758</v>
      </c>
      <c r="X437" s="1022">
        <f t="shared" si="1272"/>
        <v>717</v>
      </c>
      <c r="Y437" s="1022">
        <f t="shared" si="1272"/>
        <v>727</v>
      </c>
      <c r="Z437" s="1022">
        <f t="shared" si="1272"/>
        <v>767</v>
      </c>
      <c r="AA437" s="1022">
        <f t="shared" si="1272"/>
        <v>767</v>
      </c>
      <c r="AB437" s="1022">
        <f t="shared" si="1272"/>
        <v>658</v>
      </c>
      <c r="AC437" s="1022">
        <f t="shared" si="1272"/>
        <v>558</v>
      </c>
      <c r="AD437" s="1022">
        <f t="shared" si="1272"/>
        <v>580</v>
      </c>
      <c r="AE437" s="1022">
        <f t="shared" si="1272"/>
        <v>722</v>
      </c>
      <c r="AF437" s="1022">
        <f t="shared" si="1272"/>
        <v>373</v>
      </c>
      <c r="AG437" s="1017"/>
      <c r="AH437" s="1017"/>
      <c r="AI437" s="1017"/>
      <c r="AJ437" s="1017"/>
      <c r="AK437" s="1017"/>
      <c r="AL437" s="1017"/>
      <c r="AM437" s="1017"/>
      <c r="AN437" s="1017"/>
      <c r="AO437" s="1017"/>
      <c r="AP437" s="1017"/>
      <c r="AQ437" s="1017"/>
      <c r="AR437" s="1017"/>
      <c r="AS437" s="1017"/>
      <c r="AT437" s="1017"/>
      <c r="AU437" s="1017"/>
      <c r="AV437" s="1017"/>
      <c r="AW437" s="1017"/>
      <c r="AX437" s="1017"/>
      <c r="AY437" s="1017"/>
      <c r="AZ437" s="1017"/>
      <c r="BA437" s="1017"/>
      <c r="BB437" s="1017"/>
      <c r="BC437" s="1017"/>
      <c r="BD437" s="1017"/>
      <c r="BE437" s="1017"/>
      <c r="BF437" s="1017"/>
      <c r="BG437" s="1017"/>
      <c r="BH437" s="1017"/>
      <c r="BI437" s="1017"/>
      <c r="BJ437" s="1017"/>
      <c r="BK437" s="1017"/>
      <c r="BL437" s="1017"/>
      <c r="BM437" s="1017"/>
      <c r="BN437" s="1017"/>
      <c r="BO437" s="1017"/>
      <c r="BP437" s="1018"/>
      <c r="BQ437" s="1019"/>
      <c r="BR437" s="1019"/>
      <c r="BS437" s="1023">
        <f>BS430+BS431+BS436</f>
        <v>4256</v>
      </c>
      <c r="BT437" s="318">
        <f>BT430+BT431+BT436</f>
        <v>3450</v>
      </c>
      <c r="BU437" s="318">
        <f>BU430+BU431+BU436</f>
        <v>2626</v>
      </c>
      <c r="BV437" s="318">
        <f>BV430+BV431+BV436</f>
        <v>2978</v>
      </c>
      <c r="BW437" s="318">
        <f>BW430+BW431+BW436</f>
        <v>2518</v>
      </c>
      <c r="BX437" s="318"/>
      <c r="BY437" s="318"/>
      <c r="BZ437" s="318"/>
      <c r="CA437" s="318"/>
      <c r="CB437" s="318"/>
      <c r="CC437" s="318"/>
      <c r="CD437" s="318"/>
      <c r="CE437" s="318"/>
      <c r="CF437" s="318"/>
      <c r="CG437" s="318"/>
    </row>
    <row r="438" spans="1:88" ht="14.25" hidden="1" customHeight="1" outlineLevel="1">
      <c r="B438" s="989" t="s">
        <v>347</v>
      </c>
      <c r="C438" s="318"/>
      <c r="D438" s="1013"/>
      <c r="E438" s="1013"/>
      <c r="F438" s="1013"/>
      <c r="G438" s="1014"/>
      <c r="H438" s="1013"/>
      <c r="I438" s="1013"/>
      <c r="J438" s="1013"/>
      <c r="K438" s="1014"/>
      <c r="L438" s="1015">
        <v>159.55000000000001</v>
      </c>
      <c r="M438" s="1015">
        <v>171.2</v>
      </c>
      <c r="N438" s="1015">
        <v>183.15</v>
      </c>
      <c r="O438" s="1015">
        <v>177.8</v>
      </c>
      <c r="P438" s="1015">
        <v>163.6</v>
      </c>
      <c r="Q438" s="1015">
        <v>167.55</v>
      </c>
      <c r="R438" s="1015">
        <v>169.35</v>
      </c>
      <c r="S438" s="1015">
        <v>124.55</v>
      </c>
      <c r="T438" s="1015">
        <v>104.3</v>
      </c>
      <c r="U438" s="1015">
        <v>122.85</v>
      </c>
      <c r="V438" s="1015">
        <v>144</v>
      </c>
      <c r="W438" s="1015">
        <v>150.19999999999999</v>
      </c>
      <c r="X438" s="1015">
        <v>245</v>
      </c>
      <c r="Y438" s="1015">
        <v>245</v>
      </c>
      <c r="Z438" s="1015">
        <v>245</v>
      </c>
      <c r="AA438" s="1015">
        <v>245</v>
      </c>
      <c r="AB438" s="1015">
        <v>169.6</v>
      </c>
      <c r="AC438" s="1015">
        <v>172.9</v>
      </c>
      <c r="AD438" s="1015">
        <v>173.3</v>
      </c>
      <c r="AE438" s="1015">
        <v>171</v>
      </c>
      <c r="AF438" s="1015">
        <v>155</v>
      </c>
      <c r="AG438" s="1017"/>
      <c r="AH438" s="1017"/>
      <c r="AI438" s="1017"/>
      <c r="AJ438" s="1017"/>
      <c r="AK438" s="1017"/>
      <c r="AL438" s="1017"/>
      <c r="AM438" s="1017"/>
      <c r="AN438" s="1017"/>
      <c r="AO438" s="1017"/>
      <c r="AP438" s="1017"/>
      <c r="AQ438" s="1017"/>
      <c r="AR438" s="1017"/>
      <c r="AS438" s="1017"/>
      <c r="AT438" s="1017"/>
      <c r="AU438" s="1017"/>
      <c r="AV438" s="1017"/>
      <c r="AW438" s="1017"/>
      <c r="AX438" s="1017"/>
      <c r="AY438" s="1017"/>
      <c r="AZ438" s="1017"/>
      <c r="BA438" s="1017"/>
      <c r="BB438" s="1017"/>
      <c r="BC438" s="1017"/>
      <c r="BD438" s="1017"/>
      <c r="BE438" s="1017"/>
      <c r="BF438" s="1017"/>
      <c r="BG438" s="1017"/>
      <c r="BH438" s="1017"/>
      <c r="BI438" s="1017"/>
      <c r="BJ438" s="1017"/>
      <c r="BK438" s="1017"/>
      <c r="BL438" s="1017"/>
      <c r="BM438" s="1017"/>
      <c r="BN438" s="1017"/>
      <c r="BO438" s="1017"/>
      <c r="BP438" s="1018"/>
      <c r="BQ438" s="1019"/>
      <c r="BR438" s="1019"/>
      <c r="BS438" s="1020">
        <f t="shared" ref="BS438:BS443" si="1273">SUM(L438:O438)</f>
        <v>691.7</v>
      </c>
      <c r="BT438" s="318">
        <f t="shared" ref="BT438:BT443" si="1274">SUM(P438:S438)</f>
        <v>625.04999999999995</v>
      </c>
      <c r="BU438" s="318">
        <f t="shared" ref="BU438:BU443" si="1275">SUM(T438:W438)</f>
        <v>521.34999999999991</v>
      </c>
      <c r="BV438" s="318">
        <f t="shared" ref="BV438:BV443" si="1276">SUM(X438:AA438)</f>
        <v>980</v>
      </c>
      <c r="BW438" s="318">
        <f t="shared" ref="BW438:BW443" si="1277">SUM(AB438:AE438)</f>
        <v>686.8</v>
      </c>
      <c r="BX438" s="318"/>
      <c r="BY438" s="318"/>
      <c r="BZ438" s="318"/>
      <c r="CA438" s="318"/>
      <c r="CB438" s="318"/>
      <c r="CC438" s="318"/>
      <c r="CD438" s="318"/>
      <c r="CE438" s="318"/>
      <c r="CF438" s="318"/>
      <c r="CG438" s="318"/>
    </row>
    <row r="439" spans="1:88" ht="14.25" hidden="1" customHeight="1" outlineLevel="1">
      <c r="B439" s="989" t="s">
        <v>348</v>
      </c>
      <c r="C439" s="318"/>
      <c r="D439" s="1013"/>
      <c r="E439" s="1013"/>
      <c r="F439" s="1013"/>
      <c r="G439" s="1014"/>
      <c r="H439" s="1013"/>
      <c r="I439" s="1013"/>
      <c r="J439" s="1013"/>
      <c r="K439" s="1014"/>
      <c r="L439" s="1015">
        <v>125</v>
      </c>
      <c r="M439" s="1015">
        <v>125</v>
      </c>
      <c r="N439" s="1015">
        <v>125</v>
      </c>
      <c r="O439" s="1015">
        <v>125</v>
      </c>
      <c r="P439" s="1015">
        <v>125</v>
      </c>
      <c r="Q439" s="1015">
        <v>125</v>
      </c>
      <c r="R439" s="1015">
        <v>125</v>
      </c>
      <c r="S439" s="1015">
        <v>125</v>
      </c>
      <c r="T439" s="1015">
        <v>125</v>
      </c>
      <c r="U439" s="1015">
        <v>125</v>
      </c>
      <c r="V439" s="1015">
        <v>125</v>
      </c>
      <c r="W439" s="1015">
        <v>125</v>
      </c>
      <c r="X439" s="1015">
        <v>125</v>
      </c>
      <c r="Y439" s="1015">
        <v>125</v>
      </c>
      <c r="Z439" s="1015">
        <v>125</v>
      </c>
      <c r="AA439" s="1015">
        <v>125</v>
      </c>
      <c r="AB439" s="1015">
        <v>125</v>
      </c>
      <c r="AC439" s="1015">
        <v>125</v>
      </c>
      <c r="AD439" s="1015">
        <v>125</v>
      </c>
      <c r="AE439" s="1015">
        <v>100</v>
      </c>
      <c r="AF439" s="1015">
        <v>125</v>
      </c>
      <c r="AG439" s="1017"/>
      <c r="AH439" s="1017"/>
      <c r="AI439" s="1017"/>
      <c r="AJ439" s="1017"/>
      <c r="AK439" s="1017"/>
      <c r="AL439" s="1017"/>
      <c r="AM439" s="1017"/>
      <c r="AN439" s="1017"/>
      <c r="AO439" s="1017"/>
      <c r="AP439" s="1017"/>
      <c r="AQ439" s="1017"/>
      <c r="AR439" s="1017"/>
      <c r="AS439" s="1017"/>
      <c r="AT439" s="1017"/>
      <c r="AU439" s="1017"/>
      <c r="AV439" s="1017"/>
      <c r="AW439" s="1017"/>
      <c r="AX439" s="1017"/>
      <c r="AY439" s="1017"/>
      <c r="AZ439" s="1017"/>
      <c r="BA439" s="1017"/>
      <c r="BB439" s="1017"/>
      <c r="BC439" s="1017"/>
      <c r="BD439" s="1017"/>
      <c r="BE439" s="1017"/>
      <c r="BF439" s="1017"/>
      <c r="BG439" s="1017"/>
      <c r="BH439" s="1017"/>
      <c r="BI439" s="1017"/>
      <c r="BJ439" s="1017"/>
      <c r="BK439" s="1017"/>
      <c r="BL439" s="1017"/>
      <c r="BM439" s="1017"/>
      <c r="BN439" s="1017"/>
      <c r="BO439" s="1017"/>
      <c r="BP439" s="1018"/>
      <c r="BQ439" s="1019"/>
      <c r="BR439" s="1019"/>
      <c r="BS439" s="1020">
        <f t="shared" si="1273"/>
        <v>500</v>
      </c>
      <c r="BT439" s="318">
        <f t="shared" si="1274"/>
        <v>500</v>
      </c>
      <c r="BU439" s="318">
        <f t="shared" si="1275"/>
        <v>500</v>
      </c>
      <c r="BV439" s="318">
        <f t="shared" si="1276"/>
        <v>500</v>
      </c>
      <c r="BW439" s="318">
        <f t="shared" si="1277"/>
        <v>475</v>
      </c>
      <c r="BX439" s="318"/>
      <c r="BY439" s="318"/>
      <c r="BZ439" s="318"/>
      <c r="CA439" s="318"/>
      <c r="CB439" s="318"/>
      <c r="CC439" s="318"/>
      <c r="CD439" s="318"/>
      <c r="CE439" s="318"/>
      <c r="CF439" s="318"/>
      <c r="CG439" s="318"/>
    </row>
    <row r="440" spans="1:88" ht="14.25" hidden="1" customHeight="1" outlineLevel="1">
      <c r="B440" s="989" t="s">
        <v>349</v>
      </c>
      <c r="C440" s="318"/>
      <c r="D440" s="1013"/>
      <c r="E440" s="1013"/>
      <c r="F440" s="1013"/>
      <c r="G440" s="1014"/>
      <c r="H440" s="1013"/>
      <c r="I440" s="1013"/>
      <c r="J440" s="1013"/>
      <c r="K440" s="1014"/>
      <c r="L440" s="1015">
        <v>76</v>
      </c>
      <c r="M440" s="1015">
        <v>167</v>
      </c>
      <c r="N440" s="1015">
        <v>202</v>
      </c>
      <c r="O440" s="1015">
        <v>81</v>
      </c>
      <c r="P440" s="1015">
        <v>81</v>
      </c>
      <c r="Q440" s="1015">
        <v>176</v>
      </c>
      <c r="R440" s="1015">
        <v>182</v>
      </c>
      <c r="S440" s="1015">
        <v>61.04</v>
      </c>
      <c r="T440" s="1015">
        <v>51.639975550122251</v>
      </c>
      <c r="U440" s="1015">
        <v>129.04565801253358</v>
      </c>
      <c r="V440" s="1015">
        <v>154.75642161204607</v>
      </c>
      <c r="W440" s="1015">
        <v>73.610662384584501</v>
      </c>
      <c r="X440" s="1015">
        <v>64.099999999999994</v>
      </c>
      <c r="Y440" s="1015">
        <v>139.84</v>
      </c>
      <c r="Z440" s="1015">
        <v>149.6</v>
      </c>
      <c r="AA440" s="1015">
        <v>70.5</v>
      </c>
      <c r="AB440" s="1015">
        <v>67.84</v>
      </c>
      <c r="AC440" s="1015">
        <v>138.32</v>
      </c>
      <c r="AD440" s="1015">
        <v>164.63499999999999</v>
      </c>
      <c r="AE440" s="1015">
        <v>68.400000000000006</v>
      </c>
      <c r="AF440" s="1015">
        <v>62.42</v>
      </c>
      <c r="AG440" s="1017"/>
      <c r="AH440" s="1017"/>
      <c r="AI440" s="1017"/>
      <c r="AJ440" s="1017"/>
      <c r="AK440" s="1017"/>
      <c r="AL440" s="1017"/>
      <c r="AM440" s="1017"/>
      <c r="AN440" s="1017"/>
      <c r="AO440" s="1017"/>
      <c r="AP440" s="1017"/>
      <c r="AQ440" s="1017"/>
      <c r="AR440" s="1017"/>
      <c r="AS440" s="1017"/>
      <c r="AT440" s="1017"/>
      <c r="AU440" s="1017"/>
      <c r="AV440" s="1017"/>
      <c r="AW440" s="1017"/>
      <c r="AX440" s="1017"/>
      <c r="AY440" s="1017"/>
      <c r="AZ440" s="1017"/>
      <c r="BA440" s="1017"/>
      <c r="BB440" s="1017"/>
      <c r="BC440" s="1017"/>
      <c r="BD440" s="1017"/>
      <c r="BE440" s="1017"/>
      <c r="BF440" s="1017"/>
      <c r="BG440" s="1017"/>
      <c r="BH440" s="1017"/>
      <c r="BI440" s="1017"/>
      <c r="BJ440" s="1017"/>
      <c r="BK440" s="1017"/>
      <c r="BL440" s="1017"/>
      <c r="BM440" s="1017"/>
      <c r="BN440" s="1017"/>
      <c r="BO440" s="1017"/>
      <c r="BP440" s="1018"/>
      <c r="BQ440" s="1019"/>
      <c r="BR440" s="1019"/>
      <c r="BS440" s="1020">
        <f t="shared" si="1273"/>
        <v>526</v>
      </c>
      <c r="BT440" s="318">
        <f t="shared" si="1274"/>
        <v>500.04</v>
      </c>
      <c r="BU440" s="318">
        <f t="shared" si="1275"/>
        <v>409.05271755928635</v>
      </c>
      <c r="BV440" s="318">
        <f t="shared" si="1276"/>
        <v>424.03999999999996</v>
      </c>
      <c r="BW440" s="318">
        <f t="shared" si="1277"/>
        <v>439.19499999999994</v>
      </c>
      <c r="BX440" s="318"/>
      <c r="BY440" s="318"/>
      <c r="BZ440" s="318"/>
      <c r="CA440" s="318"/>
      <c r="CB440" s="318"/>
      <c r="CC440" s="318"/>
      <c r="CD440" s="318"/>
      <c r="CE440" s="318"/>
      <c r="CF440" s="318"/>
      <c r="CG440" s="318"/>
    </row>
    <row r="441" spans="1:88" ht="14.25" hidden="1" customHeight="1" outlineLevel="1">
      <c r="B441" s="989" t="s">
        <v>396</v>
      </c>
      <c r="C441" s="318"/>
      <c r="D441" s="1013"/>
      <c r="E441" s="1013"/>
      <c r="F441" s="1013"/>
      <c r="G441" s="1014"/>
      <c r="H441" s="1013"/>
      <c r="I441" s="1013"/>
      <c r="J441" s="1013"/>
      <c r="K441" s="1014"/>
      <c r="L441" s="1015">
        <v>75</v>
      </c>
      <c r="M441" s="1015">
        <v>75</v>
      </c>
      <c r="N441" s="1015">
        <v>75</v>
      </c>
      <c r="O441" s="1015">
        <v>75</v>
      </c>
      <c r="P441" s="1015">
        <v>75</v>
      </c>
      <c r="Q441" s="1015">
        <v>75</v>
      </c>
      <c r="R441" s="1015">
        <v>75</v>
      </c>
      <c r="S441" s="1015">
        <v>75</v>
      </c>
      <c r="T441" s="1015">
        <v>75</v>
      </c>
      <c r="U441" s="1015">
        <v>75</v>
      </c>
      <c r="V441" s="1015">
        <v>75</v>
      </c>
      <c r="W441" s="1015">
        <v>75</v>
      </c>
      <c r="X441" s="1015">
        <v>60</v>
      </c>
      <c r="Y441" s="1015">
        <v>60</v>
      </c>
      <c r="Z441" s="1015">
        <v>60</v>
      </c>
      <c r="AA441" s="1015">
        <v>60</v>
      </c>
      <c r="AB441" s="1015">
        <v>50</v>
      </c>
      <c r="AC441" s="1015">
        <v>50</v>
      </c>
      <c r="AD441" s="1015">
        <v>50</v>
      </c>
      <c r="AE441" s="1015">
        <v>50</v>
      </c>
      <c r="AF441" s="1015">
        <v>50</v>
      </c>
      <c r="AG441" s="1017"/>
      <c r="AH441" s="1017"/>
      <c r="AI441" s="1017"/>
      <c r="AJ441" s="1017"/>
      <c r="AK441" s="1017"/>
      <c r="AL441" s="1017"/>
      <c r="AM441" s="1017"/>
      <c r="AN441" s="1017"/>
      <c r="AO441" s="1017"/>
      <c r="AP441" s="1017"/>
      <c r="AQ441" s="1017"/>
      <c r="AR441" s="1017"/>
      <c r="AS441" s="1017"/>
      <c r="AT441" s="1017"/>
      <c r="AU441" s="1017"/>
      <c r="AV441" s="1017"/>
      <c r="AW441" s="1017"/>
      <c r="AX441" s="1017"/>
      <c r="AY441" s="1017"/>
      <c r="AZ441" s="1017"/>
      <c r="BA441" s="1017"/>
      <c r="BB441" s="1017"/>
      <c r="BC441" s="1017"/>
      <c r="BD441" s="1017"/>
      <c r="BE441" s="1017"/>
      <c r="BF441" s="1017"/>
      <c r="BG441" s="1017"/>
      <c r="BH441" s="1017"/>
      <c r="BI441" s="1017"/>
      <c r="BJ441" s="1017"/>
      <c r="BK441" s="1017"/>
      <c r="BL441" s="1017"/>
      <c r="BM441" s="1017"/>
      <c r="BN441" s="1017"/>
      <c r="BO441" s="1017"/>
      <c r="BP441" s="1018"/>
      <c r="BQ441" s="1019"/>
      <c r="BR441" s="1019"/>
      <c r="BS441" s="1020">
        <f t="shared" si="1273"/>
        <v>300</v>
      </c>
      <c r="BT441" s="318">
        <f t="shared" si="1274"/>
        <v>300</v>
      </c>
      <c r="BU441" s="318">
        <f t="shared" si="1275"/>
        <v>300</v>
      </c>
      <c r="BV441" s="318">
        <f t="shared" si="1276"/>
        <v>240</v>
      </c>
      <c r="BW441" s="318">
        <f t="shared" si="1277"/>
        <v>200</v>
      </c>
      <c r="BX441" s="318"/>
      <c r="BY441" s="318"/>
      <c r="BZ441" s="318"/>
      <c r="CA441" s="318"/>
      <c r="CB441" s="318"/>
      <c r="CC441" s="318"/>
      <c r="CD441" s="318"/>
      <c r="CE441" s="318"/>
      <c r="CF441" s="318"/>
      <c r="CG441" s="318"/>
    </row>
    <row r="442" spans="1:88" ht="14.25" hidden="1" customHeight="1" outlineLevel="1">
      <c r="B442" s="989" t="s">
        <v>488</v>
      </c>
      <c r="C442" s="318"/>
      <c r="D442" s="1013"/>
      <c r="E442" s="1013"/>
      <c r="F442" s="1013"/>
      <c r="G442" s="1014"/>
      <c r="H442" s="1013"/>
      <c r="I442" s="1013"/>
      <c r="J442" s="1013"/>
      <c r="K442" s="1014"/>
      <c r="L442" s="1015">
        <v>283.45</v>
      </c>
      <c r="M442" s="1015">
        <v>296.8</v>
      </c>
      <c r="N442" s="1015">
        <v>285.85000000000002</v>
      </c>
      <c r="O442" s="1015">
        <v>240.2</v>
      </c>
      <c r="P442" s="1015">
        <v>216.4</v>
      </c>
      <c r="Q442" s="1015">
        <v>179.45</v>
      </c>
      <c r="R442" s="1015">
        <v>204.65</v>
      </c>
      <c r="S442" s="1015">
        <v>104.41</v>
      </c>
      <c r="T442" s="1015">
        <v>49.060024449877744</v>
      </c>
      <c r="U442" s="1015">
        <v>71.104341987466398</v>
      </c>
      <c r="V442" s="1015">
        <v>129.2435783879539</v>
      </c>
      <c r="W442" s="1015">
        <v>148.18933761541552</v>
      </c>
      <c r="X442" s="1015">
        <v>186.9</v>
      </c>
      <c r="Y442" s="1015">
        <v>171.16</v>
      </c>
      <c r="Z442" s="1015">
        <v>233.4</v>
      </c>
      <c r="AA442" s="1015">
        <v>201.5</v>
      </c>
      <c r="AB442" s="1015">
        <v>252.56</v>
      </c>
      <c r="AC442" s="1015">
        <v>229.78</v>
      </c>
      <c r="AD442" s="1015">
        <v>277.065</v>
      </c>
      <c r="AE442" s="1015">
        <f>25+146.6</f>
        <v>171.6</v>
      </c>
      <c r="AF442" s="1015">
        <v>196.58</v>
      </c>
      <c r="AG442" s="1017"/>
      <c r="AH442" s="1017"/>
      <c r="AI442" s="1017"/>
      <c r="AJ442" s="1017"/>
      <c r="AK442" s="1017"/>
      <c r="AL442" s="1017"/>
      <c r="AM442" s="1017"/>
      <c r="AN442" s="1017"/>
      <c r="AO442" s="1017"/>
      <c r="AP442" s="1017"/>
      <c r="AQ442" s="1017"/>
      <c r="AR442" s="1017"/>
      <c r="AS442" s="1017"/>
      <c r="AT442" s="1017"/>
      <c r="AU442" s="1017"/>
      <c r="AV442" s="1017"/>
      <c r="AW442" s="1017"/>
      <c r="AX442" s="1017"/>
      <c r="AY442" s="1017"/>
      <c r="AZ442" s="1017"/>
      <c r="BA442" s="1017"/>
      <c r="BB442" s="1017"/>
      <c r="BC442" s="1017"/>
      <c r="BD442" s="1017"/>
      <c r="BE442" s="1017"/>
      <c r="BF442" s="1017"/>
      <c r="BG442" s="1017"/>
      <c r="BH442" s="1017"/>
      <c r="BI442" s="1017"/>
      <c r="BJ442" s="1017"/>
      <c r="BK442" s="1017"/>
      <c r="BL442" s="1017"/>
      <c r="BM442" s="1017"/>
      <c r="BN442" s="1017"/>
      <c r="BO442" s="1017"/>
      <c r="BP442" s="1018"/>
      <c r="BQ442" s="1019"/>
      <c r="BR442" s="1019"/>
      <c r="BS442" s="1020">
        <f t="shared" si="1273"/>
        <v>1106.3</v>
      </c>
      <c r="BT442" s="318">
        <f t="shared" si="1274"/>
        <v>704.91</v>
      </c>
      <c r="BU442" s="318">
        <f t="shared" si="1275"/>
        <v>397.59728244071357</v>
      </c>
      <c r="BV442" s="318">
        <f t="shared" si="1276"/>
        <v>792.96</v>
      </c>
      <c r="BW442" s="318">
        <f t="shared" si="1277"/>
        <v>931.005</v>
      </c>
      <c r="BX442" s="318"/>
      <c r="BY442" s="318"/>
      <c r="BZ442" s="318"/>
      <c r="CA442" s="318"/>
      <c r="CB442" s="318"/>
      <c r="CC442" s="318"/>
      <c r="CD442" s="318"/>
      <c r="CE442" s="318"/>
      <c r="CF442" s="318"/>
      <c r="CG442" s="318"/>
    </row>
    <row r="443" spans="1:88" ht="14.25" hidden="1" customHeight="1" outlineLevel="1">
      <c r="B443" s="988" t="s">
        <v>293</v>
      </c>
      <c r="C443" s="318"/>
      <c r="D443" s="1013"/>
      <c r="E443" s="1013"/>
      <c r="F443" s="1013"/>
      <c r="G443" s="1014"/>
      <c r="H443" s="1013"/>
      <c r="I443" s="1013"/>
      <c r="J443" s="1013"/>
      <c r="K443" s="1014"/>
      <c r="L443" s="1022">
        <f t="shared" ref="L443:AF443" si="1278">SUM(L438:L442)</f>
        <v>719</v>
      </c>
      <c r="M443" s="1022">
        <f t="shared" si="1278"/>
        <v>835</v>
      </c>
      <c r="N443" s="1022">
        <f t="shared" si="1278"/>
        <v>871</v>
      </c>
      <c r="O443" s="1022">
        <f t="shared" si="1278"/>
        <v>699</v>
      </c>
      <c r="P443" s="1022">
        <f t="shared" si="1278"/>
        <v>661</v>
      </c>
      <c r="Q443" s="1022">
        <f t="shared" si="1278"/>
        <v>723</v>
      </c>
      <c r="R443" s="1022">
        <f t="shared" si="1278"/>
        <v>756</v>
      </c>
      <c r="S443" s="1022">
        <f t="shared" si="1278"/>
        <v>490</v>
      </c>
      <c r="T443" s="1022">
        <f t="shared" si="1278"/>
        <v>405</v>
      </c>
      <c r="U443" s="1022">
        <f t="shared" si="1278"/>
        <v>523</v>
      </c>
      <c r="V443" s="1022">
        <f t="shared" si="1278"/>
        <v>628</v>
      </c>
      <c r="W443" s="1022">
        <f t="shared" si="1278"/>
        <v>572</v>
      </c>
      <c r="X443" s="1022">
        <f t="shared" si="1278"/>
        <v>681</v>
      </c>
      <c r="Y443" s="1022">
        <f t="shared" si="1278"/>
        <v>741</v>
      </c>
      <c r="Z443" s="1022">
        <f t="shared" si="1278"/>
        <v>813</v>
      </c>
      <c r="AA443" s="1022">
        <f t="shared" si="1278"/>
        <v>702</v>
      </c>
      <c r="AB443" s="1022">
        <f t="shared" si="1278"/>
        <v>665</v>
      </c>
      <c r="AC443" s="1022">
        <f t="shared" si="1278"/>
        <v>716</v>
      </c>
      <c r="AD443" s="1022">
        <f t="shared" si="1278"/>
        <v>790</v>
      </c>
      <c r="AE443" s="1022">
        <f t="shared" si="1278"/>
        <v>561</v>
      </c>
      <c r="AF443" s="1022">
        <f t="shared" si="1278"/>
        <v>589</v>
      </c>
      <c r="AG443" s="1025"/>
      <c r="AH443" s="1025"/>
      <c r="AI443" s="1025"/>
      <c r="AJ443" s="1025"/>
      <c r="AK443" s="1025"/>
      <c r="AL443" s="1025"/>
      <c r="AM443" s="1025"/>
      <c r="AN443" s="1025"/>
      <c r="AO443" s="1025"/>
      <c r="AP443" s="1025"/>
      <c r="AQ443" s="1025"/>
      <c r="AR443" s="1025"/>
      <c r="AS443" s="1025"/>
      <c r="AT443" s="1025"/>
      <c r="AU443" s="1025"/>
      <c r="AV443" s="1025"/>
      <c r="AW443" s="1025"/>
      <c r="AX443" s="1025"/>
      <c r="AY443" s="1025"/>
      <c r="AZ443" s="1025"/>
      <c r="BA443" s="1025"/>
      <c r="BB443" s="1025"/>
      <c r="BC443" s="1025"/>
      <c r="BD443" s="1025"/>
      <c r="BE443" s="1025"/>
      <c r="BF443" s="1025"/>
      <c r="BG443" s="1025"/>
      <c r="BH443" s="1025"/>
      <c r="BI443" s="1025"/>
      <c r="BJ443" s="1025"/>
      <c r="BK443" s="1025"/>
      <c r="BL443" s="1025"/>
      <c r="BM443" s="1025"/>
      <c r="BN443" s="1025"/>
      <c r="BO443" s="1025"/>
      <c r="BP443" s="1018"/>
      <c r="BQ443" s="1019"/>
      <c r="BR443" s="1019"/>
      <c r="BS443" s="1023">
        <f t="shared" si="1273"/>
        <v>3124</v>
      </c>
      <c r="BT443" s="318">
        <f t="shared" si="1274"/>
        <v>2630</v>
      </c>
      <c r="BU443" s="318">
        <f t="shared" si="1275"/>
        <v>2128</v>
      </c>
      <c r="BV443" s="318">
        <f t="shared" si="1276"/>
        <v>2937</v>
      </c>
      <c r="BW443" s="318">
        <f t="shared" si="1277"/>
        <v>2732</v>
      </c>
      <c r="BX443" s="318"/>
      <c r="BY443" s="318"/>
      <c r="BZ443" s="318"/>
      <c r="CA443" s="318"/>
      <c r="CB443" s="318"/>
      <c r="CC443" s="318"/>
      <c r="CD443" s="318"/>
      <c r="CE443" s="318"/>
      <c r="CF443" s="318"/>
      <c r="CG443" s="318"/>
    </row>
    <row r="444" spans="1:88" s="85" customFormat="1" ht="14.25" hidden="1" customHeight="1" outlineLevel="1">
      <c r="B444" s="988" t="s">
        <v>440</v>
      </c>
      <c r="C444" s="1007"/>
      <c r="D444" s="1026"/>
      <c r="E444" s="1026"/>
      <c r="F444" s="1026"/>
      <c r="G444" s="1026"/>
      <c r="H444" s="1026"/>
      <c r="I444" s="1026"/>
      <c r="J444" s="1026"/>
      <c r="K444" s="1026"/>
      <c r="L444" s="1022">
        <f t="shared" ref="L444:AF444" si="1279">L443+L437+L429+L426</f>
        <v>3191</v>
      </c>
      <c r="M444" s="1022">
        <f t="shared" si="1279"/>
        <v>3424</v>
      </c>
      <c r="N444" s="1022">
        <f t="shared" si="1279"/>
        <v>3663</v>
      </c>
      <c r="O444" s="1022">
        <f t="shared" si="1279"/>
        <v>3556</v>
      </c>
      <c r="P444" s="1022">
        <f t="shared" si="1279"/>
        <v>3272</v>
      </c>
      <c r="Q444" s="1022">
        <f t="shared" si="1279"/>
        <v>3351</v>
      </c>
      <c r="R444" s="1022">
        <f t="shared" si="1279"/>
        <v>3387</v>
      </c>
      <c r="S444" s="1022">
        <f t="shared" si="1279"/>
        <v>2491</v>
      </c>
      <c r="T444" s="1022">
        <f t="shared" si="1279"/>
        <v>2086</v>
      </c>
      <c r="U444" s="1022">
        <f t="shared" si="1279"/>
        <v>2457</v>
      </c>
      <c r="V444" s="1022">
        <f t="shared" si="1279"/>
        <v>2880</v>
      </c>
      <c r="W444" s="1022">
        <f t="shared" si="1279"/>
        <v>3005</v>
      </c>
      <c r="X444" s="1022">
        <f t="shared" si="1279"/>
        <v>3205</v>
      </c>
      <c r="Y444" s="1022">
        <f t="shared" si="1279"/>
        <v>3496</v>
      </c>
      <c r="Z444" s="1022">
        <f t="shared" si="1279"/>
        <v>3740</v>
      </c>
      <c r="AA444" s="1022">
        <f t="shared" si="1279"/>
        <v>3525</v>
      </c>
      <c r="AB444" s="1022">
        <f t="shared" si="1279"/>
        <v>3392</v>
      </c>
      <c r="AC444" s="1022">
        <f t="shared" si="1279"/>
        <v>3458</v>
      </c>
      <c r="AD444" s="1022">
        <f t="shared" si="1279"/>
        <v>3466</v>
      </c>
      <c r="AE444" s="1022">
        <f t="shared" si="1279"/>
        <v>3420</v>
      </c>
      <c r="AF444" s="1022">
        <f t="shared" si="1279"/>
        <v>3121</v>
      </c>
      <c r="AG444" s="1027"/>
      <c r="AH444" s="1027"/>
      <c r="AI444" s="1027"/>
      <c r="AJ444" s="1027"/>
      <c r="AK444" s="1027"/>
      <c r="AL444" s="1027"/>
      <c r="AM444" s="1027"/>
      <c r="AN444" s="1027"/>
      <c r="AO444" s="1027"/>
      <c r="AP444" s="1027"/>
      <c r="AQ444" s="1027"/>
      <c r="AR444" s="1027"/>
      <c r="AS444" s="1027"/>
      <c r="AT444" s="1027"/>
      <c r="AU444" s="1027"/>
      <c r="AV444" s="1027"/>
      <c r="AW444" s="1027"/>
      <c r="AX444" s="1027"/>
      <c r="AY444" s="1027"/>
      <c r="AZ444" s="1027"/>
      <c r="BA444" s="1027"/>
      <c r="BB444" s="1027"/>
      <c r="BC444" s="1027"/>
      <c r="BD444" s="1027"/>
      <c r="BE444" s="1027"/>
      <c r="BF444" s="1027"/>
      <c r="BG444" s="1027"/>
      <c r="BH444" s="1027"/>
      <c r="BI444" s="1027"/>
      <c r="BJ444" s="1027"/>
      <c r="BK444" s="1027"/>
      <c r="BL444" s="1027"/>
      <c r="BM444" s="1027"/>
      <c r="BN444" s="1027"/>
      <c r="BO444" s="1027"/>
      <c r="BP444" s="1028"/>
      <c r="BQ444" s="1029"/>
      <c r="BR444" s="1029"/>
      <c r="BS444" s="712">
        <f>BS443+BS437+BS429+BS426</f>
        <v>13834</v>
      </c>
      <c r="BT444" s="1007">
        <f>BT443+BT437+BT429+BT426</f>
        <v>12501</v>
      </c>
      <c r="BU444" s="1007">
        <f>BU443+BU437+BU429+BU426</f>
        <v>10428</v>
      </c>
      <c r="BV444" s="1007">
        <f>BV443+BV437+BV429+BV426</f>
        <v>13966</v>
      </c>
      <c r="BW444" s="1007">
        <f>BW443+BW437+BW429+BW426</f>
        <v>13736</v>
      </c>
      <c r="BX444" s="1007"/>
      <c r="BY444" s="1007"/>
      <c r="BZ444" s="1007"/>
      <c r="CA444" s="1007"/>
      <c r="CB444" s="1007"/>
      <c r="CC444" s="1007"/>
      <c r="CD444" s="1007"/>
      <c r="CE444" s="1007"/>
      <c r="CF444" s="1007"/>
      <c r="CG444" s="1007"/>
      <c r="CH444"/>
      <c r="CI444"/>
      <c r="CJ444"/>
    </row>
    <row r="445" spans="1:88" ht="14.25" hidden="1" customHeight="1" outlineLevel="1">
      <c r="B445" s="989"/>
      <c r="C445" s="363"/>
      <c r="D445" s="363"/>
      <c r="E445" s="363"/>
      <c r="F445" s="363"/>
      <c r="G445" s="363"/>
      <c r="H445" s="363"/>
      <c r="I445" s="363"/>
      <c r="J445" s="363"/>
      <c r="K445" s="363"/>
      <c r="L445" s="363"/>
      <c r="M445" s="363"/>
      <c r="N445" s="363"/>
      <c r="O445" s="363"/>
      <c r="P445" s="363"/>
      <c r="Q445" s="363"/>
      <c r="R445" s="363"/>
      <c r="S445" s="363"/>
      <c r="T445" s="363"/>
      <c r="U445" s="363"/>
      <c r="V445" s="363"/>
      <c r="W445" s="363"/>
      <c r="X445" s="363"/>
      <c r="Y445" s="363"/>
      <c r="Z445" s="363"/>
      <c r="AA445" s="363"/>
      <c r="AB445" s="14"/>
      <c r="AC445" s="14"/>
      <c r="AD445" s="14"/>
      <c r="AE445" s="363"/>
      <c r="AF445" s="14"/>
      <c r="AG445" s="363"/>
      <c r="AH445" s="363"/>
      <c r="AI445" s="363"/>
      <c r="AJ445" s="363"/>
      <c r="AK445" s="363"/>
      <c r="AL445" s="363"/>
      <c r="AM445" s="363"/>
      <c r="AN445" s="363"/>
      <c r="AO445" s="363"/>
      <c r="AP445" s="363"/>
      <c r="AQ445" s="363"/>
      <c r="AR445" s="363"/>
      <c r="AS445" s="363"/>
      <c r="AT445" s="363"/>
      <c r="AU445" s="363"/>
      <c r="AV445" s="363"/>
      <c r="AW445" s="363"/>
      <c r="AX445" s="363"/>
      <c r="AY445" s="363"/>
      <c r="AZ445" s="363"/>
      <c r="BA445" s="363"/>
      <c r="BB445" s="363"/>
      <c r="BC445" s="363"/>
      <c r="BD445" s="363"/>
      <c r="BE445" s="363"/>
      <c r="BF445" s="363"/>
      <c r="BG445" s="363"/>
      <c r="BH445" s="363"/>
      <c r="BI445" s="363"/>
      <c r="BJ445" s="363"/>
      <c r="BK445" s="363"/>
      <c r="BL445" s="363"/>
      <c r="BM445" s="363"/>
      <c r="BN445" s="363"/>
      <c r="BO445" s="363"/>
      <c r="BP445" s="1018"/>
      <c r="BQ445" s="318"/>
      <c r="BR445" s="318"/>
      <c r="BS445" s="318"/>
      <c r="BT445" s="318"/>
      <c r="BU445" s="318"/>
      <c r="BV445" s="318"/>
      <c r="BW445" s="318"/>
      <c r="BX445" s="318"/>
      <c r="BY445" s="318"/>
      <c r="BZ445" s="318"/>
      <c r="CA445" s="318"/>
      <c r="CB445" s="318"/>
      <c r="CC445" s="318"/>
      <c r="CD445" s="318"/>
      <c r="CE445" s="318"/>
      <c r="CF445" s="363"/>
      <c r="CG445" s="363"/>
    </row>
    <row r="446" spans="1:88" s="8" customFormat="1" ht="14.25" hidden="1" customHeight="1" outlineLevel="1">
      <c r="B446" s="1030" t="s">
        <v>271</v>
      </c>
      <c r="C446" s="268"/>
      <c r="D446" s="1031"/>
      <c r="E446" s="1031"/>
      <c r="F446" s="1031"/>
      <c r="G446" s="1031"/>
      <c r="H446" s="1031"/>
      <c r="I446" s="1031"/>
      <c r="J446" s="1031"/>
      <c r="K446" s="1031"/>
      <c r="L446" s="1032" t="str">
        <f>IF(ABS(IS!L$7-L444)&lt;1,"OK",IS!L$7-L444)</f>
        <v>OK</v>
      </c>
      <c r="M446" s="1032" t="str">
        <f>IF(ABS(IS!M$7-M444)&lt;1,"OK",IS!M$7-M444)</f>
        <v>OK</v>
      </c>
      <c r="N446" s="1032" t="str">
        <f>IF(ABS(IS!N$7-N444)&lt;1,"OK",IS!N$7-N444)</f>
        <v>OK</v>
      </c>
      <c r="O446" s="1032" t="str">
        <f>IF(ABS(IS!O$7-O444)&lt;1,"OK",IS!O$7-O444)</f>
        <v>OK</v>
      </c>
      <c r="P446" s="1032" t="str">
        <f>IF(ABS(IS!P$7-P444)&lt;1,"OK",IS!P$7-P444)</f>
        <v>OK</v>
      </c>
      <c r="Q446" s="1032" t="str">
        <f>IF(ABS(IS!Q$7-Q444)&lt;1,"OK",IS!Q$7-Q444)</f>
        <v>OK</v>
      </c>
      <c r="R446" s="1032" t="str">
        <f>IF(ABS(IS!R$7-R444)&lt;1,"OK",IS!R$7-R444)</f>
        <v>OK</v>
      </c>
      <c r="S446" s="1032" t="str">
        <f>IF(ABS(IS!S$7-S444)&lt;1,"OK",IS!S$7-S444)</f>
        <v>OK</v>
      </c>
      <c r="T446" s="1032" t="str">
        <f>IF(ABS(IS!T$7-T444)&lt;1,"OK",IS!T$7-T444)</f>
        <v>OK</v>
      </c>
      <c r="U446" s="1032" t="str">
        <f>IF(ABS(IS!U$7-U444)&lt;1,"OK",IS!U$7-U444)</f>
        <v>OK</v>
      </c>
      <c r="V446" s="1032" t="str">
        <f>IF(ABS(IS!V$7-V444)&lt;1,"OK",IS!V$7-V444)</f>
        <v>OK</v>
      </c>
      <c r="W446" s="1032">
        <f>IF(ABS(IS!W$7-W444)&lt;1,"OK",IS!W$7-W444)</f>
        <v>-1</v>
      </c>
      <c r="X446" s="1032" t="str">
        <f>IF(ABS(IS!X$7-X444)&lt;1,"OK",IS!X$7-X444)</f>
        <v>OK</v>
      </c>
      <c r="Y446" s="1032" t="str">
        <f>IF(ABS(IS!Y$7-Y444)&lt;1,"OK",IS!Y$7-Y444)</f>
        <v>OK</v>
      </c>
      <c r="Z446" s="1032" t="str">
        <f>IF(ABS(IS!Z$7-Z444)&lt;1,"OK",IS!Z$7-Z444)</f>
        <v>OK</v>
      </c>
      <c r="AA446" s="1032" t="str">
        <f>IF(ABS(IS!AA$7-AA444)&lt;1,"OK",IS!AA$7-AA444)</f>
        <v>OK</v>
      </c>
      <c r="AB446" s="1032" t="str">
        <f>IF(ABS(IS!AB$7-AB444)&lt;1,"OK",IS!AB$7-AB444)</f>
        <v>OK</v>
      </c>
      <c r="AC446" s="1032" t="str">
        <f>IF(ABS(IS!AC$7-AC444)&lt;1,"OK",IS!AC$7-AC444)</f>
        <v>OK</v>
      </c>
      <c r="AD446" s="1032" t="str">
        <f>IF(ABS(IS!AD$7-AD444)&lt;1,"OK",IS!AD$7-AD444)</f>
        <v>OK</v>
      </c>
      <c r="AE446" s="1032" t="str">
        <f>IF(ABS(IS!AE$7-AE444)&lt;1,"OK",IS!AE$7-AE444)</f>
        <v>OK</v>
      </c>
      <c r="AF446" s="1032" t="str">
        <f>IF(ABS(IS!AF$7-AF444)&lt;1,"OK",IS!AF$7-AF444)</f>
        <v>OK</v>
      </c>
      <c r="AG446" s="280"/>
      <c r="AH446" s="280"/>
      <c r="AI446" s="280"/>
      <c r="AJ446" s="280"/>
      <c r="AK446" s="280"/>
      <c r="AL446" s="280"/>
      <c r="AM446" s="280"/>
      <c r="AN446" s="280"/>
      <c r="AO446" s="280"/>
      <c r="AP446" s="280"/>
      <c r="AQ446" s="280"/>
      <c r="AR446" s="280"/>
      <c r="AS446" s="280"/>
      <c r="AT446" s="280"/>
      <c r="AU446" s="280"/>
      <c r="AV446" s="280"/>
      <c r="AW446" s="280"/>
      <c r="AX446" s="280"/>
      <c r="AY446" s="280"/>
      <c r="AZ446" s="280"/>
      <c r="BA446" s="280"/>
      <c r="BB446" s="280"/>
      <c r="BC446" s="280"/>
      <c r="BD446" s="280"/>
      <c r="BE446" s="280"/>
      <c r="BF446" s="280"/>
      <c r="BG446" s="280"/>
      <c r="BH446" s="280"/>
      <c r="BI446" s="280"/>
      <c r="BJ446" s="280"/>
      <c r="BK446" s="280"/>
      <c r="BL446" s="280"/>
      <c r="BM446" s="280"/>
      <c r="BN446" s="280"/>
      <c r="BO446" s="280"/>
      <c r="BP446" s="652"/>
      <c r="BQ446" s="1033"/>
      <c r="BR446" s="1033"/>
      <c r="BS446" s="280" t="str">
        <f>IF(ABS(IS!BS$7-BS444)&lt;1,"OK",IS!BS$7-BS444)</f>
        <v>OK</v>
      </c>
      <c r="BT446" s="14" t="str">
        <f>IF(ABS(IS!BT$7-BT444)&lt;1,"OK",IS!BT$7-BT444)</f>
        <v>OK</v>
      </c>
      <c r="BU446" s="14">
        <f>IF(ABS(IS!BU$7-BU444)&lt;1,"OK",IS!BU$7-BU444)</f>
        <v>-1</v>
      </c>
      <c r="BV446" s="14" t="str">
        <f>IF(ABS(IS!BV$7-BV444)&lt;1,"OK",IS!BV$7-BV444)</f>
        <v>OK</v>
      </c>
      <c r="BW446" s="14" t="str">
        <f>IF(ABS(IS!BW$7-BW444)&lt;1,"OK",IS!BW$7-BW444)</f>
        <v>OK</v>
      </c>
      <c r="BX446" s="14"/>
      <c r="BY446" s="14"/>
      <c r="BZ446" s="14"/>
      <c r="CA446" s="14"/>
      <c r="CB446" s="14"/>
      <c r="CC446" s="14"/>
      <c r="CD446" s="14"/>
      <c r="CE446" s="14"/>
      <c r="CF446" s="14"/>
      <c r="CG446" s="14"/>
      <c r="CH446" s="14"/>
      <c r="CI446" s="221"/>
      <c r="CJ446"/>
    </row>
    <row r="447" spans="1:88" ht="14.25" hidden="1" customHeight="1" outlineLevel="1">
      <c r="B447" s="989"/>
      <c r="C447" s="363"/>
      <c r="D447" s="363"/>
      <c r="E447" s="363"/>
      <c r="F447" s="363"/>
      <c r="G447" s="363"/>
      <c r="H447" s="363"/>
      <c r="I447" s="363"/>
      <c r="J447" s="363"/>
      <c r="K447" s="363"/>
      <c r="L447" s="363"/>
      <c r="M447" s="363"/>
      <c r="N447" s="363"/>
      <c r="O447" s="363"/>
      <c r="P447" s="363"/>
      <c r="Q447" s="363"/>
      <c r="R447" s="363"/>
      <c r="S447" s="363"/>
      <c r="T447" s="363"/>
      <c r="U447" s="363"/>
      <c r="V447" s="363"/>
      <c r="W447" s="363"/>
      <c r="X447" s="363"/>
      <c r="Y447" s="363"/>
      <c r="Z447" s="363"/>
      <c r="AA447" s="363"/>
      <c r="AB447" s="14"/>
      <c r="AC447" s="14"/>
      <c r="AD447" s="14"/>
      <c r="AE447" s="363"/>
      <c r="AF447" s="14"/>
      <c r="AG447" s="363"/>
      <c r="AH447" s="363"/>
      <c r="AI447" s="363"/>
      <c r="AJ447" s="363"/>
      <c r="AK447" s="363"/>
      <c r="AL447" s="363"/>
      <c r="AM447" s="363"/>
      <c r="AN447" s="363"/>
      <c r="AO447" s="363"/>
      <c r="AP447" s="363"/>
      <c r="AQ447" s="363"/>
      <c r="AR447" s="363"/>
      <c r="AS447" s="363"/>
      <c r="AT447" s="363"/>
      <c r="AU447" s="363"/>
      <c r="AV447" s="363"/>
      <c r="AW447" s="363"/>
      <c r="AX447" s="363"/>
      <c r="AY447" s="363"/>
      <c r="AZ447" s="363"/>
      <c r="BA447" s="363"/>
      <c r="BB447" s="363"/>
      <c r="BC447" s="363"/>
      <c r="BD447" s="363"/>
      <c r="BE447" s="363"/>
      <c r="BF447" s="363"/>
      <c r="BG447" s="363"/>
      <c r="BH447" s="363"/>
      <c r="BI447" s="363"/>
      <c r="BJ447" s="363"/>
      <c r="BK447" s="363"/>
      <c r="BL447" s="363"/>
      <c r="BM447" s="363"/>
      <c r="BN447" s="363"/>
      <c r="BO447" s="363"/>
      <c r="BP447" s="1018"/>
      <c r="BQ447" s="363"/>
      <c r="BR447" s="363"/>
      <c r="BS447" s="363"/>
      <c r="BT447" s="363"/>
      <c r="BU447" s="363"/>
      <c r="BV447" s="363"/>
      <c r="BW447" s="363"/>
      <c r="BX447" s="363"/>
      <c r="BY447" s="363"/>
      <c r="BZ447" s="363"/>
      <c r="CA447" s="363"/>
      <c r="CB447" s="363"/>
      <c r="CC447" s="363"/>
      <c r="CD447" s="363"/>
      <c r="CE447" s="363"/>
      <c r="CF447" s="363"/>
      <c r="CG447" s="363"/>
    </row>
    <row r="448" spans="1:88" ht="14.25" hidden="1" customHeight="1" outlineLevel="1">
      <c r="A448" s="1"/>
      <c r="B448" s="1010" t="s">
        <v>449</v>
      </c>
      <c r="C448" s="1011"/>
      <c r="D448" s="1012" t="str">
        <f t="shared" ref="D448:BC448" si="1280">D$6</f>
        <v>F1Q05A</v>
      </c>
      <c r="E448" s="1012" t="str">
        <f t="shared" si="1280"/>
        <v>F2Q05A</v>
      </c>
      <c r="F448" s="1012" t="str">
        <f t="shared" si="1280"/>
        <v>F3Q05A</v>
      </c>
      <c r="G448" s="1012" t="str">
        <f t="shared" si="1280"/>
        <v>F4Q05A</v>
      </c>
      <c r="H448" s="1012" t="str">
        <f t="shared" si="1280"/>
        <v>F1Q06A</v>
      </c>
      <c r="I448" s="1012" t="str">
        <f t="shared" si="1280"/>
        <v>F2Q06A</v>
      </c>
      <c r="J448" s="1012" t="str">
        <f t="shared" si="1280"/>
        <v>F3Q06A</v>
      </c>
      <c r="K448" s="1012" t="str">
        <f t="shared" si="1280"/>
        <v>F4Q06A</v>
      </c>
      <c r="L448" s="1012" t="str">
        <f t="shared" si="1280"/>
        <v>F1Q07A</v>
      </c>
      <c r="M448" s="1012" t="str">
        <f t="shared" si="1280"/>
        <v>F2Q07A</v>
      </c>
      <c r="N448" s="1012" t="str">
        <f t="shared" si="1280"/>
        <v>F3Q07A</v>
      </c>
      <c r="O448" s="1012" t="str">
        <f t="shared" si="1280"/>
        <v>F4Q07A</v>
      </c>
      <c r="P448" s="1012" t="str">
        <f t="shared" si="1280"/>
        <v>F1Q08A</v>
      </c>
      <c r="Q448" s="1012" t="str">
        <f t="shared" si="1280"/>
        <v>F2Q08A</v>
      </c>
      <c r="R448" s="1012" t="str">
        <f t="shared" si="1280"/>
        <v>F3Q08A</v>
      </c>
      <c r="S448" s="1012" t="str">
        <f t="shared" si="1280"/>
        <v>F4Q08A</v>
      </c>
      <c r="T448" s="1012" t="str">
        <f t="shared" si="1280"/>
        <v>F1Q09A</v>
      </c>
      <c r="U448" s="1012" t="str">
        <f t="shared" si="1280"/>
        <v>F2Q09A</v>
      </c>
      <c r="V448" s="1012" t="str">
        <f t="shared" si="1280"/>
        <v>F3Q09A</v>
      </c>
      <c r="W448" s="1012" t="str">
        <f t="shared" si="1280"/>
        <v>F4Q09A</v>
      </c>
      <c r="X448" s="1012" t="str">
        <f t="shared" si="1280"/>
        <v>F1Q10A</v>
      </c>
      <c r="Y448" s="1012" t="str">
        <f t="shared" si="1280"/>
        <v>F2Q10A</v>
      </c>
      <c r="Z448" s="1012" t="str">
        <f t="shared" si="1280"/>
        <v>F3Q10A</v>
      </c>
      <c r="AA448" s="1012" t="str">
        <f t="shared" si="1280"/>
        <v>F4Q10A</v>
      </c>
      <c r="AB448" s="1012" t="str">
        <f t="shared" si="1280"/>
        <v>F1Q11A</v>
      </c>
      <c r="AC448" s="1012" t="str">
        <f t="shared" si="1280"/>
        <v>F2Q11A</v>
      </c>
      <c r="AD448" s="1012" t="str">
        <f t="shared" si="1280"/>
        <v>F3Q11A</v>
      </c>
      <c r="AE448" s="1012" t="str">
        <f t="shared" si="1280"/>
        <v>F4Q11A</v>
      </c>
      <c r="AF448" s="1012" t="str">
        <f t="shared" si="1280"/>
        <v>F1Q12A</v>
      </c>
      <c r="AG448" s="1012" t="str">
        <f t="shared" si="1280"/>
        <v>F2Q12A</v>
      </c>
      <c r="AH448" s="1012" t="str">
        <f t="shared" si="1280"/>
        <v>F3Q12A</v>
      </c>
      <c r="AI448" s="1012" t="str">
        <f t="shared" si="1280"/>
        <v>F4Q12A</v>
      </c>
      <c r="AJ448" s="1012" t="str">
        <f t="shared" si="1280"/>
        <v>F1Q13A</v>
      </c>
      <c r="AK448" s="1012" t="str">
        <f t="shared" si="1280"/>
        <v>F2Q13A</v>
      </c>
      <c r="AL448" s="1012" t="str">
        <f t="shared" si="1280"/>
        <v>F3Q13A</v>
      </c>
      <c r="AM448" s="1012" t="str">
        <f t="shared" si="1280"/>
        <v>F4Q13A</v>
      </c>
      <c r="AN448" s="1012" t="str">
        <f t="shared" si="1280"/>
        <v>F1Q14A</v>
      </c>
      <c r="AO448" s="1012" t="str">
        <f t="shared" si="1280"/>
        <v>F2Q14A</v>
      </c>
      <c r="AP448" s="1012" t="str">
        <f t="shared" si="1280"/>
        <v>F3Q14A</v>
      </c>
      <c r="AQ448" s="1012" t="str">
        <f t="shared" si="1280"/>
        <v>F4Q14A</v>
      </c>
      <c r="AR448" s="1012" t="str">
        <f t="shared" si="1280"/>
        <v>F1Q15A</v>
      </c>
      <c r="AS448" s="1012" t="str">
        <f t="shared" si="1280"/>
        <v>F2Q15A</v>
      </c>
      <c r="AT448" s="1012" t="str">
        <f t="shared" si="1280"/>
        <v>F3Q15A</v>
      </c>
      <c r="AU448" s="1012" t="str">
        <f t="shared" si="1280"/>
        <v>F4Q15A</v>
      </c>
      <c r="AV448" s="1012" t="str">
        <f t="shared" si="1280"/>
        <v>F1Q16A</v>
      </c>
      <c r="AW448" s="1012" t="str">
        <f t="shared" si="1280"/>
        <v>F2Q16A</v>
      </c>
      <c r="AX448" s="1012" t="str">
        <f t="shared" si="1280"/>
        <v>F3Q16A</v>
      </c>
      <c r="AY448" s="1012" t="str">
        <f t="shared" si="1280"/>
        <v>F4Q16A</v>
      </c>
      <c r="AZ448" s="1012" t="str">
        <f t="shared" si="1280"/>
        <v>F1Q17A</v>
      </c>
      <c r="BA448" s="1012" t="str">
        <f t="shared" si="1280"/>
        <v>F2Q17A</v>
      </c>
      <c r="BB448" s="1012" t="str">
        <f t="shared" si="1280"/>
        <v>F3Q17A</v>
      </c>
      <c r="BC448" s="1012" t="str">
        <f t="shared" si="1280"/>
        <v>F4Q17A</v>
      </c>
      <c r="BD448" s="1012"/>
      <c r="BE448" s="1012"/>
      <c r="BF448" s="1012"/>
      <c r="BG448" s="1012"/>
      <c r="BH448" s="1012"/>
      <c r="BI448" s="1012"/>
      <c r="BJ448" s="1012"/>
      <c r="BK448" s="1012"/>
      <c r="BL448" s="1012"/>
      <c r="BM448" s="1012"/>
      <c r="BN448" s="1012"/>
      <c r="BO448" s="1012"/>
      <c r="BP448" s="652"/>
      <c r="BQ448" s="1012" t="str">
        <f t="shared" ref="BQ448:CF448" si="1281">BQ$6</f>
        <v>FY2005A</v>
      </c>
      <c r="BR448" s="1012" t="str">
        <f t="shared" si="1281"/>
        <v>FY2006A</v>
      </c>
      <c r="BS448" s="1012" t="str">
        <f t="shared" si="1281"/>
        <v>FY2007A</v>
      </c>
      <c r="BT448" s="1012" t="str">
        <f t="shared" si="1281"/>
        <v>FY2008A</v>
      </c>
      <c r="BU448" s="1012" t="str">
        <f t="shared" si="1281"/>
        <v>FY2009A</v>
      </c>
      <c r="BV448" s="1012" t="str">
        <f t="shared" si="1281"/>
        <v>FY2010A</v>
      </c>
      <c r="BW448" s="1012" t="str">
        <f t="shared" si="1281"/>
        <v>FY2011A</v>
      </c>
      <c r="BX448" s="1012" t="str">
        <f t="shared" si="1281"/>
        <v>FY2012A</v>
      </c>
      <c r="BY448" s="1012" t="str">
        <f t="shared" si="1281"/>
        <v>FY2013A</v>
      </c>
      <c r="BZ448" s="1012" t="str">
        <f t="shared" si="1281"/>
        <v>FY2014A</v>
      </c>
      <c r="CA448" s="1012" t="str">
        <f t="shared" si="1281"/>
        <v>FY2015A</v>
      </c>
      <c r="CB448" s="1012" t="str">
        <f t="shared" si="1281"/>
        <v>FY2016A</v>
      </c>
      <c r="CC448" s="1012" t="str">
        <f t="shared" si="1281"/>
        <v>FY2017E</v>
      </c>
      <c r="CD448" s="1012" t="str">
        <f t="shared" si="1281"/>
        <v>FY2018E</v>
      </c>
      <c r="CE448" s="1012" t="str">
        <f t="shared" si="1281"/>
        <v>FY2019E</v>
      </c>
      <c r="CF448" s="1012" t="str">
        <f t="shared" si="1281"/>
        <v>FY2020E</v>
      </c>
      <c r="CG448" s="318"/>
    </row>
    <row r="449" spans="2:88" ht="14.25" hidden="1" customHeight="1" outlineLevel="1">
      <c r="B449" s="1035" t="str">
        <f t="shared" ref="B449:B469" si="1282">B423</f>
        <v>Power</v>
      </c>
      <c r="C449" s="318"/>
      <c r="D449" s="873"/>
      <c r="E449" s="873"/>
      <c r="F449" s="873"/>
      <c r="G449" s="873"/>
      <c r="H449" s="873"/>
      <c r="I449" s="873"/>
      <c r="J449" s="873"/>
      <c r="K449" s="873"/>
      <c r="L449" s="752">
        <f>L423/IS!L$7</f>
        <v>9.8758379818238803E-2</v>
      </c>
      <c r="M449" s="752">
        <f>M423/IS!M$7</f>
        <v>9.2248107476635505E-2</v>
      </c>
      <c r="N449" s="752">
        <f>N423/IS!N$7</f>
        <v>9.7297843297843301E-2</v>
      </c>
      <c r="O449" s="752">
        <f>O423/IS!O$7</f>
        <v>0.10273127952755906</v>
      </c>
      <c r="P449" s="752">
        <f>P423/IS!P$7</f>
        <v>0.10583992970660146</v>
      </c>
      <c r="Q449" s="752">
        <f>Q423/IS!Q$7</f>
        <v>0.11441418979409132</v>
      </c>
      <c r="R449" s="752">
        <f>R423/IS!R$7</f>
        <v>0.11768679657514025</v>
      </c>
      <c r="S449" s="752">
        <f>S423/IS!S$7</f>
        <v>0.12577877960658371</v>
      </c>
      <c r="T449" s="752">
        <f>T423/IS!T$7</f>
        <v>0.11557701821668265</v>
      </c>
      <c r="U449" s="752">
        <f>U423/IS!U$7</f>
        <v>0.11961973137973139</v>
      </c>
      <c r="V449" s="752">
        <f>V423/IS!V$7</f>
        <v>0.12126202430555555</v>
      </c>
      <c r="W449" s="752">
        <f>W423/IS!W$7</f>
        <v>0.12346382157123836</v>
      </c>
      <c r="X449" s="752">
        <f>X423/IS!X$7</f>
        <v>0.12795631825273013</v>
      </c>
      <c r="Y449" s="752">
        <f>Y423/IS!Y$7</f>
        <v>0.1297482837528604</v>
      </c>
      <c r="Z449" s="752">
        <f>Z423/IS!Z$7</f>
        <v>0.12681818181818183</v>
      </c>
      <c r="AA449" s="752">
        <f>AA423/IS!AA$7</f>
        <v>0.12919148936170213</v>
      </c>
      <c r="AB449" s="752">
        <f>AB423/IS!AB$7</f>
        <v>0.13059400813493041</v>
      </c>
      <c r="AC449" s="752">
        <f>AC423/IS!AC$7</f>
        <v>0.13696221548553469</v>
      </c>
      <c r="AD449" s="752">
        <f>AD423/IS!AD$7</f>
        <v>0.13655804962492787</v>
      </c>
      <c r="AE449" s="752">
        <f>AE423/IS!AE$7</f>
        <v>0.16081871345029239</v>
      </c>
      <c r="AF449" s="752">
        <f>AF423/IS!AF$7</f>
        <v>0.17622556872797179</v>
      </c>
      <c r="AG449" s="1036"/>
      <c r="AH449" s="1036"/>
      <c r="AI449" s="1036"/>
      <c r="AJ449" s="1036"/>
      <c r="AK449" s="1036"/>
      <c r="AL449" s="1036"/>
      <c r="AM449" s="1036"/>
      <c r="AN449" s="1036"/>
      <c r="AO449" s="1036"/>
      <c r="AP449" s="1036"/>
      <c r="AQ449" s="1036"/>
      <c r="AR449" s="1036"/>
      <c r="AS449" s="1036"/>
      <c r="AT449" s="1036"/>
      <c r="AU449" s="1036"/>
      <c r="AV449" s="1036"/>
      <c r="AW449" s="1036"/>
      <c r="AX449" s="1036"/>
      <c r="AY449" s="1036"/>
      <c r="AZ449" s="1036"/>
      <c r="BA449" s="1036"/>
      <c r="BB449" s="1036"/>
      <c r="BC449" s="1036"/>
      <c r="BD449" s="1036"/>
      <c r="BE449" s="1036"/>
      <c r="BF449" s="1036"/>
      <c r="BG449" s="1036"/>
      <c r="BH449" s="1036"/>
      <c r="BI449" s="1036"/>
      <c r="BJ449" s="1036"/>
      <c r="BK449" s="1036"/>
      <c r="BL449" s="1036"/>
      <c r="BM449" s="1036"/>
      <c r="BN449" s="1036"/>
      <c r="BO449" s="1036"/>
      <c r="BP449" s="1018"/>
      <c r="BQ449" s="864"/>
      <c r="BR449" s="864"/>
      <c r="BS449" s="231">
        <f>BS423/IS!BS$7</f>
        <v>9.778154835911522E-2</v>
      </c>
      <c r="BT449" s="1037">
        <f>BT423/IS!BT$7</f>
        <v>0.11532119990400767</v>
      </c>
      <c r="BU449" s="1037">
        <f>BU423/IS!BU$7</f>
        <v>0.12037204277356862</v>
      </c>
      <c r="BV449" s="1037">
        <f>BV423/IS!BV$7</f>
        <v>0.12841185736789346</v>
      </c>
      <c r="BW449" s="1037">
        <f>BW423/IS!BW$7</f>
        <v>0.14122746190613444</v>
      </c>
      <c r="BX449" s="1037"/>
      <c r="BY449" s="1037"/>
      <c r="BZ449" s="1037"/>
      <c r="CA449" s="1037"/>
      <c r="CB449" s="1037"/>
      <c r="CC449" s="1037"/>
      <c r="CD449" s="1037"/>
      <c r="CE449" s="1037"/>
      <c r="CF449" s="1037"/>
      <c r="CG449" s="1037"/>
    </row>
    <row r="450" spans="2:88" ht="14.25" hidden="1" customHeight="1" outlineLevel="1">
      <c r="B450" s="1035" t="str">
        <f t="shared" si="1282"/>
        <v>HPA</v>
      </c>
      <c r="C450" s="318"/>
      <c r="D450" s="873"/>
      <c r="E450" s="873"/>
      <c r="F450" s="873"/>
      <c r="G450" s="873"/>
      <c r="H450" s="873"/>
      <c r="I450" s="873"/>
      <c r="J450" s="873"/>
      <c r="K450" s="873"/>
      <c r="L450" s="752">
        <f>L424/IS!L$7</f>
        <v>0.123588671262927</v>
      </c>
      <c r="M450" s="752">
        <f>M424/IS!M$7</f>
        <v>0.12287908878504676</v>
      </c>
      <c r="N450" s="752">
        <f>N424/IS!N$7</f>
        <v>0.1277315206115206</v>
      </c>
      <c r="O450" s="752">
        <f>O424/IS!O$7</f>
        <v>0.13216406355455568</v>
      </c>
      <c r="P450" s="752">
        <f>P424/IS!P$7</f>
        <v>0.15343799205378972</v>
      </c>
      <c r="Q450" s="752">
        <f>Q424/IS!Q$7</f>
        <v>0.13549821844225607</v>
      </c>
      <c r="R450" s="752">
        <f>R424/IS!R$7</f>
        <v>0.11934599940950692</v>
      </c>
      <c r="S450" s="752">
        <f>S424/IS!S$7</f>
        <v>0.14636111601766358</v>
      </c>
      <c r="T450" s="752">
        <f>T424/IS!T$7</f>
        <v>0.13259876677852347</v>
      </c>
      <c r="U450" s="752">
        <f>U424/IS!U$7</f>
        <v>0.11210956247456243</v>
      </c>
      <c r="V450" s="752">
        <f>V424/IS!V$7</f>
        <v>0.1243487265625</v>
      </c>
      <c r="W450" s="752">
        <f>W424/IS!W$7</f>
        <v>0.12957406458055926</v>
      </c>
      <c r="X450" s="752">
        <f>X424/IS!X$7</f>
        <v>0.12795631825273013</v>
      </c>
      <c r="Y450" s="752">
        <f>Y424/IS!Y$7</f>
        <v>0.1297482837528604</v>
      </c>
      <c r="Z450" s="752">
        <f>Z424/IS!Z$7</f>
        <v>0.12681818181818183</v>
      </c>
      <c r="AA450" s="752">
        <f>AA424/IS!AA$7</f>
        <v>0.12919148936170213</v>
      </c>
      <c r="AB450" s="752">
        <f>AB424/IS!AB$7</f>
        <v>0.13390462806199621</v>
      </c>
      <c r="AC450" s="752">
        <f>AC424/IS!AC$7</f>
        <v>0.13632522794121596</v>
      </c>
      <c r="AD450" s="752">
        <f>AD424/IS!AD$7</f>
        <v>0.1242738488170802</v>
      </c>
      <c r="AE450" s="752">
        <f>AE424/IS!AE$7</f>
        <v>0.15725146198830409</v>
      </c>
      <c r="AF450" s="752">
        <f>AF424/IS!AF$7</f>
        <v>0.17231656520346042</v>
      </c>
      <c r="AG450" s="1036"/>
      <c r="AH450" s="1036"/>
      <c r="AI450" s="1036"/>
      <c r="AJ450" s="1036"/>
      <c r="AK450" s="1036"/>
      <c r="AL450" s="1036"/>
      <c r="AM450" s="1036"/>
      <c r="AN450" s="1036"/>
      <c r="AO450" s="1036"/>
      <c r="AP450" s="1036"/>
      <c r="AQ450" s="1036"/>
      <c r="AR450" s="1036"/>
      <c r="AS450" s="1036"/>
      <c r="AT450" s="1036"/>
      <c r="AU450" s="1036"/>
      <c r="AV450" s="1036"/>
      <c r="AW450" s="1036"/>
      <c r="AX450" s="1036"/>
      <c r="AY450" s="1036"/>
      <c r="AZ450" s="1036"/>
      <c r="BA450" s="1036"/>
      <c r="BB450" s="1036"/>
      <c r="BC450" s="1036"/>
      <c r="BD450" s="1036"/>
      <c r="BE450" s="1036"/>
      <c r="BF450" s="1036"/>
      <c r="BG450" s="1036"/>
      <c r="BH450" s="1036"/>
      <c r="BI450" s="1036"/>
      <c r="BJ450" s="1036"/>
      <c r="BK450" s="1036"/>
      <c r="BL450" s="1036"/>
      <c r="BM450" s="1036"/>
      <c r="BN450" s="1036"/>
      <c r="BO450" s="1036"/>
      <c r="BP450" s="1018"/>
      <c r="BQ450" s="864"/>
      <c r="BR450" s="864"/>
      <c r="BS450" s="231">
        <f>BS424/IS!BS$7</f>
        <v>0.12671428509469423</v>
      </c>
      <c r="BT450" s="1037">
        <f>BT424/IS!BT$7</f>
        <v>0.13798208783297336</v>
      </c>
      <c r="BU450" s="1037">
        <f>BU424/IS!BU$7</f>
        <v>0.12462060468015727</v>
      </c>
      <c r="BV450" s="1037">
        <f>BV424/IS!BV$7</f>
        <v>0.12841185736789346</v>
      </c>
      <c r="BW450" s="1037">
        <f>BW424/IS!BW$7</f>
        <v>0.1378967892113436</v>
      </c>
      <c r="BX450" s="1037"/>
      <c r="BY450" s="1037"/>
      <c r="BZ450" s="1037"/>
      <c r="CA450" s="1037"/>
      <c r="CB450" s="1037"/>
      <c r="CC450" s="1037"/>
      <c r="CD450" s="1037"/>
      <c r="CE450" s="1037"/>
      <c r="CF450" s="1037"/>
      <c r="CG450" s="1037"/>
    </row>
    <row r="451" spans="2:88" ht="14.25" hidden="1" customHeight="1" outlineLevel="1">
      <c r="B451" s="1035" t="str">
        <f t="shared" si="1282"/>
        <v>HVAL</v>
      </c>
      <c r="C451" s="318"/>
      <c r="D451" s="873"/>
      <c r="E451" s="873"/>
      <c r="F451" s="873"/>
      <c r="G451" s="873"/>
      <c r="H451" s="873"/>
      <c r="I451" s="873"/>
      <c r="J451" s="873"/>
      <c r="K451" s="873"/>
      <c r="L451" s="752">
        <f>L425/IS!L$7</f>
        <v>0.13052038859291756</v>
      </c>
      <c r="M451" s="752">
        <f>M425/IS!M$7</f>
        <v>0.12482607476635513</v>
      </c>
      <c r="N451" s="752">
        <f>N425/IS!N$7</f>
        <v>0.12659498771498773</v>
      </c>
      <c r="O451" s="752">
        <f>O425/IS!O$7</f>
        <v>0.1273093813273341</v>
      </c>
      <c r="P451" s="752">
        <f>P425/IS!P$7</f>
        <v>0.12244579462102691</v>
      </c>
      <c r="Q451" s="752">
        <f>Q425/IS!Q$7</f>
        <v>0.12878051924798567</v>
      </c>
      <c r="R451" s="752">
        <f>R425/IS!R$7</f>
        <v>0.13793029819899616</v>
      </c>
      <c r="S451" s="752">
        <f>S425/IS!S$7</f>
        <v>0.13010819751103975</v>
      </c>
      <c r="T451" s="752">
        <f>T425/IS!T$7</f>
        <v>0.1362920961169703</v>
      </c>
      <c r="U451" s="752">
        <f>U425/IS!U$7</f>
        <v>0.16306110093610096</v>
      </c>
      <c r="V451" s="752">
        <f>V425/IS!V$7</f>
        <v>0.1599448046875</v>
      </c>
      <c r="W451" s="752">
        <f>W425/IS!W$7</f>
        <v>0.16740152796271637</v>
      </c>
      <c r="X451" s="752">
        <f>X425/IS!X$7</f>
        <v>0.17060842433697346</v>
      </c>
      <c r="Y451" s="752">
        <f>Y425/IS!Y$7</f>
        <v>0.17299771167048053</v>
      </c>
      <c r="Z451" s="752">
        <f>Z425/IS!Z$7</f>
        <v>0.1690909090909091</v>
      </c>
      <c r="AA451" s="752">
        <f>AA425/IS!AA$7</f>
        <v>0.17225531914893619</v>
      </c>
      <c r="AB451" s="752">
        <f>AB425/IS!AB$7</f>
        <v>0.18833155248231867</v>
      </c>
      <c r="AC451" s="752">
        <f>AC425/IS!AC$7</f>
        <v>0.18593754211402436</v>
      </c>
      <c r="AD451" s="752">
        <f>AD425/IS!AD$7</f>
        <v>0.18838910559723024</v>
      </c>
      <c r="AE451" s="752">
        <f>AE425/IS!AE$7</f>
        <v>0.17754385964912281</v>
      </c>
      <c r="AF451" s="752">
        <f>AF425/IS!AF$7</f>
        <v>0.19166933675104134</v>
      </c>
      <c r="AG451" s="1036"/>
      <c r="AH451" s="1036"/>
      <c r="AI451" s="1036"/>
      <c r="AJ451" s="1036"/>
      <c r="AK451" s="1036"/>
      <c r="AL451" s="1036"/>
      <c r="AM451" s="1036"/>
      <c r="AN451" s="1036"/>
      <c r="AO451" s="1036"/>
      <c r="AP451" s="1036"/>
      <c r="AQ451" s="1036"/>
      <c r="AR451" s="1036"/>
      <c r="AS451" s="1036"/>
      <c r="AT451" s="1036"/>
      <c r="AU451" s="1036"/>
      <c r="AV451" s="1036"/>
      <c r="AW451" s="1036"/>
      <c r="AX451" s="1036"/>
      <c r="AY451" s="1036"/>
      <c r="AZ451" s="1036"/>
      <c r="BA451" s="1036"/>
      <c r="BB451" s="1036"/>
      <c r="BC451" s="1036"/>
      <c r="BD451" s="1036"/>
      <c r="BE451" s="1036"/>
      <c r="BF451" s="1036"/>
      <c r="BG451" s="1036"/>
      <c r="BH451" s="1036"/>
      <c r="BI451" s="1036"/>
      <c r="BJ451" s="1036"/>
      <c r="BK451" s="1036"/>
      <c r="BL451" s="1036"/>
      <c r="BM451" s="1036"/>
      <c r="BN451" s="1036"/>
      <c r="BO451" s="1036"/>
      <c r="BP451" s="1018"/>
      <c r="BQ451" s="864"/>
      <c r="BR451" s="864"/>
      <c r="BS451" s="231">
        <f>BS425/IS!BS$7</f>
        <v>0.12724625126499928</v>
      </c>
      <c r="BT451" s="1037">
        <f>BT425/IS!BT$7</f>
        <v>0.12986605871530277</v>
      </c>
      <c r="BU451" s="1037">
        <f>BU425/IS!BU$7</f>
        <v>0.15809548911479812</v>
      </c>
      <c r="BV451" s="1037">
        <f>BV425/IS!BV$7</f>
        <v>0.17121580982385792</v>
      </c>
      <c r="BW451" s="1037">
        <f>BW425/IS!BW$7</f>
        <v>0.1850574611713979</v>
      </c>
      <c r="BX451" s="1037"/>
      <c r="BY451" s="1037"/>
      <c r="BZ451" s="1037"/>
      <c r="CA451" s="1037"/>
      <c r="CB451" s="1037"/>
      <c r="CC451" s="1037"/>
      <c r="CD451" s="1037"/>
      <c r="CE451" s="1037"/>
      <c r="CF451" s="1037"/>
      <c r="CG451" s="1037"/>
    </row>
    <row r="452" spans="2:88" s="85" customFormat="1" ht="14.25" hidden="1" customHeight="1" outlineLevel="1">
      <c r="B452" s="1038" t="str">
        <f t="shared" si="1282"/>
        <v>Analog</v>
      </c>
      <c r="C452" s="1007"/>
      <c r="D452" s="1039"/>
      <c r="E452" s="1039"/>
      <c r="F452" s="1039"/>
      <c r="G452" s="1039"/>
      <c r="H452" s="1039"/>
      <c r="I452" s="1039"/>
      <c r="J452" s="1039"/>
      <c r="K452" s="1039"/>
      <c r="L452" s="1040">
        <f>L426/IS!L$7</f>
        <v>0.35286743967408335</v>
      </c>
      <c r="M452" s="1040">
        <f>M426/IS!M$7</f>
        <v>0.33995327102803741</v>
      </c>
      <c r="N452" s="1040">
        <f>N426/IS!N$7</f>
        <v>0.35162435162435163</v>
      </c>
      <c r="O452" s="1040">
        <f>O426/IS!O$7</f>
        <v>0.36220472440944884</v>
      </c>
      <c r="P452" s="1040">
        <f>P426/IS!P$7</f>
        <v>0.38172371638141811</v>
      </c>
      <c r="Q452" s="1040">
        <f>Q426/IS!Q$7</f>
        <v>0.37869292748433303</v>
      </c>
      <c r="R452" s="1040">
        <f>R426/IS!R$7</f>
        <v>0.37496309418364332</v>
      </c>
      <c r="S452" s="1040">
        <f>S426/IS!S$7</f>
        <v>0.40224809313528703</v>
      </c>
      <c r="T452" s="1040">
        <f>T426/IS!T$7</f>
        <v>0.38446788111217639</v>
      </c>
      <c r="U452" s="1040">
        <f>U426/IS!U$7</f>
        <v>0.39479039479039479</v>
      </c>
      <c r="V452" s="1040">
        <f>V426/IS!V$7</f>
        <v>0.40555555555555556</v>
      </c>
      <c r="W452" s="1040">
        <f>W426/IS!W$7</f>
        <v>0.42043941411451397</v>
      </c>
      <c r="X452" s="1040">
        <f>X426/IS!X$7</f>
        <v>0.42652106084243369</v>
      </c>
      <c r="Y452" s="1040">
        <f>Y426/IS!Y$7</f>
        <v>0.43249427917620137</v>
      </c>
      <c r="Z452" s="1040">
        <f>Z426/IS!Z$7</f>
        <v>0.42272727272727273</v>
      </c>
      <c r="AA452" s="1040">
        <f>AA426/IS!AA$7</f>
        <v>0.43063829787234043</v>
      </c>
      <c r="AB452" s="1040">
        <f>AB426/IS!AB$7</f>
        <v>0.45283018867924529</v>
      </c>
      <c r="AC452" s="1040">
        <f>AC426/IS!AC$7</f>
        <v>0.45922498554077501</v>
      </c>
      <c r="AD452" s="1040">
        <f>AD426/IS!AD$7</f>
        <v>0.44922100403923831</v>
      </c>
      <c r="AE452" s="1040">
        <f>AE426/IS!AE$7</f>
        <v>0.49561403508771928</v>
      </c>
      <c r="AF452" s="1040">
        <f>AF426/IS!AF$7</f>
        <v>0.54021147068247355</v>
      </c>
      <c r="AG452" s="1041"/>
      <c r="AH452" s="1041"/>
      <c r="AI452" s="1041"/>
      <c r="AJ452" s="1041"/>
      <c r="AK452" s="1041"/>
      <c r="AL452" s="1041"/>
      <c r="AM452" s="1041"/>
      <c r="AN452" s="1041"/>
      <c r="AO452" s="1041"/>
      <c r="AP452" s="1041"/>
      <c r="AQ452" s="1041"/>
      <c r="AR452" s="1041"/>
      <c r="AS452" s="1041"/>
      <c r="AT452" s="1041"/>
      <c r="AU452" s="1041"/>
      <c r="AV452" s="1041"/>
      <c r="AW452" s="1041"/>
      <c r="AX452" s="1041"/>
      <c r="AY452" s="1041"/>
      <c r="AZ452" s="1041"/>
      <c r="BA452" s="1041"/>
      <c r="BB452" s="1041"/>
      <c r="BC452" s="1041"/>
      <c r="BD452" s="1041"/>
      <c r="BE452" s="1041"/>
      <c r="BF452" s="1041"/>
      <c r="BG452" s="1041"/>
      <c r="BH452" s="1041"/>
      <c r="BI452" s="1041"/>
      <c r="BJ452" s="1041"/>
      <c r="BK452" s="1041"/>
      <c r="BL452" s="1041"/>
      <c r="BM452" s="1041"/>
      <c r="BN452" s="1041"/>
      <c r="BO452" s="1041"/>
      <c r="BP452" s="1028"/>
      <c r="BQ452" s="1042"/>
      <c r="BR452" s="1042"/>
      <c r="BS452" s="732">
        <f>BS426/IS!BS$7</f>
        <v>0.35174208471880875</v>
      </c>
      <c r="BT452" s="1043">
        <f>BT426/IS!BT$7</f>
        <v>0.38316934645228384</v>
      </c>
      <c r="BU452" s="1043">
        <f>BU426/IS!BU$7</f>
        <v>0.40308813656852405</v>
      </c>
      <c r="BV452" s="1043">
        <f>BV426/IS!BV$7</f>
        <v>0.42803952455964484</v>
      </c>
      <c r="BW452" s="1043">
        <f>BW426/IS!BW$7</f>
        <v>0.46418171228887595</v>
      </c>
      <c r="BX452" s="1043"/>
      <c r="BY452" s="1043"/>
      <c r="BZ452" s="1043"/>
      <c r="CA452" s="1043"/>
      <c r="CB452" s="1043"/>
      <c r="CC452" s="1043"/>
      <c r="CD452" s="1043"/>
      <c r="CE452" s="1043"/>
      <c r="CF452" s="1043"/>
      <c r="CG452" s="1043"/>
      <c r="CH452"/>
      <c r="CI452"/>
      <c r="CJ452"/>
    </row>
    <row r="453" spans="2:88" ht="14.25" hidden="1" customHeight="1" outlineLevel="1">
      <c r="B453" s="1035" t="str">
        <f t="shared" si="1282"/>
        <v>DSP</v>
      </c>
      <c r="C453" s="318"/>
      <c r="D453" s="873"/>
      <c r="E453" s="873"/>
      <c r="F453" s="873"/>
      <c r="G453" s="873"/>
      <c r="H453" s="873"/>
      <c r="I453" s="873"/>
      <c r="J453" s="873"/>
      <c r="K453" s="873"/>
      <c r="L453" s="752">
        <f>L427/IS!L$7</f>
        <v>6.5151989971795679E-2</v>
      </c>
      <c r="M453" s="752">
        <f>M427/IS!M$7</f>
        <v>6.2485397196261679E-2</v>
      </c>
      <c r="N453" s="752">
        <f>N427/IS!N$7</f>
        <v>5.8558558558558557E-2</v>
      </c>
      <c r="O453" s="752">
        <f>O427/IS!O$7</f>
        <v>6.6661979752530937E-2</v>
      </c>
      <c r="P453" s="752">
        <f>P427/IS!P$7</f>
        <v>7.1439486552567238E-2</v>
      </c>
      <c r="Q453" s="752">
        <f>Q427/IS!Q$7</f>
        <v>7.2053118472097874E-2</v>
      </c>
      <c r="R453" s="752">
        <f>R427/IS!R$7</f>
        <v>6.9338647770888689E-2</v>
      </c>
      <c r="S453" s="752">
        <f>S427/IS!S$7</f>
        <v>7.5070252910477725E-2</v>
      </c>
      <c r="T453" s="752">
        <f>T427/IS!T$7</f>
        <v>8.3317353787152451E-2</v>
      </c>
      <c r="U453" s="752">
        <f>U427/IS!U$7</f>
        <v>7.8347578347578342E-2</v>
      </c>
      <c r="V453" s="752">
        <f>V427/IS!V$7</f>
        <v>7.5052083333333339E-2</v>
      </c>
      <c r="W453" s="752">
        <f>W427/IS!W$7</f>
        <v>7.5432756324900138E-2</v>
      </c>
      <c r="X453" s="752">
        <f>X427/IS!X$7</f>
        <v>4.3121834646589419E-2</v>
      </c>
      <c r="Y453" s="752">
        <f>Y427/IS!Y$7</f>
        <v>4.2935748607198509E-2</v>
      </c>
      <c r="Z453" s="752">
        <f>Z427/IS!Z$7</f>
        <v>4.6329751586965728E-2</v>
      </c>
      <c r="AA453" s="752">
        <f>AA427/IS!AA$7</f>
        <v>4.6024222335473298E-2</v>
      </c>
      <c r="AB453" s="752">
        <f>AB427/IS!AB$7</f>
        <v>4.5418882903388719E-2</v>
      </c>
      <c r="AC453" s="752">
        <f>AC427/IS!AC$7</f>
        <v>4.3128004051764882E-2</v>
      </c>
      <c r="AD453" s="752">
        <f>AD427/IS!AD$7</f>
        <v>4.1130918231369898E-2</v>
      </c>
      <c r="AE453" s="752">
        <f>AE427/IS!AE$7</f>
        <v>3.6165965558203589E-2</v>
      </c>
      <c r="AF453" s="752">
        <f>AF427/IS!AF$7</f>
        <v>3.2041012495994871E-2</v>
      </c>
      <c r="AG453" s="1036"/>
      <c r="AH453" s="1036"/>
      <c r="AI453" s="1036"/>
      <c r="AJ453" s="1036"/>
      <c r="AK453" s="1036"/>
      <c r="AL453" s="1036"/>
      <c r="AM453" s="1036"/>
      <c r="AN453" s="1036"/>
      <c r="AO453" s="1036"/>
      <c r="AP453" s="1036"/>
      <c r="AQ453" s="1036"/>
      <c r="AR453" s="1036"/>
      <c r="AS453" s="1036"/>
      <c r="AT453" s="1036"/>
      <c r="AU453" s="1036"/>
      <c r="AV453" s="1036"/>
      <c r="AW453" s="1036"/>
      <c r="AX453" s="1036"/>
      <c r="AY453" s="1036"/>
      <c r="AZ453" s="1036"/>
      <c r="BA453" s="1036"/>
      <c r="BB453" s="1036"/>
      <c r="BC453" s="1036"/>
      <c r="BD453" s="1036"/>
      <c r="BE453" s="1036"/>
      <c r="BF453" s="1036"/>
      <c r="BG453" s="1036"/>
      <c r="BH453" s="1036"/>
      <c r="BI453" s="1036"/>
      <c r="BJ453" s="1036"/>
      <c r="BK453" s="1036"/>
      <c r="BL453" s="1036"/>
      <c r="BM453" s="1036"/>
      <c r="BN453" s="1036"/>
      <c r="BO453" s="1036"/>
      <c r="BP453" s="1018"/>
      <c r="BQ453" s="864"/>
      <c r="BR453" s="864"/>
      <c r="BS453" s="231">
        <f>BS427/IS!BS$7</f>
        <v>6.3134306780396138E-2</v>
      </c>
      <c r="BT453" s="1037">
        <f>BT427/IS!BT$7</f>
        <v>7.1758259339252853E-2</v>
      </c>
      <c r="BU453" s="1037">
        <f>BU427/IS!BU$7</f>
        <v>7.7591828905725524E-2</v>
      </c>
      <c r="BV453" s="1037">
        <f>BV427/IS!BV$7</f>
        <v>4.4666870388148379E-2</v>
      </c>
      <c r="BW453" s="1037">
        <f>BW427/IS!BW$7</f>
        <v>4.1456381305931995E-2</v>
      </c>
      <c r="BX453" s="1037"/>
      <c r="BY453" s="1037"/>
      <c r="BZ453" s="1037"/>
      <c r="CA453" s="1037"/>
      <c r="CB453" s="1037"/>
      <c r="CC453" s="1037"/>
      <c r="CD453" s="1037"/>
      <c r="CE453" s="1037"/>
      <c r="CF453" s="1037"/>
      <c r="CG453" s="1037"/>
    </row>
    <row r="454" spans="2:88" ht="14.25" hidden="1" customHeight="1" outlineLevel="1">
      <c r="B454" s="1035" t="str">
        <f t="shared" si="1282"/>
        <v>Microcontrollers</v>
      </c>
      <c r="C454" s="318"/>
      <c r="D454" s="873"/>
      <c r="E454" s="873"/>
      <c r="F454" s="873"/>
      <c r="G454" s="873"/>
      <c r="H454" s="873"/>
      <c r="I454" s="873"/>
      <c r="J454" s="873"/>
      <c r="K454" s="873"/>
      <c r="L454" s="752">
        <f>L428/IS!L$7</f>
        <v>5.3306173613287371E-2</v>
      </c>
      <c r="M454" s="752">
        <f>M428/IS!M$7</f>
        <v>5.1124415887850473E-2</v>
      </c>
      <c r="N454" s="752">
        <f>N428/IS!N$7</f>
        <v>4.7911547911547912E-2</v>
      </c>
      <c r="O454" s="752">
        <f>O428/IS!O$7</f>
        <v>5.4541619797525309E-2</v>
      </c>
      <c r="P454" s="752">
        <f>P428/IS!P$7</f>
        <v>5.8450488997555013E-2</v>
      </c>
      <c r="Q454" s="752">
        <f>Q428/IS!Q$7</f>
        <v>5.8952551477170996E-2</v>
      </c>
      <c r="R454" s="752">
        <f>R428/IS!R$7</f>
        <v>5.6731620903454384E-2</v>
      </c>
      <c r="S454" s="752">
        <f>S428/IS!S$7</f>
        <v>6.1421116017663591E-2</v>
      </c>
      <c r="T454" s="752">
        <f>T428/IS!T$7</f>
        <v>6.8168744007670173E-2</v>
      </c>
      <c r="U454" s="752">
        <f>U428/IS!U$7</f>
        <v>6.4102564102564097E-2</v>
      </c>
      <c r="V454" s="752">
        <f>V428/IS!V$7</f>
        <v>6.1406249999999996E-2</v>
      </c>
      <c r="W454" s="752">
        <f>W428/IS!W$7</f>
        <v>6.171770972037284E-2</v>
      </c>
      <c r="X454" s="752">
        <f>X428/IS!X$7</f>
        <v>9.4163656773067358E-2</v>
      </c>
      <c r="Y454" s="752">
        <f>Y428/IS!Y$7</f>
        <v>0.10466150539737815</v>
      </c>
      <c r="Z454" s="752">
        <f>Z428/IS!Z$7</f>
        <v>0.10848308263763319</v>
      </c>
      <c r="AA454" s="752">
        <f>AA428/IS!AA$7</f>
        <v>0.10659989113970401</v>
      </c>
      <c r="AB454" s="752">
        <f>AB428/IS!AB$7</f>
        <v>0.11171555105887544</v>
      </c>
      <c r="AC454" s="752">
        <f>AC428/IS!AC$7</f>
        <v>0.12922595777588117</v>
      </c>
      <c r="AD454" s="752">
        <f>AD428/IS!AD$7</f>
        <v>0.11437975689846278</v>
      </c>
      <c r="AE454" s="752">
        <f>AE428/IS!AE$7</f>
        <v>9.3073800523667746E-2</v>
      </c>
      <c r="AF454" s="752">
        <f>AF428/IS!AF$7</f>
        <v>0.11951297661006088</v>
      </c>
      <c r="AG454" s="1036"/>
      <c r="AH454" s="1036"/>
      <c r="AI454" s="1036"/>
      <c r="AJ454" s="1036"/>
      <c r="AK454" s="1036"/>
      <c r="AL454" s="1036"/>
      <c r="AM454" s="1036"/>
      <c r="AN454" s="1036"/>
      <c r="AO454" s="1036"/>
      <c r="AP454" s="1036"/>
      <c r="AQ454" s="1036"/>
      <c r="AR454" s="1036"/>
      <c r="AS454" s="1036"/>
      <c r="AT454" s="1036"/>
      <c r="AU454" s="1036"/>
      <c r="AV454" s="1036"/>
      <c r="AW454" s="1036"/>
      <c r="AX454" s="1036"/>
      <c r="AY454" s="1036"/>
      <c r="AZ454" s="1036"/>
      <c r="BA454" s="1036"/>
      <c r="BB454" s="1036"/>
      <c r="BC454" s="1036"/>
      <c r="BD454" s="1036"/>
      <c r="BE454" s="1036"/>
      <c r="BF454" s="1036"/>
      <c r="BG454" s="1036"/>
      <c r="BH454" s="1036"/>
      <c r="BI454" s="1036"/>
      <c r="BJ454" s="1036"/>
      <c r="BK454" s="1036"/>
      <c r="BL454" s="1036"/>
      <c r="BM454" s="1036"/>
      <c r="BN454" s="1036"/>
      <c r="BO454" s="1036"/>
      <c r="BP454" s="1018"/>
      <c r="BQ454" s="864"/>
      <c r="BR454" s="864"/>
      <c r="BS454" s="231">
        <f>BS428/IS!BS$7</f>
        <v>5.1655341911233187E-2</v>
      </c>
      <c r="BT454" s="1037">
        <f>BT428/IS!BT$7</f>
        <v>5.8711303095752343E-2</v>
      </c>
      <c r="BU454" s="1037">
        <f>BU428/IS!BU$7</f>
        <v>6.348422365013906E-2</v>
      </c>
      <c r="BV454" s="1037">
        <f>BV428/IS!BV$7</f>
        <v>0.10376503566942001</v>
      </c>
      <c r="BW454" s="1037">
        <f>BW428/IS!BW$7</f>
        <v>0.11215456802429516</v>
      </c>
      <c r="BX454" s="1037"/>
      <c r="BY454" s="1037"/>
      <c r="BZ454" s="1037"/>
      <c r="CA454" s="1037"/>
      <c r="CB454" s="1037"/>
      <c r="CC454" s="1037"/>
      <c r="CD454" s="1037"/>
      <c r="CE454" s="1037"/>
      <c r="CF454" s="1037"/>
      <c r="CG454" s="1037"/>
    </row>
    <row r="455" spans="2:88" s="85" customFormat="1" ht="14.25" hidden="1" customHeight="1" outlineLevel="1">
      <c r="B455" s="1038" t="str">
        <f t="shared" si="1282"/>
        <v>Embedded Processing</v>
      </c>
      <c r="C455" s="1007"/>
      <c r="D455" s="1039"/>
      <c r="E455" s="1039"/>
      <c r="F455" s="1039"/>
      <c r="G455" s="1039"/>
      <c r="H455" s="1039"/>
      <c r="I455" s="1039"/>
      <c r="J455" s="1039"/>
      <c r="K455" s="1039"/>
      <c r="L455" s="1040">
        <f>L429/IS!L$7</f>
        <v>0.11845816358508304</v>
      </c>
      <c r="M455" s="1040">
        <f>M429/IS!M$7</f>
        <v>0.11360981308411215</v>
      </c>
      <c r="N455" s="1040">
        <f>N429/IS!N$7</f>
        <v>0.10647010647010648</v>
      </c>
      <c r="O455" s="1040">
        <f>O429/IS!O$7</f>
        <v>0.12120359955005625</v>
      </c>
      <c r="P455" s="1040">
        <f>P429/IS!P$7</f>
        <v>0.12988997555012224</v>
      </c>
      <c r="Q455" s="1040">
        <f>Q429/IS!Q$7</f>
        <v>0.13100566994926888</v>
      </c>
      <c r="R455" s="1040">
        <f>R429/IS!R$7</f>
        <v>0.12607026867434307</v>
      </c>
      <c r="S455" s="1040">
        <f>S429/IS!S$7</f>
        <v>0.13649136892814132</v>
      </c>
      <c r="T455" s="1040">
        <f>T429/IS!T$7</f>
        <v>0.15148609779482264</v>
      </c>
      <c r="U455" s="1040">
        <f>U429/IS!U$7</f>
        <v>0.14245014245014245</v>
      </c>
      <c r="V455" s="1040">
        <f>V429/IS!V$7</f>
        <v>0.13645833333333332</v>
      </c>
      <c r="W455" s="1040">
        <f>W429/IS!W$7</f>
        <v>0.13715046604527298</v>
      </c>
      <c r="X455" s="1040">
        <f>X429/IS!X$7</f>
        <v>0.13728549141965679</v>
      </c>
      <c r="Y455" s="1040">
        <f>Y429/IS!Y$7</f>
        <v>0.14759725400457666</v>
      </c>
      <c r="Z455" s="1040">
        <f>Z429/IS!Z$7</f>
        <v>0.15481283422459893</v>
      </c>
      <c r="AA455" s="1040">
        <f>AA429/IS!AA$7</f>
        <v>0.15262411347517729</v>
      </c>
      <c r="AB455" s="1040">
        <f>AB429/IS!AB$7</f>
        <v>0.15713443396226415</v>
      </c>
      <c r="AC455" s="1040">
        <f>AC429/IS!AC$7</f>
        <v>0.17235396182764604</v>
      </c>
      <c r="AD455" s="1040">
        <f>AD429/IS!AD$7</f>
        <v>0.15551067512983266</v>
      </c>
      <c r="AE455" s="1040">
        <f>AE429/IS!AE$7</f>
        <v>0.12923976608187135</v>
      </c>
      <c r="AF455" s="1040">
        <f>AF429/IS!AF$7</f>
        <v>0.15155398910605575</v>
      </c>
      <c r="AG455" s="1041"/>
      <c r="AH455" s="1041"/>
      <c r="AI455" s="1041"/>
      <c r="AJ455" s="1041"/>
      <c r="AK455" s="1041"/>
      <c r="AL455" s="1041"/>
      <c r="AM455" s="1041"/>
      <c r="AN455" s="1041"/>
      <c r="AO455" s="1041"/>
      <c r="AP455" s="1041"/>
      <c r="AQ455" s="1041"/>
      <c r="AR455" s="1041"/>
      <c r="AS455" s="1041"/>
      <c r="AT455" s="1041"/>
      <c r="AU455" s="1041"/>
      <c r="AV455" s="1041"/>
      <c r="AW455" s="1041"/>
      <c r="AX455" s="1041"/>
      <c r="AY455" s="1041"/>
      <c r="AZ455" s="1041"/>
      <c r="BA455" s="1041"/>
      <c r="BB455" s="1041"/>
      <c r="BC455" s="1041"/>
      <c r="BD455" s="1041"/>
      <c r="BE455" s="1041"/>
      <c r="BF455" s="1041"/>
      <c r="BG455" s="1041"/>
      <c r="BH455" s="1041"/>
      <c r="BI455" s="1041"/>
      <c r="BJ455" s="1041"/>
      <c r="BK455" s="1041"/>
      <c r="BL455" s="1041"/>
      <c r="BM455" s="1041"/>
      <c r="BN455" s="1041"/>
      <c r="BO455" s="1041"/>
      <c r="BP455" s="1028"/>
      <c r="BQ455" s="1042"/>
      <c r="BR455" s="1042"/>
      <c r="BS455" s="732">
        <f>BS429/IS!BS$7</f>
        <v>0.11478964869162932</v>
      </c>
      <c r="BT455" s="1043">
        <f>BT429/IS!BT$7</f>
        <v>0.13046956243500521</v>
      </c>
      <c r="BU455" s="1043">
        <f>BU429/IS!BU$7</f>
        <v>0.14107605255586458</v>
      </c>
      <c r="BV455" s="1043">
        <f>BV429/IS!BV$7</f>
        <v>0.14843190605756837</v>
      </c>
      <c r="BW455" s="1043">
        <f>BW429/IS!BW$7</f>
        <v>0.15361094933022715</v>
      </c>
      <c r="BX455" s="1043"/>
      <c r="BY455" s="1043"/>
      <c r="BZ455" s="1043"/>
      <c r="CA455" s="1043"/>
      <c r="CB455" s="1043"/>
      <c r="CC455" s="1043"/>
      <c r="CD455" s="1043"/>
      <c r="CE455" s="1043"/>
      <c r="CF455" s="1043"/>
      <c r="CG455" s="1043"/>
      <c r="CH455"/>
      <c r="CI455"/>
      <c r="CJ455"/>
    </row>
    <row r="456" spans="2:88" ht="14.25" hidden="1" customHeight="1" outlineLevel="1">
      <c r="B456" s="1035" t="str">
        <f t="shared" si="1282"/>
        <v>Baseband</v>
      </c>
      <c r="C456" s="318"/>
      <c r="D456" s="873"/>
      <c r="E456" s="873"/>
      <c r="F456" s="873"/>
      <c r="G456" s="873"/>
      <c r="H456" s="752">
        <f>H430/IS!H$7</f>
        <v>0.25464907018596283</v>
      </c>
      <c r="I456" s="752">
        <f>I430/IS!I$7</f>
        <v>0.25074384636191505</v>
      </c>
      <c r="J456" s="752">
        <f>J430/IS!J$7</f>
        <v>0.25099707524594522</v>
      </c>
      <c r="K456" s="752">
        <f>K430/IS!K$7</f>
        <v>0.2390990470690153</v>
      </c>
      <c r="L456" s="752">
        <f>L430/IS!L$7</f>
        <v>0.24224381071764337</v>
      </c>
      <c r="M456" s="752">
        <f>M430/IS!M$7</f>
        <v>0.23364485981308411</v>
      </c>
      <c r="N456" s="752">
        <f>N430/IS!N$7</f>
        <v>0.23177723177723178</v>
      </c>
      <c r="O456" s="752">
        <f>O430/IS!O$7</f>
        <v>0.2516872890888639</v>
      </c>
      <c r="P456" s="752">
        <f>P430/IS!P$7</f>
        <v>0.22004889975550121</v>
      </c>
      <c r="Q456" s="752">
        <f>Q430/IS!Q$7</f>
        <v>0.20322291853178157</v>
      </c>
      <c r="R456" s="752">
        <f>R430/IS!R$7</f>
        <v>0.19870091526424566</v>
      </c>
      <c r="S456" s="752">
        <f>S430/IS!S$7</f>
        <v>0.18627057406663991</v>
      </c>
      <c r="T456" s="752">
        <f>T430/IS!T$7</f>
        <v>0.19175455417066156</v>
      </c>
      <c r="U456" s="752">
        <f>U430/IS!U$7</f>
        <v>0.16687016687016687</v>
      </c>
      <c r="V456" s="752">
        <f>V430/IS!V$7</f>
        <v>0.15625</v>
      </c>
      <c r="W456" s="752">
        <f>W430/IS!W$7</f>
        <v>0.15479360852197072</v>
      </c>
      <c r="X456" s="752">
        <f>X430/IS!X$7</f>
        <v>0.13229329173166926</v>
      </c>
      <c r="Y456" s="752">
        <f>Y430/IS!Y$7</f>
        <v>0.11899313501144165</v>
      </c>
      <c r="Z456" s="752">
        <f>Z430/IS!Z$7</f>
        <v>0.11711229946524064</v>
      </c>
      <c r="AA456" s="752">
        <f>AA430/IS!AA$7</f>
        <v>0.12340425531914893</v>
      </c>
      <c r="AB456" s="752">
        <f>AB430/IS!AB$7</f>
        <v>9.8466981132075471E-2</v>
      </c>
      <c r="AC456" s="752">
        <f>AC430/IS!AC$7</f>
        <v>6.5934065934065936E-2</v>
      </c>
      <c r="AD456" s="752">
        <f>AD430/IS!AD$7</f>
        <v>7.5879976918638195E-2</v>
      </c>
      <c r="AE456" s="752">
        <f>AE430/IS!AE$7</f>
        <v>8.1578947368421056E-2</v>
      </c>
      <c r="AF456" s="752">
        <f>AF430/IS!AF$7</f>
        <v>2.787568087151554E-2</v>
      </c>
      <c r="AG456" s="1036"/>
      <c r="AH456" s="1036"/>
      <c r="AI456" s="1036"/>
      <c r="AJ456" s="1036"/>
      <c r="AK456" s="1036"/>
      <c r="AL456" s="1036"/>
      <c r="AM456" s="1036"/>
      <c r="AN456" s="1036"/>
      <c r="AO456" s="1036"/>
      <c r="AP456" s="1036"/>
      <c r="AQ456" s="1036"/>
      <c r="AR456" s="1036"/>
      <c r="AS456" s="1036"/>
      <c r="AT456" s="1036"/>
      <c r="AU456" s="1036"/>
      <c r="AV456" s="1036"/>
      <c r="AW456" s="1036"/>
      <c r="AX456" s="1036"/>
      <c r="AY456" s="1036"/>
      <c r="AZ456" s="1036"/>
      <c r="BA456" s="1036"/>
      <c r="BB456" s="1036"/>
      <c r="BC456" s="1036"/>
      <c r="BD456" s="1036"/>
      <c r="BE456" s="1036"/>
      <c r="BF456" s="1036"/>
      <c r="BG456" s="1036"/>
      <c r="BH456" s="1036"/>
      <c r="BI456" s="1036"/>
      <c r="BJ456" s="1036"/>
      <c r="BK456" s="1036"/>
      <c r="BL456" s="1036"/>
      <c r="BM456" s="1036"/>
      <c r="BN456" s="1036"/>
      <c r="BO456" s="1036"/>
      <c r="BP456" s="1018"/>
      <c r="BQ456" s="864"/>
      <c r="BR456" s="864"/>
      <c r="BS456" s="231">
        <f>BS430/IS!BS$7</f>
        <v>0.23977157727338441</v>
      </c>
      <c r="BT456" s="318">
        <f>BT430/IS!BT$7</f>
        <v>0.20302375809935205</v>
      </c>
      <c r="BU456" s="318">
        <f>BU430/IS!BU$7</f>
        <v>0.16543588759950129</v>
      </c>
      <c r="BV456" s="318">
        <f>BV430/IS!BV$7</f>
        <v>0.12265501933266504</v>
      </c>
      <c r="BW456" s="318">
        <f>BW430/IS!BW$7</f>
        <v>8.0372743156668605E-2</v>
      </c>
      <c r="BX456" s="318"/>
      <c r="BY456" s="318"/>
      <c r="BZ456" s="318"/>
      <c r="CA456" s="318"/>
      <c r="CB456" s="318"/>
      <c r="CC456" s="318"/>
      <c r="CD456" s="318"/>
      <c r="CE456" s="318"/>
      <c r="CF456" s="318"/>
      <c r="CG456" s="318"/>
    </row>
    <row r="457" spans="2:88" ht="14.25" hidden="1" customHeight="1" outlineLevel="1">
      <c r="B457" s="1035" t="str">
        <f t="shared" si="1282"/>
        <v>Connectivity</v>
      </c>
      <c r="C457" s="318"/>
      <c r="D457" s="873"/>
      <c r="E457" s="873"/>
      <c r="F457" s="873"/>
      <c r="G457" s="873"/>
      <c r="H457" s="873"/>
      <c r="I457" s="873"/>
      <c r="J457" s="873"/>
      <c r="K457" s="873"/>
      <c r="L457" s="752">
        <f>L431/IS!L$7</f>
        <v>1.7235976183014728E-2</v>
      </c>
      <c r="M457" s="752">
        <f>M431/IS!M$7</f>
        <v>2.1612149532710279E-2</v>
      </c>
      <c r="N457" s="752">
        <f>N431/IS!N$7</f>
        <v>2.2386022386022386E-2</v>
      </c>
      <c r="O457" s="752">
        <f>O431/IS!O$7</f>
        <v>2.3622047244094488E-2</v>
      </c>
      <c r="P457" s="752">
        <f>P431/IS!P$7</f>
        <v>2.6589242053789732E-2</v>
      </c>
      <c r="Q457" s="752">
        <f>Q431/IS!Q$7</f>
        <v>2.5962399283795883E-2</v>
      </c>
      <c r="R457" s="752">
        <f>R431/IS!R$7</f>
        <v>2.6867434307646886E-2</v>
      </c>
      <c r="S457" s="752">
        <f>S431/IS!S$7</f>
        <v>2.890405459654757E-2</v>
      </c>
      <c r="T457" s="752">
        <f>T431/IS!T$7</f>
        <v>3.1160115052732501E-2</v>
      </c>
      <c r="U457" s="752">
        <f>U431/IS!U$7</f>
        <v>3.8665038665038662E-2</v>
      </c>
      <c r="V457" s="752">
        <f>V431/IS!V$7</f>
        <v>4.3055555555555555E-2</v>
      </c>
      <c r="W457" s="752">
        <f>W431/IS!W$7</f>
        <v>4.6271637816245006E-2</v>
      </c>
      <c r="X457" s="752">
        <f>X431/IS!X$7</f>
        <v>4.3369734789391573E-2</v>
      </c>
      <c r="Y457" s="752">
        <f>Y431/IS!Y$7</f>
        <v>4.1762013729977114E-2</v>
      </c>
      <c r="Z457" s="752">
        <f>Z431/IS!Z$7</f>
        <v>4.3315508021390371E-2</v>
      </c>
      <c r="AA457" s="752">
        <f>AA431/IS!AA$7</f>
        <v>4.5957446808510639E-2</v>
      </c>
      <c r="AB457" s="752">
        <f>AB431/IS!AB$7</f>
        <v>5.5530584401294818E-2</v>
      </c>
      <c r="AC457" s="752">
        <f>AC431/IS!AC$7</f>
        <v>5.486168842094942E-2</v>
      </c>
      <c r="AD457" s="752">
        <f>AD431/IS!AD$7</f>
        <v>5.7579027869936406E-2</v>
      </c>
      <c r="AE457" s="752">
        <f>AE431/IS!AE$7</f>
        <v>5.8366517699829354E-2</v>
      </c>
      <c r="AF457" s="752">
        <f>AF431/IS!AF$7</f>
        <v>4.5112024083492575E-2</v>
      </c>
      <c r="AG457" s="1036"/>
      <c r="AH457" s="1036"/>
      <c r="AI457" s="1036"/>
      <c r="AJ457" s="1036"/>
      <c r="AK457" s="1036"/>
      <c r="AL457" s="1036"/>
      <c r="AM457" s="1036"/>
      <c r="AN457" s="1036"/>
      <c r="AO457" s="1036"/>
      <c r="AP457" s="1036"/>
      <c r="AQ457" s="1036"/>
      <c r="AR457" s="1036"/>
      <c r="AS457" s="1036"/>
      <c r="AT457" s="1036"/>
      <c r="AU457" s="1036"/>
      <c r="AV457" s="1036"/>
      <c r="AW457" s="1036"/>
      <c r="AX457" s="1036"/>
      <c r="AY457" s="1036"/>
      <c r="AZ457" s="1036"/>
      <c r="BA457" s="1036"/>
      <c r="BB457" s="1036"/>
      <c r="BC457" s="1036"/>
      <c r="BD457" s="1036"/>
      <c r="BE457" s="1036"/>
      <c r="BF457" s="1036"/>
      <c r="BG457" s="1036"/>
      <c r="BH457" s="1036"/>
      <c r="BI457" s="1036"/>
      <c r="BJ457" s="1036"/>
      <c r="BK457" s="1036"/>
      <c r="BL457" s="1036"/>
      <c r="BM457" s="1036"/>
      <c r="BN457" s="1036"/>
      <c r="BO457" s="1036"/>
      <c r="BP457" s="1018"/>
      <c r="BQ457" s="864"/>
      <c r="BR457" s="864"/>
      <c r="BS457" s="231">
        <f>BS431/IS!BS$7</f>
        <v>2.1324273528986554E-2</v>
      </c>
      <c r="BT457" s="318">
        <f>BT431/IS!BT$7</f>
        <v>2.6957843372530196E-2</v>
      </c>
      <c r="BU457" s="318">
        <f>BU431/IS!BU$7</f>
        <v>4.0567756785269013E-2</v>
      </c>
      <c r="BV457" s="318">
        <f>BV431/IS!BV$7</f>
        <v>4.3605900042961478E-2</v>
      </c>
      <c r="BW457" s="318">
        <f>BW431/IS!BW$7</f>
        <v>5.6585167587321718E-2</v>
      </c>
      <c r="BX457" s="318"/>
      <c r="BY457" s="318"/>
      <c r="BZ457" s="318"/>
      <c r="CA457" s="318"/>
      <c r="CB457" s="318"/>
      <c r="CC457" s="318"/>
      <c r="CD457" s="318"/>
      <c r="CE457" s="318"/>
      <c r="CF457" s="318"/>
      <c r="CG457" s="318"/>
    </row>
    <row r="458" spans="2:88" ht="14.25" hidden="1" customHeight="1" outlineLevel="1">
      <c r="B458" s="1035" t="str">
        <f t="shared" si="1282"/>
        <v>Wi-Fi</v>
      </c>
      <c r="C458" s="318"/>
      <c r="D458" s="873"/>
      <c r="E458" s="873"/>
      <c r="F458" s="873"/>
      <c r="G458" s="873"/>
      <c r="H458" s="873"/>
      <c r="I458" s="873"/>
      <c r="J458" s="873"/>
      <c r="K458" s="873"/>
      <c r="L458" s="752">
        <f>L432/IS!L$7</f>
        <v>1.1281729865246004E-2</v>
      </c>
      <c r="M458" s="752">
        <f>M432/IS!M$7</f>
        <v>1.2850467289719626E-2</v>
      </c>
      <c r="N458" s="752">
        <f>N432/IS!N$7</f>
        <v>1.1193011193011193E-2</v>
      </c>
      <c r="O458" s="752">
        <f>O432/IS!O$7</f>
        <v>1.0404949381327334E-2</v>
      </c>
      <c r="P458" s="752">
        <f>P432/IS!P$7</f>
        <v>1.5892420537897311E-2</v>
      </c>
      <c r="Q458" s="752">
        <f>Q432/IS!Q$7</f>
        <v>1.5517755893763056E-2</v>
      </c>
      <c r="R458" s="752">
        <f>R432/IS!R$7</f>
        <v>1.6238559196929438E-2</v>
      </c>
      <c r="S458" s="752">
        <f>S432/IS!S$7</f>
        <v>1.7262143717382578E-2</v>
      </c>
      <c r="T458" s="752">
        <f>T432/IS!T$7</f>
        <v>1.9654841802492808E-2</v>
      </c>
      <c r="U458" s="752">
        <f>U432/IS!U$7</f>
        <v>2.5234025234025233E-2</v>
      </c>
      <c r="V458" s="752">
        <f>V432/IS!V$7</f>
        <v>2.8472222222222222E-2</v>
      </c>
      <c r="W458" s="752">
        <f>W432/IS!W$7</f>
        <v>3.162450066577896E-2</v>
      </c>
      <c r="X458" s="752">
        <f>X432/IS!X$7</f>
        <v>3.0265210608424336E-2</v>
      </c>
      <c r="Y458" s="752">
        <f>Y432/IS!Y$7</f>
        <v>2.9176201372997711E-2</v>
      </c>
      <c r="Z458" s="752">
        <f>Z432/IS!Z$7</f>
        <v>3.0213903743315507E-2</v>
      </c>
      <c r="AA458" s="752">
        <f>AA432/IS!AA$7</f>
        <v>3.2056737588652483E-2</v>
      </c>
      <c r="AB458" s="752">
        <f>AB432/IS!AB$7</f>
        <v>4.0167639748522457E-2</v>
      </c>
      <c r="AC458" s="752">
        <f>AC432/IS!AC$7</f>
        <v>3.9234868358922197E-2</v>
      </c>
      <c r="AD458" s="752">
        <f>AD432/IS!AD$7</f>
        <v>4.1928991976845971E-2</v>
      </c>
      <c r="AE458" s="752">
        <f>AE432/IS!AE$7</f>
        <v>4.3635448695729773E-2</v>
      </c>
      <c r="AF458" s="752">
        <f>AF432/IS!AF$7</f>
        <v>3.2041012495994871E-2</v>
      </c>
      <c r="AG458" s="1036"/>
      <c r="AH458" s="1036"/>
      <c r="AI458" s="1036"/>
      <c r="AJ458" s="1036"/>
      <c r="AK458" s="1036"/>
      <c r="AL458" s="1036"/>
      <c r="AM458" s="1036"/>
      <c r="AN458" s="1036"/>
      <c r="AO458" s="1036"/>
      <c r="AP458" s="1036"/>
      <c r="AQ458" s="1036"/>
      <c r="AR458" s="1036"/>
      <c r="AS458" s="1036"/>
      <c r="AT458" s="1036"/>
      <c r="AU458" s="1036"/>
      <c r="AV458" s="1036"/>
      <c r="AW458" s="1036"/>
      <c r="AX458" s="1036"/>
      <c r="AY458" s="1036"/>
      <c r="AZ458" s="1036"/>
      <c r="BA458" s="1036"/>
      <c r="BB458" s="1036"/>
      <c r="BC458" s="1036"/>
      <c r="BD458" s="1036"/>
      <c r="BE458" s="1036"/>
      <c r="BF458" s="1036"/>
      <c r="BG458" s="1036"/>
      <c r="BH458" s="1036"/>
      <c r="BI458" s="1036"/>
      <c r="BJ458" s="1036"/>
      <c r="BK458" s="1036"/>
      <c r="BL458" s="1036"/>
      <c r="BM458" s="1036"/>
      <c r="BN458" s="1036"/>
      <c r="BO458" s="1036"/>
      <c r="BP458" s="1018"/>
      <c r="BQ458" s="864"/>
      <c r="BR458" s="864"/>
      <c r="BS458" s="231">
        <f>BS432/IS!BS$7</f>
        <v>1.1421136330779239E-2</v>
      </c>
      <c r="BT458" s="318">
        <f>BT432/IS!BT$7</f>
        <v>1.6158707303415728E-2</v>
      </c>
      <c r="BU458" s="318">
        <f>BU432/IS!BU$7</f>
        <v>2.6853361465426297E-2</v>
      </c>
      <c r="BV458" s="318">
        <f>BV432/IS!BV$7</f>
        <v>3.0431046828010882E-2</v>
      </c>
      <c r="BW458" s="318">
        <f>BW432/IS!BW$7</f>
        <v>4.1240676291735959E-2</v>
      </c>
      <c r="BX458" s="318"/>
      <c r="BY458" s="318"/>
      <c r="BZ458" s="318"/>
      <c r="CA458" s="318"/>
      <c r="CB458" s="318"/>
      <c r="CC458" s="318"/>
      <c r="CD458" s="318"/>
      <c r="CE458" s="318"/>
      <c r="CF458" s="318"/>
      <c r="CG458" s="318"/>
    </row>
    <row r="459" spans="2:88" ht="14.25" hidden="1" customHeight="1" outlineLevel="1">
      <c r="B459" s="1035" t="str">
        <f t="shared" si="1282"/>
        <v>Bluetooth</v>
      </c>
      <c r="C459" s="318"/>
      <c r="D459" s="873"/>
      <c r="E459" s="873"/>
      <c r="F459" s="873"/>
      <c r="G459" s="873"/>
      <c r="H459" s="873"/>
      <c r="I459" s="873"/>
      <c r="J459" s="873"/>
      <c r="K459" s="873"/>
      <c r="L459" s="752">
        <f>L433/IS!L$7</f>
        <v>5.9542463177687244E-3</v>
      </c>
      <c r="M459" s="752">
        <f>M433/IS!M$7</f>
        <v>5.8411214953271026E-3</v>
      </c>
      <c r="N459" s="752">
        <f>N433/IS!N$7</f>
        <v>5.7330057330057327E-3</v>
      </c>
      <c r="O459" s="752">
        <f>O433/IS!O$7</f>
        <v>6.1867266591676042E-3</v>
      </c>
      <c r="P459" s="752">
        <f>P433/IS!P$7</f>
        <v>6.1124694376528121E-3</v>
      </c>
      <c r="Q459" s="752">
        <f>Q433/IS!Q$7</f>
        <v>5.9683676514473288E-3</v>
      </c>
      <c r="R459" s="752">
        <f>R433/IS!R$7</f>
        <v>6.2001771479185119E-3</v>
      </c>
      <c r="S459" s="752">
        <f>S433/IS!S$7</f>
        <v>6.8245684464070654E-3</v>
      </c>
      <c r="T459" s="752">
        <f>T433/IS!T$7</f>
        <v>2.8763183125599234E-3</v>
      </c>
      <c r="U459" s="752">
        <f>U433/IS!U$7</f>
        <v>4.884004884004884E-3</v>
      </c>
      <c r="V459" s="752">
        <f>V433/IS!V$7</f>
        <v>6.2500000000000003E-3</v>
      </c>
      <c r="W459" s="752">
        <f>W433/IS!W$7</f>
        <v>6.3249001331557924E-3</v>
      </c>
      <c r="X459" s="752">
        <f>X433/IS!X$7</f>
        <v>5.6162246489859591E-3</v>
      </c>
      <c r="Y459" s="752">
        <f>Y433/IS!Y$7</f>
        <v>5.7208237986270021E-3</v>
      </c>
      <c r="Z459" s="752">
        <f>Z433/IS!Z$7</f>
        <v>5.8823529411764705E-3</v>
      </c>
      <c r="AA459" s="752">
        <f>AA433/IS!AA$7</f>
        <v>6.2411347517730498E-3</v>
      </c>
      <c r="AB459" s="752">
        <f>AB433/IS!AB$7</f>
        <v>7.3702830188679246E-3</v>
      </c>
      <c r="AC459" s="752">
        <f>AC433/IS!AC$7</f>
        <v>7.8079814921920183E-3</v>
      </c>
      <c r="AD459" s="752">
        <f>AD433/IS!AD$7</f>
        <v>7.7899596076168491E-3</v>
      </c>
      <c r="AE459" s="752">
        <f>AE433/IS!AE$7</f>
        <v>6.4327485380116962E-3</v>
      </c>
      <c r="AF459" s="752">
        <f>AF433/IS!AF$7</f>
        <v>6.4082024991989747E-3</v>
      </c>
      <c r="AG459" s="1036"/>
      <c r="AH459" s="1036"/>
      <c r="AI459" s="1036"/>
      <c r="AJ459" s="1036"/>
      <c r="AK459" s="1036"/>
      <c r="AL459" s="1036"/>
      <c r="AM459" s="1036"/>
      <c r="AN459" s="1036"/>
      <c r="AO459" s="1036"/>
      <c r="AP459" s="1036"/>
      <c r="AQ459" s="1036"/>
      <c r="AR459" s="1036"/>
      <c r="AS459" s="1036"/>
      <c r="AT459" s="1036"/>
      <c r="AU459" s="1036"/>
      <c r="AV459" s="1036"/>
      <c r="AW459" s="1036"/>
      <c r="AX459" s="1036"/>
      <c r="AY459" s="1036"/>
      <c r="AZ459" s="1036"/>
      <c r="BA459" s="1036"/>
      <c r="BB459" s="1036"/>
      <c r="BC459" s="1036"/>
      <c r="BD459" s="1036"/>
      <c r="BE459" s="1036"/>
      <c r="BF459" s="1036"/>
      <c r="BG459" s="1036"/>
      <c r="BH459" s="1036"/>
      <c r="BI459" s="1036"/>
      <c r="BJ459" s="1036"/>
      <c r="BK459" s="1036"/>
      <c r="BL459" s="1036"/>
      <c r="BM459" s="1036"/>
      <c r="BN459" s="1036"/>
      <c r="BO459" s="1036"/>
      <c r="BP459" s="1018"/>
      <c r="BQ459" s="864"/>
      <c r="BR459" s="864"/>
      <c r="BS459" s="231">
        <f>BS433/IS!BS$7</f>
        <v>5.9274251843284657E-3</v>
      </c>
      <c r="BT459" s="318">
        <f>BT433/IS!BT$7</f>
        <v>6.239500839932805E-3</v>
      </c>
      <c r="BU459" s="318">
        <f>BU433/IS!BU$7</f>
        <v>5.2747674307087366E-3</v>
      </c>
      <c r="BV459" s="318">
        <f>BV433/IS!BV$7</f>
        <v>5.8714019762279822E-3</v>
      </c>
      <c r="BW459" s="318">
        <f>BW433/IS!BW$7</f>
        <v>7.3529411764705881E-3</v>
      </c>
      <c r="BX459" s="318"/>
      <c r="BY459" s="318"/>
      <c r="BZ459" s="318"/>
      <c r="CA459" s="318"/>
      <c r="CB459" s="318"/>
      <c r="CC459" s="318"/>
      <c r="CD459" s="318"/>
      <c r="CE459" s="318"/>
      <c r="CF459" s="318"/>
      <c r="CG459" s="318"/>
    </row>
    <row r="460" spans="2:88" ht="14.25" hidden="1" customHeight="1" outlineLevel="1">
      <c r="B460" s="1035" t="str">
        <f t="shared" si="1282"/>
        <v>GPS</v>
      </c>
      <c r="C460" s="318"/>
      <c r="D460" s="873"/>
      <c r="E460" s="873"/>
      <c r="F460" s="873"/>
      <c r="G460" s="873"/>
      <c r="H460" s="873"/>
      <c r="I460" s="873"/>
      <c r="J460" s="873"/>
      <c r="K460" s="873"/>
      <c r="L460" s="752">
        <f>L434/IS!L$7</f>
        <v>0</v>
      </c>
      <c r="M460" s="752">
        <f>M434/IS!M$7</f>
        <v>2.9205607476635513E-3</v>
      </c>
      <c r="N460" s="752">
        <f>N434/IS!N$7</f>
        <v>5.4600054600054604E-3</v>
      </c>
      <c r="O460" s="752">
        <f>O434/IS!O$7</f>
        <v>7.0303712035995501E-3</v>
      </c>
      <c r="P460" s="752">
        <f>P434/IS!P$7</f>
        <v>4.5843520782396091E-3</v>
      </c>
      <c r="Q460" s="752">
        <f>Q434/IS!Q$7</f>
        <v>4.4762757385854966E-3</v>
      </c>
      <c r="R460" s="752">
        <f>R434/IS!R$7</f>
        <v>4.4286979627989375E-3</v>
      </c>
      <c r="S460" s="752">
        <f>S434/IS!S$7</f>
        <v>4.8173424327579289E-3</v>
      </c>
      <c r="T460" s="752">
        <f>T434/IS!T$7</f>
        <v>8.6289549376797701E-3</v>
      </c>
      <c r="U460" s="752">
        <f>U434/IS!U$7</f>
        <v>8.5470085470085479E-3</v>
      </c>
      <c r="V460" s="752">
        <f>V434/IS!V$7</f>
        <v>8.3333333333333332E-3</v>
      </c>
      <c r="W460" s="752">
        <f>W434/IS!W$7</f>
        <v>8.3222370173102536E-3</v>
      </c>
      <c r="X460" s="752">
        <f>X434/IS!X$7</f>
        <v>7.4882995319812797E-3</v>
      </c>
      <c r="Y460" s="752">
        <f>Y434/IS!Y$7</f>
        <v>6.8649885583524023E-3</v>
      </c>
      <c r="Z460" s="752">
        <f>Z434/IS!Z$7</f>
        <v>7.2192513368983958E-3</v>
      </c>
      <c r="AA460" s="752">
        <f>AA434/IS!AA$7</f>
        <v>7.659574468085106E-3</v>
      </c>
      <c r="AB460" s="752">
        <f>AB434/IS!AB$7</f>
        <v>7.9926616339044323E-3</v>
      </c>
      <c r="AC460" s="752">
        <f>AC434/IS!AC$7</f>
        <v>7.8188385698352066E-3</v>
      </c>
      <c r="AD460" s="752">
        <f>AD434/IS!AD$7</f>
        <v>7.860076285473588E-3</v>
      </c>
      <c r="AE460" s="752">
        <f>AE434/IS!AE$7</f>
        <v>8.1086481693594999E-3</v>
      </c>
      <c r="AF460" s="752">
        <f>AF434/IS!AF$7</f>
        <v>6.4082024991989747E-3</v>
      </c>
      <c r="AG460" s="1036"/>
      <c r="AH460" s="1036"/>
      <c r="AI460" s="1036"/>
      <c r="AJ460" s="1036"/>
      <c r="AK460" s="1036"/>
      <c r="AL460" s="1036"/>
      <c r="AM460" s="1036"/>
      <c r="AN460" s="1036"/>
      <c r="AO460" s="1036"/>
      <c r="AP460" s="1036"/>
      <c r="AQ460" s="1036"/>
      <c r="AR460" s="1036"/>
      <c r="AS460" s="1036"/>
      <c r="AT460" s="1036"/>
      <c r="AU460" s="1036"/>
      <c r="AV460" s="1036"/>
      <c r="AW460" s="1036"/>
      <c r="AX460" s="1036"/>
      <c r="AY460" s="1036"/>
      <c r="AZ460" s="1036"/>
      <c r="BA460" s="1036"/>
      <c r="BB460" s="1036"/>
      <c r="BC460" s="1036"/>
      <c r="BD460" s="1036"/>
      <c r="BE460" s="1036"/>
      <c r="BF460" s="1036"/>
      <c r="BG460" s="1036"/>
      <c r="BH460" s="1036"/>
      <c r="BI460" s="1036"/>
      <c r="BJ460" s="1036"/>
      <c r="BK460" s="1036"/>
      <c r="BL460" s="1036"/>
      <c r="BM460" s="1036"/>
      <c r="BN460" s="1036"/>
      <c r="BO460" s="1036"/>
      <c r="BP460" s="1018"/>
      <c r="BQ460" s="864"/>
      <c r="BR460" s="864"/>
      <c r="BS460" s="231">
        <f>BS434/IS!BS$7</f>
        <v>3.9757120138788496E-3</v>
      </c>
      <c r="BT460" s="318">
        <f>BT434/IS!BT$7</f>
        <v>4.5596352291816652E-3</v>
      </c>
      <c r="BU460" s="318">
        <f>BU434/IS!BU$7</f>
        <v>8.4396278891339799E-3</v>
      </c>
      <c r="BV460" s="318">
        <f>BV434/IS!BV$7</f>
        <v>7.3034512387226119E-3</v>
      </c>
      <c r="BW460" s="318">
        <f>BW434/IS!BW$7</f>
        <v>7.9443253626496017E-3</v>
      </c>
      <c r="BX460" s="318"/>
      <c r="BY460" s="318"/>
      <c r="BZ460" s="318"/>
      <c r="CA460" s="318"/>
      <c r="CB460" s="318"/>
      <c r="CC460" s="318"/>
      <c r="CD460" s="318"/>
      <c r="CE460" s="318"/>
      <c r="CF460" s="318"/>
      <c r="CG460" s="318"/>
    </row>
    <row r="461" spans="2:88" ht="14.25" hidden="1" customHeight="1" outlineLevel="1">
      <c r="B461" s="1035" t="str">
        <f t="shared" si="1282"/>
        <v>NFC</v>
      </c>
      <c r="C461" s="318"/>
      <c r="D461" s="873"/>
      <c r="E461" s="873"/>
      <c r="F461" s="873"/>
      <c r="G461" s="873"/>
      <c r="H461" s="873"/>
      <c r="I461" s="873"/>
      <c r="J461" s="873"/>
      <c r="K461" s="873"/>
      <c r="L461" s="752">
        <f>L435/IS!L$7</f>
        <v>0</v>
      </c>
      <c r="M461" s="752">
        <f>M435/IS!M$7</f>
        <v>0</v>
      </c>
      <c r="N461" s="752">
        <f>N435/IS!N$7</f>
        <v>0</v>
      </c>
      <c r="O461" s="752">
        <f>O435/IS!O$7</f>
        <v>0</v>
      </c>
      <c r="P461" s="752">
        <f>P435/IS!P$7</f>
        <v>0</v>
      </c>
      <c r="Q461" s="752">
        <f>Q435/IS!Q$7</f>
        <v>0</v>
      </c>
      <c r="R461" s="752">
        <f>R435/IS!R$7</f>
        <v>0</v>
      </c>
      <c r="S461" s="752">
        <f>S435/IS!S$7</f>
        <v>0</v>
      </c>
      <c r="T461" s="752">
        <f>T435/IS!T$7</f>
        <v>0</v>
      </c>
      <c r="U461" s="752">
        <f>U435/IS!U$7</f>
        <v>0</v>
      </c>
      <c r="V461" s="752">
        <f>V435/IS!V$7</f>
        <v>0</v>
      </c>
      <c r="W461" s="752">
        <f>W435/IS!W$7</f>
        <v>0</v>
      </c>
      <c r="X461" s="752">
        <f>X435/IS!X$7</f>
        <v>0</v>
      </c>
      <c r="Y461" s="752">
        <f>Y435/IS!Y$7</f>
        <v>0</v>
      </c>
      <c r="Z461" s="752">
        <f>Z435/IS!Z$7</f>
        <v>0</v>
      </c>
      <c r="AA461" s="752">
        <f>AA435/IS!AA$7</f>
        <v>0</v>
      </c>
      <c r="AB461" s="752">
        <f>AB435/IS!AB$7</f>
        <v>0</v>
      </c>
      <c r="AC461" s="752">
        <f>AC435/IS!AC$7</f>
        <v>0</v>
      </c>
      <c r="AD461" s="752">
        <f>AD435/IS!AD$7</f>
        <v>0</v>
      </c>
      <c r="AE461" s="752">
        <f>AE435/IS!AE$7</f>
        <v>1.8967229672838719E-4</v>
      </c>
      <c r="AF461" s="752">
        <f>AF435/IS!AF$7</f>
        <v>2.5460658909975329E-4</v>
      </c>
      <c r="AG461" s="1036"/>
      <c r="AH461" s="1036"/>
      <c r="AI461" s="1036"/>
      <c r="AJ461" s="1036"/>
      <c r="AK461" s="1036"/>
      <c r="AL461" s="1036"/>
      <c r="AM461" s="1036"/>
      <c r="AN461" s="1036"/>
      <c r="AO461" s="1036"/>
      <c r="AP461" s="1036"/>
      <c r="AQ461" s="1036"/>
      <c r="AR461" s="1036"/>
      <c r="AS461" s="1036"/>
      <c r="AT461" s="1036"/>
      <c r="AU461" s="1036"/>
      <c r="AV461" s="1036"/>
      <c r="AW461" s="1036"/>
      <c r="AX461" s="1036"/>
      <c r="AY461" s="1036"/>
      <c r="AZ461" s="1036"/>
      <c r="BA461" s="1036"/>
      <c r="BB461" s="1036"/>
      <c r="BC461" s="1036"/>
      <c r="BD461" s="1036"/>
      <c r="BE461" s="1036"/>
      <c r="BF461" s="1036"/>
      <c r="BG461" s="1036"/>
      <c r="BH461" s="1036"/>
      <c r="BI461" s="1036"/>
      <c r="BJ461" s="1036"/>
      <c r="BK461" s="1036"/>
      <c r="BL461" s="1036"/>
      <c r="BM461" s="1036"/>
      <c r="BN461" s="1036"/>
      <c r="BO461" s="1036"/>
      <c r="BP461" s="1018"/>
      <c r="BQ461" s="864"/>
      <c r="BR461" s="864"/>
      <c r="BS461" s="231">
        <f>BS435/IS!BS$7</f>
        <v>0</v>
      </c>
      <c r="BT461" s="318">
        <f>BT435/IS!BT$7</f>
        <v>0</v>
      </c>
      <c r="BU461" s="318">
        <f>BU435/IS!BU$7</f>
        <v>0</v>
      </c>
      <c r="BV461" s="318">
        <f>BV435/IS!BV$7</f>
        <v>0</v>
      </c>
      <c r="BW461" s="318">
        <f>BW435/IS!BW$7</f>
        <v>4.7224756465571072E-5</v>
      </c>
      <c r="BX461" s="318"/>
      <c r="BY461" s="318"/>
      <c r="BZ461" s="318"/>
      <c r="CA461" s="318"/>
      <c r="CB461" s="318"/>
      <c r="CC461" s="318"/>
      <c r="CD461" s="318"/>
      <c r="CE461" s="318"/>
      <c r="CF461" s="318"/>
      <c r="CG461" s="318"/>
    </row>
    <row r="462" spans="2:88" ht="14.25" hidden="1" customHeight="1" outlineLevel="1">
      <c r="B462" s="1035" t="str">
        <f t="shared" si="1282"/>
        <v>OMAP</v>
      </c>
      <c r="C462" s="318"/>
      <c r="D462" s="873"/>
      <c r="E462" s="873"/>
      <c r="F462" s="873"/>
      <c r="G462" s="873"/>
      <c r="H462" s="873"/>
      <c r="I462" s="873"/>
      <c r="J462" s="873"/>
      <c r="K462" s="873"/>
      <c r="L462" s="752">
        <f>L436/IS!L$7</f>
        <v>4.3873393920401127E-2</v>
      </c>
      <c r="M462" s="752">
        <f>M436/IS!M$7</f>
        <v>4.7313084112149531E-2</v>
      </c>
      <c r="N462" s="752">
        <f>N436/IS!N$7</f>
        <v>4.9959049959049956E-2</v>
      </c>
      <c r="O462" s="752">
        <f>O436/IS!O$7</f>
        <v>4.4713160854893137E-2</v>
      </c>
      <c r="P462" s="752">
        <f>P436/IS!P$7</f>
        <v>3.9731051344743279E-2</v>
      </c>
      <c r="Q462" s="752">
        <f>Q436/IS!Q$7</f>
        <v>4.5359594150999702E-2</v>
      </c>
      <c r="R462" s="752">
        <f>R436/IS!R$7</f>
        <v>5.0191910245054622E-2</v>
      </c>
      <c r="S462" s="752">
        <f>S436/IS!S$7</f>
        <v>4.9377759935768768E-2</v>
      </c>
      <c r="T462" s="752">
        <f>T436/IS!T$7</f>
        <v>4.6979865771812082E-2</v>
      </c>
      <c r="U462" s="752">
        <f>U436/IS!U$7</f>
        <v>4.4363044363044363E-2</v>
      </c>
      <c r="V462" s="752">
        <f>V436/IS!V$7</f>
        <v>4.0625000000000001E-2</v>
      </c>
      <c r="W462" s="752">
        <f>W436/IS!W$7</f>
        <v>5.1264980026631157E-2</v>
      </c>
      <c r="X462" s="752">
        <f>X436/IS!X$7</f>
        <v>4.8049921996879873E-2</v>
      </c>
      <c r="Y462" s="752">
        <f>Y436/IS!Y$7</f>
        <v>4.719679633867277E-2</v>
      </c>
      <c r="Z462" s="752">
        <f>Z436/IS!Z$7</f>
        <v>4.4652406417112302E-2</v>
      </c>
      <c r="AA462" s="752">
        <f>AA436/IS!AA$7</f>
        <v>4.8226950354609929E-2</v>
      </c>
      <c r="AB462" s="752">
        <f>AB436/IS!AB$7</f>
        <v>3.9988283523233484E-2</v>
      </c>
      <c r="AC462" s="752">
        <f>AC436/IS!AC$7</f>
        <v>4.0569196483619695E-2</v>
      </c>
      <c r="AD462" s="752">
        <f>AD436/IS!AD$7</f>
        <v>3.3880868263935493E-2</v>
      </c>
      <c r="AE462" s="752">
        <f>AE436/IS!AE$7</f>
        <v>7.1165646042860728E-2</v>
      </c>
      <c r="AF462" s="752">
        <f>AF436/IS!AF$7</f>
        <v>4.6525271655052762E-2</v>
      </c>
      <c r="AG462" s="1036"/>
      <c r="AH462" s="1036"/>
      <c r="AI462" s="1036"/>
      <c r="AJ462" s="1036"/>
      <c r="AK462" s="1036"/>
      <c r="AL462" s="1036"/>
      <c r="AM462" s="1036"/>
      <c r="AN462" s="1036"/>
      <c r="AO462" s="1036"/>
      <c r="AP462" s="1036"/>
      <c r="AQ462" s="1036"/>
      <c r="AR462" s="1036"/>
      <c r="AS462" s="1036"/>
      <c r="AT462" s="1036"/>
      <c r="AU462" s="1036"/>
      <c r="AV462" s="1036"/>
      <c r="AW462" s="1036"/>
      <c r="AX462" s="1036"/>
      <c r="AY462" s="1036"/>
      <c r="AZ462" s="1036"/>
      <c r="BA462" s="1036"/>
      <c r="BB462" s="1036"/>
      <c r="BC462" s="1036"/>
      <c r="BD462" s="1036"/>
      <c r="BE462" s="1036"/>
      <c r="BF462" s="1036"/>
      <c r="BG462" s="1036"/>
      <c r="BH462" s="1036"/>
      <c r="BI462" s="1036"/>
      <c r="BJ462" s="1036"/>
      <c r="BK462" s="1036"/>
      <c r="BL462" s="1036"/>
      <c r="BM462" s="1036"/>
      <c r="BN462" s="1036"/>
      <c r="BO462" s="1036"/>
      <c r="BP462" s="1018"/>
      <c r="BQ462" s="864"/>
      <c r="BR462" s="864"/>
      <c r="BS462" s="231">
        <f>BS436/IS!BS$7</f>
        <v>4.6551973398872341E-2</v>
      </c>
      <c r="BT462" s="318">
        <f>BT436/IS!BT$7</f>
        <v>4.5996320294376447E-2</v>
      </c>
      <c r="BU462" s="318">
        <f>BU436/IS!BU$7</f>
        <v>4.5842524215977752E-2</v>
      </c>
      <c r="BV462" s="318">
        <f>BV436/IS!BV$7</f>
        <v>4.6971215809823857E-2</v>
      </c>
      <c r="BW462" s="318">
        <f>BW436/IS!BW$7</f>
        <v>4.6356008883266527E-2</v>
      </c>
      <c r="BX462" s="318"/>
      <c r="BY462" s="318"/>
      <c r="BZ462" s="318"/>
      <c r="CA462" s="318"/>
      <c r="CB462" s="318"/>
      <c r="CC462" s="318"/>
      <c r="CD462" s="318"/>
      <c r="CE462" s="318"/>
      <c r="CF462" s="318"/>
      <c r="CG462" s="318"/>
    </row>
    <row r="463" spans="2:88" s="85" customFormat="1" ht="14.25" hidden="1" customHeight="1" outlineLevel="1">
      <c r="B463" s="1038" t="str">
        <f t="shared" si="1282"/>
        <v>Wireless</v>
      </c>
      <c r="C463" s="1007"/>
      <c r="D463" s="1039"/>
      <c r="E463" s="1039"/>
      <c r="F463" s="1039"/>
      <c r="G463" s="1039"/>
      <c r="H463" s="1039"/>
      <c r="I463" s="1039"/>
      <c r="J463" s="1039"/>
      <c r="K463" s="1039"/>
      <c r="L463" s="1040">
        <f>L437/IS!L$7</f>
        <v>0.30335318082105922</v>
      </c>
      <c r="M463" s="1040">
        <f>M437/IS!M$7</f>
        <v>0.30257009345794394</v>
      </c>
      <c r="N463" s="1040">
        <f>N437/IS!N$7</f>
        <v>0.30412230412230412</v>
      </c>
      <c r="O463" s="1040">
        <f>O437/IS!O$7</f>
        <v>0.32002249718785153</v>
      </c>
      <c r="P463" s="1040">
        <f>P437/IS!P$7</f>
        <v>0.28636919315403425</v>
      </c>
      <c r="Q463" s="1040">
        <f>Q437/IS!Q$7</f>
        <v>0.27454491196657715</v>
      </c>
      <c r="R463" s="1040">
        <f>R437/IS!R$7</f>
        <v>0.27576025981694713</v>
      </c>
      <c r="S463" s="1040">
        <f>S437/IS!S$7</f>
        <v>0.26455238859895625</v>
      </c>
      <c r="T463" s="1040">
        <f>T437/IS!T$7</f>
        <v>0.26989453499520616</v>
      </c>
      <c r="U463" s="1040">
        <f>U437/IS!U$7</f>
        <v>0.24989824989824991</v>
      </c>
      <c r="V463" s="1040">
        <f>V437/IS!V$7</f>
        <v>0.23993055555555556</v>
      </c>
      <c r="W463" s="1040">
        <f>W437/IS!W$7</f>
        <v>0.25233022636484687</v>
      </c>
      <c r="X463" s="1040">
        <f>X437/IS!X$7</f>
        <v>0.22371294851794071</v>
      </c>
      <c r="Y463" s="1040">
        <f>Y437/IS!Y$7</f>
        <v>0.20795194508009154</v>
      </c>
      <c r="Z463" s="1040">
        <f>Z437/IS!Z$7</f>
        <v>0.20508021390374331</v>
      </c>
      <c r="AA463" s="1040">
        <f>AA437/IS!AA$7</f>
        <v>0.2175886524822695</v>
      </c>
      <c r="AB463" s="1040">
        <f>AB437/IS!AB$7</f>
        <v>0.19398584905660377</v>
      </c>
      <c r="AC463" s="1040">
        <f>AC437/IS!AC$7</f>
        <v>0.16136495083863506</v>
      </c>
      <c r="AD463" s="1040">
        <f>AD437/IS!AD$7</f>
        <v>0.16733987305251011</v>
      </c>
      <c r="AE463" s="1040">
        <f>AE437/IS!AE$7</f>
        <v>0.21111111111111111</v>
      </c>
      <c r="AF463" s="1040">
        <f>AF437/IS!AF$7</f>
        <v>0.11951297661006088</v>
      </c>
      <c r="AG463" s="1041"/>
      <c r="AH463" s="1041"/>
      <c r="AI463" s="1041"/>
      <c r="AJ463" s="1041"/>
      <c r="AK463" s="1041"/>
      <c r="AL463" s="1041"/>
      <c r="AM463" s="1041"/>
      <c r="AN463" s="1041"/>
      <c r="AO463" s="1041"/>
      <c r="AP463" s="1041"/>
      <c r="AQ463" s="1041"/>
      <c r="AR463" s="1041"/>
      <c r="AS463" s="1041"/>
      <c r="AT463" s="1041"/>
      <c r="AU463" s="1041"/>
      <c r="AV463" s="1041"/>
      <c r="AW463" s="1041"/>
      <c r="AX463" s="1041"/>
      <c r="AY463" s="1041"/>
      <c r="AZ463" s="1041"/>
      <c r="BA463" s="1041"/>
      <c r="BB463" s="1041"/>
      <c r="BC463" s="1041"/>
      <c r="BD463" s="1041"/>
      <c r="BE463" s="1041"/>
      <c r="BF463" s="1041"/>
      <c r="BG463" s="1041"/>
      <c r="BH463" s="1041"/>
      <c r="BI463" s="1041"/>
      <c r="BJ463" s="1041"/>
      <c r="BK463" s="1041"/>
      <c r="BL463" s="1041"/>
      <c r="BM463" s="1041"/>
      <c r="BN463" s="1041"/>
      <c r="BO463" s="1041"/>
      <c r="BP463" s="1028"/>
      <c r="BQ463" s="1042"/>
      <c r="BR463" s="1042"/>
      <c r="BS463" s="732">
        <f>BS437/IS!BS$7</f>
        <v>0.30764782420124331</v>
      </c>
      <c r="BT463" s="1007">
        <f>BT437/IS!BT$7</f>
        <v>0.27597792176625868</v>
      </c>
      <c r="BU463" s="1007">
        <f>BU437/IS!BU$7</f>
        <v>0.25184616860074804</v>
      </c>
      <c r="BV463" s="1007">
        <f>BV437/IS!BV$7</f>
        <v>0.21323213518545037</v>
      </c>
      <c r="BW463" s="1007">
        <f>BW437/IS!BW$7</f>
        <v>0.18331391962725685</v>
      </c>
      <c r="BX463" s="1007"/>
      <c r="BY463" s="1007"/>
      <c r="BZ463" s="1007"/>
      <c r="CA463" s="1007"/>
      <c r="CB463" s="1007"/>
      <c r="CC463" s="1007"/>
      <c r="CD463" s="1007"/>
      <c r="CE463" s="1007"/>
      <c r="CF463" s="1007"/>
      <c r="CG463" s="1007"/>
      <c r="CH463"/>
      <c r="CI463"/>
      <c r="CJ463"/>
    </row>
    <row r="464" spans="2:88" ht="14.25" hidden="1" customHeight="1" outlineLevel="1">
      <c r="B464" s="1035" t="str">
        <f t="shared" si="1282"/>
        <v>DLP</v>
      </c>
      <c r="C464" s="318"/>
      <c r="D464" s="873"/>
      <c r="E464" s="873"/>
      <c r="F464" s="873"/>
      <c r="G464" s="873"/>
      <c r="H464" s="873"/>
      <c r="I464" s="873"/>
      <c r="J464" s="873"/>
      <c r="K464" s="873"/>
      <c r="L464" s="752">
        <f>L438/IS!L$7</f>
        <v>0.05</v>
      </c>
      <c r="M464" s="752">
        <f>M438/IS!M$7</f>
        <v>4.9999999999999996E-2</v>
      </c>
      <c r="N464" s="752">
        <f>N438/IS!N$7</f>
        <v>0.05</v>
      </c>
      <c r="O464" s="752">
        <f>O438/IS!O$7</f>
        <v>0.05</v>
      </c>
      <c r="P464" s="752">
        <f>P438/IS!P$7</f>
        <v>4.9999999999999996E-2</v>
      </c>
      <c r="Q464" s="752">
        <f>Q438/IS!Q$7</f>
        <v>0.05</v>
      </c>
      <c r="R464" s="752">
        <f>R438/IS!R$7</f>
        <v>4.9999999999999996E-2</v>
      </c>
      <c r="S464" s="752">
        <f>S438/IS!S$7</f>
        <v>4.9999999999999996E-2</v>
      </c>
      <c r="T464" s="752">
        <f>T438/IS!T$7</f>
        <v>4.9999999999999996E-2</v>
      </c>
      <c r="U464" s="752">
        <f>U438/IS!U$7</f>
        <v>4.9999999999999996E-2</v>
      </c>
      <c r="V464" s="752">
        <f>V438/IS!V$7</f>
        <v>0.05</v>
      </c>
      <c r="W464" s="752">
        <f>W438/IS!W$7</f>
        <v>4.9999999999999996E-2</v>
      </c>
      <c r="X464" s="752">
        <f>X438/IS!X$7</f>
        <v>7.6443057722308888E-2</v>
      </c>
      <c r="Y464" s="752">
        <f>Y438/IS!Y$7</f>
        <v>7.0080091533180774E-2</v>
      </c>
      <c r="Z464" s="752">
        <f>Z438/IS!Z$7</f>
        <v>6.550802139037433E-2</v>
      </c>
      <c r="AA464" s="752">
        <f>AA438/IS!AA$7</f>
        <v>6.9503546099290783E-2</v>
      </c>
      <c r="AB464" s="752">
        <f>AB438/IS!AB$7</f>
        <v>4.9999999999999996E-2</v>
      </c>
      <c r="AC464" s="752">
        <f>AC438/IS!AC$7</f>
        <v>0.05</v>
      </c>
      <c r="AD464" s="752">
        <f>AD438/IS!AD$7</f>
        <v>0.05</v>
      </c>
      <c r="AE464" s="752">
        <f>AE438/IS!AE$7</f>
        <v>0.05</v>
      </c>
      <c r="AF464" s="752">
        <f>AF438/IS!AF$7</f>
        <v>4.9663569368792057E-2</v>
      </c>
      <c r="AG464" s="1036"/>
      <c r="AH464" s="1036"/>
      <c r="AI464" s="1036"/>
      <c r="AJ464" s="1036"/>
      <c r="AK464" s="1036"/>
      <c r="AL464" s="1036"/>
      <c r="AM464" s="1036"/>
      <c r="AN464" s="1036"/>
      <c r="AO464" s="1036"/>
      <c r="AP464" s="1036"/>
      <c r="AQ464" s="1036"/>
      <c r="AR464" s="1036"/>
      <c r="AS464" s="1036"/>
      <c r="AT464" s="1036"/>
      <c r="AU464" s="1036"/>
      <c r="AV464" s="1036"/>
      <c r="AW464" s="1036"/>
      <c r="AX464" s="1036"/>
      <c r="AY464" s="1036"/>
      <c r="AZ464" s="1036"/>
      <c r="BA464" s="1036"/>
      <c r="BB464" s="1036"/>
      <c r="BC464" s="1036"/>
      <c r="BD464" s="1036"/>
      <c r="BE464" s="1036"/>
      <c r="BF464" s="1036"/>
      <c r="BG464" s="1036"/>
      <c r="BH464" s="1036"/>
      <c r="BI464" s="1036"/>
      <c r="BJ464" s="1036"/>
      <c r="BK464" s="1036"/>
      <c r="BL464" s="1036"/>
      <c r="BM464" s="1036"/>
      <c r="BN464" s="1036"/>
      <c r="BO464" s="1036"/>
      <c r="BP464" s="1018"/>
      <c r="BQ464" s="864"/>
      <c r="BR464" s="864"/>
      <c r="BS464" s="231">
        <f>BS438/IS!BS$7</f>
        <v>0.05</v>
      </c>
      <c r="BT464" s="318">
        <f>BT438/IS!BT$7</f>
        <v>4.9999999999999996E-2</v>
      </c>
      <c r="BU464" s="318">
        <f>BU438/IS!BU$7</f>
        <v>4.9999999999999989E-2</v>
      </c>
      <c r="BV464" s="318">
        <f>BV438/IS!BV$7</f>
        <v>7.0170413862236866E-2</v>
      </c>
      <c r="BW464" s="318">
        <f>BW438/IS!BW$7</f>
        <v>4.9999999999999996E-2</v>
      </c>
      <c r="BX464" s="318"/>
      <c r="BY464" s="318"/>
      <c r="BZ464" s="318"/>
      <c r="CA464" s="318"/>
      <c r="CB464" s="318"/>
      <c r="CC464" s="318"/>
      <c r="CD464" s="318"/>
      <c r="CE464" s="318"/>
      <c r="CF464" s="318"/>
      <c r="CG464" s="318"/>
    </row>
    <row r="465" spans="2:88" ht="14.25" hidden="1" customHeight="1" outlineLevel="1">
      <c r="B465" s="1035" t="str">
        <f t="shared" si="1282"/>
        <v>Custom ASIC</v>
      </c>
      <c r="C465" s="318"/>
      <c r="D465" s="873"/>
      <c r="E465" s="873"/>
      <c r="F465" s="873"/>
      <c r="G465" s="873"/>
      <c r="H465" s="873"/>
      <c r="I465" s="873"/>
      <c r="J465" s="873"/>
      <c r="K465" s="873"/>
      <c r="L465" s="752">
        <f>L439/IS!L$7</f>
        <v>3.9172673143215292E-2</v>
      </c>
      <c r="M465" s="752">
        <f>M439/IS!M$7</f>
        <v>3.6507009345794393E-2</v>
      </c>
      <c r="N465" s="752">
        <f>N439/IS!N$7</f>
        <v>3.4125034125034127E-2</v>
      </c>
      <c r="O465" s="752">
        <f>O439/IS!O$7</f>
        <v>3.5151856017997751E-2</v>
      </c>
      <c r="P465" s="752">
        <f>P439/IS!P$7</f>
        <v>3.8202933985330076E-2</v>
      </c>
      <c r="Q465" s="752">
        <f>Q439/IS!Q$7</f>
        <v>3.7302297821545809E-2</v>
      </c>
      <c r="R465" s="752">
        <f>R439/IS!R$7</f>
        <v>3.6905816356657808E-2</v>
      </c>
      <c r="S465" s="752">
        <f>S439/IS!S$7</f>
        <v>5.0180650341228421E-2</v>
      </c>
      <c r="T465" s="752">
        <f>T439/IS!T$7</f>
        <v>5.9923298178331738E-2</v>
      </c>
      <c r="U465" s="752">
        <f>U439/IS!U$7</f>
        <v>5.0875050875050877E-2</v>
      </c>
      <c r="V465" s="752">
        <f>V439/IS!V$7</f>
        <v>4.3402777777777776E-2</v>
      </c>
      <c r="W465" s="752">
        <f>W439/IS!W$7</f>
        <v>4.1611185086551268E-2</v>
      </c>
      <c r="X465" s="752">
        <f>X439/IS!X$7</f>
        <v>3.9001560062402497E-2</v>
      </c>
      <c r="Y465" s="752">
        <f>Y439/IS!Y$7</f>
        <v>3.5755148741418767E-2</v>
      </c>
      <c r="Z465" s="752">
        <f>Z439/IS!Z$7</f>
        <v>3.342245989304813E-2</v>
      </c>
      <c r="AA465" s="752">
        <f>AA439/IS!AA$7</f>
        <v>3.5460992907801421E-2</v>
      </c>
      <c r="AB465" s="752">
        <f>AB439/IS!AB$7</f>
        <v>3.6851415094339625E-2</v>
      </c>
      <c r="AC465" s="752">
        <f>AC439/IS!AC$7</f>
        <v>3.6148062463851938E-2</v>
      </c>
      <c r="AD465" s="752">
        <f>AD439/IS!AD$7</f>
        <v>3.606462781304097E-2</v>
      </c>
      <c r="AE465" s="752">
        <f>AE439/IS!AE$7</f>
        <v>2.9239766081871343E-2</v>
      </c>
      <c r="AF465" s="752">
        <f>AF439/IS!AF$7</f>
        <v>4.0051265619993594E-2</v>
      </c>
      <c r="AG465" s="1036"/>
      <c r="AH465" s="1036"/>
      <c r="AI465" s="1036"/>
      <c r="AJ465" s="1036"/>
      <c r="AK465" s="1036"/>
      <c r="AL465" s="1036"/>
      <c r="AM465" s="1036"/>
      <c r="AN465" s="1036"/>
      <c r="AO465" s="1036"/>
      <c r="AP465" s="1036"/>
      <c r="AQ465" s="1036"/>
      <c r="AR465" s="1036"/>
      <c r="AS465" s="1036"/>
      <c r="AT465" s="1036"/>
      <c r="AU465" s="1036"/>
      <c r="AV465" s="1036"/>
      <c r="AW465" s="1036"/>
      <c r="AX465" s="1036"/>
      <c r="AY465" s="1036"/>
      <c r="AZ465" s="1036"/>
      <c r="BA465" s="1036"/>
      <c r="BB465" s="1036"/>
      <c r="BC465" s="1036"/>
      <c r="BD465" s="1036"/>
      <c r="BE465" s="1036"/>
      <c r="BF465" s="1036"/>
      <c r="BG465" s="1036"/>
      <c r="BH465" s="1036"/>
      <c r="BI465" s="1036"/>
      <c r="BJ465" s="1036"/>
      <c r="BK465" s="1036"/>
      <c r="BL465" s="1036"/>
      <c r="BM465" s="1036"/>
      <c r="BN465" s="1036"/>
      <c r="BO465" s="1036"/>
      <c r="BP465" s="1018"/>
      <c r="BQ465" s="864"/>
      <c r="BR465" s="864"/>
      <c r="BS465" s="231">
        <f>BS439/IS!BS$7</f>
        <v>3.614283648980772E-2</v>
      </c>
      <c r="BT465" s="318">
        <f>BT439/IS!BT$7</f>
        <v>3.9996800255979521E-2</v>
      </c>
      <c r="BU465" s="318">
        <f>BU439/IS!BU$7</f>
        <v>4.7952431188261244E-2</v>
      </c>
      <c r="BV465" s="318">
        <f>BV439/IS!BV$7</f>
        <v>3.5801231562365747E-2</v>
      </c>
      <c r="BW465" s="318">
        <f>BW439/IS!BW$7</f>
        <v>3.4580663948747814E-2</v>
      </c>
      <c r="BX465" s="318"/>
      <c r="BY465" s="318"/>
      <c r="BZ465" s="318"/>
      <c r="CA465" s="318"/>
      <c r="CB465" s="318"/>
      <c r="CC465" s="318"/>
      <c r="CD465" s="318"/>
      <c r="CE465" s="318"/>
      <c r="CF465" s="318"/>
      <c r="CG465" s="318"/>
    </row>
    <row r="466" spans="2:88" ht="14.25" hidden="1" customHeight="1" outlineLevel="1">
      <c r="B466" s="1035" t="str">
        <f t="shared" si="1282"/>
        <v>Calculators</v>
      </c>
      <c r="C466" s="318"/>
      <c r="D466" s="873"/>
      <c r="E466" s="873"/>
      <c r="F466" s="873"/>
      <c r="G466" s="873"/>
      <c r="H466" s="873"/>
      <c r="I466" s="873"/>
      <c r="J466" s="873"/>
      <c r="K466" s="873"/>
      <c r="L466" s="752">
        <f>L440/IS!L$7</f>
        <v>2.3816985271074897E-2</v>
      </c>
      <c r="M466" s="752">
        <f>M440/IS!M$7</f>
        <v>4.877336448598131E-2</v>
      </c>
      <c r="N466" s="752">
        <f>N440/IS!N$7</f>
        <v>5.5146055146055147E-2</v>
      </c>
      <c r="O466" s="752">
        <f>O440/IS!O$7</f>
        <v>2.2778402699662543E-2</v>
      </c>
      <c r="P466" s="752">
        <f>P440/IS!P$7</f>
        <v>2.4755501222493887E-2</v>
      </c>
      <c r="Q466" s="752">
        <f>Q440/IS!Q$7</f>
        <v>5.2521635332736495E-2</v>
      </c>
      <c r="R466" s="752">
        <f>R440/IS!R$7</f>
        <v>5.3734868615293772E-2</v>
      </c>
      <c r="S466" s="752">
        <f>S440/IS!S$7</f>
        <v>2.4504215174628662E-2</v>
      </c>
      <c r="T466" s="752">
        <f>T440/IS!T$7</f>
        <v>2.4755501222493887E-2</v>
      </c>
      <c r="U466" s="752">
        <f>U440/IS!U$7</f>
        <v>5.2521635332736502E-2</v>
      </c>
      <c r="V466" s="752">
        <f>V440/IS!V$7</f>
        <v>5.3734868615293772E-2</v>
      </c>
      <c r="W466" s="752">
        <f>W440/IS!W$7</f>
        <v>2.4504215174628662E-2</v>
      </c>
      <c r="X466" s="752">
        <f>X440/IS!X$7</f>
        <v>1.9999999999999997E-2</v>
      </c>
      <c r="Y466" s="752">
        <f>Y440/IS!Y$7</f>
        <v>0.04</v>
      </c>
      <c r="Z466" s="752">
        <f>Z440/IS!Z$7</f>
        <v>0.04</v>
      </c>
      <c r="AA466" s="752">
        <f>AA440/IS!AA$7</f>
        <v>0.02</v>
      </c>
      <c r="AB466" s="752">
        <f>AB440/IS!AB$7</f>
        <v>0.02</v>
      </c>
      <c r="AC466" s="752">
        <f>AC440/IS!AC$7</f>
        <v>0.04</v>
      </c>
      <c r="AD466" s="752">
        <f>AD440/IS!AD$7</f>
        <v>4.7500000000000001E-2</v>
      </c>
      <c r="AE466" s="752">
        <f>AE440/IS!AE$7</f>
        <v>0.02</v>
      </c>
      <c r="AF466" s="752">
        <f>AF440/IS!AF$7</f>
        <v>0.02</v>
      </c>
      <c r="AG466" s="1036"/>
      <c r="AH466" s="1036"/>
      <c r="AI466" s="1036"/>
      <c r="AJ466" s="1036"/>
      <c r="AK466" s="1036"/>
      <c r="AL466" s="1036"/>
      <c r="AM466" s="1036"/>
      <c r="AN466" s="1036"/>
      <c r="AO466" s="1036"/>
      <c r="AP466" s="1036"/>
      <c r="AQ466" s="1036"/>
      <c r="AR466" s="1036"/>
      <c r="AS466" s="1036"/>
      <c r="AT466" s="1036"/>
      <c r="AU466" s="1036"/>
      <c r="AV466" s="1036"/>
      <c r="AW466" s="1036"/>
      <c r="AX466" s="1036"/>
      <c r="AY466" s="1036"/>
      <c r="AZ466" s="1036"/>
      <c r="BA466" s="1036"/>
      <c r="BB466" s="1036"/>
      <c r="BC466" s="1036"/>
      <c r="BD466" s="1036"/>
      <c r="BE466" s="1036"/>
      <c r="BF466" s="1036"/>
      <c r="BG466" s="1036"/>
      <c r="BH466" s="1036"/>
      <c r="BI466" s="1036"/>
      <c r="BJ466" s="1036"/>
      <c r="BK466" s="1036"/>
      <c r="BL466" s="1036"/>
      <c r="BM466" s="1036"/>
      <c r="BN466" s="1036"/>
      <c r="BO466" s="1036"/>
      <c r="BP466" s="1018"/>
      <c r="BQ466" s="864"/>
      <c r="BR466" s="864"/>
      <c r="BS466" s="231">
        <f>BS440/IS!BS$7</f>
        <v>3.8022263987277718E-2</v>
      </c>
      <c r="BT466" s="318">
        <f>BT440/IS!BT$7</f>
        <v>0.04</v>
      </c>
      <c r="BU466" s="318">
        <f>BU440/IS!BU$7</f>
        <v>3.9230144582265883E-2</v>
      </c>
      <c r="BV466" s="318">
        <f>BV440/IS!BV$7</f>
        <v>3.036230846341114E-2</v>
      </c>
      <c r="BW466" s="318">
        <f>BW440/IS!BW$7</f>
        <v>3.1974009900990093E-2</v>
      </c>
      <c r="BX466" s="318"/>
      <c r="BY466" s="318"/>
      <c r="BZ466" s="318"/>
      <c r="CA466" s="318"/>
      <c r="CB466" s="318"/>
      <c r="CC466" s="318"/>
      <c r="CD466" s="318"/>
      <c r="CE466" s="318"/>
      <c r="CF466" s="318"/>
      <c r="CG466" s="318"/>
    </row>
    <row r="467" spans="2:88" ht="14.25" hidden="1" customHeight="1" outlineLevel="1">
      <c r="B467" s="1035" t="str">
        <f t="shared" si="1282"/>
        <v>Royalties</v>
      </c>
      <c r="C467" s="318"/>
      <c r="D467" s="873"/>
      <c r="E467" s="873"/>
      <c r="F467" s="873"/>
      <c r="G467" s="873"/>
      <c r="H467" s="873"/>
      <c r="I467" s="873"/>
      <c r="J467" s="873"/>
      <c r="K467" s="873"/>
      <c r="L467" s="752">
        <f>L441/IS!L$7</f>
        <v>2.3503603885929175E-2</v>
      </c>
      <c r="M467" s="752">
        <f>M441/IS!M$7</f>
        <v>2.1904205607476634E-2</v>
      </c>
      <c r="N467" s="752">
        <f>N441/IS!N$7</f>
        <v>2.0475020475020474E-2</v>
      </c>
      <c r="O467" s="752">
        <f>O441/IS!O$7</f>
        <v>2.1091113610798649E-2</v>
      </c>
      <c r="P467" s="752">
        <f>P441/IS!P$7</f>
        <v>2.2921760391198046E-2</v>
      </c>
      <c r="Q467" s="752">
        <f>Q441/IS!Q$7</f>
        <v>2.2381378692927483E-2</v>
      </c>
      <c r="R467" s="752">
        <f>R441/IS!R$7</f>
        <v>2.2143489813994686E-2</v>
      </c>
      <c r="S467" s="752">
        <f>S441/IS!S$7</f>
        <v>3.0108390204737052E-2</v>
      </c>
      <c r="T467" s="752">
        <f>T441/IS!T$7</f>
        <v>3.5953978906999043E-2</v>
      </c>
      <c r="U467" s="752">
        <f>U441/IS!U$7</f>
        <v>3.0525030525030524E-2</v>
      </c>
      <c r="V467" s="752">
        <f>V441/IS!V$7</f>
        <v>2.6041666666666668E-2</v>
      </c>
      <c r="W467" s="752">
        <f>W441/IS!W$7</f>
        <v>2.4966711051930757E-2</v>
      </c>
      <c r="X467" s="752">
        <f>X441/IS!X$7</f>
        <v>1.8720748829953199E-2</v>
      </c>
      <c r="Y467" s="752">
        <f>Y441/IS!Y$7</f>
        <v>1.7162471395881007E-2</v>
      </c>
      <c r="Z467" s="752">
        <f>Z441/IS!Z$7</f>
        <v>1.6042780748663103E-2</v>
      </c>
      <c r="AA467" s="752">
        <f>AA441/IS!AA$7</f>
        <v>1.7021276595744681E-2</v>
      </c>
      <c r="AB467" s="752">
        <f>AB441/IS!AB$7</f>
        <v>1.4740566037735849E-2</v>
      </c>
      <c r="AC467" s="752">
        <f>AC441/IS!AC$7</f>
        <v>1.4459224985540775E-2</v>
      </c>
      <c r="AD467" s="752">
        <f>AD441/IS!AD$7</f>
        <v>1.4425851125216388E-2</v>
      </c>
      <c r="AE467" s="752">
        <f>AE441/IS!AE$7</f>
        <v>1.4619883040935672E-2</v>
      </c>
      <c r="AF467" s="752">
        <f>AF441/IS!AF$7</f>
        <v>1.6020506247997435E-2</v>
      </c>
      <c r="AG467" s="1036"/>
      <c r="AH467" s="1036"/>
      <c r="AI467" s="1036"/>
      <c r="AJ467" s="1036"/>
      <c r="AK467" s="1036"/>
      <c r="AL467" s="1036"/>
      <c r="AM467" s="1036"/>
      <c r="AN467" s="1036"/>
      <c r="AO467" s="1036"/>
      <c r="AP467" s="1036"/>
      <c r="AQ467" s="1036"/>
      <c r="AR467" s="1036"/>
      <c r="AS467" s="1036"/>
      <c r="AT467" s="1036"/>
      <c r="AU467" s="1036"/>
      <c r="AV467" s="1036"/>
      <c r="AW467" s="1036"/>
      <c r="AX467" s="1036"/>
      <c r="AY467" s="1036"/>
      <c r="AZ467" s="1036"/>
      <c r="BA467" s="1036"/>
      <c r="BB467" s="1036"/>
      <c r="BC467" s="1036"/>
      <c r="BD467" s="1036"/>
      <c r="BE467" s="1036"/>
      <c r="BF467" s="1036"/>
      <c r="BG467" s="1036"/>
      <c r="BH467" s="1036"/>
      <c r="BI467" s="1036"/>
      <c r="BJ467" s="1036"/>
      <c r="BK467" s="1036"/>
      <c r="BL467" s="1036"/>
      <c r="BM467" s="1036"/>
      <c r="BN467" s="1036"/>
      <c r="BO467" s="1036"/>
      <c r="BP467" s="1018"/>
      <c r="BQ467" s="864"/>
      <c r="BR467" s="864"/>
      <c r="BS467" s="231">
        <f>BS441/IS!BS$7</f>
        <v>2.1685701893884631E-2</v>
      </c>
      <c r="BT467" s="318">
        <f>BT441/IS!BT$7</f>
        <v>2.3998080153587713E-2</v>
      </c>
      <c r="BU467" s="318">
        <f>BU441/IS!BU$7</f>
        <v>2.8771458712956745E-2</v>
      </c>
      <c r="BV467" s="318">
        <f>BV441/IS!BV$7</f>
        <v>1.7184591149935556E-2</v>
      </c>
      <c r="BW467" s="318">
        <f>BW441/IS!BW$7</f>
        <v>1.4560279557367502E-2</v>
      </c>
      <c r="BX467" s="318"/>
      <c r="BY467" s="318"/>
      <c r="BZ467" s="318"/>
      <c r="CA467" s="318"/>
      <c r="CB467" s="318"/>
      <c r="CC467" s="318"/>
      <c r="CD467" s="318"/>
      <c r="CE467" s="318"/>
      <c r="CF467" s="318"/>
      <c r="CG467" s="318"/>
    </row>
    <row r="468" spans="2:88" ht="14.25" hidden="1" customHeight="1" outlineLevel="1">
      <c r="B468" s="1035" t="str">
        <f t="shared" si="1282"/>
        <v>Other Other</v>
      </c>
      <c r="C468" s="318"/>
      <c r="D468" s="873"/>
      <c r="E468" s="873"/>
      <c r="F468" s="873"/>
      <c r="G468" s="873"/>
      <c r="H468" s="873"/>
      <c r="I468" s="873"/>
      <c r="J468" s="873"/>
      <c r="K468" s="873"/>
      <c r="L468" s="752">
        <f>L442/IS!L$7</f>
        <v>8.8827953619554992E-2</v>
      </c>
      <c r="M468" s="752">
        <f>M442/IS!M$7</f>
        <v>8.6682242990654204E-2</v>
      </c>
      <c r="N468" s="752">
        <f>N442/IS!N$7</f>
        <v>7.8037128037128048E-2</v>
      </c>
      <c r="O468" s="752">
        <f>O442/IS!O$7</f>
        <v>6.7547806524184476E-2</v>
      </c>
      <c r="P468" s="752">
        <f>P442/IS!P$7</f>
        <v>6.6136919315403428E-2</v>
      </c>
      <c r="Q468" s="752">
        <f>Q442/IS!Q$7</f>
        <v>5.3551178752611159E-2</v>
      </c>
      <c r="R468" s="752">
        <f>R442/IS!R$7</f>
        <v>6.0422202539120166E-2</v>
      </c>
      <c r="S468" s="752">
        <f>S442/IS!S$7</f>
        <v>4.1914893617021276E-2</v>
      </c>
      <c r="T468" s="752">
        <f>T442/IS!T$7</f>
        <v>2.3518707789970155E-2</v>
      </c>
      <c r="U468" s="752">
        <f>U442/IS!U$7</f>
        <v>2.8939496128394953E-2</v>
      </c>
      <c r="V468" s="752">
        <f>V442/IS!V$7</f>
        <v>4.4876242495817328E-2</v>
      </c>
      <c r="W468" s="752">
        <f>W442/IS!W$7</f>
        <v>4.933067164294791E-2</v>
      </c>
      <c r="X468" s="752">
        <f>X442/IS!X$7</f>
        <v>5.8315132605304215E-2</v>
      </c>
      <c r="Y468" s="752">
        <f>Y442/IS!Y$7</f>
        <v>4.8958810068649883E-2</v>
      </c>
      <c r="Z468" s="752">
        <f>Z442/IS!Z$7</f>
        <v>6.2406417112299467E-2</v>
      </c>
      <c r="AA468" s="752">
        <f>AA442/IS!AA$7</f>
        <v>5.7163120567375887E-2</v>
      </c>
      <c r="AB468" s="752">
        <f>AB442/IS!AB$7</f>
        <v>7.4457547169811317E-2</v>
      </c>
      <c r="AC468" s="752">
        <f>AC442/IS!AC$7</f>
        <v>6.6448814343551182E-2</v>
      </c>
      <c r="AD468" s="752">
        <f>AD442/IS!AD$7</f>
        <v>7.9937968840161563E-2</v>
      </c>
      <c r="AE468" s="752">
        <f>AE442/IS!AE$7</f>
        <v>5.0175438596491227E-2</v>
      </c>
      <c r="AF468" s="752">
        <f>AF442/IS!AF$7</f>
        <v>6.2986222364626726E-2</v>
      </c>
      <c r="AG468" s="1036"/>
      <c r="AH468" s="1036"/>
      <c r="AI468" s="1036"/>
      <c r="AJ468" s="1036"/>
      <c r="AK468" s="1036"/>
      <c r="AL468" s="1036"/>
      <c r="AM468" s="1036"/>
      <c r="AN468" s="1036"/>
      <c r="AO468" s="1036"/>
      <c r="AP468" s="1036"/>
      <c r="AQ468" s="1036"/>
      <c r="AR468" s="1036"/>
      <c r="AS468" s="1036"/>
      <c r="AT468" s="1036"/>
      <c r="AU468" s="1036"/>
      <c r="AV468" s="1036"/>
      <c r="AW468" s="1036"/>
      <c r="AX468" s="1036"/>
      <c r="AY468" s="1036"/>
      <c r="AZ468" s="1036"/>
      <c r="BA468" s="1036"/>
      <c r="BB468" s="1036"/>
      <c r="BC468" s="1036"/>
      <c r="BD468" s="1036"/>
      <c r="BE468" s="1036"/>
      <c r="BF468" s="1036"/>
      <c r="BG468" s="1036"/>
      <c r="BH468" s="1036"/>
      <c r="BI468" s="1036"/>
      <c r="BJ468" s="1036"/>
      <c r="BK468" s="1036"/>
      <c r="BL468" s="1036"/>
      <c r="BM468" s="1036"/>
      <c r="BN468" s="1036"/>
      <c r="BO468" s="1036"/>
      <c r="BP468" s="1018"/>
      <c r="BQ468" s="864"/>
      <c r="BR468" s="864"/>
      <c r="BS468" s="231">
        <f>BS442/IS!BS$7</f>
        <v>7.9969640017348562E-2</v>
      </c>
      <c r="BT468" s="318">
        <f>BT442/IS!BT$7</f>
        <v>5.6388288936885043E-2</v>
      </c>
      <c r="BU468" s="318">
        <f>BU442/IS!BU$7</f>
        <v>3.8131512653755979E-2</v>
      </c>
      <c r="BV468" s="318">
        <f>BV442/IS!BV$7</f>
        <v>5.6777889159387085E-2</v>
      </c>
      <c r="BW468" s="318">
        <f>BW442/IS!BW$7</f>
        <v>6.7778465346534658E-2</v>
      </c>
      <c r="BX468" s="318"/>
      <c r="BY468" s="318"/>
      <c r="BZ468" s="318"/>
      <c r="CA468" s="318"/>
      <c r="CB468" s="318"/>
      <c r="CC468" s="318"/>
      <c r="CD468" s="318"/>
      <c r="CE468" s="318"/>
      <c r="CF468" s="318"/>
      <c r="CG468" s="318"/>
    </row>
    <row r="469" spans="2:88" s="85" customFormat="1" ht="14.25" hidden="1" customHeight="1" outlineLevel="1">
      <c r="B469" s="1038" t="str">
        <f t="shared" si="1282"/>
        <v>Other</v>
      </c>
      <c r="C469" s="1007"/>
      <c r="D469" s="1039"/>
      <c r="E469" s="1039"/>
      <c r="F469" s="1039"/>
      <c r="G469" s="1039"/>
      <c r="H469" s="1039"/>
      <c r="I469" s="1039"/>
      <c r="J469" s="1039"/>
      <c r="K469" s="1039"/>
      <c r="L469" s="1040">
        <f t="shared" ref="L469:AE469" si="1283">SUM(L464:L468)</f>
        <v>0.22532121591977433</v>
      </c>
      <c r="M469" s="1040">
        <f t="shared" si="1283"/>
        <v>0.24386682242990654</v>
      </c>
      <c r="N469" s="1040">
        <f t="shared" si="1283"/>
        <v>0.23778323778323779</v>
      </c>
      <c r="O469" s="1040">
        <f t="shared" si="1283"/>
        <v>0.19656917885264341</v>
      </c>
      <c r="P469" s="1040">
        <f t="shared" si="1283"/>
        <v>0.20201711491442542</v>
      </c>
      <c r="Q469" s="1040">
        <f t="shared" si="1283"/>
        <v>0.21575649059982094</v>
      </c>
      <c r="R469" s="1040">
        <f t="shared" si="1283"/>
        <v>0.22320637732506646</v>
      </c>
      <c r="S469" s="1040">
        <f t="shared" si="1283"/>
        <v>0.19670814933761541</v>
      </c>
      <c r="T469" s="1040">
        <f t="shared" si="1283"/>
        <v>0.19415148609779484</v>
      </c>
      <c r="U469" s="1040">
        <f t="shared" si="1283"/>
        <v>0.21286121286121285</v>
      </c>
      <c r="V469" s="1040">
        <f t="shared" si="1283"/>
        <v>0.21805555555555556</v>
      </c>
      <c r="W469" s="1040">
        <f t="shared" si="1283"/>
        <v>0.1904127829560586</v>
      </c>
      <c r="X469" s="1040">
        <f t="shared" si="1283"/>
        <v>0.21248049921996878</v>
      </c>
      <c r="Y469" s="1040">
        <f t="shared" si="1283"/>
        <v>0.21195652173913043</v>
      </c>
      <c r="Z469" s="1040">
        <f t="shared" si="1283"/>
        <v>0.21737967914438505</v>
      </c>
      <c r="AA469" s="1040">
        <f t="shared" si="1283"/>
        <v>0.19914893617021279</v>
      </c>
      <c r="AB469" s="1040">
        <f t="shared" si="1283"/>
        <v>0.19604952830188679</v>
      </c>
      <c r="AC469" s="1040">
        <f t="shared" si="1283"/>
        <v>0.2070561017929439</v>
      </c>
      <c r="AD469" s="1040">
        <f t="shared" si="1283"/>
        <v>0.22792844777841892</v>
      </c>
      <c r="AE469" s="1040">
        <f t="shared" si="1283"/>
        <v>0.16403508771929826</v>
      </c>
      <c r="AF469" s="1040">
        <f>AF443/IS!AF$7</f>
        <v>0.18872156360140979</v>
      </c>
      <c r="AG469" s="1041"/>
      <c r="AH469" s="1041"/>
      <c r="AI469" s="1041"/>
      <c r="AJ469" s="1041"/>
      <c r="AK469" s="1041"/>
      <c r="AL469" s="1041"/>
      <c r="AM469" s="1041"/>
      <c r="AN469" s="1041"/>
      <c r="AO469" s="1041"/>
      <c r="AP469" s="1041"/>
      <c r="AQ469" s="1041"/>
      <c r="AR469" s="1041"/>
      <c r="AS469" s="1041"/>
      <c r="AT469" s="1041"/>
      <c r="AU469" s="1041"/>
      <c r="AV469" s="1041"/>
      <c r="AW469" s="1041"/>
      <c r="AX469" s="1041"/>
      <c r="AY469" s="1041"/>
      <c r="AZ469" s="1041"/>
      <c r="BA469" s="1041"/>
      <c r="BB469" s="1041"/>
      <c r="BC469" s="1041"/>
      <c r="BD469" s="1041"/>
      <c r="BE469" s="1041"/>
      <c r="BF469" s="1041"/>
      <c r="BG469" s="1041"/>
      <c r="BH469" s="1041"/>
      <c r="BI469" s="1041"/>
      <c r="BJ469" s="1041"/>
      <c r="BK469" s="1041"/>
      <c r="BL469" s="1041"/>
      <c r="BM469" s="1041"/>
      <c r="BN469" s="1041"/>
      <c r="BO469" s="1041"/>
      <c r="BP469" s="1028"/>
      <c r="BQ469" s="1042"/>
      <c r="BR469" s="1042"/>
      <c r="BS469" s="732">
        <f>SUM(BS464:BS468)</f>
        <v>0.22582044238831861</v>
      </c>
      <c r="BT469" s="1007">
        <f>SUM(BT464:BT468)</f>
        <v>0.21038316934645226</v>
      </c>
      <c r="BU469" s="1007">
        <f>SUM(BU464:BU468)</f>
        <v>0.20408554713723984</v>
      </c>
      <c r="BV469" s="1007">
        <f>SUM(BV464:BV468)</f>
        <v>0.2102964341973364</v>
      </c>
      <c r="BW469" s="1007">
        <f>SUM(BW464:BW468)</f>
        <v>0.19889341875364003</v>
      </c>
      <c r="BX469" s="1007"/>
      <c r="BY469" s="1007"/>
      <c r="BZ469" s="1007"/>
      <c r="CA469" s="1007"/>
      <c r="CB469" s="1007"/>
      <c r="CC469" s="1007"/>
      <c r="CD469" s="1007"/>
      <c r="CE469" s="1007"/>
      <c r="CF469" s="1007"/>
      <c r="CG469" s="1007"/>
      <c r="CH469"/>
      <c r="CI469"/>
      <c r="CJ469"/>
    </row>
    <row r="470" spans="2:88" s="85" customFormat="1" ht="14.25" hidden="1" customHeight="1" outlineLevel="1">
      <c r="B470" s="1044" t="s">
        <v>440</v>
      </c>
      <c r="C470" s="1007"/>
      <c r="D470" s="1039"/>
      <c r="E470" s="1039"/>
      <c r="F470" s="1039"/>
      <c r="G470" s="1039"/>
      <c r="H470" s="1039"/>
      <c r="I470" s="1039"/>
      <c r="J470" s="1039"/>
      <c r="K470" s="1039"/>
      <c r="L470" s="1040">
        <f t="shared" ref="L470:AF470" si="1284">L469+L455+L463+L452</f>
        <v>1</v>
      </c>
      <c r="M470" s="1040">
        <f t="shared" si="1284"/>
        <v>1</v>
      </c>
      <c r="N470" s="1040">
        <f t="shared" si="1284"/>
        <v>1</v>
      </c>
      <c r="O470" s="1040">
        <f t="shared" si="1284"/>
        <v>1</v>
      </c>
      <c r="P470" s="1040">
        <f t="shared" si="1284"/>
        <v>1</v>
      </c>
      <c r="Q470" s="1040">
        <f t="shared" si="1284"/>
        <v>1</v>
      </c>
      <c r="R470" s="1040">
        <f t="shared" si="1284"/>
        <v>1</v>
      </c>
      <c r="S470" s="1040">
        <f t="shared" si="1284"/>
        <v>1</v>
      </c>
      <c r="T470" s="1040">
        <f t="shared" si="1284"/>
        <v>1</v>
      </c>
      <c r="U470" s="1040">
        <f t="shared" si="1284"/>
        <v>1</v>
      </c>
      <c r="V470" s="1040">
        <f t="shared" si="1284"/>
        <v>1</v>
      </c>
      <c r="W470" s="1040">
        <f t="shared" si="1284"/>
        <v>1.0003328894806924</v>
      </c>
      <c r="X470" s="1040">
        <f t="shared" si="1284"/>
        <v>1</v>
      </c>
      <c r="Y470" s="1040">
        <f t="shared" si="1284"/>
        <v>1</v>
      </c>
      <c r="Z470" s="1040">
        <f t="shared" si="1284"/>
        <v>1</v>
      </c>
      <c r="AA470" s="1040">
        <f t="shared" si="1284"/>
        <v>1</v>
      </c>
      <c r="AB470" s="1040">
        <f t="shared" si="1284"/>
        <v>1</v>
      </c>
      <c r="AC470" s="1040">
        <f t="shared" si="1284"/>
        <v>1</v>
      </c>
      <c r="AD470" s="1040">
        <f t="shared" si="1284"/>
        <v>1</v>
      </c>
      <c r="AE470" s="1040">
        <f t="shared" si="1284"/>
        <v>1</v>
      </c>
      <c r="AF470" s="1040">
        <f t="shared" si="1284"/>
        <v>1</v>
      </c>
      <c r="AG470" s="1041"/>
      <c r="AH470" s="1041"/>
      <c r="AI470" s="1041"/>
      <c r="AJ470" s="1041"/>
      <c r="AK470" s="1041"/>
      <c r="AL470" s="1041"/>
      <c r="AM470" s="1041"/>
      <c r="AN470" s="1041"/>
      <c r="AO470" s="1041"/>
      <c r="AP470" s="1041"/>
      <c r="AQ470" s="1041"/>
      <c r="AR470" s="1041"/>
      <c r="AS470" s="1041"/>
      <c r="AT470" s="1041"/>
      <c r="AU470" s="1041"/>
      <c r="AV470" s="1041"/>
      <c r="AW470" s="1041"/>
      <c r="AX470" s="1041"/>
      <c r="AY470" s="1041"/>
      <c r="AZ470" s="1041"/>
      <c r="BA470" s="1041"/>
      <c r="BB470" s="1041"/>
      <c r="BC470" s="1041"/>
      <c r="BD470" s="1041"/>
      <c r="BE470" s="1041"/>
      <c r="BF470" s="1041"/>
      <c r="BG470" s="1041"/>
      <c r="BH470" s="1041"/>
      <c r="BI470" s="1041"/>
      <c r="BJ470" s="1041"/>
      <c r="BK470" s="1041"/>
      <c r="BL470" s="1041"/>
      <c r="BM470" s="1041"/>
      <c r="BN470" s="1041"/>
      <c r="BO470" s="1041"/>
      <c r="BP470" s="1028"/>
      <c r="BQ470" s="1042"/>
      <c r="BR470" s="1042"/>
      <c r="BS470" s="732">
        <f>BS469+BS455+BS463+BS452</f>
        <v>1</v>
      </c>
      <c r="BT470" s="1007">
        <f>BT469+BT455+BT463+BT452</f>
        <v>1</v>
      </c>
      <c r="BU470" s="1007">
        <f>BU469+BU455+BU463+BU452</f>
        <v>1.0000959048623765</v>
      </c>
      <c r="BV470" s="1007">
        <f>BV469+BV455+BV463+BV452</f>
        <v>1</v>
      </c>
      <c r="BW470" s="1007">
        <f>BW469+BW455+BW463+BW452</f>
        <v>1</v>
      </c>
      <c r="BX470" s="1007"/>
      <c r="BY470" s="1007"/>
      <c r="BZ470" s="1007"/>
      <c r="CA470" s="1007"/>
      <c r="CB470" s="1007"/>
      <c r="CC470" s="1007"/>
      <c r="CD470" s="1007"/>
      <c r="CE470" s="1007"/>
      <c r="CF470" s="1007"/>
      <c r="CG470" s="1007"/>
      <c r="CH470"/>
      <c r="CI470"/>
      <c r="CJ470"/>
    </row>
    <row r="471" spans="2:88" ht="14.25" hidden="1" customHeight="1" outlineLevel="1">
      <c r="B471" s="1045"/>
      <c r="C471" s="363"/>
      <c r="D471" s="363"/>
      <c r="E471" s="363"/>
      <c r="F471" s="363"/>
      <c r="G471" s="363"/>
      <c r="H471" s="363"/>
      <c r="I471" s="363"/>
      <c r="J471" s="363"/>
      <c r="K471" s="363"/>
      <c r="L471" s="363"/>
      <c r="M471" s="363"/>
      <c r="N471" s="363"/>
      <c r="O471" s="363"/>
      <c r="P471" s="363"/>
      <c r="Q471" s="363"/>
      <c r="R471" s="363"/>
      <c r="S471" s="363"/>
      <c r="T471" s="363"/>
      <c r="U471" s="363"/>
      <c r="V471" s="363"/>
      <c r="W471" s="363"/>
      <c r="X471" s="363"/>
      <c r="Y471" s="363"/>
      <c r="Z471" s="363"/>
      <c r="AA471" s="363"/>
      <c r="AB471" s="363"/>
      <c r="AC471" s="363"/>
      <c r="AD471" s="363"/>
      <c r="AE471" s="363"/>
      <c r="AF471" s="363"/>
      <c r="AG471" s="363"/>
      <c r="AH471" s="363"/>
      <c r="AI471" s="363"/>
      <c r="AJ471" s="363"/>
      <c r="AK471" s="363"/>
      <c r="AL471" s="363"/>
      <c r="AM471" s="363"/>
      <c r="AN471" s="363"/>
      <c r="AO471" s="363"/>
      <c r="AP471" s="363"/>
      <c r="AQ471" s="363"/>
      <c r="AR471" s="363"/>
      <c r="AS471" s="363"/>
      <c r="AT471" s="363"/>
      <c r="AU471" s="363"/>
      <c r="AV471" s="363"/>
      <c r="AW471" s="363"/>
      <c r="AX471" s="363"/>
      <c r="AY471" s="363"/>
      <c r="AZ471" s="363"/>
      <c r="BA471" s="363"/>
      <c r="BB471" s="363"/>
      <c r="BC471" s="363"/>
      <c r="BD471" s="363"/>
      <c r="BE471" s="363"/>
      <c r="BF471" s="363"/>
      <c r="BG471" s="363"/>
      <c r="BH471" s="363"/>
      <c r="BI471" s="363"/>
      <c r="BJ471" s="363"/>
      <c r="BK471" s="363"/>
      <c r="BL471" s="363"/>
      <c r="BM471" s="363"/>
      <c r="BN471" s="363"/>
      <c r="BO471" s="363"/>
      <c r="BP471" s="1018"/>
      <c r="BQ471" s="14"/>
      <c r="BR471" s="14"/>
      <c r="BS471" s="14"/>
      <c r="BT471" s="363"/>
      <c r="BU471" s="363"/>
      <c r="BV471" s="363"/>
      <c r="BW471" s="363"/>
      <c r="BX471" s="363"/>
      <c r="BY471" s="363"/>
      <c r="BZ471" s="363"/>
      <c r="CA471" s="363"/>
      <c r="CB471" s="363"/>
      <c r="CC471" s="363"/>
      <c r="CD471" s="363"/>
      <c r="CE471" s="363"/>
      <c r="CF471" s="363"/>
      <c r="CG471" s="363"/>
    </row>
    <row r="472" spans="2:88" s="8" customFormat="1" ht="14.25" hidden="1" customHeight="1" outlineLevel="1">
      <c r="B472" s="1030" t="s">
        <v>272</v>
      </c>
      <c r="C472" s="268"/>
      <c r="D472" s="1031"/>
      <c r="E472" s="1031"/>
      <c r="F472" s="1031"/>
      <c r="G472" s="1031"/>
      <c r="H472" s="1031"/>
      <c r="I472" s="1031"/>
      <c r="J472" s="1031"/>
      <c r="K472" s="1031"/>
      <c r="L472" s="1034" t="str">
        <f t="shared" ref="L472:AF472" si="1285">IF(ROUND(L470,1)=1,"OK",L470)</f>
        <v>OK</v>
      </c>
      <c r="M472" s="1034" t="str">
        <f t="shared" si="1285"/>
        <v>OK</v>
      </c>
      <c r="N472" s="1034" t="str">
        <f t="shared" si="1285"/>
        <v>OK</v>
      </c>
      <c r="O472" s="1034" t="str">
        <f t="shared" si="1285"/>
        <v>OK</v>
      </c>
      <c r="P472" s="1034" t="str">
        <f t="shared" si="1285"/>
        <v>OK</v>
      </c>
      <c r="Q472" s="1034" t="str">
        <f t="shared" si="1285"/>
        <v>OK</v>
      </c>
      <c r="R472" s="1034" t="str">
        <f t="shared" si="1285"/>
        <v>OK</v>
      </c>
      <c r="S472" s="1034" t="str">
        <f t="shared" si="1285"/>
        <v>OK</v>
      </c>
      <c r="T472" s="1034" t="str">
        <f t="shared" si="1285"/>
        <v>OK</v>
      </c>
      <c r="U472" s="1034" t="str">
        <f t="shared" si="1285"/>
        <v>OK</v>
      </c>
      <c r="V472" s="1034" t="str">
        <f t="shared" si="1285"/>
        <v>OK</v>
      </c>
      <c r="W472" s="1034" t="str">
        <f t="shared" si="1285"/>
        <v>OK</v>
      </c>
      <c r="X472" s="1034" t="str">
        <f t="shared" si="1285"/>
        <v>OK</v>
      </c>
      <c r="Y472" s="1034" t="str">
        <f t="shared" si="1285"/>
        <v>OK</v>
      </c>
      <c r="Z472" s="1034" t="str">
        <f t="shared" si="1285"/>
        <v>OK</v>
      </c>
      <c r="AA472" s="1034" t="str">
        <f t="shared" si="1285"/>
        <v>OK</v>
      </c>
      <c r="AB472" s="1034" t="str">
        <f t="shared" si="1285"/>
        <v>OK</v>
      </c>
      <c r="AC472" s="1034" t="str">
        <f t="shared" si="1285"/>
        <v>OK</v>
      </c>
      <c r="AD472" s="1034" t="str">
        <f t="shared" si="1285"/>
        <v>OK</v>
      </c>
      <c r="AE472" s="1034" t="str">
        <f t="shared" si="1285"/>
        <v>OK</v>
      </c>
      <c r="AF472" s="1034" t="str">
        <f t="shared" si="1285"/>
        <v>OK</v>
      </c>
      <c r="AG472" s="280"/>
      <c r="AH472" s="280"/>
      <c r="AI472" s="280"/>
      <c r="AJ472" s="280"/>
      <c r="AK472" s="280"/>
      <c r="AL472" s="280"/>
      <c r="AM472" s="280"/>
      <c r="AN472" s="280"/>
      <c r="AO472" s="280"/>
      <c r="AP472" s="280"/>
      <c r="AQ472" s="280"/>
      <c r="AR472" s="280"/>
      <c r="AS472" s="280"/>
      <c r="AT472" s="280"/>
      <c r="AU472" s="280"/>
      <c r="AV472" s="280"/>
      <c r="AW472" s="280"/>
      <c r="AX472" s="280"/>
      <c r="AY472" s="280"/>
      <c r="AZ472" s="280"/>
      <c r="BA472" s="280"/>
      <c r="BB472" s="280"/>
      <c r="BC472" s="280"/>
      <c r="BD472" s="280"/>
      <c r="BE472" s="280"/>
      <c r="BF472" s="280"/>
      <c r="BG472" s="280"/>
      <c r="BH472" s="280"/>
      <c r="BI472" s="280"/>
      <c r="BJ472" s="280"/>
      <c r="BK472" s="280"/>
      <c r="BL472" s="280"/>
      <c r="BM472" s="280"/>
      <c r="BN472" s="280"/>
      <c r="BO472" s="280"/>
      <c r="BP472" s="652"/>
      <c r="BQ472" s="1033"/>
      <c r="BR472" s="1033"/>
      <c r="BS472" s="280" t="str">
        <f>IF(ROUND(BS470,1)=1,"OK",BS470)</f>
        <v>OK</v>
      </c>
      <c r="BT472" s="14" t="str">
        <f>IF(ROUND(BT470,1)=1,"OK",BT470)</f>
        <v>OK</v>
      </c>
      <c r="BU472" s="14" t="str">
        <f>IF(ROUND(BU470,1)=1,"OK",BU470)</f>
        <v>OK</v>
      </c>
      <c r="BV472" s="14" t="str">
        <f>IF(ROUND(BV470,1)=1,"OK",BV470)</f>
        <v>OK</v>
      </c>
      <c r="BW472" s="14" t="str">
        <f>IF(ROUND(BW470,1)=1,"OK",BW470)</f>
        <v>OK</v>
      </c>
      <c r="BX472" s="14"/>
      <c r="BY472" s="14"/>
      <c r="BZ472" s="14"/>
      <c r="CA472" s="14"/>
      <c r="CB472" s="14"/>
      <c r="CC472" s="14"/>
      <c r="CD472" s="14"/>
      <c r="CE472" s="14"/>
      <c r="CF472" s="14"/>
      <c r="CG472" s="14"/>
      <c r="CH472" s="14"/>
      <c r="CI472" s="221"/>
      <c r="CJ472"/>
    </row>
    <row r="473" spans="2:88" s="8" customFormat="1" ht="14.25" hidden="1" customHeight="1" outlineLevel="1">
      <c r="B473" s="1030"/>
      <c r="C473" s="268"/>
      <c r="D473" s="1031"/>
      <c r="E473" s="1031"/>
      <c r="F473" s="1031"/>
      <c r="G473" s="1031"/>
      <c r="H473" s="1031"/>
      <c r="I473" s="1031"/>
      <c r="J473" s="1031"/>
      <c r="K473" s="1031"/>
      <c r="L473" s="1034"/>
      <c r="M473" s="1034"/>
      <c r="N473" s="1034"/>
      <c r="O473" s="1034"/>
      <c r="P473" s="1034"/>
      <c r="Q473" s="1034"/>
      <c r="R473" s="1034"/>
      <c r="S473" s="1034"/>
      <c r="T473" s="1034"/>
      <c r="U473" s="1034"/>
      <c r="V473" s="1034"/>
      <c r="W473" s="1034"/>
      <c r="X473" s="1034"/>
      <c r="Y473" s="1034"/>
      <c r="Z473" s="1034"/>
      <c r="AA473" s="1034"/>
      <c r="AB473" s="1034"/>
      <c r="AC473" s="1034"/>
      <c r="AD473" s="1034"/>
      <c r="AE473" s="1034"/>
      <c r="AF473" s="1034"/>
      <c r="AG473" s="280"/>
      <c r="AH473" s="280"/>
      <c r="AI473" s="280"/>
      <c r="AJ473" s="280"/>
      <c r="AK473" s="280"/>
      <c r="AL473" s="280"/>
      <c r="AM473" s="280"/>
      <c r="AN473" s="280"/>
      <c r="AO473" s="280"/>
      <c r="AP473" s="280"/>
      <c r="AQ473" s="280"/>
      <c r="AR473" s="280"/>
      <c r="AS473" s="280"/>
      <c r="AT473" s="280"/>
      <c r="AU473" s="280"/>
      <c r="AV473" s="280"/>
      <c r="AW473" s="280"/>
      <c r="AX473" s="280"/>
      <c r="AY473" s="280"/>
      <c r="AZ473" s="280"/>
      <c r="BA473" s="280"/>
      <c r="BB473" s="280"/>
      <c r="BC473" s="280"/>
      <c r="BD473" s="280"/>
      <c r="BE473" s="280"/>
      <c r="BF473" s="280"/>
      <c r="BG473" s="280"/>
      <c r="BH473" s="280"/>
      <c r="BI473" s="280"/>
      <c r="BJ473" s="280"/>
      <c r="BK473" s="280"/>
      <c r="BL473" s="280"/>
      <c r="BM473" s="280"/>
      <c r="BN473" s="280"/>
      <c r="BO473" s="280"/>
      <c r="BP473" s="652"/>
      <c r="BQ473" s="1033"/>
      <c r="BR473" s="1033"/>
      <c r="BS473" s="280"/>
      <c r="BT473" s="14"/>
      <c r="BU473" s="14"/>
      <c r="BV473" s="14"/>
      <c r="BW473" s="14"/>
      <c r="BX473" s="14"/>
      <c r="BY473" s="14"/>
      <c r="BZ473" s="14"/>
      <c r="CA473" s="14"/>
      <c r="CB473" s="14"/>
      <c r="CC473" s="14"/>
      <c r="CD473" s="14"/>
      <c r="CE473" s="14"/>
      <c r="CF473" s="14"/>
      <c r="CG473" s="14"/>
      <c r="CH473" s="14"/>
      <c r="CI473" s="221"/>
      <c r="CJ473"/>
    </row>
    <row r="474" spans="2:88" s="8" customFormat="1" ht="14.25" hidden="1" customHeight="1" outlineLevel="1">
      <c r="B474" s="1010" t="s">
        <v>23</v>
      </c>
      <c r="C474" s="268"/>
      <c r="D474" s="1031"/>
      <c r="E474" s="1031"/>
      <c r="F474" s="1031"/>
      <c r="G474" s="1031"/>
      <c r="H474" s="1031"/>
      <c r="I474" s="1031"/>
      <c r="J474" s="1031"/>
      <c r="K474" s="1031"/>
      <c r="L474" s="1034"/>
      <c r="M474" s="1034"/>
      <c r="N474" s="1034"/>
      <c r="O474" s="1034"/>
      <c r="P474" s="1034"/>
      <c r="Q474" s="1034"/>
      <c r="R474" s="1034"/>
      <c r="S474" s="1034"/>
      <c r="T474" s="1034"/>
      <c r="U474" s="1034"/>
      <c r="V474" s="1034"/>
      <c r="W474" s="1034"/>
      <c r="X474" s="1034"/>
      <c r="Y474" s="1034"/>
      <c r="Z474" s="1034"/>
      <c r="AA474" s="1034"/>
      <c r="AB474" s="1034"/>
      <c r="AC474" s="1034"/>
      <c r="AD474" s="1034"/>
      <c r="AE474" s="1034"/>
      <c r="AF474" s="1034"/>
      <c r="AG474" s="280"/>
      <c r="AH474" s="280"/>
      <c r="AI474" s="280"/>
      <c r="AJ474" s="280"/>
      <c r="AK474" s="280"/>
      <c r="AL474" s="280"/>
      <c r="AM474" s="280"/>
      <c r="AN474" s="280"/>
      <c r="AO474" s="280"/>
      <c r="AP474" s="280"/>
      <c r="AQ474" s="280"/>
      <c r="AR474" s="280"/>
      <c r="AS474" s="280"/>
      <c r="AT474" s="280"/>
      <c r="AU474" s="280"/>
      <c r="AV474" s="280"/>
      <c r="AW474" s="280"/>
      <c r="AX474" s="280"/>
      <c r="AY474" s="280"/>
      <c r="AZ474" s="280"/>
      <c r="BA474" s="280"/>
      <c r="BB474" s="280"/>
      <c r="BC474" s="280"/>
      <c r="BD474" s="280"/>
      <c r="BE474" s="280"/>
      <c r="BF474" s="280"/>
      <c r="BG474" s="280"/>
      <c r="BH474" s="280"/>
      <c r="BI474" s="280"/>
      <c r="BJ474" s="280"/>
      <c r="BK474" s="280"/>
      <c r="BL474" s="280"/>
      <c r="BM474" s="280"/>
      <c r="BN474" s="280"/>
      <c r="BO474" s="280"/>
      <c r="BP474" s="652"/>
      <c r="BQ474" s="1033"/>
      <c r="BR474" s="1033"/>
      <c r="BS474" s="280"/>
      <c r="BT474" s="14"/>
      <c r="BU474" s="14"/>
      <c r="BV474" s="14"/>
      <c r="BW474" s="14"/>
      <c r="BX474" s="14"/>
      <c r="BY474" s="14"/>
      <c r="BZ474" s="14"/>
      <c r="CA474" s="14"/>
      <c r="CB474" s="14"/>
      <c r="CC474" s="14"/>
      <c r="CD474" s="14"/>
      <c r="CE474" s="14"/>
      <c r="CF474" s="14"/>
      <c r="CG474" s="14"/>
      <c r="CH474" s="14"/>
      <c r="CI474" s="221"/>
      <c r="CJ474"/>
    </row>
    <row r="475" spans="2:88" s="8" customFormat="1" ht="14.25" hidden="1" customHeight="1" outlineLevel="1">
      <c r="B475" s="989" t="s">
        <v>524</v>
      </c>
      <c r="C475" s="268"/>
      <c r="D475" s="1031"/>
      <c r="E475" s="1031"/>
      <c r="F475" s="1031"/>
      <c r="G475" s="1031"/>
      <c r="H475" s="1031"/>
      <c r="I475" s="1031"/>
      <c r="J475" s="1031"/>
      <c r="K475" s="1031"/>
      <c r="L475" s="1034"/>
      <c r="M475" s="1034"/>
      <c r="N475" s="1034"/>
      <c r="O475" s="1034"/>
      <c r="P475" s="1034"/>
      <c r="Q475" s="1034"/>
      <c r="R475" s="1034"/>
      <c r="S475" s="1034"/>
      <c r="T475" s="1034"/>
      <c r="U475" s="1034"/>
      <c r="V475" s="1034"/>
      <c r="W475" s="1034"/>
      <c r="X475" s="1034"/>
      <c r="Y475" s="1034"/>
      <c r="Z475" s="1034"/>
      <c r="AA475" s="1034"/>
      <c r="AB475" s="1034"/>
      <c r="AC475" s="1034"/>
      <c r="AD475" s="1034"/>
      <c r="AE475" s="1034"/>
      <c r="AF475" s="1034"/>
      <c r="AG475" s="280"/>
      <c r="AH475" s="280"/>
      <c r="AI475" s="14"/>
      <c r="AJ475" s="280"/>
      <c r="AK475" s="280"/>
      <c r="AL475" s="280"/>
      <c r="AM475" s="280"/>
      <c r="AN475" s="280"/>
      <c r="AO475" s="280"/>
      <c r="AP475" s="280"/>
      <c r="AQ475" s="280"/>
      <c r="AR475" s="280"/>
      <c r="AS475" s="280"/>
      <c r="AT475" s="280"/>
      <c r="AU475" s="280"/>
      <c r="AV475" s="280"/>
      <c r="AW475" s="280"/>
      <c r="AX475" s="280"/>
      <c r="AY475" s="280"/>
      <c r="AZ475" s="280"/>
      <c r="BA475" s="280"/>
      <c r="BB475" s="280"/>
      <c r="BC475" s="280"/>
      <c r="BD475" s="280"/>
      <c r="BE475" s="280"/>
      <c r="BF475" s="280"/>
      <c r="BG475" s="280"/>
      <c r="BH475" s="280"/>
      <c r="BI475" s="280"/>
      <c r="BJ475" s="280"/>
      <c r="BK475" s="280"/>
      <c r="BL475" s="280"/>
      <c r="BM475" s="280"/>
      <c r="BN475" s="280"/>
      <c r="BO475" s="280"/>
      <c r="BP475" s="652"/>
      <c r="BQ475" s="1033"/>
      <c r="BR475" s="1033"/>
      <c r="BS475" s="280"/>
      <c r="BT475" s="14"/>
      <c r="BU475" s="14"/>
      <c r="BV475" s="14"/>
      <c r="BW475" s="14"/>
      <c r="BX475" s="14">
        <v>0.31</v>
      </c>
      <c r="BY475" s="14"/>
      <c r="BZ475" s="14"/>
      <c r="CA475" s="14"/>
      <c r="CB475" s="14"/>
      <c r="CC475" s="14"/>
      <c r="CD475" s="14"/>
      <c r="CE475" s="14"/>
      <c r="CF475" s="14"/>
      <c r="CG475" s="14"/>
      <c r="CH475" s="14"/>
      <c r="CI475" s="221"/>
      <c r="CJ475"/>
    </row>
    <row r="476" spans="2:88" s="8" customFormat="1" ht="14.25" hidden="1" customHeight="1" outlineLevel="1">
      <c r="B476" s="1046" t="s">
        <v>465</v>
      </c>
      <c r="C476" s="268"/>
      <c r="D476" s="1031"/>
      <c r="E476" s="1031"/>
      <c r="F476" s="1031"/>
      <c r="G476" s="1031"/>
      <c r="H476" s="1031"/>
      <c r="I476" s="1031"/>
      <c r="J476" s="1031"/>
      <c r="K476" s="1031"/>
      <c r="L476" s="1034"/>
      <c r="M476" s="1034"/>
      <c r="N476" s="1034"/>
      <c r="O476" s="1034"/>
      <c r="P476" s="1034"/>
      <c r="Q476" s="1034"/>
      <c r="R476" s="1034"/>
      <c r="S476" s="1034"/>
      <c r="T476" s="1034"/>
      <c r="U476" s="1034"/>
      <c r="V476" s="1034"/>
      <c r="W476" s="1034"/>
      <c r="X476" s="1034"/>
      <c r="Y476" s="1034"/>
      <c r="Z476" s="1034"/>
      <c r="AA476" s="1034"/>
      <c r="AB476" s="1034"/>
      <c r="AC476" s="1034"/>
      <c r="AD476" s="1034"/>
      <c r="AE476" s="1034"/>
      <c r="AF476" s="1034"/>
      <c r="AG476" s="280"/>
      <c r="AH476" s="280"/>
      <c r="AI476" s="14"/>
      <c r="AJ476" s="280"/>
      <c r="AK476" s="280"/>
      <c r="AL476" s="280"/>
      <c r="AM476" s="280"/>
      <c r="AN476" s="280"/>
      <c r="AO476" s="280"/>
      <c r="AP476" s="280"/>
      <c r="AQ476" s="280"/>
      <c r="AR476" s="280"/>
      <c r="AS476" s="280"/>
      <c r="AT476" s="280"/>
      <c r="AU476" s="280"/>
      <c r="AV476" s="280"/>
      <c r="AW476" s="280"/>
      <c r="AX476" s="280"/>
      <c r="AY476" s="280"/>
      <c r="AZ476" s="280"/>
      <c r="BA476" s="280"/>
      <c r="BB476" s="280"/>
      <c r="BC476" s="280"/>
      <c r="BD476" s="280"/>
      <c r="BE476" s="280"/>
      <c r="BF476" s="280"/>
      <c r="BG476" s="280"/>
      <c r="BH476" s="280"/>
      <c r="BI476" s="280"/>
      <c r="BJ476" s="280"/>
      <c r="BK476" s="280"/>
      <c r="BL476" s="280"/>
      <c r="BM476" s="280"/>
      <c r="BN476" s="280"/>
      <c r="BO476" s="280"/>
      <c r="BP476" s="652"/>
      <c r="BQ476" s="1033"/>
      <c r="BR476" s="1033"/>
      <c r="BS476" s="280"/>
      <c r="BT476" s="14"/>
      <c r="BU476" s="14"/>
      <c r="BV476" s="14"/>
      <c r="BW476" s="14"/>
      <c r="BX476" s="14">
        <v>0.15</v>
      </c>
      <c r="BY476" s="14"/>
      <c r="BZ476" s="14"/>
      <c r="CA476" s="14"/>
      <c r="CB476" s="14"/>
      <c r="CC476" s="14"/>
      <c r="CD476" s="14"/>
      <c r="CE476" s="14"/>
      <c r="CF476" s="14"/>
      <c r="CG476" s="14"/>
      <c r="CH476" s="14"/>
      <c r="CI476" s="221"/>
      <c r="CJ476"/>
    </row>
    <row r="477" spans="2:88" s="8" customFormat="1" ht="14.25" hidden="1" customHeight="1" outlineLevel="1">
      <c r="B477" s="1046" t="s">
        <v>287</v>
      </c>
      <c r="C477" s="268"/>
      <c r="D477" s="1031"/>
      <c r="E477" s="1031"/>
      <c r="F477" s="1031"/>
      <c r="G477" s="1031"/>
      <c r="H477" s="1031"/>
      <c r="I477" s="1031"/>
      <c r="J477" s="1031"/>
      <c r="K477" s="1031"/>
      <c r="L477" s="1034"/>
      <c r="M477" s="1034"/>
      <c r="N477" s="1034"/>
      <c r="O477" s="1034"/>
      <c r="P477" s="1034"/>
      <c r="Q477" s="1034"/>
      <c r="R477" s="1034"/>
      <c r="S477" s="1034"/>
      <c r="T477" s="1034"/>
      <c r="U477" s="1034"/>
      <c r="V477" s="1034"/>
      <c r="W477" s="1034"/>
      <c r="X477" s="1034"/>
      <c r="Y477" s="1034"/>
      <c r="Z477" s="1034"/>
      <c r="AA477" s="1034"/>
      <c r="AB477" s="1034"/>
      <c r="AC477" s="1034"/>
      <c r="AD477" s="1034"/>
      <c r="AE477" s="1034"/>
      <c r="AF477" s="1034"/>
      <c r="AG477" s="280"/>
      <c r="AH477" s="280"/>
      <c r="AI477" s="14"/>
      <c r="AJ477" s="280"/>
      <c r="AK477" s="280"/>
      <c r="AL477" s="280"/>
      <c r="AM477" s="280"/>
      <c r="AN477" s="280"/>
      <c r="AO477" s="280"/>
      <c r="AP477" s="280"/>
      <c r="AQ477" s="280"/>
      <c r="AR477" s="280"/>
      <c r="AS477" s="280"/>
      <c r="AT477" s="280"/>
      <c r="AU477" s="280"/>
      <c r="AV477" s="280"/>
      <c r="AW477" s="280"/>
      <c r="AX477" s="280"/>
      <c r="AY477" s="280"/>
      <c r="AZ477" s="280"/>
      <c r="BA477" s="280"/>
      <c r="BB477" s="280"/>
      <c r="BC477" s="280"/>
      <c r="BD477" s="280"/>
      <c r="BE477" s="280"/>
      <c r="BF477" s="280"/>
      <c r="BG477" s="280"/>
      <c r="BH477" s="280"/>
      <c r="BI477" s="280"/>
      <c r="BJ477" s="280"/>
      <c r="BK477" s="280"/>
      <c r="BL477" s="280"/>
      <c r="BM477" s="280"/>
      <c r="BN477" s="280"/>
      <c r="BO477" s="280"/>
      <c r="BP477" s="652"/>
      <c r="BQ477" s="1033"/>
      <c r="BR477" s="1033"/>
      <c r="BS477" s="280"/>
      <c r="BT477" s="14"/>
      <c r="BU477" s="14"/>
      <c r="BV477" s="14"/>
      <c r="BW477" s="14"/>
      <c r="BX477" s="14">
        <v>0.16</v>
      </c>
      <c r="BY477" s="14"/>
      <c r="BZ477" s="14"/>
      <c r="CA477" s="14"/>
      <c r="CB477" s="14"/>
      <c r="CC477" s="14"/>
      <c r="CD477" s="14"/>
      <c r="CE477" s="14"/>
      <c r="CF477" s="14"/>
      <c r="CG477" s="14"/>
      <c r="CH477" s="14"/>
      <c r="CI477" s="221"/>
      <c r="CJ477"/>
    </row>
    <row r="478" spans="2:88" s="8" customFormat="1" ht="14.25" hidden="1" customHeight="1" outlineLevel="1">
      <c r="B478" s="14" t="s">
        <v>525</v>
      </c>
      <c r="C478" s="268"/>
      <c r="D478" s="1031"/>
      <c r="E478" s="1031"/>
      <c r="F478" s="1031"/>
      <c r="G478" s="1031"/>
      <c r="H478" s="1031"/>
      <c r="I478" s="1031"/>
      <c r="J478" s="1031"/>
      <c r="K478" s="1031"/>
      <c r="L478" s="1034"/>
      <c r="M478" s="1034"/>
      <c r="N478" s="1034"/>
      <c r="O478" s="1034"/>
      <c r="P478" s="1034"/>
      <c r="Q478" s="1034"/>
      <c r="R478" s="1034"/>
      <c r="S478" s="1034"/>
      <c r="T478" s="1034"/>
      <c r="U478" s="1034"/>
      <c r="V478" s="1034"/>
      <c r="W478" s="1034"/>
      <c r="X478" s="1034"/>
      <c r="Y478" s="1034"/>
      <c r="Z478" s="1034"/>
      <c r="AA478" s="1034"/>
      <c r="AB478" s="1034"/>
      <c r="AC478" s="1034"/>
      <c r="AD478" s="1034"/>
      <c r="AE478" s="1034"/>
      <c r="AF478" s="1034"/>
      <c r="AG478" s="280"/>
      <c r="AH478" s="280"/>
      <c r="AI478" s="14"/>
      <c r="AJ478" s="280"/>
      <c r="AK478" s="280"/>
      <c r="AL478" s="280"/>
      <c r="AM478" s="280"/>
      <c r="AN478" s="280"/>
      <c r="AO478" s="280"/>
      <c r="AP478" s="280"/>
      <c r="AQ478" s="280"/>
      <c r="AR478" s="280"/>
      <c r="AS478" s="280"/>
      <c r="AT478" s="280"/>
      <c r="AU478" s="280"/>
      <c r="AV478" s="280"/>
      <c r="AW478" s="280"/>
      <c r="AX478" s="280"/>
      <c r="AY478" s="280"/>
      <c r="AZ478" s="280"/>
      <c r="BA478" s="280"/>
      <c r="BB478" s="280"/>
      <c r="BC478" s="280"/>
      <c r="BD478" s="280"/>
      <c r="BE478" s="280"/>
      <c r="BF478" s="280"/>
      <c r="BG478" s="280"/>
      <c r="BH478" s="280"/>
      <c r="BI478" s="280"/>
      <c r="BJ478" s="280"/>
      <c r="BK478" s="280"/>
      <c r="BL478" s="280"/>
      <c r="BM478" s="280"/>
      <c r="BN478" s="280"/>
      <c r="BO478" s="280"/>
      <c r="BP478" s="652"/>
      <c r="BQ478" s="1033"/>
      <c r="BR478" s="1033"/>
      <c r="BS478" s="280"/>
      <c r="BT478" s="14"/>
      <c r="BU478" s="14"/>
      <c r="BV478" s="14"/>
      <c r="BW478" s="14"/>
      <c r="BX478" s="14">
        <v>0.25</v>
      </c>
      <c r="BY478" s="14"/>
      <c r="BZ478" s="14"/>
      <c r="CA478" s="14"/>
      <c r="CB478" s="14"/>
      <c r="CC478" s="14"/>
      <c r="CD478" s="14"/>
      <c r="CE478" s="14"/>
      <c r="CF478" s="14"/>
      <c r="CG478" s="14"/>
      <c r="CH478" s="14"/>
      <c r="CI478" s="221"/>
      <c r="CJ478"/>
    </row>
    <row r="479" spans="2:88" s="8" customFormat="1" ht="14.25" hidden="1" customHeight="1" outlineLevel="1">
      <c r="B479" s="739" t="s">
        <v>288</v>
      </c>
      <c r="C479" s="268"/>
      <c r="D479" s="1031"/>
      <c r="E479" s="1031"/>
      <c r="F479" s="1031"/>
      <c r="G479" s="1031"/>
      <c r="H479" s="1031"/>
      <c r="I479" s="1031"/>
      <c r="J479" s="1031"/>
      <c r="K479" s="1031"/>
      <c r="L479" s="1034"/>
      <c r="M479" s="1034"/>
      <c r="N479" s="1034"/>
      <c r="O479" s="1034"/>
      <c r="P479" s="1034"/>
      <c r="Q479" s="1034"/>
      <c r="R479" s="1034"/>
      <c r="S479" s="1034"/>
      <c r="T479" s="1034"/>
      <c r="U479" s="1034"/>
      <c r="V479" s="1034"/>
      <c r="W479" s="1034"/>
      <c r="X479" s="1034"/>
      <c r="Y479" s="1034"/>
      <c r="Z479" s="1034"/>
      <c r="AA479" s="1034"/>
      <c r="AB479" s="1034"/>
      <c r="AC479" s="1034"/>
      <c r="AD479" s="1034"/>
      <c r="AE479" s="1034"/>
      <c r="AF479" s="1034"/>
      <c r="AG479" s="280"/>
      <c r="AH479" s="280"/>
      <c r="AI479" s="14"/>
      <c r="AJ479" s="280"/>
      <c r="AK479" s="280"/>
      <c r="AL479" s="280"/>
      <c r="AM479" s="280"/>
      <c r="AN479" s="280"/>
      <c r="AO479" s="280"/>
      <c r="AP479" s="280"/>
      <c r="AQ479" s="280"/>
      <c r="AR479" s="280"/>
      <c r="AS479" s="280"/>
      <c r="AT479" s="280"/>
      <c r="AU479" s="280"/>
      <c r="AV479" s="280"/>
      <c r="AW479" s="280"/>
      <c r="AX479" s="280"/>
      <c r="AY479" s="280"/>
      <c r="AZ479" s="280"/>
      <c r="BA479" s="280"/>
      <c r="BB479" s="280"/>
      <c r="BC479" s="280"/>
      <c r="BD479" s="280"/>
      <c r="BE479" s="280"/>
      <c r="BF479" s="280"/>
      <c r="BG479" s="280"/>
      <c r="BH479" s="280"/>
      <c r="BI479" s="280"/>
      <c r="BJ479" s="280"/>
      <c r="BK479" s="280"/>
      <c r="BL479" s="280"/>
      <c r="BM479" s="280"/>
      <c r="BN479" s="280"/>
      <c r="BO479" s="280"/>
      <c r="BP479" s="652"/>
      <c r="BQ479" s="1033"/>
      <c r="BR479" s="1033"/>
      <c r="BS479" s="280"/>
      <c r="BT479" s="14"/>
      <c r="BU479" s="14"/>
      <c r="BV479" s="14"/>
      <c r="BW479" s="14"/>
      <c r="BX479" s="14">
        <v>0.12</v>
      </c>
      <c r="BY479" s="14"/>
      <c r="BZ479" s="14"/>
      <c r="CA479" s="14"/>
      <c r="CB479" s="14"/>
      <c r="CC479" s="14"/>
      <c r="CD479" s="14"/>
      <c r="CE479" s="14"/>
      <c r="CF479" s="14"/>
      <c r="CG479" s="14"/>
      <c r="CH479" s="14"/>
      <c r="CI479" s="221"/>
      <c r="CJ479"/>
    </row>
    <row r="480" spans="2:88" s="8" customFormat="1" ht="14.25" hidden="1" customHeight="1" outlineLevel="1">
      <c r="B480" s="739" t="s">
        <v>45</v>
      </c>
      <c r="C480" s="268"/>
      <c r="D480" s="1031"/>
      <c r="E480" s="1031"/>
      <c r="F480" s="1031"/>
      <c r="G480" s="1031"/>
      <c r="H480" s="1031"/>
      <c r="I480" s="1031"/>
      <c r="J480" s="1031"/>
      <c r="K480" s="1031"/>
      <c r="L480" s="1034"/>
      <c r="M480" s="1034"/>
      <c r="N480" s="1034"/>
      <c r="O480" s="1034"/>
      <c r="P480" s="1034"/>
      <c r="Q480" s="1034"/>
      <c r="R480" s="1034"/>
      <c r="S480" s="1034"/>
      <c r="T480" s="1034"/>
      <c r="U480" s="1034"/>
      <c r="V480" s="1034"/>
      <c r="W480" s="1034"/>
      <c r="X480" s="1034"/>
      <c r="Y480" s="1034"/>
      <c r="Z480" s="1034"/>
      <c r="AA480" s="1034"/>
      <c r="AB480" s="1034"/>
      <c r="AC480" s="1034"/>
      <c r="AD480" s="1034"/>
      <c r="AE480" s="1034"/>
      <c r="AF480" s="1034"/>
      <c r="AG480" s="280"/>
      <c r="AH480" s="280"/>
      <c r="AI480" s="14"/>
      <c r="AJ480" s="280"/>
      <c r="AK480" s="280"/>
      <c r="AL480" s="280"/>
      <c r="AM480" s="280"/>
      <c r="AN480" s="280"/>
      <c r="AO480" s="280"/>
      <c r="AP480" s="280"/>
      <c r="AQ480" s="280"/>
      <c r="AR480" s="280"/>
      <c r="AS480" s="280"/>
      <c r="AT480" s="280"/>
      <c r="AU480" s="280"/>
      <c r="AV480" s="280"/>
      <c r="AW480" s="280"/>
      <c r="AX480" s="280"/>
      <c r="AY480" s="280"/>
      <c r="AZ480" s="280"/>
      <c r="BA480" s="280"/>
      <c r="BB480" s="280"/>
      <c r="BC480" s="280"/>
      <c r="BD480" s="280"/>
      <c r="BE480" s="280"/>
      <c r="BF480" s="280"/>
      <c r="BG480" s="280"/>
      <c r="BH480" s="280"/>
      <c r="BI480" s="280"/>
      <c r="BJ480" s="280"/>
      <c r="BK480" s="280"/>
      <c r="BL480" s="280"/>
      <c r="BM480" s="280"/>
      <c r="BN480" s="280"/>
      <c r="BO480" s="280"/>
      <c r="BP480" s="652"/>
      <c r="BQ480" s="1033"/>
      <c r="BR480" s="1033"/>
      <c r="BS480" s="280"/>
      <c r="BT480" s="14"/>
      <c r="BU480" s="14"/>
      <c r="BV480" s="14"/>
      <c r="BW480" s="14"/>
      <c r="BX480" s="14">
        <v>0.05</v>
      </c>
      <c r="BY480" s="14"/>
      <c r="BZ480" s="14"/>
      <c r="CA480" s="14"/>
      <c r="CB480" s="14"/>
      <c r="CC480" s="14"/>
      <c r="CD480" s="14"/>
      <c r="CE480" s="14"/>
      <c r="CF480" s="14"/>
      <c r="CG480" s="14"/>
      <c r="CH480" s="14"/>
      <c r="CI480" s="221"/>
      <c r="CJ480"/>
    </row>
    <row r="481" spans="2:88" s="8" customFormat="1" ht="14.25" hidden="1" customHeight="1" outlineLevel="1">
      <c r="B481" s="739" t="s">
        <v>44</v>
      </c>
      <c r="C481" s="268"/>
      <c r="D481" s="1031"/>
      <c r="E481" s="1031"/>
      <c r="F481" s="1031"/>
      <c r="G481" s="1031"/>
      <c r="H481" s="1031"/>
      <c r="I481" s="1031"/>
      <c r="J481" s="1031"/>
      <c r="K481" s="1031"/>
      <c r="L481" s="1034"/>
      <c r="M481" s="1034"/>
      <c r="N481" s="1034"/>
      <c r="O481" s="1034"/>
      <c r="P481" s="1034"/>
      <c r="Q481" s="1034"/>
      <c r="R481" s="1034"/>
      <c r="S481" s="1034"/>
      <c r="T481" s="1034"/>
      <c r="U481" s="1034"/>
      <c r="V481" s="1034"/>
      <c r="W481" s="1034"/>
      <c r="X481" s="1034"/>
      <c r="Y481" s="1034"/>
      <c r="Z481" s="1034"/>
      <c r="AA481" s="1034"/>
      <c r="AB481" s="1034"/>
      <c r="AC481" s="1034"/>
      <c r="AD481" s="1034"/>
      <c r="AE481" s="1034"/>
      <c r="AF481" s="1034"/>
      <c r="AG481" s="280"/>
      <c r="AH481" s="280"/>
      <c r="AI481" s="14"/>
      <c r="AJ481" s="280"/>
      <c r="AK481" s="280"/>
      <c r="AL481" s="280"/>
      <c r="AM481" s="280"/>
      <c r="AN481" s="280"/>
      <c r="AO481" s="280"/>
      <c r="AP481" s="280"/>
      <c r="AQ481" s="280"/>
      <c r="AR481" s="280"/>
      <c r="AS481" s="280"/>
      <c r="AT481" s="280"/>
      <c r="AU481" s="280"/>
      <c r="AV481" s="280"/>
      <c r="AW481" s="280"/>
      <c r="AX481" s="280"/>
      <c r="AY481" s="280"/>
      <c r="AZ481" s="280"/>
      <c r="BA481" s="280"/>
      <c r="BB481" s="280"/>
      <c r="BC481" s="280"/>
      <c r="BD481" s="280"/>
      <c r="BE481" s="280"/>
      <c r="BF481" s="280"/>
      <c r="BG481" s="280"/>
      <c r="BH481" s="280"/>
      <c r="BI481" s="280"/>
      <c r="BJ481" s="280"/>
      <c r="BK481" s="280"/>
      <c r="BL481" s="280"/>
      <c r="BM481" s="280"/>
      <c r="BN481" s="280"/>
      <c r="BO481" s="280"/>
      <c r="BP481" s="652"/>
      <c r="BQ481" s="1033"/>
      <c r="BR481" s="1033"/>
      <c r="BS481" s="280"/>
      <c r="BT481" s="14"/>
      <c r="BU481" s="14"/>
      <c r="BV481" s="14"/>
      <c r="BW481" s="14"/>
      <c r="BX481" s="14">
        <v>0.01</v>
      </c>
      <c r="BY481" s="14"/>
      <c r="BZ481" s="14"/>
      <c r="CA481" s="14"/>
      <c r="CB481" s="14"/>
      <c r="CC481" s="14"/>
      <c r="CD481" s="14"/>
      <c r="CE481" s="14"/>
      <c r="CF481" s="14"/>
      <c r="CG481" s="14"/>
      <c r="CH481" s="14"/>
      <c r="CI481" s="221"/>
      <c r="CJ481"/>
    </row>
    <row r="482" spans="2:88" s="8" customFormat="1" ht="14.25" hidden="1" customHeight="1" outlineLevel="1">
      <c r="B482" s="739" t="s">
        <v>46</v>
      </c>
      <c r="C482" s="268"/>
      <c r="D482" s="1031"/>
      <c r="E482" s="1031"/>
      <c r="F482" s="1031"/>
      <c r="G482" s="1031"/>
      <c r="H482" s="1031"/>
      <c r="I482" s="1031"/>
      <c r="J482" s="1031"/>
      <c r="K482" s="1031"/>
      <c r="L482" s="1034"/>
      <c r="M482" s="1034"/>
      <c r="N482" s="1034"/>
      <c r="O482" s="1034"/>
      <c r="P482" s="1034"/>
      <c r="Q482" s="1034"/>
      <c r="R482" s="1034"/>
      <c r="S482" s="1034"/>
      <c r="T482" s="1034"/>
      <c r="U482" s="1034"/>
      <c r="V482" s="1034"/>
      <c r="W482" s="1034"/>
      <c r="X482" s="1034"/>
      <c r="Y482" s="1034"/>
      <c r="Z482" s="1034"/>
      <c r="AA482" s="1034"/>
      <c r="AB482" s="1034"/>
      <c r="AC482" s="1034"/>
      <c r="AD482" s="1034"/>
      <c r="AE482" s="1034"/>
      <c r="AF482" s="1034"/>
      <c r="AG482" s="280"/>
      <c r="AH482" s="280"/>
      <c r="AI482" s="14"/>
      <c r="AJ482" s="280"/>
      <c r="AK482" s="280"/>
      <c r="AL482" s="280"/>
      <c r="AM482" s="280"/>
      <c r="AN482" s="280"/>
      <c r="AO482" s="280"/>
      <c r="AP482" s="280"/>
      <c r="AQ482" s="280"/>
      <c r="AR482" s="280"/>
      <c r="AS482" s="280"/>
      <c r="AT482" s="280"/>
      <c r="AU482" s="280"/>
      <c r="AV482" s="280"/>
      <c r="AW482" s="280"/>
      <c r="AX482" s="280"/>
      <c r="AY482" s="280"/>
      <c r="AZ482" s="280"/>
      <c r="BA482" s="280"/>
      <c r="BB482" s="280"/>
      <c r="BC482" s="280"/>
      <c r="BD482" s="280"/>
      <c r="BE482" s="280"/>
      <c r="BF482" s="280"/>
      <c r="BG482" s="280"/>
      <c r="BH482" s="280"/>
      <c r="BI482" s="280"/>
      <c r="BJ482" s="280"/>
      <c r="BK482" s="280"/>
      <c r="BL482" s="280"/>
      <c r="BM482" s="280"/>
      <c r="BN482" s="280"/>
      <c r="BO482" s="280"/>
      <c r="BP482" s="652"/>
      <c r="BQ482" s="1033"/>
      <c r="BR482" s="1033"/>
      <c r="BS482" s="280"/>
      <c r="BT482" s="14"/>
      <c r="BU482" s="14"/>
      <c r="BV482" s="14"/>
      <c r="BW482" s="14"/>
      <c r="BX482" s="14">
        <v>0.05</v>
      </c>
      <c r="BY482" s="14"/>
      <c r="BZ482" s="14"/>
      <c r="CA482" s="14"/>
      <c r="CB482" s="14"/>
      <c r="CC482" s="14"/>
      <c r="CD482" s="14"/>
      <c r="CE482" s="14"/>
      <c r="CF482" s="14"/>
      <c r="CG482" s="14"/>
      <c r="CH482" s="14"/>
      <c r="CI482" s="221"/>
      <c r="CJ482"/>
    </row>
    <row r="483" spans="2:88" s="8" customFormat="1" ht="14.25" hidden="1" customHeight="1" outlineLevel="1">
      <c r="B483" s="739" t="s">
        <v>22</v>
      </c>
      <c r="C483" s="268"/>
      <c r="D483" s="1031"/>
      <c r="E483" s="1031"/>
      <c r="F483" s="1031"/>
      <c r="G483" s="1031"/>
      <c r="H483" s="1031"/>
      <c r="I483" s="1031"/>
      <c r="J483" s="1031"/>
      <c r="K483" s="1031"/>
      <c r="L483" s="1034"/>
      <c r="M483" s="1034"/>
      <c r="N483" s="1034"/>
      <c r="O483" s="1034"/>
      <c r="P483" s="1034"/>
      <c r="Q483" s="1034"/>
      <c r="R483" s="1034"/>
      <c r="S483" s="1034"/>
      <c r="T483" s="1034"/>
      <c r="U483" s="1034"/>
      <c r="V483" s="1034"/>
      <c r="W483" s="1034"/>
      <c r="X483" s="1034"/>
      <c r="Y483" s="1034"/>
      <c r="Z483" s="1034"/>
      <c r="AA483" s="1034"/>
      <c r="AB483" s="1034"/>
      <c r="AC483" s="1034"/>
      <c r="AD483" s="1034"/>
      <c r="AE483" s="1034"/>
      <c r="AF483" s="1034"/>
      <c r="AG483" s="280"/>
      <c r="AH483" s="280"/>
      <c r="AI483" s="14"/>
      <c r="AJ483" s="280"/>
      <c r="AK483" s="280"/>
      <c r="AL483" s="280"/>
      <c r="AM483" s="280"/>
      <c r="AN483" s="280"/>
      <c r="AO483" s="280"/>
      <c r="AP483" s="280"/>
      <c r="AQ483" s="280"/>
      <c r="AR483" s="280"/>
      <c r="AS483" s="280"/>
      <c r="AT483" s="280"/>
      <c r="AU483" s="280"/>
      <c r="AV483" s="280"/>
      <c r="AW483" s="280"/>
      <c r="AX483" s="280"/>
      <c r="AY483" s="280"/>
      <c r="AZ483" s="280"/>
      <c r="BA483" s="280"/>
      <c r="BB483" s="280"/>
      <c r="BC483" s="280"/>
      <c r="BD483" s="280"/>
      <c r="BE483" s="280"/>
      <c r="BF483" s="280"/>
      <c r="BG483" s="280"/>
      <c r="BH483" s="280"/>
      <c r="BI483" s="280"/>
      <c r="BJ483" s="280"/>
      <c r="BK483" s="280"/>
      <c r="BL483" s="280"/>
      <c r="BM483" s="280"/>
      <c r="BN483" s="280"/>
      <c r="BO483" s="280"/>
      <c r="BP483" s="652"/>
      <c r="BQ483" s="1033"/>
      <c r="BR483" s="1033"/>
      <c r="BS483" s="280"/>
      <c r="BT483" s="14"/>
      <c r="BU483" s="14"/>
      <c r="BV483" s="14"/>
      <c r="BW483" s="14"/>
      <c r="BX483" s="14">
        <v>0.02</v>
      </c>
      <c r="BY483" s="14"/>
      <c r="BZ483" s="14"/>
      <c r="CA483" s="14"/>
      <c r="CB483" s="14"/>
      <c r="CC483" s="14"/>
      <c r="CD483" s="14"/>
      <c r="CE483" s="14"/>
      <c r="CF483" s="14"/>
      <c r="CG483" s="14"/>
      <c r="CH483" s="14"/>
      <c r="CI483" s="221"/>
      <c r="CJ483"/>
    </row>
    <row r="484" spans="2:88" s="8" customFormat="1" ht="14.25" hidden="1" customHeight="1" outlineLevel="1">
      <c r="B484" s="989" t="s">
        <v>526</v>
      </c>
      <c r="C484" s="268"/>
      <c r="D484" s="1031"/>
      <c r="E484" s="1031"/>
      <c r="F484" s="1031"/>
      <c r="G484" s="1031"/>
      <c r="H484" s="1031"/>
      <c r="I484" s="1031"/>
      <c r="J484" s="1031"/>
      <c r="K484" s="1031"/>
      <c r="L484" s="1034"/>
      <c r="M484" s="1034"/>
      <c r="N484" s="1034"/>
      <c r="O484" s="1034"/>
      <c r="P484" s="1034"/>
      <c r="Q484" s="1034"/>
      <c r="R484" s="1034"/>
      <c r="S484" s="1034"/>
      <c r="T484" s="1034"/>
      <c r="U484" s="1034"/>
      <c r="V484" s="1034"/>
      <c r="W484" s="1034"/>
      <c r="X484" s="1034"/>
      <c r="Y484" s="1034"/>
      <c r="Z484" s="1034"/>
      <c r="AA484" s="1034"/>
      <c r="AB484" s="1034"/>
      <c r="AC484" s="1034"/>
      <c r="AD484" s="1034"/>
      <c r="AE484" s="1034"/>
      <c r="AF484" s="1034"/>
      <c r="AG484" s="280"/>
      <c r="AH484" s="280"/>
      <c r="AI484" s="14"/>
      <c r="AJ484" s="280"/>
      <c r="AK484" s="280"/>
      <c r="AL484" s="280"/>
      <c r="AM484" s="280"/>
      <c r="AN484" s="280"/>
      <c r="AO484" s="280"/>
      <c r="AP484" s="280"/>
      <c r="AQ484" s="280"/>
      <c r="AR484" s="280"/>
      <c r="AS484" s="280"/>
      <c r="AT484" s="280"/>
      <c r="AU484" s="280"/>
      <c r="AV484" s="280"/>
      <c r="AW484" s="280"/>
      <c r="AX484" s="280"/>
      <c r="AY484" s="280"/>
      <c r="AZ484" s="280"/>
      <c r="BA484" s="280"/>
      <c r="BB484" s="280"/>
      <c r="BC484" s="280"/>
      <c r="BD484" s="280"/>
      <c r="BE484" s="280"/>
      <c r="BF484" s="280"/>
      <c r="BG484" s="280"/>
      <c r="BH484" s="280"/>
      <c r="BI484" s="280"/>
      <c r="BJ484" s="280"/>
      <c r="BK484" s="280"/>
      <c r="BL484" s="280"/>
      <c r="BM484" s="280"/>
      <c r="BN484" s="280"/>
      <c r="BO484" s="280"/>
      <c r="BP484" s="652"/>
      <c r="BQ484" s="1033"/>
      <c r="BR484" s="1033"/>
      <c r="BS484" s="280"/>
      <c r="BT484" s="14"/>
      <c r="BU484" s="14"/>
      <c r="BV484" s="14"/>
      <c r="BW484" s="14"/>
      <c r="BX484" s="14">
        <v>0.31</v>
      </c>
      <c r="BY484" s="14"/>
      <c r="BZ484" s="14"/>
      <c r="CA484" s="14"/>
      <c r="CB484" s="14"/>
      <c r="CC484" s="14"/>
      <c r="CD484" s="14"/>
      <c r="CE484" s="14"/>
      <c r="CF484" s="14"/>
      <c r="CG484" s="14"/>
      <c r="CH484" s="14"/>
      <c r="CI484" s="221"/>
      <c r="CJ484"/>
    </row>
    <row r="485" spans="2:88" s="8" customFormat="1" ht="14.25" hidden="1" customHeight="1" outlineLevel="1">
      <c r="B485" s="1047" t="s">
        <v>527</v>
      </c>
      <c r="C485" s="268"/>
      <c r="D485" s="1031"/>
      <c r="E485" s="1031"/>
      <c r="F485" s="1031"/>
      <c r="G485" s="1031"/>
      <c r="H485" s="1031"/>
      <c r="I485" s="1031"/>
      <c r="J485" s="1031"/>
      <c r="K485" s="1031"/>
      <c r="L485" s="1034"/>
      <c r="M485" s="1034"/>
      <c r="N485" s="1034"/>
      <c r="O485" s="1034"/>
      <c r="P485" s="1034"/>
      <c r="Q485" s="1034"/>
      <c r="R485" s="1034"/>
      <c r="S485" s="1034"/>
      <c r="T485" s="1034"/>
      <c r="U485" s="1034"/>
      <c r="V485" s="1034"/>
      <c r="W485" s="1034"/>
      <c r="X485" s="1034"/>
      <c r="Y485" s="1034"/>
      <c r="Z485" s="1034"/>
      <c r="AA485" s="1034"/>
      <c r="AB485" s="1034"/>
      <c r="AC485" s="1034"/>
      <c r="AD485" s="1034"/>
      <c r="AE485" s="1034"/>
      <c r="AF485" s="1034"/>
      <c r="AG485" s="280"/>
      <c r="AH485" s="280"/>
      <c r="AI485" s="1048"/>
      <c r="AJ485" s="280"/>
      <c r="AK485" s="280"/>
      <c r="AL485" s="280"/>
      <c r="AM485" s="280"/>
      <c r="AN485" s="280"/>
      <c r="AO485" s="280"/>
      <c r="AP485" s="280"/>
      <c r="AQ485" s="280"/>
      <c r="AR485" s="280"/>
      <c r="AS485" s="280"/>
      <c r="AT485" s="280"/>
      <c r="AU485" s="280"/>
      <c r="AV485" s="280"/>
      <c r="AW485" s="280"/>
      <c r="AX485" s="280"/>
      <c r="AY485" s="280"/>
      <c r="AZ485" s="280"/>
      <c r="BA485" s="280"/>
      <c r="BB485" s="280"/>
      <c r="BC485" s="280"/>
      <c r="BD485" s="280"/>
      <c r="BE485" s="280"/>
      <c r="BF485" s="280"/>
      <c r="BG485" s="280"/>
      <c r="BH485" s="280"/>
      <c r="BI485" s="280"/>
      <c r="BJ485" s="280"/>
      <c r="BK485" s="280"/>
      <c r="BL485" s="280"/>
      <c r="BM485" s="280"/>
      <c r="BN485" s="280"/>
      <c r="BO485" s="280"/>
      <c r="BP485" s="652"/>
      <c r="BQ485" s="1033"/>
      <c r="BR485" s="1033"/>
      <c r="BS485" s="280"/>
      <c r="BT485" s="14"/>
      <c r="BU485" s="14"/>
      <c r="BV485" s="14"/>
      <c r="BW485" s="14"/>
      <c r="BX485" s="14">
        <v>0.11</v>
      </c>
      <c r="BY485" s="14"/>
      <c r="BZ485" s="14"/>
      <c r="CA485" s="14"/>
      <c r="CB485" s="14"/>
      <c r="CC485" s="14"/>
      <c r="CD485" s="14"/>
      <c r="CE485" s="14"/>
      <c r="CF485" s="14"/>
      <c r="CG485" s="14"/>
      <c r="CH485" s="14"/>
      <c r="CI485" s="221"/>
      <c r="CJ485"/>
    </row>
    <row r="486" spans="2:88" s="8" customFormat="1" ht="14.25" hidden="1" customHeight="1" outlineLevel="1">
      <c r="B486" s="1047" t="s">
        <v>528</v>
      </c>
      <c r="C486" s="268"/>
      <c r="D486" s="1031"/>
      <c r="E486" s="1031"/>
      <c r="F486" s="1031"/>
      <c r="G486" s="1031"/>
      <c r="H486" s="1031"/>
      <c r="I486" s="1031"/>
      <c r="J486" s="1031"/>
      <c r="K486" s="1031"/>
      <c r="L486" s="1034"/>
      <c r="M486" s="1034"/>
      <c r="N486" s="1034"/>
      <c r="O486" s="1034"/>
      <c r="P486" s="1034"/>
      <c r="Q486" s="1034"/>
      <c r="R486" s="1034"/>
      <c r="S486" s="1034"/>
      <c r="T486" s="1034"/>
      <c r="U486" s="1034"/>
      <c r="V486" s="1034"/>
      <c r="W486" s="1034"/>
      <c r="X486" s="1034"/>
      <c r="Y486" s="1034"/>
      <c r="Z486" s="1034"/>
      <c r="AA486" s="1034"/>
      <c r="AB486" s="1034"/>
      <c r="AC486" s="1034"/>
      <c r="AD486" s="1034"/>
      <c r="AE486" s="1034"/>
      <c r="AF486" s="1034"/>
      <c r="AG486" s="280"/>
      <c r="AH486" s="280"/>
      <c r="AI486" s="1048"/>
      <c r="AJ486" s="280"/>
      <c r="AK486" s="280"/>
      <c r="AL486" s="280"/>
      <c r="AM486" s="280"/>
      <c r="AN486" s="280"/>
      <c r="AO486" s="280"/>
      <c r="AP486" s="280"/>
      <c r="AQ486" s="280"/>
      <c r="AR486" s="280"/>
      <c r="AS486" s="280"/>
      <c r="AT486" s="280"/>
      <c r="AU486" s="280"/>
      <c r="AV486" s="280"/>
      <c r="AW486" s="280"/>
      <c r="AX486" s="280"/>
      <c r="AY486" s="280"/>
      <c r="AZ486" s="280"/>
      <c r="BA486" s="280"/>
      <c r="BB486" s="280"/>
      <c r="BC486" s="280"/>
      <c r="BD486" s="280"/>
      <c r="BE486" s="280"/>
      <c r="BF486" s="280"/>
      <c r="BG486" s="280"/>
      <c r="BH486" s="280"/>
      <c r="BI486" s="280"/>
      <c r="BJ486" s="280"/>
      <c r="BK486" s="280"/>
      <c r="BL486" s="280"/>
      <c r="BM486" s="280"/>
      <c r="BN486" s="280"/>
      <c r="BO486" s="280"/>
      <c r="BP486" s="652"/>
      <c r="BQ486" s="1033"/>
      <c r="BR486" s="1033"/>
      <c r="BS486" s="280"/>
      <c r="BT486" s="14"/>
      <c r="BU486" s="14"/>
      <c r="BV486" s="14"/>
      <c r="BW486" s="14"/>
      <c r="BX486" s="14">
        <v>0.03</v>
      </c>
      <c r="BY486" s="14"/>
      <c r="BZ486" s="14"/>
      <c r="CA486" s="14"/>
      <c r="CB486" s="14"/>
      <c r="CC486" s="14"/>
      <c r="CD486" s="14"/>
      <c r="CE486" s="14"/>
      <c r="CF486" s="14"/>
      <c r="CG486" s="14"/>
      <c r="CH486" s="14"/>
      <c r="CI486" s="221"/>
      <c r="CJ486"/>
    </row>
    <row r="487" spans="2:88" s="8" customFormat="1" ht="14.25" hidden="1" customHeight="1" outlineLevel="1">
      <c r="B487" s="1047" t="s">
        <v>47</v>
      </c>
      <c r="C487" s="268"/>
      <c r="D487" s="1031"/>
      <c r="E487" s="1031"/>
      <c r="F487" s="1031"/>
      <c r="G487" s="1031"/>
      <c r="H487" s="1031"/>
      <c r="I487" s="1031"/>
      <c r="J487" s="1031"/>
      <c r="K487" s="1031"/>
      <c r="L487" s="1034"/>
      <c r="M487" s="1034"/>
      <c r="N487" s="1034"/>
      <c r="O487" s="1034"/>
      <c r="P487" s="1034"/>
      <c r="Q487" s="1034"/>
      <c r="R487" s="1034"/>
      <c r="S487" s="1034"/>
      <c r="T487" s="1034"/>
      <c r="U487" s="1034"/>
      <c r="V487" s="1034"/>
      <c r="W487" s="1034"/>
      <c r="X487" s="1034"/>
      <c r="Y487" s="1034"/>
      <c r="Z487" s="1034"/>
      <c r="AA487" s="1034"/>
      <c r="AB487" s="1034"/>
      <c r="AC487" s="1034"/>
      <c r="AD487" s="1034"/>
      <c r="AE487" s="1034"/>
      <c r="AF487" s="1034"/>
      <c r="AG487" s="280"/>
      <c r="AH487" s="280"/>
      <c r="AI487" s="1048"/>
      <c r="AJ487" s="280"/>
      <c r="AK487" s="280"/>
      <c r="AL487" s="280"/>
      <c r="AM487" s="280"/>
      <c r="AN487" s="280"/>
      <c r="AO487" s="280"/>
      <c r="AP487" s="280"/>
      <c r="AQ487" s="280"/>
      <c r="AR487" s="280"/>
      <c r="AS487" s="280"/>
      <c r="AT487" s="280"/>
      <c r="AU487" s="280"/>
      <c r="AV487" s="280"/>
      <c r="AW487" s="280"/>
      <c r="AX487" s="280"/>
      <c r="AY487" s="280"/>
      <c r="AZ487" s="280"/>
      <c r="BA487" s="280"/>
      <c r="BB487" s="280"/>
      <c r="BC487" s="280"/>
      <c r="BD487" s="280"/>
      <c r="BE487" s="280"/>
      <c r="BF487" s="280"/>
      <c r="BG487" s="280"/>
      <c r="BH487" s="280"/>
      <c r="BI487" s="280"/>
      <c r="BJ487" s="280"/>
      <c r="BK487" s="280"/>
      <c r="BL487" s="280"/>
      <c r="BM487" s="280"/>
      <c r="BN487" s="280"/>
      <c r="BO487" s="280"/>
      <c r="BP487" s="652"/>
      <c r="BQ487" s="1033"/>
      <c r="BR487" s="1033"/>
      <c r="BS487" s="280"/>
      <c r="BT487" s="14"/>
      <c r="BU487" s="14"/>
      <c r="BV487" s="14"/>
      <c r="BW487" s="14"/>
      <c r="BX487" s="14">
        <v>0.17</v>
      </c>
      <c r="BY487" s="14"/>
      <c r="BZ487" s="14"/>
      <c r="CA487" s="14"/>
      <c r="CB487" s="14"/>
      <c r="CC487" s="14"/>
      <c r="CD487" s="14"/>
      <c r="CE487" s="14"/>
      <c r="CF487" s="14"/>
      <c r="CG487" s="14"/>
      <c r="CH487" s="14"/>
      <c r="CI487" s="221"/>
      <c r="CJ487"/>
    </row>
    <row r="488" spans="2:88" s="8" customFormat="1" ht="14.25" hidden="1" customHeight="1" outlineLevel="1">
      <c r="B488" s="1049" t="s">
        <v>24</v>
      </c>
      <c r="C488" s="268"/>
      <c r="D488" s="1031"/>
      <c r="E488" s="1031"/>
      <c r="F488" s="1031"/>
      <c r="G488" s="1031"/>
      <c r="H488" s="1031"/>
      <c r="I488" s="1031"/>
      <c r="J488" s="1031"/>
      <c r="K488" s="1031"/>
      <c r="L488" s="1034"/>
      <c r="M488" s="1034"/>
      <c r="N488" s="1034"/>
      <c r="O488" s="1034"/>
      <c r="P488" s="1034"/>
      <c r="Q488" s="1034"/>
      <c r="R488" s="1034"/>
      <c r="S488" s="1034"/>
      <c r="T488" s="1034"/>
      <c r="U488" s="1034"/>
      <c r="V488" s="1034"/>
      <c r="W488" s="1034"/>
      <c r="X488" s="1034"/>
      <c r="Y488" s="1034"/>
      <c r="Z488" s="1034"/>
      <c r="AA488" s="1034"/>
      <c r="AB488" s="1034"/>
      <c r="AC488" s="1034"/>
      <c r="AD488" s="1034"/>
      <c r="AE488" s="1034"/>
      <c r="AF488" s="1034"/>
      <c r="AG488" s="280"/>
      <c r="AH488" s="280"/>
      <c r="AI488" s="14"/>
      <c r="AJ488" s="280"/>
      <c r="AK488" s="280"/>
      <c r="AL488" s="280"/>
      <c r="AM488" s="280"/>
      <c r="AN488" s="280"/>
      <c r="AO488" s="280"/>
      <c r="AP488" s="280"/>
      <c r="AQ488" s="280"/>
      <c r="AR488" s="280"/>
      <c r="AS488" s="280"/>
      <c r="AT488" s="280"/>
      <c r="AU488" s="280"/>
      <c r="AV488" s="280"/>
      <c r="AW488" s="280"/>
      <c r="AX488" s="280"/>
      <c r="AY488" s="280"/>
      <c r="AZ488" s="280"/>
      <c r="BA488" s="280"/>
      <c r="BB488" s="280"/>
      <c r="BC488" s="280"/>
      <c r="BD488" s="280"/>
      <c r="BE488" s="280"/>
      <c r="BF488" s="280"/>
      <c r="BG488" s="280"/>
      <c r="BH488" s="280"/>
      <c r="BI488" s="280"/>
      <c r="BJ488" s="280"/>
      <c r="BK488" s="280"/>
      <c r="BL488" s="280"/>
      <c r="BM488" s="280"/>
      <c r="BN488" s="280"/>
      <c r="BO488" s="280"/>
      <c r="BP488" s="652"/>
      <c r="BQ488" s="1033"/>
      <c r="BR488" s="1033"/>
      <c r="BS488" s="280"/>
      <c r="BT488" s="14"/>
      <c r="BU488" s="14"/>
      <c r="BV488" s="14"/>
      <c r="BW488" s="14"/>
      <c r="BX488" s="14">
        <v>0.13</v>
      </c>
      <c r="BY488" s="14"/>
      <c r="BZ488" s="14"/>
      <c r="CA488" s="14"/>
      <c r="CB488" s="14"/>
      <c r="CC488" s="14"/>
      <c r="CD488" s="14"/>
      <c r="CE488" s="14"/>
      <c r="CF488" s="14"/>
      <c r="CG488" s="14"/>
      <c r="CH488" s="14"/>
      <c r="CI488" s="221"/>
      <c r="CJ488"/>
    </row>
    <row r="489" spans="2:88" s="8" customFormat="1" ht="14.25" hidden="1" customHeight="1" outlineLevel="1">
      <c r="B489" s="1030"/>
      <c r="C489" s="268"/>
      <c r="D489" s="1031"/>
      <c r="E489" s="1031"/>
      <c r="F489" s="1031"/>
      <c r="G489" s="1031"/>
      <c r="H489" s="1031"/>
      <c r="I489" s="1031"/>
      <c r="J489" s="1031"/>
      <c r="K489" s="1031"/>
      <c r="L489" s="1034"/>
      <c r="M489" s="1034"/>
      <c r="N489" s="1034"/>
      <c r="O489" s="1034"/>
      <c r="P489" s="1034"/>
      <c r="Q489" s="1034"/>
      <c r="R489" s="1034"/>
      <c r="S489" s="1034"/>
      <c r="T489" s="1034"/>
      <c r="U489" s="1034"/>
      <c r="V489" s="1034"/>
      <c r="W489" s="1034"/>
      <c r="X489" s="1034"/>
      <c r="Y489" s="1034"/>
      <c r="Z489" s="1034"/>
      <c r="AA489" s="1034"/>
      <c r="AB489" s="1034"/>
      <c r="AC489" s="1034"/>
      <c r="AD489" s="1034"/>
      <c r="AE489" s="1034"/>
      <c r="AF489" s="1034"/>
      <c r="AG489" s="280"/>
      <c r="AH489" s="280"/>
      <c r="AI489" s="280"/>
      <c r="AJ489" s="280"/>
      <c r="AK489" s="280"/>
      <c r="AL489" s="280"/>
      <c r="AM489" s="280"/>
      <c r="AN489" s="280"/>
      <c r="AO489" s="280"/>
      <c r="AP489" s="280"/>
      <c r="AQ489" s="280"/>
      <c r="AR489" s="280"/>
      <c r="AS489" s="280"/>
      <c r="AT489" s="280"/>
      <c r="AU489" s="280"/>
      <c r="AV489" s="280"/>
      <c r="AW489" s="280"/>
      <c r="AX489" s="280"/>
      <c r="AY489" s="280"/>
      <c r="AZ489" s="280"/>
      <c r="BA489" s="280"/>
      <c r="BB489" s="280"/>
      <c r="BC489" s="280"/>
      <c r="BD489" s="280"/>
      <c r="BE489" s="280"/>
      <c r="BF489" s="280"/>
      <c r="BG489" s="280"/>
      <c r="BH489" s="280"/>
      <c r="BI489" s="280"/>
      <c r="BJ489" s="280"/>
      <c r="BK489" s="280"/>
      <c r="BL489" s="280"/>
      <c r="BM489" s="280"/>
      <c r="BN489" s="280"/>
      <c r="BO489" s="280"/>
      <c r="BP489" s="652"/>
      <c r="BQ489" s="1033"/>
      <c r="BR489" s="1033"/>
      <c r="BS489" s="280"/>
      <c r="BT489" s="14"/>
      <c r="BU489" s="14"/>
      <c r="BV489" s="14"/>
      <c r="BW489" s="14"/>
      <c r="BX489" s="14" t="s">
        <v>494</v>
      </c>
      <c r="BY489" s="14"/>
      <c r="BZ489" s="14"/>
      <c r="CA489" s="14"/>
      <c r="CB489" s="14"/>
      <c r="CC489" s="14"/>
      <c r="CD489" s="14"/>
      <c r="CE489" s="14"/>
      <c r="CF489" s="14"/>
      <c r="CG489" s="14"/>
      <c r="CH489" s="14"/>
      <c r="CI489" s="221"/>
      <c r="CJ489"/>
    </row>
    <row r="490" spans="2:88" s="8" customFormat="1" ht="14.25" hidden="1" customHeight="1" outlineLevel="1">
      <c r="B490" s="1049" t="s">
        <v>526</v>
      </c>
      <c r="C490" s="268"/>
      <c r="D490" s="1031"/>
      <c r="E490" s="1031"/>
      <c r="F490" s="1031"/>
      <c r="G490" s="1031"/>
      <c r="H490" s="1031"/>
      <c r="I490" s="1031"/>
      <c r="J490" s="1031"/>
      <c r="K490" s="1031"/>
      <c r="L490" s="1034"/>
      <c r="M490" s="1034"/>
      <c r="N490" s="1034"/>
      <c r="O490" s="1034"/>
      <c r="P490" s="1034"/>
      <c r="Q490" s="1034"/>
      <c r="R490" s="1034"/>
      <c r="S490" s="1034"/>
      <c r="T490" s="1034"/>
      <c r="U490" s="1034"/>
      <c r="V490" s="1034"/>
      <c r="W490" s="1034"/>
      <c r="X490" s="1034"/>
      <c r="Y490" s="1034"/>
      <c r="Z490" s="1034"/>
      <c r="AA490" s="1034"/>
      <c r="AB490" s="1034"/>
      <c r="AC490" s="1034"/>
      <c r="AD490" s="1034"/>
      <c r="AE490" s="1034"/>
      <c r="AF490" s="1034"/>
      <c r="AG490" s="280"/>
      <c r="AH490" s="280"/>
      <c r="AI490" s="280"/>
      <c r="AJ490" s="280"/>
      <c r="AK490" s="280"/>
      <c r="AL490" s="280"/>
      <c r="AM490" s="280"/>
      <c r="AN490" s="280"/>
      <c r="AO490" s="280"/>
      <c r="AP490" s="280"/>
      <c r="AQ490" s="280"/>
      <c r="AR490" s="280"/>
      <c r="AS490" s="280"/>
      <c r="AT490" s="280"/>
      <c r="AU490" s="280"/>
      <c r="AV490" s="280"/>
      <c r="AW490" s="280"/>
      <c r="AX490" s="280"/>
      <c r="AY490" s="280"/>
      <c r="AZ490" s="280"/>
      <c r="BA490" s="280"/>
      <c r="BB490" s="280"/>
      <c r="BC490" s="280"/>
      <c r="BD490" s="280"/>
      <c r="BE490" s="280"/>
      <c r="BF490" s="280"/>
      <c r="BG490" s="280"/>
      <c r="BH490" s="280"/>
      <c r="BI490" s="280"/>
      <c r="BJ490" s="280"/>
      <c r="BK490" s="280"/>
      <c r="BL490" s="280"/>
      <c r="BM490" s="280"/>
      <c r="BN490" s="280"/>
      <c r="BO490" s="280"/>
      <c r="BP490" s="652"/>
      <c r="BQ490" s="1033"/>
      <c r="BR490" s="1033"/>
      <c r="BS490" s="280"/>
      <c r="BT490" s="14"/>
      <c r="BU490" s="14"/>
      <c r="BV490" s="14"/>
      <c r="BW490" s="14"/>
      <c r="BX490" s="14"/>
      <c r="BY490" s="14">
        <v>0.24</v>
      </c>
      <c r="BZ490" s="14">
        <v>0.31</v>
      </c>
      <c r="CA490" s="14"/>
      <c r="CB490" s="14"/>
      <c r="CC490" s="14"/>
      <c r="CD490" s="14"/>
      <c r="CE490" s="14"/>
      <c r="CF490" s="14"/>
      <c r="CG490" s="14"/>
      <c r="CH490" s="14"/>
      <c r="CI490" s="221"/>
      <c r="CJ490"/>
    </row>
    <row r="491" spans="2:88" s="8" customFormat="1" ht="14.25" hidden="1" customHeight="1" outlineLevel="1">
      <c r="B491" s="1049" t="s">
        <v>213</v>
      </c>
      <c r="C491" s="268"/>
      <c r="D491" s="1031"/>
      <c r="E491" s="1031"/>
      <c r="F491" s="1031"/>
      <c r="G491" s="1031"/>
      <c r="H491" s="1031"/>
      <c r="I491" s="1031"/>
      <c r="J491" s="1031"/>
      <c r="K491" s="1031"/>
      <c r="L491" s="1034"/>
      <c r="M491" s="1034"/>
      <c r="N491" s="1034"/>
      <c r="O491" s="1034"/>
      <c r="P491" s="1034"/>
      <c r="Q491" s="1034"/>
      <c r="R491" s="1034"/>
      <c r="S491" s="1034"/>
      <c r="T491" s="1034"/>
      <c r="U491" s="1034"/>
      <c r="V491" s="1034"/>
      <c r="W491" s="1034"/>
      <c r="X491" s="1034"/>
      <c r="Y491" s="1034"/>
      <c r="Z491" s="1034"/>
      <c r="AA491" s="1034"/>
      <c r="AB491" s="1034"/>
      <c r="AC491" s="1034"/>
      <c r="AD491" s="1034"/>
      <c r="AE491" s="1034"/>
      <c r="AF491" s="1034"/>
      <c r="AG491" s="280"/>
      <c r="AH491" s="280"/>
      <c r="AI491" s="280"/>
      <c r="AJ491" s="280"/>
      <c r="AK491" s="280"/>
      <c r="AL491" s="280"/>
      <c r="AM491" s="280"/>
      <c r="AN491" s="280"/>
      <c r="AO491" s="280"/>
      <c r="AP491" s="280"/>
      <c r="AQ491" s="280"/>
      <c r="AR491" s="280"/>
      <c r="AS491" s="280"/>
      <c r="AT491" s="280"/>
      <c r="AU491" s="280"/>
      <c r="AV491" s="280"/>
      <c r="AW491" s="280"/>
      <c r="AX491" s="280"/>
      <c r="AY491" s="280"/>
      <c r="AZ491" s="280"/>
      <c r="BA491" s="280"/>
      <c r="BB491" s="280"/>
      <c r="BC491" s="280"/>
      <c r="BD491" s="280"/>
      <c r="BE491" s="280"/>
      <c r="BF491" s="280"/>
      <c r="BG491" s="280"/>
      <c r="BH491" s="280"/>
      <c r="BI491" s="280"/>
      <c r="BJ491" s="280"/>
      <c r="BK491" s="280"/>
      <c r="BL491" s="280"/>
      <c r="BM491" s="280"/>
      <c r="BN491" s="280"/>
      <c r="BO491" s="280"/>
      <c r="BP491" s="652"/>
      <c r="BQ491" s="1033"/>
      <c r="BR491" s="1033"/>
      <c r="BS491" s="280"/>
      <c r="BT491" s="14"/>
      <c r="BU491" s="14"/>
      <c r="BV491" s="14"/>
      <c r="BW491" s="14"/>
      <c r="BX491" s="14"/>
      <c r="BY491" s="14">
        <v>0.13</v>
      </c>
      <c r="BZ491" s="14">
        <v>0.13</v>
      </c>
      <c r="CA491" s="14"/>
      <c r="CB491" s="14"/>
      <c r="CC491" s="14"/>
      <c r="CD491" s="14"/>
      <c r="CE491" s="14"/>
      <c r="CF491" s="14"/>
      <c r="CG491" s="14"/>
      <c r="CH491" s="14"/>
      <c r="CI491" s="221"/>
      <c r="CJ491"/>
    </row>
    <row r="492" spans="2:88" s="8" customFormat="1" ht="14.25" hidden="1" customHeight="1" outlineLevel="1">
      <c r="B492" s="1049" t="s">
        <v>214</v>
      </c>
      <c r="C492" s="268"/>
      <c r="D492" s="1031"/>
      <c r="E492" s="1031"/>
      <c r="F492" s="1031"/>
      <c r="G492" s="1031"/>
      <c r="H492" s="1031"/>
      <c r="I492" s="1031"/>
      <c r="J492" s="1031"/>
      <c r="K492" s="1031"/>
      <c r="L492" s="1034"/>
      <c r="M492" s="1034"/>
      <c r="N492" s="1034"/>
      <c r="O492" s="1034"/>
      <c r="P492" s="1034"/>
      <c r="Q492" s="1034"/>
      <c r="R492" s="1034"/>
      <c r="S492" s="1034"/>
      <c r="T492" s="1034"/>
      <c r="U492" s="1034"/>
      <c r="V492" s="1034"/>
      <c r="W492" s="1034"/>
      <c r="X492" s="1034"/>
      <c r="Y492" s="1034"/>
      <c r="Z492" s="1034"/>
      <c r="AA492" s="1034"/>
      <c r="AB492" s="1034"/>
      <c r="AC492" s="1034"/>
      <c r="AD492" s="1034"/>
      <c r="AE492" s="1034"/>
      <c r="AF492" s="1034"/>
      <c r="AG492" s="280"/>
      <c r="AH492" s="280"/>
      <c r="AI492" s="280"/>
      <c r="AJ492" s="280"/>
      <c r="AK492" s="280"/>
      <c r="AL492" s="280"/>
      <c r="AM492" s="280"/>
      <c r="AN492" s="280"/>
      <c r="AO492" s="280"/>
      <c r="AP492" s="280"/>
      <c r="AQ492" s="280"/>
      <c r="AR492" s="280"/>
      <c r="AS492" s="280"/>
      <c r="AT492" s="280"/>
      <c r="AU492" s="280"/>
      <c r="AV492" s="280"/>
      <c r="AW492" s="280"/>
      <c r="AX492" s="280"/>
      <c r="AY492" s="280"/>
      <c r="AZ492" s="280"/>
      <c r="BA492" s="280"/>
      <c r="BB492" s="280"/>
      <c r="BC492" s="280"/>
      <c r="BD492" s="280"/>
      <c r="BE492" s="280"/>
      <c r="BF492" s="280"/>
      <c r="BG492" s="280"/>
      <c r="BH492" s="280"/>
      <c r="BI492" s="280"/>
      <c r="BJ492" s="280"/>
      <c r="BK492" s="280"/>
      <c r="BL492" s="280"/>
      <c r="BM492" s="280"/>
      <c r="BN492" s="280"/>
      <c r="BO492" s="280"/>
      <c r="BP492" s="652"/>
      <c r="BQ492" s="1033"/>
      <c r="BR492" s="1033"/>
      <c r="BS492" s="280"/>
      <c r="BT492" s="14"/>
      <c r="BU492" s="14"/>
      <c r="BV492" s="14"/>
      <c r="BW492" s="14"/>
      <c r="BX492" s="14"/>
      <c r="BY492" s="14">
        <v>0.37</v>
      </c>
      <c r="BZ492" s="14">
        <v>0.28999999999999998</v>
      </c>
      <c r="CA492" s="14"/>
      <c r="CB492" s="14"/>
      <c r="CC492" s="14"/>
      <c r="CD492" s="14"/>
      <c r="CE492" s="14"/>
      <c r="CF492" s="14"/>
      <c r="CG492" s="14"/>
      <c r="CH492" s="14"/>
      <c r="CI492" s="221"/>
      <c r="CJ492"/>
    </row>
    <row r="493" spans="2:88" s="8" customFormat="1" ht="14.25" hidden="1" customHeight="1" outlineLevel="1">
      <c r="B493" s="1049" t="s">
        <v>215</v>
      </c>
      <c r="C493" s="268"/>
      <c r="D493" s="1031"/>
      <c r="E493" s="1031"/>
      <c r="F493" s="1031"/>
      <c r="G493" s="1031"/>
      <c r="H493" s="1031"/>
      <c r="I493" s="1031"/>
      <c r="J493" s="1031"/>
      <c r="K493" s="1031"/>
      <c r="L493" s="1034"/>
      <c r="M493" s="1034"/>
      <c r="N493" s="1034"/>
      <c r="O493" s="1034"/>
      <c r="P493" s="1034"/>
      <c r="Q493" s="1034"/>
      <c r="R493" s="1034"/>
      <c r="S493" s="1034"/>
      <c r="T493" s="1034"/>
      <c r="U493" s="1034"/>
      <c r="V493" s="1034"/>
      <c r="W493" s="1034"/>
      <c r="X493" s="1034"/>
      <c r="Y493" s="1034"/>
      <c r="Z493" s="1034"/>
      <c r="AA493" s="1034"/>
      <c r="AB493" s="1034"/>
      <c r="AC493" s="1034"/>
      <c r="AD493" s="1034"/>
      <c r="AE493" s="1034"/>
      <c r="AF493" s="1034"/>
      <c r="AG493" s="280"/>
      <c r="AH493" s="280"/>
      <c r="AI493" s="280"/>
      <c r="AJ493" s="280"/>
      <c r="AK493" s="280"/>
      <c r="AL493" s="280"/>
      <c r="AM493" s="280"/>
      <c r="AN493" s="280"/>
      <c r="AO493" s="280"/>
      <c r="AP493" s="280"/>
      <c r="AQ493" s="280"/>
      <c r="AR493" s="280"/>
      <c r="AS493" s="280"/>
      <c r="AT493" s="280"/>
      <c r="AU493" s="280"/>
      <c r="AV493" s="280"/>
      <c r="AW493" s="280"/>
      <c r="AX493" s="280"/>
      <c r="AY493" s="280"/>
      <c r="AZ493" s="280"/>
      <c r="BA493" s="280"/>
      <c r="BB493" s="280"/>
      <c r="BC493" s="280"/>
      <c r="BD493" s="280"/>
      <c r="BE493" s="280"/>
      <c r="BF493" s="280"/>
      <c r="BG493" s="280"/>
      <c r="BH493" s="280"/>
      <c r="BI493" s="280"/>
      <c r="BJ493" s="280"/>
      <c r="BK493" s="280"/>
      <c r="BL493" s="280"/>
      <c r="BM493" s="280"/>
      <c r="BN493" s="280"/>
      <c r="BO493" s="280"/>
      <c r="BP493" s="652"/>
      <c r="BQ493" s="1033"/>
      <c r="BR493" s="1033"/>
      <c r="BS493" s="280"/>
      <c r="BT493" s="14"/>
      <c r="BU493" s="14"/>
      <c r="BV493" s="14"/>
      <c r="BW493" s="14"/>
      <c r="BX493" s="14"/>
      <c r="BY493" s="14">
        <v>0.16</v>
      </c>
      <c r="BZ493" s="14">
        <v>0.17</v>
      </c>
      <c r="CA493" s="14"/>
      <c r="CB493" s="14"/>
      <c r="CC493" s="14"/>
      <c r="CD493" s="14"/>
      <c r="CE493" s="14"/>
      <c r="CF493" s="14"/>
      <c r="CG493" s="14"/>
      <c r="CH493" s="14"/>
      <c r="CI493" s="221"/>
      <c r="CJ493"/>
    </row>
    <row r="494" spans="2:88" s="8" customFormat="1" ht="14.25" hidden="1" customHeight="1" outlineLevel="1">
      <c r="B494" s="1049" t="s">
        <v>216</v>
      </c>
      <c r="C494" s="268"/>
      <c r="D494" s="1031"/>
      <c r="E494" s="1031"/>
      <c r="F494" s="1031"/>
      <c r="G494" s="1031"/>
      <c r="H494" s="1031"/>
      <c r="I494" s="1031"/>
      <c r="J494" s="1031"/>
      <c r="K494" s="1031"/>
      <c r="L494" s="1034"/>
      <c r="M494" s="1034"/>
      <c r="N494" s="1034"/>
      <c r="O494" s="1034"/>
      <c r="P494" s="1034"/>
      <c r="Q494" s="1034"/>
      <c r="R494" s="1034"/>
      <c r="S494" s="1034"/>
      <c r="T494" s="1034"/>
      <c r="U494" s="1034"/>
      <c r="V494" s="1034"/>
      <c r="W494" s="1034"/>
      <c r="X494" s="1034"/>
      <c r="Y494" s="1034"/>
      <c r="Z494" s="1034"/>
      <c r="AA494" s="1034"/>
      <c r="AB494" s="1034"/>
      <c r="AC494" s="1034"/>
      <c r="AD494" s="1034"/>
      <c r="AE494" s="1034"/>
      <c r="AF494" s="1034"/>
      <c r="AG494" s="280"/>
      <c r="AH494" s="280"/>
      <c r="AI494" s="280"/>
      <c r="AJ494" s="280"/>
      <c r="AK494" s="280"/>
      <c r="AL494" s="280"/>
      <c r="AM494" s="280"/>
      <c r="AN494" s="280"/>
      <c r="AO494" s="280"/>
      <c r="AP494" s="280"/>
      <c r="AQ494" s="280"/>
      <c r="AR494" s="280"/>
      <c r="AS494" s="280"/>
      <c r="AT494" s="280"/>
      <c r="AU494" s="280"/>
      <c r="AV494" s="280"/>
      <c r="AW494" s="280"/>
      <c r="AX494" s="280"/>
      <c r="AY494" s="280"/>
      <c r="AZ494" s="280"/>
      <c r="BA494" s="280"/>
      <c r="BB494" s="280"/>
      <c r="BC494" s="280"/>
      <c r="BD494" s="280"/>
      <c r="BE494" s="280"/>
      <c r="BF494" s="280"/>
      <c r="BG494" s="280"/>
      <c r="BH494" s="280"/>
      <c r="BI494" s="280"/>
      <c r="BJ494" s="280"/>
      <c r="BK494" s="280"/>
      <c r="BL494" s="280"/>
      <c r="BM494" s="280"/>
      <c r="BN494" s="280"/>
      <c r="BO494" s="280"/>
      <c r="BP494" s="652"/>
      <c r="BQ494" s="1033"/>
      <c r="BR494" s="1033"/>
      <c r="BS494" s="280"/>
      <c r="BT494" s="14"/>
      <c r="BU494" s="14"/>
      <c r="BV494" s="14"/>
      <c r="BW494" s="14"/>
      <c r="BX494" s="14"/>
      <c r="BY494" s="14">
        <v>0.06</v>
      </c>
      <c r="BZ494" s="14">
        <v>0.06</v>
      </c>
      <c r="CA494" s="14"/>
      <c r="CB494" s="14"/>
      <c r="CC494" s="14"/>
      <c r="CD494" s="14"/>
      <c r="CE494" s="14"/>
      <c r="CF494" s="14"/>
      <c r="CG494" s="14"/>
      <c r="CH494" s="14"/>
      <c r="CI494" s="221"/>
      <c r="CJ494"/>
    </row>
    <row r="495" spans="2:88" s="8" customFormat="1" ht="14.25" hidden="1" customHeight="1" outlineLevel="1">
      <c r="B495" s="1049" t="s">
        <v>536</v>
      </c>
      <c r="C495" s="268"/>
      <c r="D495" s="1031"/>
      <c r="E495" s="1031"/>
      <c r="F495" s="1031"/>
      <c r="G495" s="1031"/>
      <c r="H495" s="1031"/>
      <c r="I495" s="1031"/>
      <c r="J495" s="1031"/>
      <c r="K495" s="1031"/>
      <c r="L495" s="1034"/>
      <c r="M495" s="1034"/>
      <c r="N495" s="1034"/>
      <c r="O495" s="1034"/>
      <c r="P495" s="1034"/>
      <c r="Q495" s="1034"/>
      <c r="R495" s="1034"/>
      <c r="S495" s="1034"/>
      <c r="T495" s="1034"/>
      <c r="U495" s="1034"/>
      <c r="V495" s="1034"/>
      <c r="W495" s="1034"/>
      <c r="X495" s="1034"/>
      <c r="Y495" s="1034"/>
      <c r="Z495" s="1034"/>
      <c r="AA495" s="1034"/>
      <c r="AB495" s="1034"/>
      <c r="AC495" s="1034"/>
      <c r="AD495" s="1034"/>
      <c r="AE495" s="1034"/>
      <c r="AF495" s="1034"/>
      <c r="AG495" s="280"/>
      <c r="AH495" s="280"/>
      <c r="AI495" s="280"/>
      <c r="AJ495" s="280"/>
      <c r="AK495" s="280"/>
      <c r="AL495" s="280"/>
      <c r="AM495" s="280"/>
      <c r="AN495" s="280"/>
      <c r="AO495" s="280"/>
      <c r="AP495" s="280"/>
      <c r="AQ495" s="280"/>
      <c r="AR495" s="280"/>
      <c r="AS495" s="280"/>
      <c r="AT495" s="280"/>
      <c r="AU495" s="280"/>
      <c r="AV495" s="280"/>
      <c r="AW495" s="280"/>
      <c r="AX495" s="280"/>
      <c r="AY495" s="280"/>
      <c r="AZ495" s="280"/>
      <c r="BA495" s="280"/>
      <c r="BB495" s="280"/>
      <c r="BC495" s="280"/>
      <c r="BD495" s="280"/>
      <c r="BE495" s="280"/>
      <c r="BF495" s="280"/>
      <c r="BG495" s="280"/>
      <c r="BH495" s="280"/>
      <c r="BI495" s="280"/>
      <c r="BJ495" s="280"/>
      <c r="BK495" s="280"/>
      <c r="BL495" s="280"/>
      <c r="BM495" s="280"/>
      <c r="BN495" s="280"/>
      <c r="BO495" s="280"/>
      <c r="BP495" s="652"/>
      <c r="BQ495" s="1033"/>
      <c r="BR495" s="1033"/>
      <c r="BS495" s="280"/>
      <c r="BT495" s="14"/>
      <c r="BU495" s="14"/>
      <c r="BV495" s="14"/>
      <c r="BW495" s="14"/>
      <c r="BX495" s="14"/>
      <c r="BY495" s="14">
        <v>0.04</v>
      </c>
      <c r="BZ495" s="14">
        <v>0.04</v>
      </c>
      <c r="CA495" s="14"/>
      <c r="CB495" s="14"/>
      <c r="CC495" s="14"/>
      <c r="CD495" s="14"/>
      <c r="CE495" s="14"/>
      <c r="CF495" s="14"/>
      <c r="CG495" s="14"/>
      <c r="CH495" s="14"/>
      <c r="CI495" s="221"/>
      <c r="CJ495"/>
    </row>
    <row r="496" spans="2:88" s="8" customFormat="1" ht="14.25" hidden="1" customHeight="1" outlineLevel="1">
      <c r="B496" s="1030"/>
      <c r="C496" s="268"/>
      <c r="D496" s="1031"/>
      <c r="E496" s="1031"/>
      <c r="F496" s="1031"/>
      <c r="G496" s="1031"/>
      <c r="H496" s="1031"/>
      <c r="I496" s="1031"/>
      <c r="J496" s="1031"/>
      <c r="K496" s="1031"/>
      <c r="L496" s="1034"/>
      <c r="M496" s="1034"/>
      <c r="N496" s="1034"/>
      <c r="O496" s="1034"/>
      <c r="P496" s="1034"/>
      <c r="Q496" s="1034"/>
      <c r="R496" s="1034"/>
      <c r="S496" s="1034"/>
      <c r="T496" s="1034"/>
      <c r="U496" s="1034"/>
      <c r="V496" s="1034"/>
      <c r="W496" s="1034"/>
      <c r="X496" s="1034"/>
      <c r="Y496" s="1034"/>
      <c r="Z496" s="1034"/>
      <c r="AA496" s="1034"/>
      <c r="AB496" s="1034"/>
      <c r="AC496" s="1034"/>
      <c r="AD496" s="1034"/>
      <c r="AE496" s="1034"/>
      <c r="AF496" s="1034"/>
      <c r="AG496" s="280"/>
      <c r="AH496" s="280"/>
      <c r="AI496" s="280"/>
      <c r="AJ496" s="280"/>
      <c r="AK496" s="280"/>
      <c r="AL496" s="280"/>
      <c r="AM496" s="280"/>
      <c r="AN496" s="280"/>
      <c r="AO496" s="280"/>
      <c r="AP496" s="280"/>
      <c r="AQ496" s="280"/>
      <c r="AR496" s="280"/>
      <c r="AS496" s="280"/>
      <c r="AT496" s="280"/>
      <c r="AU496" s="280"/>
      <c r="AV496" s="280"/>
      <c r="AW496" s="280"/>
      <c r="AX496" s="280"/>
      <c r="AY496" s="280"/>
      <c r="AZ496" s="280"/>
      <c r="BA496" s="280"/>
      <c r="BB496" s="280"/>
      <c r="BC496" s="280"/>
      <c r="BD496" s="280"/>
      <c r="BE496" s="280"/>
      <c r="BF496" s="280"/>
      <c r="BG496" s="280"/>
      <c r="BH496" s="280"/>
      <c r="BI496" s="280"/>
      <c r="BJ496" s="280"/>
      <c r="BK496" s="280"/>
      <c r="BL496" s="280"/>
      <c r="BM496" s="280"/>
      <c r="BN496" s="280"/>
      <c r="BO496" s="280"/>
      <c r="BP496" s="652"/>
      <c r="BQ496" s="1033"/>
      <c r="BR496" s="1033"/>
      <c r="BS496" s="280"/>
      <c r="BT496" s="14"/>
      <c r="BU496" s="14"/>
      <c r="BV496" s="14"/>
      <c r="BW496" s="14"/>
      <c r="BX496" s="14"/>
      <c r="BY496" s="14"/>
      <c r="BZ496" s="14"/>
      <c r="CA496" s="14"/>
      <c r="CB496" s="14"/>
      <c r="CC496" s="14"/>
      <c r="CD496" s="14"/>
      <c r="CE496" s="14"/>
      <c r="CF496" s="14"/>
      <c r="CG496" s="14"/>
      <c r="CH496" s="14"/>
      <c r="CI496" s="221"/>
      <c r="CJ496"/>
    </row>
    <row r="497" spans="2:88" s="8" customFormat="1" ht="14.25" hidden="1" customHeight="1" outlineLevel="1">
      <c r="B497" s="1030"/>
      <c r="C497" s="268"/>
      <c r="D497" s="1031"/>
      <c r="E497" s="1031"/>
      <c r="F497" s="1031"/>
      <c r="G497" s="1031"/>
      <c r="H497" s="1031"/>
      <c r="I497" s="1031"/>
      <c r="J497" s="1031"/>
      <c r="K497" s="1031"/>
      <c r="L497" s="1034"/>
      <c r="M497" s="1034"/>
      <c r="N497" s="1034"/>
      <c r="O497" s="1034"/>
      <c r="P497" s="1034"/>
      <c r="Q497" s="1034"/>
      <c r="R497" s="1034"/>
      <c r="S497" s="1034"/>
      <c r="T497" s="1034"/>
      <c r="U497" s="1034"/>
      <c r="V497" s="1034"/>
      <c r="W497" s="1034"/>
      <c r="X497" s="1034"/>
      <c r="Y497" s="1034"/>
      <c r="Z497" s="1034"/>
      <c r="AA497" s="1034"/>
      <c r="AB497" s="1034"/>
      <c r="AC497" s="1034"/>
      <c r="AD497" s="1034"/>
      <c r="AE497" s="1034"/>
      <c r="AF497" s="1034"/>
      <c r="AG497" s="280"/>
      <c r="AH497" s="280"/>
      <c r="AI497" s="280"/>
      <c r="AJ497" s="280"/>
      <c r="AK497" s="280"/>
      <c r="AL497" s="280"/>
      <c r="AM497" s="280"/>
      <c r="AN497" s="280"/>
      <c r="AO497" s="280"/>
      <c r="AP497" s="280"/>
      <c r="AQ497" s="280"/>
      <c r="AR497" s="280"/>
      <c r="AS497" s="280"/>
      <c r="AT497" s="280"/>
      <c r="AU497" s="280"/>
      <c r="AV497" s="280"/>
      <c r="AW497" s="280"/>
      <c r="AX497" s="280"/>
      <c r="AY497" s="280"/>
      <c r="AZ497" s="280"/>
      <c r="BA497" s="280"/>
      <c r="BB497" s="280"/>
      <c r="BC497" s="280"/>
      <c r="BD497" s="280"/>
      <c r="BE497" s="280"/>
      <c r="BF497" s="280"/>
      <c r="BG497" s="280"/>
      <c r="BH497" s="280"/>
      <c r="BI497" s="280"/>
      <c r="BJ497" s="280"/>
      <c r="BK497" s="280"/>
      <c r="BL497" s="280"/>
      <c r="BM497" s="280"/>
      <c r="BN497" s="280"/>
      <c r="BO497" s="280"/>
      <c r="BP497" s="652"/>
      <c r="BQ497" s="1033"/>
      <c r="BR497" s="1033"/>
      <c r="BS497" s="280"/>
      <c r="BT497" s="14"/>
      <c r="BU497" s="14"/>
      <c r="BV497" s="14"/>
      <c r="BW497" s="14"/>
      <c r="BX497" s="14"/>
      <c r="BY497" s="14"/>
      <c r="BZ497" s="14"/>
      <c r="CA497" s="14"/>
      <c r="CB497" s="14"/>
      <c r="CC497" s="14"/>
      <c r="CD497" s="14"/>
      <c r="CE497" s="14"/>
      <c r="CF497" s="14"/>
      <c r="CG497" s="14"/>
      <c r="CH497" s="14"/>
      <c r="CI497" s="221"/>
      <c r="CJ497"/>
    </row>
    <row r="498" spans="2:88" s="8" customFormat="1" ht="14.25" hidden="1" customHeight="1" outlineLevel="1">
      <c r="B498" s="1030"/>
      <c r="C498" s="268"/>
      <c r="D498" s="1031"/>
      <c r="E498" s="1031"/>
      <c r="F498" s="1031"/>
      <c r="G498" s="1031"/>
      <c r="H498" s="1031"/>
      <c r="I498" s="1031"/>
      <c r="J498" s="1031"/>
      <c r="K498" s="1031"/>
      <c r="L498" s="1034"/>
      <c r="M498" s="1034"/>
      <c r="N498" s="1034"/>
      <c r="O498" s="1034"/>
      <c r="P498" s="1034"/>
      <c r="Q498" s="1034"/>
      <c r="R498" s="1034"/>
      <c r="S498" s="1034"/>
      <c r="T498" s="1034"/>
      <c r="U498" s="1034"/>
      <c r="V498" s="1034"/>
      <c r="W498" s="1034"/>
      <c r="X498" s="1034"/>
      <c r="Y498" s="1034"/>
      <c r="Z498" s="1034"/>
      <c r="AA498" s="1034"/>
      <c r="AB498" s="1034"/>
      <c r="AC498" s="1034"/>
      <c r="AD498" s="1034"/>
      <c r="AE498" s="1034"/>
      <c r="AF498" s="1034"/>
      <c r="AG498" s="280"/>
      <c r="AH498" s="280"/>
      <c r="AI498" s="280"/>
      <c r="AJ498" s="280"/>
      <c r="AK498" s="280"/>
      <c r="AL498" s="280"/>
      <c r="AM498" s="280"/>
      <c r="AN498" s="280"/>
      <c r="AO498" s="280"/>
      <c r="AP498" s="280"/>
      <c r="AQ498" s="280"/>
      <c r="AR498" s="280"/>
      <c r="AS498" s="280"/>
      <c r="AT498" s="280"/>
      <c r="AU498" s="280"/>
      <c r="AV498" s="280"/>
      <c r="AW498" s="280"/>
      <c r="AX498" s="280"/>
      <c r="AY498" s="280"/>
      <c r="AZ498" s="280"/>
      <c r="BA498" s="280"/>
      <c r="BB498" s="280"/>
      <c r="BC498" s="280"/>
      <c r="BD498" s="280"/>
      <c r="BE498" s="280"/>
      <c r="BF498" s="280"/>
      <c r="BG498" s="280"/>
      <c r="BH498" s="280"/>
      <c r="BI498" s="280"/>
      <c r="BJ498" s="280"/>
      <c r="BK498" s="280"/>
      <c r="BL498" s="280"/>
      <c r="BM498" s="280"/>
      <c r="BN498" s="280"/>
      <c r="BO498" s="280"/>
      <c r="BP498" s="652"/>
      <c r="BQ498" s="1033"/>
      <c r="BR498" s="1033"/>
      <c r="BS498" s="280"/>
      <c r="BT498" s="14"/>
      <c r="BU498" s="14"/>
      <c r="BV498" s="14"/>
      <c r="BW498" s="14"/>
      <c r="BX498" s="14"/>
      <c r="BY498" s="14"/>
      <c r="BZ498" s="14"/>
      <c r="CA498" s="14"/>
      <c r="CB498" s="14"/>
      <c r="CC498" s="14"/>
      <c r="CD498" s="14"/>
      <c r="CE498" s="14"/>
      <c r="CF498" s="14"/>
      <c r="CG498" s="14"/>
      <c r="CH498" s="14"/>
      <c r="CI498" s="221"/>
      <c r="CJ498"/>
    </row>
    <row r="499" spans="2:88" s="8" customFormat="1" ht="14.25" hidden="1" customHeight="1" outlineLevel="1">
      <c r="B499" s="1030"/>
      <c r="C499" s="268"/>
      <c r="D499" s="1031"/>
      <c r="E499" s="1031"/>
      <c r="F499" s="1031"/>
      <c r="G499" s="1031"/>
      <c r="H499" s="1031"/>
      <c r="I499" s="1031"/>
      <c r="J499" s="1031"/>
      <c r="K499" s="1031"/>
      <c r="L499" s="1034"/>
      <c r="M499" s="1034"/>
      <c r="N499" s="1034"/>
      <c r="O499" s="1034"/>
      <c r="P499" s="1034"/>
      <c r="Q499" s="1034"/>
      <c r="R499" s="1034"/>
      <c r="S499" s="1034"/>
      <c r="T499" s="1034"/>
      <c r="U499" s="1034"/>
      <c r="V499" s="1034"/>
      <c r="W499" s="1034"/>
      <c r="X499" s="1034"/>
      <c r="Y499" s="1034"/>
      <c r="Z499" s="1034"/>
      <c r="AA499" s="1034"/>
      <c r="AB499" s="1034"/>
      <c r="AC499" s="1034"/>
      <c r="AD499" s="1034"/>
      <c r="AE499" s="1034"/>
      <c r="AF499" s="1034"/>
      <c r="AG499" s="280"/>
      <c r="AH499" s="280"/>
      <c r="AI499" s="280"/>
      <c r="AJ499" s="280"/>
      <c r="AK499" s="280"/>
      <c r="AL499" s="280"/>
      <c r="AM499" s="280"/>
      <c r="AN499" s="280"/>
      <c r="AO499" s="280"/>
      <c r="AP499" s="280"/>
      <c r="AQ499" s="280"/>
      <c r="AR499" s="280"/>
      <c r="AS499" s="280"/>
      <c r="AT499" s="280"/>
      <c r="AU499" s="280"/>
      <c r="AV499" s="280"/>
      <c r="AW499" s="280"/>
      <c r="AX499" s="280"/>
      <c r="AY499" s="280"/>
      <c r="AZ499" s="280"/>
      <c r="BA499" s="280"/>
      <c r="BB499" s="280"/>
      <c r="BC499" s="280"/>
      <c r="BD499" s="280"/>
      <c r="BE499" s="280"/>
      <c r="BF499" s="280"/>
      <c r="BG499" s="280"/>
      <c r="BH499" s="280"/>
      <c r="BI499" s="280"/>
      <c r="BJ499" s="280"/>
      <c r="BK499" s="280"/>
      <c r="BL499" s="280"/>
      <c r="BM499" s="280"/>
      <c r="BN499" s="280"/>
      <c r="BO499" s="280"/>
      <c r="BP499" s="652"/>
      <c r="BQ499" s="1033"/>
      <c r="BR499" s="1033"/>
      <c r="BS499" s="280"/>
      <c r="BT499" s="14"/>
      <c r="BU499" s="14"/>
      <c r="BV499" s="14"/>
      <c r="BW499" s="14"/>
      <c r="BX499" s="14"/>
      <c r="BY499" s="14"/>
      <c r="BZ499" s="14"/>
      <c r="CA499" s="14"/>
      <c r="CB499" s="14"/>
      <c r="CC499" s="14"/>
      <c r="CD499" s="14"/>
      <c r="CE499" s="14"/>
      <c r="CF499" s="14"/>
      <c r="CG499" s="14"/>
      <c r="CH499" s="14"/>
      <c r="CI499" s="221"/>
      <c r="CJ499"/>
    </row>
    <row r="500" spans="2:88" s="8" customFormat="1" ht="14.25" hidden="1" customHeight="1" outlineLevel="1">
      <c r="B500" s="1049" t="s">
        <v>25</v>
      </c>
      <c r="C500" s="268"/>
      <c r="D500" s="1031"/>
      <c r="E500" s="1031"/>
      <c r="F500" s="1031"/>
      <c r="G500" s="1031"/>
      <c r="H500" s="1031"/>
      <c r="I500" s="1031"/>
      <c r="J500" s="1031"/>
      <c r="K500" s="1031"/>
      <c r="L500" s="1034"/>
      <c r="M500" s="1034"/>
      <c r="N500" s="1034"/>
      <c r="O500" s="1034"/>
      <c r="P500" s="1034"/>
      <c r="Q500" s="1034"/>
      <c r="R500" s="1034"/>
      <c r="S500" s="1034"/>
      <c r="T500" s="1034"/>
      <c r="U500" s="1034"/>
      <c r="V500" s="1034"/>
      <c r="W500" s="1034"/>
      <c r="X500" s="1034"/>
      <c r="Y500" s="1034"/>
      <c r="Z500" s="1034"/>
      <c r="AA500" s="1034"/>
      <c r="AB500" s="1034"/>
      <c r="AC500" s="1034"/>
      <c r="AD500" s="1034"/>
      <c r="AE500" s="1034"/>
      <c r="AF500" s="1034"/>
      <c r="AG500" s="280"/>
      <c r="AH500" s="280"/>
      <c r="AI500" s="280"/>
      <c r="AJ500" s="280"/>
      <c r="AK500" s="280"/>
      <c r="AL500" s="280"/>
      <c r="AM500" s="280"/>
      <c r="AN500" s="280"/>
      <c r="AO500" s="280"/>
      <c r="AP500" s="280"/>
      <c r="AQ500" s="280"/>
      <c r="AR500" s="280"/>
      <c r="AS500" s="280"/>
      <c r="AT500" s="280"/>
      <c r="AU500" s="280"/>
      <c r="AV500" s="280"/>
      <c r="AW500" s="280"/>
      <c r="AX500" s="280"/>
      <c r="AY500" s="280"/>
      <c r="AZ500" s="280"/>
      <c r="BA500" s="280"/>
      <c r="BB500" s="280"/>
      <c r="BC500" s="280"/>
      <c r="BD500" s="280"/>
      <c r="BE500" s="280"/>
      <c r="BF500" s="280"/>
      <c r="BG500" s="280"/>
      <c r="BH500" s="280"/>
      <c r="BI500" s="280"/>
      <c r="BJ500" s="280"/>
      <c r="BK500" s="280"/>
      <c r="BL500" s="280"/>
      <c r="BM500" s="280"/>
      <c r="BN500" s="280"/>
      <c r="BO500" s="280"/>
      <c r="BP500" s="652"/>
      <c r="BQ500" s="1033"/>
      <c r="BR500" s="1033"/>
      <c r="BS500" s="280"/>
      <c r="BT500" s="14"/>
      <c r="BU500" s="14"/>
      <c r="BV500" s="14"/>
      <c r="BW500" s="14"/>
      <c r="BX500" s="14"/>
      <c r="BY500" s="14"/>
      <c r="BZ500" s="14"/>
      <c r="CA500" s="14"/>
      <c r="CB500" s="14"/>
      <c r="CC500" s="14"/>
      <c r="CD500" s="14"/>
      <c r="CE500" s="14"/>
      <c r="CF500" s="14"/>
      <c r="CG500" s="14"/>
      <c r="CH500" s="14"/>
      <c r="CI500" s="221"/>
      <c r="CJ500"/>
    </row>
    <row r="501" spans="2:88" s="8" customFormat="1" ht="14.25" hidden="1" customHeight="1" outlineLevel="1">
      <c r="B501" s="989" t="s">
        <v>524</v>
      </c>
      <c r="C501" s="268"/>
      <c r="D501" s="1031"/>
      <c r="E501" s="1031"/>
      <c r="F501" s="1031"/>
      <c r="G501" s="1031"/>
      <c r="H501" s="1031"/>
      <c r="I501" s="1031"/>
      <c r="J501" s="1031"/>
      <c r="K501" s="1031"/>
      <c r="L501" s="1034"/>
      <c r="M501" s="1034"/>
      <c r="N501" s="1034"/>
      <c r="O501" s="1034"/>
      <c r="P501" s="1034"/>
      <c r="Q501" s="1034"/>
      <c r="R501" s="1034"/>
      <c r="S501" s="1034"/>
      <c r="T501" s="1034"/>
      <c r="U501" s="1034"/>
      <c r="V501" s="1034"/>
      <c r="W501" s="1034"/>
      <c r="X501" s="1034"/>
      <c r="Y501" s="1034"/>
      <c r="Z501" s="1034"/>
      <c r="AA501" s="1034"/>
      <c r="AB501" s="1034"/>
      <c r="AC501" s="1034"/>
      <c r="AD501" s="1034"/>
      <c r="AE501" s="1034"/>
      <c r="AF501" s="1034"/>
      <c r="AG501" s="280"/>
      <c r="AH501" s="280"/>
      <c r="AI501" s="280"/>
      <c r="AJ501" s="280"/>
      <c r="AK501" s="280"/>
      <c r="AL501" s="280"/>
      <c r="AM501" s="280"/>
      <c r="AN501" s="280"/>
      <c r="AO501" s="280"/>
      <c r="AP501" s="280"/>
      <c r="AQ501" s="280"/>
      <c r="AR501" s="280"/>
      <c r="AS501" s="280"/>
      <c r="AT501" s="280"/>
      <c r="AU501" s="280"/>
      <c r="AV501" s="280"/>
      <c r="AW501" s="280"/>
      <c r="AX501" s="280"/>
      <c r="AY501" s="280"/>
      <c r="AZ501" s="280"/>
      <c r="BA501" s="280"/>
      <c r="BB501" s="280"/>
      <c r="BC501" s="280"/>
      <c r="BD501" s="280"/>
      <c r="BE501" s="280"/>
      <c r="BF501" s="280"/>
      <c r="BG501" s="280"/>
      <c r="BH501" s="280"/>
      <c r="BI501" s="280"/>
      <c r="BJ501" s="280"/>
      <c r="BK501" s="280"/>
      <c r="BL501" s="280"/>
      <c r="BM501" s="280"/>
      <c r="BN501" s="280"/>
      <c r="BO501" s="280"/>
      <c r="BP501" s="652"/>
      <c r="BQ501" s="1033"/>
      <c r="BR501" s="1033"/>
      <c r="BS501" s="280"/>
      <c r="BT501" s="14"/>
      <c r="BU501" s="14"/>
      <c r="BV501" s="14"/>
      <c r="BW501" s="14"/>
      <c r="BX501" s="14">
        <v>0.3</v>
      </c>
      <c r="BY501" s="14"/>
      <c r="BZ501" s="14"/>
      <c r="CA501" s="14"/>
      <c r="CB501" s="14"/>
      <c r="CC501" s="14"/>
      <c r="CD501" s="14"/>
      <c r="CE501" s="14"/>
      <c r="CF501" s="14"/>
      <c r="CG501" s="14"/>
      <c r="CH501" s="14"/>
      <c r="CI501" s="221"/>
      <c r="CJ501"/>
    </row>
    <row r="502" spans="2:88" s="8" customFormat="1" ht="14.25" hidden="1" customHeight="1" outlineLevel="1">
      <c r="B502" s="14" t="s">
        <v>525</v>
      </c>
      <c r="C502" s="268"/>
      <c r="D502" s="1031"/>
      <c r="E502" s="1031"/>
      <c r="F502" s="1031"/>
      <c r="G502" s="1031"/>
      <c r="H502" s="1031"/>
      <c r="I502" s="1031"/>
      <c r="J502" s="1031"/>
      <c r="K502" s="1031"/>
      <c r="L502" s="1034"/>
      <c r="M502" s="1034"/>
      <c r="N502" s="1034"/>
      <c r="O502" s="1034"/>
      <c r="P502" s="1034"/>
      <c r="Q502" s="1034"/>
      <c r="R502" s="1034"/>
      <c r="S502" s="1034"/>
      <c r="T502" s="1034"/>
      <c r="U502" s="1034"/>
      <c r="V502" s="1034"/>
      <c r="W502" s="1034"/>
      <c r="X502" s="1034"/>
      <c r="Y502" s="1034"/>
      <c r="Z502" s="1034"/>
      <c r="AA502" s="1034"/>
      <c r="AB502" s="1034"/>
      <c r="AC502" s="1034"/>
      <c r="AD502" s="1034"/>
      <c r="AE502" s="1034"/>
      <c r="AF502" s="1034"/>
      <c r="AG502" s="280"/>
      <c r="AH502" s="280"/>
      <c r="AI502" s="280"/>
      <c r="AJ502" s="280"/>
      <c r="AK502" s="280"/>
      <c r="AL502" s="280"/>
      <c r="AM502" s="280"/>
      <c r="AN502" s="280"/>
      <c r="AO502" s="280"/>
      <c r="AP502" s="280"/>
      <c r="AQ502" s="280"/>
      <c r="AR502" s="280"/>
      <c r="AS502" s="280"/>
      <c r="AT502" s="280"/>
      <c r="AU502" s="280"/>
      <c r="AV502" s="280"/>
      <c r="AW502" s="280"/>
      <c r="AX502" s="280"/>
      <c r="AY502" s="280"/>
      <c r="AZ502" s="280"/>
      <c r="BA502" s="280"/>
      <c r="BB502" s="280"/>
      <c r="BC502" s="280"/>
      <c r="BD502" s="280"/>
      <c r="BE502" s="280"/>
      <c r="BF502" s="280"/>
      <c r="BG502" s="280"/>
      <c r="BH502" s="280"/>
      <c r="BI502" s="280"/>
      <c r="BJ502" s="280"/>
      <c r="BK502" s="280"/>
      <c r="BL502" s="280"/>
      <c r="BM502" s="280"/>
      <c r="BN502" s="280"/>
      <c r="BO502" s="280"/>
      <c r="BP502" s="652"/>
      <c r="BQ502" s="1033"/>
      <c r="BR502" s="1033"/>
      <c r="BS502" s="280"/>
      <c r="BT502" s="14"/>
      <c r="BU502" s="14"/>
      <c r="BV502" s="14"/>
      <c r="BW502" s="14"/>
      <c r="BX502" s="14"/>
      <c r="BY502" s="14"/>
      <c r="BZ502" s="14"/>
      <c r="CA502" s="14"/>
      <c r="CB502" s="14"/>
      <c r="CC502" s="14"/>
      <c r="CD502" s="14"/>
      <c r="CE502" s="14"/>
      <c r="CF502" s="14"/>
      <c r="CG502" s="14"/>
      <c r="CH502" s="14"/>
      <c r="CI502" s="221"/>
      <c r="CJ502"/>
    </row>
    <row r="503" spans="2:88" s="8" customFormat="1" ht="14.25" hidden="1" customHeight="1" outlineLevel="1">
      <c r="B503" s="989" t="s">
        <v>526</v>
      </c>
      <c r="C503" s="268"/>
      <c r="D503" s="1031"/>
      <c r="E503" s="1031"/>
      <c r="F503" s="1031"/>
      <c r="G503" s="1031"/>
      <c r="H503" s="1031"/>
      <c r="I503" s="1031"/>
      <c r="J503" s="1031"/>
      <c r="K503" s="1031"/>
      <c r="L503" s="1034"/>
      <c r="M503" s="1034"/>
      <c r="N503" s="1034"/>
      <c r="O503" s="1034"/>
      <c r="P503" s="1034"/>
      <c r="Q503" s="1034"/>
      <c r="R503" s="1034"/>
      <c r="S503" s="1034"/>
      <c r="T503" s="1034"/>
      <c r="U503" s="1034"/>
      <c r="V503" s="1034"/>
      <c r="W503" s="1034"/>
      <c r="X503" s="1034"/>
      <c r="Y503" s="1034"/>
      <c r="Z503" s="1034"/>
      <c r="AA503" s="1034"/>
      <c r="AB503" s="1034"/>
      <c r="AC503" s="1034"/>
      <c r="AD503" s="1034"/>
      <c r="AE503" s="1034"/>
      <c r="AF503" s="1034"/>
      <c r="AG503" s="280"/>
      <c r="AH503" s="280"/>
      <c r="AI503" s="280"/>
      <c r="AJ503" s="280"/>
      <c r="AK503" s="280"/>
      <c r="AL503" s="280"/>
      <c r="AM503" s="280"/>
      <c r="AN503" s="280"/>
      <c r="AO503" s="280"/>
      <c r="AP503" s="280"/>
      <c r="AQ503" s="280"/>
      <c r="AR503" s="280"/>
      <c r="AS503" s="280"/>
      <c r="AT503" s="280"/>
      <c r="AU503" s="280"/>
      <c r="AV503" s="280"/>
      <c r="AW503" s="280"/>
      <c r="AX503" s="280"/>
      <c r="AY503" s="280"/>
      <c r="AZ503" s="280"/>
      <c r="BA503" s="280"/>
      <c r="BB503" s="280"/>
      <c r="BC503" s="280"/>
      <c r="BD503" s="280"/>
      <c r="BE503" s="280"/>
      <c r="BF503" s="280"/>
      <c r="BG503" s="280"/>
      <c r="BH503" s="280"/>
      <c r="BI503" s="280"/>
      <c r="BJ503" s="280"/>
      <c r="BK503" s="280"/>
      <c r="BL503" s="280"/>
      <c r="BM503" s="280"/>
      <c r="BN503" s="280"/>
      <c r="BO503" s="280"/>
      <c r="BP503" s="652"/>
      <c r="BQ503" s="1033"/>
      <c r="BR503" s="1033"/>
      <c r="BS503" s="280"/>
      <c r="BT503" s="14"/>
      <c r="BU503" s="14"/>
      <c r="BV503" s="14"/>
      <c r="BW503" s="14"/>
      <c r="BX503" s="14" t="s">
        <v>494</v>
      </c>
      <c r="BY503" s="14"/>
      <c r="BZ503" s="14"/>
      <c r="CA503" s="14"/>
      <c r="CB503" s="14"/>
      <c r="CC503" s="14"/>
      <c r="CD503" s="14"/>
      <c r="CE503" s="14"/>
      <c r="CF503" s="14"/>
      <c r="CG503" s="14"/>
      <c r="CH503" s="14"/>
      <c r="CI503" s="221"/>
      <c r="CJ503"/>
    </row>
    <row r="504" spans="2:88" s="8" customFormat="1" ht="14.25" hidden="1" customHeight="1" outlineLevel="1">
      <c r="B504" s="1049" t="s">
        <v>24</v>
      </c>
      <c r="C504" s="268"/>
      <c r="D504" s="1031"/>
      <c r="E504" s="1031"/>
      <c r="F504" s="1031"/>
      <c r="G504" s="1031"/>
      <c r="H504" s="1031"/>
      <c r="I504" s="1031"/>
      <c r="J504" s="1031"/>
      <c r="K504" s="1031"/>
      <c r="L504" s="1034"/>
      <c r="M504" s="1034"/>
      <c r="N504" s="1034"/>
      <c r="O504" s="1034"/>
      <c r="P504" s="1034"/>
      <c r="Q504" s="1034"/>
      <c r="R504" s="1034"/>
      <c r="S504" s="1034"/>
      <c r="T504" s="1034"/>
      <c r="U504" s="1034"/>
      <c r="V504" s="1034"/>
      <c r="W504" s="1034"/>
      <c r="X504" s="1034"/>
      <c r="Y504" s="1034"/>
      <c r="Z504" s="1034"/>
      <c r="AA504" s="1034"/>
      <c r="AB504" s="1034"/>
      <c r="AC504" s="1034"/>
      <c r="AD504" s="1034"/>
      <c r="AE504" s="1034"/>
      <c r="AF504" s="1034"/>
      <c r="AG504" s="280"/>
      <c r="AH504" s="280"/>
      <c r="AI504" s="280"/>
      <c r="AJ504" s="280"/>
      <c r="AK504" s="280"/>
      <c r="AL504" s="280"/>
      <c r="AM504" s="280"/>
      <c r="AN504" s="280"/>
      <c r="AO504" s="280"/>
      <c r="AP504" s="280"/>
      <c r="AQ504" s="280"/>
      <c r="AR504" s="280"/>
      <c r="AS504" s="280"/>
      <c r="AT504" s="280"/>
      <c r="AU504" s="280"/>
      <c r="AV504" s="280"/>
      <c r="AW504" s="280"/>
      <c r="AX504" s="280"/>
      <c r="AY504" s="280"/>
      <c r="AZ504" s="280"/>
      <c r="BA504" s="280"/>
      <c r="BB504" s="280"/>
      <c r="BC504" s="280"/>
      <c r="BD504" s="280"/>
      <c r="BE504" s="280"/>
      <c r="BF504" s="280"/>
      <c r="BG504" s="280"/>
      <c r="BH504" s="280"/>
      <c r="BI504" s="280"/>
      <c r="BJ504" s="280"/>
      <c r="BK504" s="280"/>
      <c r="BL504" s="280"/>
      <c r="BM504" s="280"/>
      <c r="BN504" s="280"/>
      <c r="BO504" s="280"/>
      <c r="BP504" s="652"/>
      <c r="BQ504" s="1033"/>
      <c r="BR504" s="1033"/>
      <c r="BS504" s="280"/>
      <c r="BT504" s="14"/>
      <c r="BU504" s="14"/>
      <c r="BV504" s="14"/>
      <c r="BW504" s="14"/>
      <c r="BX504" s="14" t="s">
        <v>494</v>
      </c>
      <c r="BY504" s="14"/>
      <c r="BZ504" s="14"/>
      <c r="CA504" s="14"/>
      <c r="CB504" s="14"/>
      <c r="CC504" s="14"/>
      <c r="CD504" s="14"/>
      <c r="CE504" s="14"/>
      <c r="CF504" s="14"/>
      <c r="CG504" s="14"/>
      <c r="CH504" s="14"/>
      <c r="CI504" s="221"/>
      <c r="CJ504"/>
    </row>
    <row r="505" spans="2:88" s="8" customFormat="1" ht="14.25" hidden="1" customHeight="1" outlineLevel="1">
      <c r="B505" s="1049" t="s">
        <v>527</v>
      </c>
      <c r="C505" s="268"/>
      <c r="D505" s="1031"/>
      <c r="E505" s="1031"/>
      <c r="F505" s="1031"/>
      <c r="G505" s="1031"/>
      <c r="H505" s="1031"/>
      <c r="I505" s="1031"/>
      <c r="J505" s="1031"/>
      <c r="K505" s="1031"/>
      <c r="L505" s="1034"/>
      <c r="M505" s="1034"/>
      <c r="N505" s="1034"/>
      <c r="O505" s="1034"/>
      <c r="P505" s="1034"/>
      <c r="Q505" s="1034"/>
      <c r="R505" s="1034"/>
      <c r="S505" s="1034"/>
      <c r="T505" s="1034"/>
      <c r="U505" s="1034"/>
      <c r="V505" s="1034"/>
      <c r="W505" s="1034"/>
      <c r="X505" s="1034"/>
      <c r="Y505" s="1034"/>
      <c r="Z505" s="1034"/>
      <c r="AA505" s="1034"/>
      <c r="AB505" s="1034"/>
      <c r="AC505" s="1034"/>
      <c r="AD505" s="1034"/>
      <c r="AE505" s="1034"/>
      <c r="AF505" s="1034"/>
      <c r="AG505" s="280"/>
      <c r="AH505" s="280"/>
      <c r="AI505" s="280"/>
      <c r="AJ505" s="280"/>
      <c r="AK505" s="280"/>
      <c r="AL505" s="280"/>
      <c r="AM505" s="280"/>
      <c r="AN505" s="280"/>
      <c r="AO505" s="280"/>
      <c r="AP505" s="280"/>
      <c r="AQ505" s="280"/>
      <c r="AR505" s="280"/>
      <c r="AS505" s="280"/>
      <c r="AT505" s="280"/>
      <c r="AU505" s="280"/>
      <c r="AV505" s="280"/>
      <c r="AW505" s="280"/>
      <c r="AX505" s="280"/>
      <c r="AY505" s="280"/>
      <c r="AZ505" s="280"/>
      <c r="BA505" s="280"/>
      <c r="BB505" s="280"/>
      <c r="BC505" s="280"/>
      <c r="BD505" s="280"/>
      <c r="BE505" s="280"/>
      <c r="BF505" s="280"/>
      <c r="BG505" s="280"/>
      <c r="BH505" s="280"/>
      <c r="BI505" s="280"/>
      <c r="BJ505" s="280"/>
      <c r="BK505" s="280"/>
      <c r="BL505" s="280"/>
      <c r="BM505" s="280"/>
      <c r="BN505" s="280"/>
      <c r="BO505" s="280"/>
      <c r="BP505" s="652"/>
      <c r="BQ505" s="1033"/>
      <c r="BR505" s="1033"/>
      <c r="BS505" s="280"/>
      <c r="BT505" s="14"/>
      <c r="BU505" s="14"/>
      <c r="BV505" s="14"/>
      <c r="BW505" s="14"/>
      <c r="BX505" s="14" t="s">
        <v>26</v>
      </c>
      <c r="BY505" s="14"/>
      <c r="BZ505" s="14"/>
      <c r="CA505" s="14"/>
      <c r="CB505" s="14"/>
      <c r="CC505" s="14"/>
      <c r="CD505" s="14"/>
      <c r="CE505" s="14"/>
      <c r="CF505" s="14"/>
      <c r="CG505" s="14"/>
      <c r="CH505" s="14"/>
      <c r="CI505" s="221"/>
      <c r="CJ505"/>
    </row>
    <row r="506" spans="2:88" s="8" customFormat="1" ht="14.25" hidden="1" customHeight="1" outlineLevel="1">
      <c r="B506" s="1049" t="s">
        <v>528</v>
      </c>
      <c r="C506" s="268"/>
      <c r="D506" s="1031"/>
      <c r="E506" s="1031"/>
      <c r="F506" s="1031"/>
      <c r="G506" s="1031"/>
      <c r="H506" s="1031"/>
      <c r="I506" s="1031"/>
      <c r="J506" s="1031"/>
      <c r="K506" s="1031"/>
      <c r="L506" s="1034"/>
      <c r="M506" s="1034"/>
      <c r="N506" s="1034"/>
      <c r="O506" s="1034"/>
      <c r="P506" s="1034"/>
      <c r="Q506" s="1034"/>
      <c r="R506" s="1034"/>
      <c r="S506" s="1034"/>
      <c r="T506" s="1034"/>
      <c r="U506" s="1034"/>
      <c r="V506" s="1034"/>
      <c r="W506" s="1034"/>
      <c r="X506" s="1034"/>
      <c r="Y506" s="1034"/>
      <c r="Z506" s="1034"/>
      <c r="AA506" s="1034"/>
      <c r="AB506" s="1034"/>
      <c r="AC506" s="1034"/>
      <c r="AD506" s="1034"/>
      <c r="AE506" s="1034"/>
      <c r="AF506" s="1034"/>
      <c r="AG506" s="280"/>
      <c r="AH506" s="280"/>
      <c r="AI506" s="280"/>
      <c r="AJ506" s="280"/>
      <c r="AK506" s="280"/>
      <c r="AL506" s="280"/>
      <c r="AM506" s="280"/>
      <c r="AN506" s="280"/>
      <c r="AO506" s="280"/>
      <c r="AP506" s="280"/>
      <c r="AQ506" s="280"/>
      <c r="AR506" s="280"/>
      <c r="AS506" s="280"/>
      <c r="AT506" s="280"/>
      <c r="AU506" s="280"/>
      <c r="AV506" s="280"/>
      <c r="AW506" s="280"/>
      <c r="AX506" s="280"/>
      <c r="AY506" s="280"/>
      <c r="AZ506" s="280"/>
      <c r="BA506" s="280"/>
      <c r="BB506" s="280"/>
      <c r="BC506" s="280"/>
      <c r="BD506" s="280"/>
      <c r="BE506" s="280"/>
      <c r="BF506" s="280"/>
      <c r="BG506" s="280"/>
      <c r="BH506" s="280"/>
      <c r="BI506" s="280"/>
      <c r="BJ506" s="280"/>
      <c r="BK506" s="280"/>
      <c r="BL506" s="280"/>
      <c r="BM506" s="280"/>
      <c r="BN506" s="280"/>
      <c r="BO506" s="280"/>
      <c r="BP506" s="652"/>
      <c r="BQ506" s="1033"/>
      <c r="BR506" s="1033"/>
      <c r="BS506" s="280"/>
      <c r="BT506" s="14"/>
      <c r="BU506" s="14"/>
      <c r="BV506" s="14"/>
      <c r="BW506" s="14"/>
      <c r="BX506" s="14" t="s">
        <v>494</v>
      </c>
      <c r="BY506" s="14"/>
      <c r="BZ506" s="14"/>
      <c r="CA506" s="14"/>
      <c r="CB506" s="14"/>
      <c r="CC506" s="14"/>
      <c r="CD506" s="14"/>
      <c r="CE506" s="14"/>
      <c r="CF506" s="14"/>
      <c r="CG506" s="14"/>
      <c r="CH506" s="14"/>
      <c r="CI506" s="221"/>
      <c r="CJ506"/>
    </row>
    <row r="507" spans="2:88" s="8" customFormat="1" ht="14.25" hidden="1" customHeight="1" outlineLevel="1">
      <c r="B507" s="1049"/>
      <c r="C507" s="268"/>
      <c r="D507" s="1031"/>
      <c r="E507" s="1031"/>
      <c r="F507" s="1031"/>
      <c r="G507" s="1031"/>
      <c r="H507" s="1031"/>
      <c r="I507" s="1031"/>
      <c r="J507" s="1031"/>
      <c r="K507" s="1031"/>
      <c r="L507" s="1034"/>
      <c r="M507" s="1034"/>
      <c r="N507" s="1034"/>
      <c r="O507" s="1034"/>
      <c r="P507" s="1034"/>
      <c r="Q507" s="1034"/>
      <c r="R507" s="1034"/>
      <c r="S507" s="1034"/>
      <c r="T507" s="1034"/>
      <c r="U507" s="1034"/>
      <c r="V507" s="1034"/>
      <c r="W507" s="1034"/>
      <c r="X507" s="1034"/>
      <c r="Y507" s="1034"/>
      <c r="Z507" s="1034"/>
      <c r="AA507" s="1034"/>
      <c r="AB507" s="1034"/>
      <c r="AC507" s="1034"/>
      <c r="AD507" s="1034"/>
      <c r="AE507" s="1034"/>
      <c r="AF507" s="1034"/>
      <c r="AG507" s="280"/>
      <c r="AH507" s="280"/>
      <c r="AI507" s="280"/>
      <c r="AJ507" s="280"/>
      <c r="AK507" s="280"/>
      <c r="AL507" s="280"/>
      <c r="AM507" s="280"/>
      <c r="AN507" s="280"/>
      <c r="AO507" s="280"/>
      <c r="AP507" s="280"/>
      <c r="AQ507" s="280"/>
      <c r="AR507" s="280"/>
      <c r="AS507" s="280"/>
      <c r="AT507" s="280"/>
      <c r="AU507" s="280"/>
      <c r="AV507" s="280"/>
      <c r="AW507" s="280"/>
      <c r="AX507" s="280"/>
      <c r="AY507" s="280"/>
      <c r="AZ507" s="280"/>
      <c r="BA507" s="280"/>
      <c r="BB507" s="280"/>
      <c r="BC507" s="280"/>
      <c r="BD507" s="280"/>
      <c r="BE507" s="280"/>
      <c r="BF507" s="280"/>
      <c r="BG507" s="280"/>
      <c r="BH507" s="280"/>
      <c r="BI507" s="280"/>
      <c r="BJ507" s="280"/>
      <c r="BK507" s="280"/>
      <c r="BL507" s="280"/>
      <c r="BM507" s="280"/>
      <c r="BN507" s="280"/>
      <c r="BO507" s="280"/>
      <c r="BP507" s="652"/>
      <c r="BQ507" s="1033"/>
      <c r="BR507" s="1033"/>
      <c r="BS507" s="280"/>
      <c r="BT507" s="14"/>
      <c r="BU507" s="14"/>
      <c r="BV507" s="14"/>
      <c r="BW507" s="14"/>
      <c r="BX507" s="14" t="s">
        <v>494</v>
      </c>
      <c r="BY507" s="14"/>
      <c r="BZ507" s="14"/>
      <c r="CA507" s="14"/>
      <c r="CB507" s="14"/>
      <c r="CC507" s="14"/>
      <c r="CD507" s="14"/>
      <c r="CE507" s="14"/>
      <c r="CF507" s="14"/>
      <c r="CG507" s="14"/>
      <c r="CH507" s="14"/>
      <c r="CI507" s="221"/>
      <c r="CJ507"/>
    </row>
    <row r="508" spans="2:88" s="8" customFormat="1" ht="14.25" hidden="1" customHeight="1" outlineLevel="1">
      <c r="B508" s="1049"/>
      <c r="C508" s="268"/>
      <c r="D508" s="1031"/>
      <c r="E508" s="1031"/>
      <c r="F508" s="1031"/>
      <c r="G508" s="1031"/>
      <c r="H508" s="1031"/>
      <c r="I508" s="1031"/>
      <c r="J508" s="1031"/>
      <c r="K508" s="1031"/>
      <c r="L508" s="1034"/>
      <c r="M508" s="1034"/>
      <c r="N508" s="1034"/>
      <c r="O508" s="1034"/>
      <c r="P508" s="1034"/>
      <c r="Q508" s="1034"/>
      <c r="R508" s="1034"/>
      <c r="S508" s="1034"/>
      <c r="T508" s="1034"/>
      <c r="U508" s="1034"/>
      <c r="V508" s="1034"/>
      <c r="W508" s="1034"/>
      <c r="X508" s="1034"/>
      <c r="Y508" s="1034"/>
      <c r="Z508" s="1034"/>
      <c r="AA508" s="1034"/>
      <c r="AB508" s="1034"/>
      <c r="AC508" s="1034"/>
      <c r="AD508" s="1034"/>
      <c r="AE508" s="1034"/>
      <c r="AF508" s="1034"/>
      <c r="AG508" s="280"/>
      <c r="AH508" s="280"/>
      <c r="AI508" s="280"/>
      <c r="AJ508" s="280"/>
      <c r="AK508" s="280"/>
      <c r="AL508" s="280"/>
      <c r="AM508" s="280"/>
      <c r="AN508" s="280"/>
      <c r="AO508" s="280"/>
      <c r="AP508" s="280"/>
      <c r="AQ508" s="280"/>
      <c r="AR508" s="280"/>
      <c r="AS508" s="280"/>
      <c r="AT508" s="280"/>
      <c r="AU508" s="280"/>
      <c r="AV508" s="280"/>
      <c r="AW508" s="280"/>
      <c r="AX508" s="280"/>
      <c r="AY508" s="280"/>
      <c r="AZ508" s="280"/>
      <c r="BA508" s="280"/>
      <c r="BB508" s="280"/>
      <c r="BC508" s="280"/>
      <c r="BD508" s="280"/>
      <c r="BE508" s="280"/>
      <c r="BF508" s="280"/>
      <c r="BG508" s="280"/>
      <c r="BH508" s="280"/>
      <c r="BI508" s="280"/>
      <c r="BJ508" s="280"/>
      <c r="BK508" s="280"/>
      <c r="BL508" s="280"/>
      <c r="BM508" s="280"/>
      <c r="BN508" s="280"/>
      <c r="BO508" s="280"/>
      <c r="BP508" s="652"/>
      <c r="BQ508" s="1033"/>
      <c r="BR508" s="1033"/>
      <c r="BS508" s="280"/>
      <c r="BT508" s="14"/>
      <c r="BU508" s="14"/>
      <c r="BV508" s="14"/>
      <c r="BW508" s="14"/>
      <c r="BX508" s="14" t="s">
        <v>494</v>
      </c>
      <c r="BY508" s="14"/>
      <c r="BZ508" s="14"/>
      <c r="CA508" s="14"/>
      <c r="CB508" s="14"/>
      <c r="CC508" s="14"/>
      <c r="CD508" s="14"/>
      <c r="CE508" s="14"/>
      <c r="CF508" s="14"/>
      <c r="CG508" s="14"/>
      <c r="CH508" s="14"/>
      <c r="CI508" s="221"/>
      <c r="CJ508"/>
    </row>
    <row r="509" spans="2:88" s="8" customFormat="1" ht="14.25" hidden="1" customHeight="1" outlineLevel="1">
      <c r="B509" s="1049"/>
      <c r="C509" s="268"/>
      <c r="D509" s="1031"/>
      <c r="E509" s="1031"/>
      <c r="F509" s="1031"/>
      <c r="G509" s="1031"/>
      <c r="H509" s="1031"/>
      <c r="I509" s="1031"/>
      <c r="J509" s="1031"/>
      <c r="K509" s="1031"/>
      <c r="L509" s="1034"/>
      <c r="M509" s="1034"/>
      <c r="N509" s="1034"/>
      <c r="O509" s="1034"/>
      <c r="P509" s="1034"/>
      <c r="Q509" s="1034"/>
      <c r="R509" s="1034"/>
      <c r="S509" s="1034"/>
      <c r="T509" s="1034"/>
      <c r="U509" s="1034"/>
      <c r="V509" s="1034"/>
      <c r="W509" s="1034"/>
      <c r="X509" s="1034"/>
      <c r="Y509" s="1034"/>
      <c r="Z509" s="1034"/>
      <c r="AA509" s="1034"/>
      <c r="AB509" s="1034"/>
      <c r="AC509" s="1034"/>
      <c r="AD509" s="1034"/>
      <c r="AE509" s="1034"/>
      <c r="AF509" s="1034"/>
      <c r="AG509" s="280"/>
      <c r="AH509" s="280"/>
      <c r="AI509" s="280"/>
      <c r="AJ509" s="280"/>
      <c r="AK509" s="280"/>
      <c r="AL509" s="280"/>
      <c r="AM509" s="280"/>
      <c r="AN509" s="280"/>
      <c r="AO509" s="280"/>
      <c r="AP509" s="280"/>
      <c r="AQ509" s="280"/>
      <c r="AR509" s="280"/>
      <c r="AS509" s="280"/>
      <c r="AT509" s="280"/>
      <c r="AU509" s="280"/>
      <c r="AV509" s="280"/>
      <c r="AW509" s="280"/>
      <c r="AX509" s="280"/>
      <c r="AY509" s="280"/>
      <c r="AZ509" s="280"/>
      <c r="BA509" s="280"/>
      <c r="BB509" s="280"/>
      <c r="BC509" s="280"/>
      <c r="BD509" s="280"/>
      <c r="BE509" s="280"/>
      <c r="BF509" s="280"/>
      <c r="BG509" s="280"/>
      <c r="BH509" s="280"/>
      <c r="BI509" s="280"/>
      <c r="BJ509" s="280"/>
      <c r="BK509" s="280"/>
      <c r="BL509" s="280"/>
      <c r="BM509" s="280"/>
      <c r="BN509" s="280"/>
      <c r="BO509" s="280"/>
      <c r="BP509" s="652"/>
      <c r="BQ509" s="1033"/>
      <c r="BR509" s="1033"/>
      <c r="BS509" s="280"/>
      <c r="BT509" s="14"/>
      <c r="BU509" s="14"/>
      <c r="BV509" s="14"/>
      <c r="BW509" s="14"/>
      <c r="BX509" s="14" t="s">
        <v>494</v>
      </c>
      <c r="BY509" s="14"/>
      <c r="BZ509" s="14"/>
      <c r="CA509" s="14"/>
      <c r="CB509" s="14"/>
      <c r="CC509" s="14"/>
      <c r="CD509" s="14"/>
      <c r="CE509" s="14"/>
      <c r="CF509" s="14"/>
      <c r="CG509" s="14"/>
      <c r="CH509" s="14"/>
      <c r="CI509" s="221"/>
      <c r="CJ509"/>
    </row>
    <row r="510" spans="2:88" s="8" customFormat="1" ht="14.25" hidden="1" customHeight="1" outlineLevel="1">
      <c r="B510" s="1049"/>
      <c r="C510" s="268"/>
      <c r="D510" s="1031"/>
      <c r="E510" s="1031"/>
      <c r="F510" s="1031"/>
      <c r="G510" s="1031"/>
      <c r="H510" s="1031"/>
      <c r="I510" s="1031"/>
      <c r="J510" s="1031"/>
      <c r="K510" s="1031"/>
      <c r="L510" s="1034"/>
      <c r="M510" s="1034"/>
      <c r="N510" s="1034"/>
      <c r="O510" s="1034"/>
      <c r="P510" s="1034"/>
      <c r="Q510" s="1034"/>
      <c r="R510" s="1034"/>
      <c r="S510" s="1034"/>
      <c r="T510" s="1034"/>
      <c r="U510" s="1034"/>
      <c r="V510" s="1034"/>
      <c r="W510" s="1034"/>
      <c r="X510" s="1034"/>
      <c r="Y510" s="1034"/>
      <c r="Z510" s="1034"/>
      <c r="AA510" s="1034"/>
      <c r="AB510" s="1034"/>
      <c r="AC510" s="1034"/>
      <c r="AD510" s="1034"/>
      <c r="AE510" s="1034"/>
      <c r="AF510" s="1034"/>
      <c r="AG510" s="280"/>
      <c r="AH510" s="280"/>
      <c r="AI510" s="280"/>
      <c r="AJ510" s="280"/>
      <c r="AK510" s="280"/>
      <c r="AL510" s="280"/>
      <c r="AM510" s="280"/>
      <c r="AN510" s="280"/>
      <c r="AO510" s="280"/>
      <c r="AP510" s="280"/>
      <c r="AQ510" s="280"/>
      <c r="AR510" s="280"/>
      <c r="AS510" s="280"/>
      <c r="AT510" s="280"/>
      <c r="AU510" s="280"/>
      <c r="AV510" s="280"/>
      <c r="AW510" s="280"/>
      <c r="AX510" s="280"/>
      <c r="AY510" s="280"/>
      <c r="AZ510" s="280"/>
      <c r="BA510" s="280"/>
      <c r="BB510" s="280"/>
      <c r="BC510" s="280"/>
      <c r="BD510" s="280"/>
      <c r="BE510" s="280"/>
      <c r="BF510" s="280"/>
      <c r="BG510" s="280"/>
      <c r="BH510" s="280"/>
      <c r="BI510" s="280"/>
      <c r="BJ510" s="280"/>
      <c r="BK510" s="280"/>
      <c r="BL510" s="280"/>
      <c r="BM510" s="280"/>
      <c r="BN510" s="280"/>
      <c r="BO510" s="280"/>
      <c r="BP510" s="652"/>
      <c r="BQ510" s="1033"/>
      <c r="BR510" s="1033"/>
      <c r="BS510" s="280"/>
      <c r="BT510" s="14"/>
      <c r="BU510" s="14"/>
      <c r="BV510" s="14"/>
      <c r="BW510" s="14"/>
      <c r="BX510" s="14" t="s">
        <v>494</v>
      </c>
      <c r="BY510" s="14"/>
      <c r="BZ510" s="14"/>
      <c r="CA510" s="14"/>
      <c r="CB510" s="14"/>
      <c r="CC510" s="14"/>
      <c r="CD510" s="14"/>
      <c r="CE510" s="14"/>
      <c r="CF510" s="14"/>
      <c r="CG510" s="14"/>
      <c r="CH510" s="14"/>
      <c r="CI510" s="221"/>
      <c r="CJ510"/>
    </row>
    <row r="511" spans="2:88" s="8" customFormat="1" ht="14.25" hidden="1" customHeight="1" outlineLevel="1">
      <c r="B511" s="1049"/>
      <c r="C511" s="268"/>
      <c r="D511" s="1031"/>
      <c r="E511" s="1031"/>
      <c r="F511" s="1031"/>
      <c r="G511" s="1031"/>
      <c r="H511" s="1031"/>
      <c r="I511" s="1031"/>
      <c r="J511" s="1031"/>
      <c r="K511" s="1031"/>
      <c r="L511" s="1034"/>
      <c r="M511" s="1034"/>
      <c r="N511" s="1034"/>
      <c r="O511" s="1034"/>
      <c r="P511" s="1034"/>
      <c r="Q511" s="1034"/>
      <c r="R511" s="1034"/>
      <c r="S511" s="1034"/>
      <c r="T511" s="1034"/>
      <c r="U511" s="1034"/>
      <c r="V511" s="1034"/>
      <c r="W511" s="1034"/>
      <c r="X511" s="1034"/>
      <c r="Y511" s="1034"/>
      <c r="Z511" s="1034"/>
      <c r="AA511" s="1034"/>
      <c r="AB511" s="1034"/>
      <c r="AC511" s="1034"/>
      <c r="AD511" s="1034"/>
      <c r="AE511" s="1034"/>
      <c r="AF511" s="1034"/>
      <c r="AG511" s="280"/>
      <c r="AH511" s="280"/>
      <c r="AI511" s="280"/>
      <c r="AJ511" s="280"/>
      <c r="AK511" s="280"/>
      <c r="AL511" s="280"/>
      <c r="AM511" s="280"/>
      <c r="AN511" s="280"/>
      <c r="AO511" s="280"/>
      <c r="AP511" s="280"/>
      <c r="AQ511" s="280"/>
      <c r="AR511" s="280"/>
      <c r="AS511" s="280"/>
      <c r="AT511" s="280"/>
      <c r="AU511" s="280"/>
      <c r="AV511" s="280"/>
      <c r="AW511" s="280"/>
      <c r="AX511" s="280"/>
      <c r="AY511" s="280"/>
      <c r="AZ511" s="280"/>
      <c r="BA511" s="280"/>
      <c r="BB511" s="280"/>
      <c r="BC511" s="280"/>
      <c r="BD511" s="280"/>
      <c r="BE511" s="280"/>
      <c r="BF511" s="280"/>
      <c r="BG511" s="280"/>
      <c r="BH511" s="280"/>
      <c r="BI511" s="280"/>
      <c r="BJ511" s="280"/>
      <c r="BK511" s="280"/>
      <c r="BL511" s="280"/>
      <c r="BM511" s="280"/>
      <c r="BN511" s="280"/>
      <c r="BO511" s="280"/>
      <c r="BP511" s="652"/>
      <c r="BQ511" s="1033"/>
      <c r="BR511" s="1033"/>
      <c r="BS511" s="280"/>
      <c r="BT511" s="14"/>
      <c r="BU511" s="14"/>
      <c r="BV511" s="14"/>
      <c r="BW511" s="14"/>
      <c r="BX511" s="14" t="s">
        <v>494</v>
      </c>
      <c r="BY511" s="14"/>
      <c r="BZ511" s="14"/>
      <c r="CA511" s="14"/>
      <c r="CB511" s="14"/>
      <c r="CC511" s="14"/>
      <c r="CD511" s="14"/>
      <c r="CE511" s="14"/>
      <c r="CF511" s="14"/>
      <c r="CG511" s="14"/>
      <c r="CH511" s="14"/>
      <c r="CI511" s="221"/>
      <c r="CJ511"/>
    </row>
    <row r="512" spans="2:88" s="8" customFormat="1" ht="14.25" hidden="1" customHeight="1" outlineLevel="1">
      <c r="B512" s="1049"/>
      <c r="C512" s="268"/>
      <c r="D512" s="1031"/>
      <c r="E512" s="1031"/>
      <c r="F512" s="1031"/>
      <c r="G512" s="1031"/>
      <c r="H512" s="1031"/>
      <c r="I512" s="1031"/>
      <c r="J512" s="1031"/>
      <c r="K512" s="1031"/>
      <c r="L512" s="1034"/>
      <c r="M512" s="1034"/>
      <c r="N512" s="1034"/>
      <c r="O512" s="1034"/>
      <c r="P512" s="1034"/>
      <c r="Q512" s="1034"/>
      <c r="R512" s="1034"/>
      <c r="S512" s="1034"/>
      <c r="T512" s="1034"/>
      <c r="U512" s="1034"/>
      <c r="V512" s="1034"/>
      <c r="W512" s="1034"/>
      <c r="X512" s="1034"/>
      <c r="Y512" s="1034"/>
      <c r="Z512" s="1034"/>
      <c r="AA512" s="1034"/>
      <c r="AB512" s="1034"/>
      <c r="AC512" s="1034"/>
      <c r="AD512" s="1034"/>
      <c r="AE512" s="1034"/>
      <c r="AF512" s="1034"/>
      <c r="AG512" s="280"/>
      <c r="AH512" s="280"/>
      <c r="AI512" s="280"/>
      <c r="AJ512" s="280"/>
      <c r="AK512" s="280"/>
      <c r="AL512" s="280"/>
      <c r="AM512" s="280"/>
      <c r="AN512" s="280"/>
      <c r="AO512" s="280"/>
      <c r="AP512" s="280"/>
      <c r="AQ512" s="280"/>
      <c r="AR512" s="280"/>
      <c r="AS512" s="280"/>
      <c r="AT512" s="280"/>
      <c r="AU512" s="280"/>
      <c r="AV512" s="280"/>
      <c r="AW512" s="280"/>
      <c r="AX512" s="280"/>
      <c r="AY512" s="280"/>
      <c r="AZ512" s="280"/>
      <c r="BA512" s="280"/>
      <c r="BB512" s="280"/>
      <c r="BC512" s="280"/>
      <c r="BD512" s="280"/>
      <c r="BE512" s="280"/>
      <c r="BF512" s="280"/>
      <c r="BG512" s="280"/>
      <c r="BH512" s="280"/>
      <c r="BI512" s="280"/>
      <c r="BJ512" s="280"/>
      <c r="BK512" s="280"/>
      <c r="BL512" s="280"/>
      <c r="BM512" s="280"/>
      <c r="BN512" s="280"/>
      <c r="BO512" s="280"/>
      <c r="BP512" s="652"/>
      <c r="BQ512" s="1033"/>
      <c r="BR512" s="1033"/>
      <c r="BS512" s="280"/>
      <c r="BT512" s="14"/>
      <c r="BU512" s="14"/>
      <c r="BV512" s="14"/>
      <c r="BW512" s="14"/>
      <c r="BX512" s="14" t="s">
        <v>494</v>
      </c>
      <c r="BY512" s="14"/>
      <c r="BZ512" s="14"/>
      <c r="CA512" s="14"/>
      <c r="CB512" s="14"/>
      <c r="CC512" s="14"/>
      <c r="CD512" s="14"/>
      <c r="CE512" s="14"/>
      <c r="CF512" s="14"/>
      <c r="CG512" s="14"/>
      <c r="CH512" s="14"/>
      <c r="CI512" s="221"/>
      <c r="CJ512"/>
    </row>
    <row r="513" spans="1:88" s="8" customFormat="1" ht="14.25" hidden="1" customHeight="1" outlineLevel="1">
      <c r="B513" s="1030"/>
      <c r="C513" s="268"/>
      <c r="D513" s="1031"/>
      <c r="E513" s="1031"/>
      <c r="F513" s="1031"/>
      <c r="G513" s="1031"/>
      <c r="H513" s="1031"/>
      <c r="I513" s="1031"/>
      <c r="J513" s="1031"/>
      <c r="K513" s="1031"/>
      <c r="L513" s="1034"/>
      <c r="M513" s="1034"/>
      <c r="N513" s="1034"/>
      <c r="O513" s="1034"/>
      <c r="P513" s="1034"/>
      <c r="Q513" s="1034"/>
      <c r="R513" s="1034"/>
      <c r="S513" s="1034"/>
      <c r="T513" s="1034"/>
      <c r="U513" s="1034"/>
      <c r="V513" s="1034"/>
      <c r="W513" s="1034"/>
      <c r="X513" s="1034"/>
      <c r="Y513" s="1034"/>
      <c r="Z513" s="1034"/>
      <c r="AA513" s="1034"/>
      <c r="AB513" s="1034"/>
      <c r="AC513" s="1034"/>
      <c r="AD513" s="1034"/>
      <c r="AE513" s="1034"/>
      <c r="AF513" s="1034"/>
      <c r="AG513" s="280"/>
      <c r="AH513" s="280"/>
      <c r="AI513" s="280"/>
      <c r="AJ513" s="280"/>
      <c r="AK513" s="280"/>
      <c r="AL513" s="280"/>
      <c r="AM513" s="280"/>
      <c r="AN513" s="280"/>
      <c r="AO513" s="280"/>
      <c r="AP513" s="280"/>
      <c r="AQ513" s="280"/>
      <c r="AR513" s="280"/>
      <c r="AS513" s="280"/>
      <c r="AT513" s="280"/>
      <c r="AU513" s="280"/>
      <c r="AV513" s="280"/>
      <c r="AW513" s="280"/>
      <c r="AX513" s="280"/>
      <c r="AY513" s="280"/>
      <c r="AZ513" s="280"/>
      <c r="BA513" s="280"/>
      <c r="BB513" s="280"/>
      <c r="BC513" s="280"/>
      <c r="BD513" s="280"/>
      <c r="BE513" s="280"/>
      <c r="BF513" s="280"/>
      <c r="BG513" s="280"/>
      <c r="BH513" s="280"/>
      <c r="BI513" s="280"/>
      <c r="BJ513" s="280"/>
      <c r="BK513" s="280"/>
      <c r="BL513" s="280"/>
      <c r="BM513" s="280"/>
      <c r="BN513" s="280"/>
      <c r="BO513" s="280"/>
      <c r="BP513" s="652"/>
      <c r="BQ513" s="1033"/>
      <c r="BR513" s="1033"/>
      <c r="BS513" s="280"/>
      <c r="BT513" s="14"/>
      <c r="BU513" s="14"/>
      <c r="BV513" s="14"/>
      <c r="BW513" s="14"/>
      <c r="BX513" s="14" t="s">
        <v>494</v>
      </c>
      <c r="BY513" s="14"/>
      <c r="BZ513" s="14"/>
      <c r="CA513" s="14"/>
      <c r="CB513" s="14"/>
      <c r="CC513" s="14"/>
      <c r="CD513" s="14"/>
      <c r="CE513" s="14"/>
      <c r="CF513" s="14"/>
      <c r="CG513" s="14"/>
      <c r="CH513" s="14"/>
      <c r="CI513" s="221"/>
      <c r="CJ513"/>
    </row>
    <row r="514" spans="1:88" s="8" customFormat="1" ht="14.25" hidden="1" customHeight="1" outlineLevel="1">
      <c r="B514" s="1030"/>
      <c r="C514" s="268"/>
      <c r="D514" s="1031"/>
      <c r="E514" s="1031"/>
      <c r="F514" s="1031"/>
      <c r="G514" s="1031"/>
      <c r="H514" s="1031"/>
      <c r="I514" s="1031"/>
      <c r="J514" s="1031"/>
      <c r="K514" s="1031"/>
      <c r="L514" s="1034"/>
      <c r="M514" s="1034"/>
      <c r="N514" s="1034"/>
      <c r="O514" s="1034"/>
      <c r="P514" s="1034"/>
      <c r="Q514" s="1034"/>
      <c r="R514" s="1034"/>
      <c r="S514" s="1034"/>
      <c r="T514" s="1034"/>
      <c r="U514" s="1034"/>
      <c r="V514" s="1034"/>
      <c r="W514" s="1034"/>
      <c r="X514" s="1034"/>
      <c r="Y514" s="1034"/>
      <c r="Z514" s="1034"/>
      <c r="AA514" s="1034"/>
      <c r="AB514" s="1034"/>
      <c r="AC514" s="1034"/>
      <c r="AD514" s="1034"/>
      <c r="AE514" s="1034"/>
      <c r="AF514" s="1034"/>
      <c r="AG514" s="280"/>
      <c r="AH514" s="280"/>
      <c r="AI514" s="280"/>
      <c r="AJ514" s="280"/>
      <c r="AK514" s="280"/>
      <c r="AL514" s="280"/>
      <c r="AM514" s="280"/>
      <c r="AN514" s="280"/>
      <c r="AO514" s="280"/>
      <c r="AP514" s="280"/>
      <c r="AQ514" s="280"/>
      <c r="AR514" s="280"/>
      <c r="AS514" s="280"/>
      <c r="AT514" s="280"/>
      <c r="AU514" s="280"/>
      <c r="AV514" s="280"/>
      <c r="AW514" s="280"/>
      <c r="AX514" s="280"/>
      <c r="AY514" s="280"/>
      <c r="AZ514" s="280"/>
      <c r="BA514" s="280"/>
      <c r="BB514" s="280"/>
      <c r="BC514" s="280"/>
      <c r="BD514" s="280"/>
      <c r="BE514" s="280"/>
      <c r="BF514" s="280"/>
      <c r="BG514" s="280"/>
      <c r="BH514" s="280"/>
      <c r="BI514" s="280"/>
      <c r="BJ514" s="280"/>
      <c r="BK514" s="280"/>
      <c r="BL514" s="280"/>
      <c r="BM514" s="280"/>
      <c r="BN514" s="280"/>
      <c r="BO514" s="280"/>
      <c r="BP514" s="652"/>
      <c r="BQ514" s="1033"/>
      <c r="BR514" s="1033"/>
      <c r="BS514" s="280"/>
      <c r="BT514" s="14"/>
      <c r="BU514" s="14"/>
      <c r="BV514" s="14"/>
      <c r="BW514" s="14"/>
      <c r="BX514" s="14"/>
      <c r="BY514" s="14"/>
      <c r="BZ514" s="14"/>
      <c r="CA514" s="14"/>
      <c r="CB514" s="14"/>
      <c r="CC514" s="14"/>
      <c r="CD514" s="14"/>
      <c r="CE514" s="14"/>
      <c r="CF514" s="14"/>
      <c r="CG514" s="14"/>
      <c r="CH514" s="14"/>
      <c r="CI514" s="221"/>
      <c r="CJ514"/>
    </row>
    <row r="515" spans="1:88" s="8" customFormat="1" ht="14.25" hidden="1" customHeight="1" outlineLevel="1">
      <c r="B515" s="1030"/>
      <c r="C515" s="268"/>
      <c r="D515" s="1031"/>
      <c r="E515" s="1031"/>
      <c r="F515" s="1031"/>
      <c r="G515" s="1031"/>
      <c r="H515" s="1031"/>
      <c r="I515" s="1031"/>
      <c r="J515" s="1031"/>
      <c r="K515" s="1031"/>
      <c r="L515" s="1034"/>
      <c r="M515" s="1034"/>
      <c r="N515" s="1034"/>
      <c r="O515" s="1034"/>
      <c r="P515" s="1034"/>
      <c r="Q515" s="1034"/>
      <c r="R515" s="1034"/>
      <c r="S515" s="1034"/>
      <c r="T515" s="1034"/>
      <c r="U515" s="1034"/>
      <c r="V515" s="1034"/>
      <c r="W515" s="1034"/>
      <c r="X515" s="1034"/>
      <c r="Y515" s="1034"/>
      <c r="Z515" s="1034"/>
      <c r="AA515" s="1034"/>
      <c r="AB515" s="1034"/>
      <c r="AC515" s="1034"/>
      <c r="AD515" s="1034"/>
      <c r="AE515" s="1034"/>
      <c r="AF515" s="1034"/>
      <c r="AG515" s="280"/>
      <c r="AH515" s="280"/>
      <c r="AI515" s="280"/>
      <c r="AJ515" s="280"/>
      <c r="AK515" s="280"/>
      <c r="AL515" s="280"/>
      <c r="AM515" s="280"/>
      <c r="AN515" s="280"/>
      <c r="AO515" s="280"/>
      <c r="AP515" s="280"/>
      <c r="AQ515" s="280"/>
      <c r="AR515" s="280"/>
      <c r="AS515" s="280"/>
      <c r="AT515" s="280"/>
      <c r="AU515" s="280"/>
      <c r="AV515" s="280"/>
      <c r="AW515" s="280"/>
      <c r="AX515" s="280"/>
      <c r="AY515" s="280"/>
      <c r="AZ515" s="280"/>
      <c r="BA515" s="280"/>
      <c r="BB515" s="280"/>
      <c r="BC515" s="280"/>
      <c r="BD515" s="280"/>
      <c r="BE515" s="280"/>
      <c r="BF515" s="280"/>
      <c r="BG515" s="280"/>
      <c r="BH515" s="280"/>
      <c r="BI515" s="280"/>
      <c r="BJ515" s="280"/>
      <c r="BK515" s="280"/>
      <c r="BL515" s="280"/>
      <c r="BM515" s="280"/>
      <c r="BN515" s="280"/>
      <c r="BO515" s="280"/>
      <c r="BP515" s="652"/>
      <c r="BQ515" s="1033"/>
      <c r="BR515" s="1033"/>
      <c r="BS515" s="280"/>
      <c r="BT515" s="14"/>
      <c r="BU515" s="14"/>
      <c r="BV515" s="14"/>
      <c r="BW515" s="14"/>
      <c r="BX515" s="14"/>
      <c r="BY515" s="14"/>
      <c r="BZ515" s="14"/>
      <c r="CA515" s="14"/>
      <c r="CB515" s="14"/>
      <c r="CC515" s="14"/>
      <c r="CD515" s="14"/>
      <c r="CE515" s="14"/>
      <c r="CF515" s="14"/>
      <c r="CG515" s="14"/>
      <c r="CH515" s="14"/>
      <c r="CI515" s="221"/>
      <c r="CJ515"/>
    </row>
    <row r="516" spans="1:88" ht="14.25" hidden="1" customHeight="1" outlineLevel="1">
      <c r="A516" s="1"/>
      <c r="B516" s="1006"/>
      <c r="C516" s="1007"/>
      <c r="D516" s="1008"/>
      <c r="E516" s="1008"/>
      <c r="F516" s="1008"/>
      <c r="G516" s="1008"/>
      <c r="H516" s="1008"/>
      <c r="I516" s="1008"/>
      <c r="J516" s="1008"/>
      <c r="K516" s="1008"/>
      <c r="L516" s="1008"/>
      <c r="M516" s="1008"/>
      <c r="N516" s="1008"/>
      <c r="O516" s="1008"/>
      <c r="P516" s="1008"/>
      <c r="Q516" s="1008"/>
      <c r="R516" s="1008"/>
      <c r="S516" s="1008"/>
      <c r="T516" s="1008"/>
      <c r="U516" s="1008"/>
      <c r="V516" s="1008"/>
      <c r="W516" s="1008"/>
      <c r="X516" s="1008"/>
      <c r="Y516" s="1008"/>
      <c r="Z516" s="1008"/>
      <c r="AA516" s="1008"/>
      <c r="AB516" s="1008"/>
      <c r="AC516" s="1008"/>
      <c r="AD516" s="1008"/>
      <c r="AE516" s="1008"/>
      <c r="AF516" s="1008"/>
      <c r="AG516" s="1008"/>
      <c r="AH516" s="1008"/>
      <c r="AI516" s="1008"/>
      <c r="AJ516" s="1008"/>
      <c r="AK516" s="1008"/>
      <c r="AL516" s="1008"/>
      <c r="AM516" s="1008"/>
      <c r="AN516" s="1008"/>
      <c r="AO516" s="1008"/>
      <c r="AP516" s="1008"/>
      <c r="AQ516" s="1008"/>
      <c r="AR516" s="1008"/>
      <c r="AS516" s="1008"/>
      <c r="AT516" s="1008"/>
      <c r="AU516" s="1008"/>
      <c r="AV516" s="1008"/>
      <c r="AW516" s="1008"/>
      <c r="AX516" s="1008"/>
      <c r="AY516" s="1008"/>
      <c r="AZ516" s="1008"/>
      <c r="BA516" s="1008"/>
      <c r="BB516" s="1008"/>
      <c r="BC516" s="1008"/>
      <c r="BD516" s="1008"/>
      <c r="BE516" s="1008"/>
      <c r="BF516" s="1008"/>
      <c r="BG516" s="1008"/>
      <c r="BH516" s="1008"/>
      <c r="BI516" s="1008"/>
      <c r="BJ516" s="1008"/>
      <c r="BK516" s="1008"/>
      <c r="BL516" s="1008"/>
      <c r="BM516" s="1008"/>
      <c r="BN516" s="1008"/>
      <c r="BO516" s="1008"/>
      <c r="BP516" s="1009"/>
      <c r="BQ516" s="173"/>
      <c r="BR516" s="173"/>
      <c r="BS516" s="173"/>
      <c r="BT516" s="1008"/>
      <c r="BU516" s="1008"/>
      <c r="BV516" s="1008"/>
      <c r="BW516" s="1008"/>
      <c r="BX516" s="1008"/>
      <c r="BY516" s="1008"/>
      <c r="BZ516" s="1008"/>
      <c r="CA516" s="1008"/>
      <c r="CB516" s="1008"/>
      <c r="CC516" s="1008"/>
      <c r="CD516" s="1008"/>
      <c r="CE516" s="1008"/>
      <c r="CF516" s="1008"/>
      <c r="CG516" s="363"/>
    </row>
    <row r="517" spans="1:88" ht="14.25" hidden="1" customHeight="1" outlineLevel="1">
      <c r="A517" s="1"/>
      <c r="B517" s="1010" t="s">
        <v>458</v>
      </c>
      <c r="C517" s="1011"/>
      <c r="D517" s="1012" t="str">
        <f t="shared" ref="D517:BC517" si="1286">D$6</f>
        <v>F1Q05A</v>
      </c>
      <c r="E517" s="1012" t="str">
        <f t="shared" si="1286"/>
        <v>F2Q05A</v>
      </c>
      <c r="F517" s="1012" t="str">
        <f t="shared" si="1286"/>
        <v>F3Q05A</v>
      </c>
      <c r="G517" s="1012" t="str">
        <f t="shared" si="1286"/>
        <v>F4Q05A</v>
      </c>
      <c r="H517" s="1012" t="str">
        <f t="shared" si="1286"/>
        <v>F1Q06A</v>
      </c>
      <c r="I517" s="1012" t="str">
        <f t="shared" si="1286"/>
        <v>F2Q06A</v>
      </c>
      <c r="J517" s="1012" t="str">
        <f t="shared" si="1286"/>
        <v>F3Q06A</v>
      </c>
      <c r="K517" s="1012" t="str">
        <f t="shared" si="1286"/>
        <v>F4Q06A</v>
      </c>
      <c r="L517" s="1012" t="str">
        <f t="shared" si="1286"/>
        <v>F1Q07A</v>
      </c>
      <c r="M517" s="1012" t="str">
        <f t="shared" si="1286"/>
        <v>F2Q07A</v>
      </c>
      <c r="N517" s="1012" t="str">
        <f t="shared" si="1286"/>
        <v>F3Q07A</v>
      </c>
      <c r="O517" s="1012" t="str">
        <f t="shared" si="1286"/>
        <v>F4Q07A</v>
      </c>
      <c r="P517" s="1012" t="str">
        <f t="shared" si="1286"/>
        <v>F1Q08A</v>
      </c>
      <c r="Q517" s="1012" t="str">
        <f t="shared" si="1286"/>
        <v>F2Q08A</v>
      </c>
      <c r="R517" s="1012" t="str">
        <f t="shared" si="1286"/>
        <v>F3Q08A</v>
      </c>
      <c r="S517" s="1012" t="str">
        <f t="shared" si="1286"/>
        <v>F4Q08A</v>
      </c>
      <c r="T517" s="1012" t="str">
        <f t="shared" si="1286"/>
        <v>F1Q09A</v>
      </c>
      <c r="U517" s="1012" t="str">
        <f t="shared" si="1286"/>
        <v>F2Q09A</v>
      </c>
      <c r="V517" s="1012" t="str">
        <f t="shared" si="1286"/>
        <v>F3Q09A</v>
      </c>
      <c r="W517" s="1012" t="str">
        <f t="shared" si="1286"/>
        <v>F4Q09A</v>
      </c>
      <c r="X517" s="1012" t="str">
        <f t="shared" si="1286"/>
        <v>F1Q10A</v>
      </c>
      <c r="Y517" s="1012" t="str">
        <f t="shared" si="1286"/>
        <v>F2Q10A</v>
      </c>
      <c r="Z517" s="1012" t="str">
        <f t="shared" si="1286"/>
        <v>F3Q10A</v>
      </c>
      <c r="AA517" s="1012" t="str">
        <f t="shared" si="1286"/>
        <v>F4Q10A</v>
      </c>
      <c r="AB517" s="1012" t="str">
        <f t="shared" si="1286"/>
        <v>F1Q11A</v>
      </c>
      <c r="AC517" s="1012" t="str">
        <f t="shared" si="1286"/>
        <v>F2Q11A</v>
      </c>
      <c r="AD517" s="1012" t="str">
        <f t="shared" si="1286"/>
        <v>F3Q11A</v>
      </c>
      <c r="AE517" s="1012" t="str">
        <f t="shared" si="1286"/>
        <v>F4Q11A</v>
      </c>
      <c r="AF517" s="1012" t="str">
        <f t="shared" si="1286"/>
        <v>F1Q12A</v>
      </c>
      <c r="AG517" s="1012" t="str">
        <f t="shared" si="1286"/>
        <v>F2Q12A</v>
      </c>
      <c r="AH517" s="1012" t="str">
        <f t="shared" si="1286"/>
        <v>F3Q12A</v>
      </c>
      <c r="AI517" s="1012" t="str">
        <f t="shared" si="1286"/>
        <v>F4Q12A</v>
      </c>
      <c r="AJ517" s="1012" t="str">
        <f t="shared" si="1286"/>
        <v>F1Q13A</v>
      </c>
      <c r="AK517" s="1012" t="str">
        <f t="shared" si="1286"/>
        <v>F2Q13A</v>
      </c>
      <c r="AL517" s="1012" t="str">
        <f t="shared" si="1286"/>
        <v>F3Q13A</v>
      </c>
      <c r="AM517" s="1012" t="str">
        <f t="shared" si="1286"/>
        <v>F4Q13A</v>
      </c>
      <c r="AN517" s="1012" t="str">
        <f t="shared" si="1286"/>
        <v>F1Q14A</v>
      </c>
      <c r="AO517" s="1012" t="str">
        <f t="shared" si="1286"/>
        <v>F2Q14A</v>
      </c>
      <c r="AP517" s="1012" t="str">
        <f t="shared" si="1286"/>
        <v>F3Q14A</v>
      </c>
      <c r="AQ517" s="1012" t="str">
        <f t="shared" si="1286"/>
        <v>F4Q14A</v>
      </c>
      <c r="AR517" s="1012" t="str">
        <f t="shared" si="1286"/>
        <v>F1Q15A</v>
      </c>
      <c r="AS517" s="1012" t="str">
        <f t="shared" si="1286"/>
        <v>F2Q15A</v>
      </c>
      <c r="AT517" s="1012" t="str">
        <f t="shared" si="1286"/>
        <v>F3Q15A</v>
      </c>
      <c r="AU517" s="1012" t="str">
        <f t="shared" si="1286"/>
        <v>F4Q15A</v>
      </c>
      <c r="AV517" s="1012" t="str">
        <f t="shared" si="1286"/>
        <v>F1Q16A</v>
      </c>
      <c r="AW517" s="1012" t="str">
        <f t="shared" si="1286"/>
        <v>F2Q16A</v>
      </c>
      <c r="AX517" s="1012" t="str">
        <f t="shared" si="1286"/>
        <v>F3Q16A</v>
      </c>
      <c r="AY517" s="1012" t="str">
        <f t="shared" si="1286"/>
        <v>F4Q16A</v>
      </c>
      <c r="AZ517" s="1012" t="str">
        <f t="shared" si="1286"/>
        <v>F1Q17A</v>
      </c>
      <c r="BA517" s="1012" t="str">
        <f t="shared" si="1286"/>
        <v>F2Q17A</v>
      </c>
      <c r="BB517" s="1012" t="str">
        <f t="shared" si="1286"/>
        <v>F3Q17A</v>
      </c>
      <c r="BC517" s="1012" t="str">
        <f t="shared" si="1286"/>
        <v>F4Q17A</v>
      </c>
      <c r="BD517" s="1012"/>
      <c r="BE517" s="1012"/>
      <c r="BF517" s="1012"/>
      <c r="BG517" s="1012"/>
      <c r="BH517" s="1012"/>
      <c r="BI517" s="1012"/>
      <c r="BJ517" s="1012"/>
      <c r="BK517" s="1012"/>
      <c r="BL517" s="1012"/>
      <c r="BM517" s="1012"/>
      <c r="BN517" s="1012"/>
      <c r="BO517" s="1012"/>
      <c r="BP517" s="652"/>
      <c r="BQ517" s="1012" t="str">
        <f t="shared" ref="BQ517:CF517" si="1287">BQ$6</f>
        <v>FY2005A</v>
      </c>
      <c r="BR517" s="1012" t="str">
        <f t="shared" si="1287"/>
        <v>FY2006A</v>
      </c>
      <c r="BS517" s="1012" t="str">
        <f t="shared" si="1287"/>
        <v>FY2007A</v>
      </c>
      <c r="BT517" s="1012" t="str">
        <f t="shared" si="1287"/>
        <v>FY2008A</v>
      </c>
      <c r="BU517" s="1012" t="str">
        <f t="shared" si="1287"/>
        <v>FY2009A</v>
      </c>
      <c r="BV517" s="1012" t="str">
        <f t="shared" si="1287"/>
        <v>FY2010A</v>
      </c>
      <c r="BW517" s="1012" t="str">
        <f t="shared" si="1287"/>
        <v>FY2011A</v>
      </c>
      <c r="BX517" s="1012" t="str">
        <f t="shared" si="1287"/>
        <v>FY2012A</v>
      </c>
      <c r="BY517" s="1012" t="str">
        <f t="shared" si="1287"/>
        <v>FY2013A</v>
      </c>
      <c r="BZ517" s="1012" t="str">
        <f t="shared" si="1287"/>
        <v>FY2014A</v>
      </c>
      <c r="CA517" s="1012" t="str">
        <f t="shared" si="1287"/>
        <v>FY2015A</v>
      </c>
      <c r="CB517" s="1012" t="str">
        <f t="shared" si="1287"/>
        <v>FY2016A</v>
      </c>
      <c r="CC517" s="1012" t="str">
        <f t="shared" si="1287"/>
        <v>FY2017E</v>
      </c>
      <c r="CD517" s="1012" t="str">
        <f t="shared" si="1287"/>
        <v>FY2018E</v>
      </c>
      <c r="CE517" s="1012" t="str">
        <f t="shared" si="1287"/>
        <v>FY2019E</v>
      </c>
      <c r="CF517" s="1012" t="str">
        <f t="shared" si="1287"/>
        <v>FY2020E</v>
      </c>
      <c r="CG517" s="318"/>
    </row>
    <row r="518" spans="1:88" ht="14.25" hidden="1" customHeight="1" outlineLevel="1">
      <c r="B518" s="989" t="s">
        <v>455</v>
      </c>
      <c r="C518" s="318"/>
      <c r="D518" s="1013"/>
      <c r="E518" s="1013"/>
      <c r="F518" s="1013"/>
      <c r="G518" s="1014"/>
      <c r="H518" s="1015"/>
      <c r="I518" s="1015"/>
      <c r="J518" s="1015"/>
      <c r="K518" s="1015"/>
      <c r="L518" s="1015"/>
      <c r="M518" s="1015"/>
      <c r="N518" s="1015"/>
      <c r="O518" s="1015"/>
      <c r="P518" s="1015"/>
      <c r="Q518" s="1015"/>
      <c r="R518" s="1015"/>
      <c r="S518" s="1015"/>
      <c r="T518" s="1015"/>
      <c r="U518" s="1015"/>
      <c r="V518" s="1015"/>
      <c r="W518" s="1015"/>
      <c r="X518" s="1015"/>
      <c r="Y518" s="1015"/>
      <c r="Z518" s="1015"/>
      <c r="AA518" s="1015"/>
      <c r="AB518" s="1015"/>
      <c r="AC518" s="1015"/>
      <c r="AD518" s="1015"/>
      <c r="AE518" s="1015"/>
      <c r="AF518" s="1015"/>
      <c r="AG518" s="1017"/>
      <c r="AH518" s="1017"/>
      <c r="AI518" s="1017"/>
      <c r="AJ518" s="1017"/>
      <c r="AK518" s="1017"/>
      <c r="AL518" s="1017"/>
      <c r="AM518" s="1017"/>
      <c r="AN518" s="1017"/>
      <c r="AO518" s="1017"/>
      <c r="AP518" s="1017"/>
      <c r="AQ518" s="1017"/>
      <c r="AR518" s="1017"/>
      <c r="AS518" s="1017"/>
      <c r="AT518" s="1017"/>
      <c r="AU518" s="1017"/>
      <c r="AV518" s="1017"/>
      <c r="AW518" s="1017"/>
      <c r="AX518" s="1017"/>
      <c r="AY518" s="1017"/>
      <c r="AZ518" s="1017"/>
      <c r="BA518" s="1017"/>
      <c r="BB518" s="1017"/>
      <c r="BC518" s="1017"/>
      <c r="BD518" s="1017"/>
      <c r="BE518" s="1017"/>
      <c r="BF518" s="1017"/>
      <c r="BG518" s="1017"/>
      <c r="BH518" s="1017"/>
      <c r="BI518" s="1017"/>
      <c r="BJ518" s="1017"/>
      <c r="BK518" s="1017"/>
      <c r="BL518" s="1017"/>
      <c r="BM518" s="1017"/>
      <c r="BN518" s="1017"/>
      <c r="BO518" s="1017"/>
      <c r="BP518" s="1018"/>
      <c r="BQ518" s="1019"/>
      <c r="BR518" s="1020">
        <f>BR525*IS!BR$7</f>
        <v>1425.5</v>
      </c>
      <c r="BS518" s="1020">
        <f>BS525*IS!BS$7</f>
        <v>2075.1</v>
      </c>
      <c r="BT518" s="318">
        <f>BT525*IS!BT$7</f>
        <v>2750.22</v>
      </c>
      <c r="BU518" s="318">
        <f>BU525*IS!BU$7</f>
        <v>2502.48</v>
      </c>
      <c r="BV518" s="318">
        <f>BV525*IS!BV$7</f>
        <v>2653.54</v>
      </c>
      <c r="BW518" s="318">
        <f>BW525*IS!BW$7</f>
        <v>1785.68</v>
      </c>
      <c r="BX518" s="318"/>
      <c r="BY518" s="318"/>
      <c r="BZ518" s="318"/>
      <c r="CA518" s="318"/>
      <c r="CB518" s="318"/>
      <c r="CC518" s="318"/>
      <c r="CD518" s="318"/>
      <c r="CE518" s="318"/>
      <c r="CF518" s="318"/>
      <c r="CG518" s="318"/>
    </row>
    <row r="519" spans="1:88" ht="14.25" hidden="1" customHeight="1" outlineLevel="1">
      <c r="B519" s="989" t="s">
        <v>463</v>
      </c>
      <c r="C519" s="318"/>
      <c r="D519" s="1013"/>
      <c r="E519" s="1013"/>
      <c r="F519" s="1013"/>
      <c r="G519" s="1014"/>
      <c r="H519" s="1015"/>
      <c r="I519" s="1015"/>
      <c r="J519" s="1015"/>
      <c r="K519" s="1015"/>
      <c r="L519" s="1015"/>
      <c r="M519" s="1015"/>
      <c r="N519" s="1015"/>
      <c r="O519" s="1015"/>
      <c r="P519" s="1015"/>
      <c r="Q519" s="1015"/>
      <c r="R519" s="1015"/>
      <c r="S519" s="1015"/>
      <c r="T519" s="1015"/>
      <c r="U519" s="1015"/>
      <c r="V519" s="1015"/>
      <c r="W519" s="1015"/>
      <c r="X519" s="1015"/>
      <c r="Y519" s="1015"/>
      <c r="Z519" s="1015"/>
      <c r="AA519" s="1015"/>
      <c r="AB519" s="1015"/>
      <c r="AC519" s="1015"/>
      <c r="AD519" s="1015"/>
      <c r="AE519" s="1015"/>
      <c r="AF519" s="1015"/>
      <c r="AG519" s="1017"/>
      <c r="AH519" s="1017"/>
      <c r="AI519" s="1017"/>
      <c r="AJ519" s="1017"/>
      <c r="AK519" s="1017"/>
      <c r="AL519" s="1017"/>
      <c r="AM519" s="1017"/>
      <c r="AN519" s="1017"/>
      <c r="AO519" s="1017"/>
      <c r="AP519" s="1017"/>
      <c r="AQ519" s="1017"/>
      <c r="AR519" s="1017"/>
      <c r="AS519" s="1017"/>
      <c r="AT519" s="1017"/>
      <c r="AU519" s="1017"/>
      <c r="AV519" s="1017"/>
      <c r="AW519" s="1017"/>
      <c r="AX519" s="1017"/>
      <c r="AY519" s="1017"/>
      <c r="AZ519" s="1017"/>
      <c r="BA519" s="1017"/>
      <c r="BB519" s="1017"/>
      <c r="BC519" s="1017"/>
      <c r="BD519" s="1017"/>
      <c r="BE519" s="1017"/>
      <c r="BF519" s="1017"/>
      <c r="BG519" s="1017"/>
      <c r="BH519" s="1017"/>
      <c r="BI519" s="1017"/>
      <c r="BJ519" s="1017"/>
      <c r="BK519" s="1017"/>
      <c r="BL519" s="1017"/>
      <c r="BM519" s="1017"/>
      <c r="BN519" s="1017"/>
      <c r="BO519" s="1017"/>
      <c r="BP519" s="1018"/>
      <c r="BQ519" s="1019"/>
      <c r="BR519" s="1020">
        <f>BR526*IS!BR$7</f>
        <v>4276.5</v>
      </c>
      <c r="BS519" s="1020">
        <f>BS526*IS!BS$7</f>
        <v>4150.2</v>
      </c>
      <c r="BT519" s="318">
        <f>BT526*IS!BT$7</f>
        <v>3750.2999999999997</v>
      </c>
      <c r="BU519" s="318">
        <f>BU526*IS!BU$7</f>
        <v>3128.1</v>
      </c>
      <c r="BV519" s="318">
        <f>BV526*IS!BV$7</f>
        <v>5167.42</v>
      </c>
      <c r="BW519" s="318">
        <f>BW526*IS!BW$7</f>
        <v>5494.4000000000005</v>
      </c>
      <c r="BX519" s="318"/>
      <c r="BY519" s="318"/>
      <c r="BZ519" s="318"/>
      <c r="CA519" s="318"/>
      <c r="CB519" s="318"/>
      <c r="CC519" s="318"/>
      <c r="CD519" s="318"/>
      <c r="CE519" s="318"/>
      <c r="CF519" s="318"/>
      <c r="CG519" s="318"/>
    </row>
    <row r="520" spans="1:88" s="85" customFormat="1" ht="14.25" hidden="1" customHeight="1" outlineLevel="1">
      <c r="B520" s="988" t="s">
        <v>440</v>
      </c>
      <c r="C520" s="1007"/>
      <c r="D520" s="1026"/>
      <c r="E520" s="1026"/>
      <c r="F520" s="1026"/>
      <c r="G520" s="1026"/>
      <c r="H520" s="1022">
        <f t="shared" ref="H520:AE520" si="1288">SUM(H518:H519)</f>
        <v>0</v>
      </c>
      <c r="I520" s="1022">
        <f t="shared" si="1288"/>
        <v>0</v>
      </c>
      <c r="J520" s="1022">
        <f t="shared" si="1288"/>
        <v>0</v>
      </c>
      <c r="K520" s="1022">
        <f t="shared" si="1288"/>
        <v>0</v>
      </c>
      <c r="L520" s="1022">
        <f t="shared" si="1288"/>
        <v>0</v>
      </c>
      <c r="M520" s="1022">
        <f t="shared" si="1288"/>
        <v>0</v>
      </c>
      <c r="N520" s="1022">
        <f t="shared" si="1288"/>
        <v>0</v>
      </c>
      <c r="O520" s="1022">
        <f t="shared" si="1288"/>
        <v>0</v>
      </c>
      <c r="P520" s="1022">
        <f t="shared" si="1288"/>
        <v>0</v>
      </c>
      <c r="Q520" s="1022">
        <f t="shared" si="1288"/>
        <v>0</v>
      </c>
      <c r="R520" s="1022">
        <f t="shared" si="1288"/>
        <v>0</v>
      </c>
      <c r="S520" s="1022">
        <f t="shared" si="1288"/>
        <v>0</v>
      </c>
      <c r="T520" s="1022">
        <f t="shared" si="1288"/>
        <v>0</v>
      </c>
      <c r="U520" s="1022">
        <f t="shared" si="1288"/>
        <v>0</v>
      </c>
      <c r="V520" s="1022">
        <f t="shared" si="1288"/>
        <v>0</v>
      </c>
      <c r="W520" s="1022">
        <f t="shared" si="1288"/>
        <v>0</v>
      </c>
      <c r="X520" s="1022">
        <f t="shared" si="1288"/>
        <v>0</v>
      </c>
      <c r="Y520" s="1022">
        <f t="shared" si="1288"/>
        <v>0</v>
      </c>
      <c r="Z520" s="1022">
        <f t="shared" si="1288"/>
        <v>0</v>
      </c>
      <c r="AA520" s="1022">
        <f t="shared" si="1288"/>
        <v>0</v>
      </c>
      <c r="AB520" s="1022">
        <f t="shared" si="1288"/>
        <v>0</v>
      </c>
      <c r="AC520" s="1022">
        <f t="shared" si="1288"/>
        <v>0</v>
      </c>
      <c r="AD520" s="1022">
        <f t="shared" si="1288"/>
        <v>0</v>
      </c>
      <c r="AE520" s="1022">
        <f t="shared" si="1288"/>
        <v>0</v>
      </c>
      <c r="AF520" s="1022"/>
      <c r="AG520" s="1027"/>
      <c r="AH520" s="1027"/>
      <c r="AI520" s="1027"/>
      <c r="AJ520" s="1027"/>
      <c r="AK520" s="1027"/>
      <c r="AL520" s="1027"/>
      <c r="AM520" s="1027"/>
      <c r="AN520" s="1027"/>
      <c r="AO520" s="1027"/>
      <c r="AP520" s="1027"/>
      <c r="AQ520" s="1027"/>
      <c r="AR520" s="1027"/>
      <c r="AS520" s="1027"/>
      <c r="AT520" s="1027"/>
      <c r="AU520" s="1027"/>
      <c r="AV520" s="1027"/>
      <c r="AW520" s="1027"/>
      <c r="AX520" s="1027"/>
      <c r="AY520" s="1027"/>
      <c r="AZ520" s="1027"/>
      <c r="BA520" s="1027"/>
      <c r="BB520" s="1027"/>
      <c r="BC520" s="1027"/>
      <c r="BD520" s="1027"/>
      <c r="BE520" s="1027"/>
      <c r="BF520" s="1027"/>
      <c r="BG520" s="1027"/>
      <c r="BH520" s="1027"/>
      <c r="BI520" s="1027"/>
      <c r="BJ520" s="1027"/>
      <c r="BK520" s="1027"/>
      <c r="BL520" s="1027"/>
      <c r="BM520" s="1027"/>
      <c r="BN520" s="1027"/>
      <c r="BO520" s="1027"/>
      <c r="BP520" s="1028"/>
      <c r="BQ520" s="1029"/>
      <c r="BR520" s="712">
        <f t="shared" ref="BR520:BW520" si="1289">SUM(BR518:BR519)</f>
        <v>5702</v>
      </c>
      <c r="BS520" s="712">
        <f t="shared" si="1289"/>
        <v>6225.2999999999993</v>
      </c>
      <c r="BT520" s="1007">
        <f t="shared" si="1289"/>
        <v>6500.5199999999995</v>
      </c>
      <c r="BU520" s="1007">
        <f t="shared" si="1289"/>
        <v>5630.58</v>
      </c>
      <c r="BV520" s="1007">
        <f t="shared" si="1289"/>
        <v>7820.96</v>
      </c>
      <c r="BW520" s="1007">
        <f t="shared" si="1289"/>
        <v>7280.0800000000008</v>
      </c>
      <c r="BX520" s="1007"/>
      <c r="BY520" s="1007"/>
      <c r="BZ520" s="1007"/>
      <c r="CA520" s="1007"/>
      <c r="CB520" s="1007"/>
      <c r="CC520" s="1007"/>
      <c r="CD520" s="1007"/>
      <c r="CE520" s="1007"/>
      <c r="CF520" s="1007"/>
      <c r="CG520" s="1007"/>
      <c r="CH520"/>
      <c r="CI520"/>
      <c r="CJ520"/>
    </row>
    <row r="521" spans="1:88" ht="14.25" hidden="1" customHeight="1" outlineLevel="1">
      <c r="B521" s="989"/>
      <c r="C521" s="363"/>
      <c r="D521" s="363"/>
      <c r="E521" s="363"/>
      <c r="F521" s="363"/>
      <c r="G521" s="363"/>
      <c r="H521" s="363"/>
      <c r="I521" s="363"/>
      <c r="J521" s="363"/>
      <c r="K521" s="363"/>
      <c r="L521" s="363"/>
      <c r="M521" s="363"/>
      <c r="N521" s="363"/>
      <c r="O521" s="363"/>
      <c r="P521" s="363"/>
      <c r="Q521" s="363"/>
      <c r="R521" s="363"/>
      <c r="S521" s="363"/>
      <c r="T521" s="363"/>
      <c r="U521" s="363"/>
      <c r="V521" s="363"/>
      <c r="W521" s="363"/>
      <c r="X521" s="363"/>
      <c r="Y521" s="363"/>
      <c r="Z521" s="363"/>
      <c r="AA521" s="363"/>
      <c r="AB521" s="14"/>
      <c r="AC521" s="14"/>
      <c r="AD521" s="14"/>
      <c r="AE521" s="363"/>
      <c r="AF521" s="14"/>
      <c r="AG521" s="363"/>
      <c r="AH521" s="363"/>
      <c r="AI521" s="363"/>
      <c r="AJ521" s="363"/>
      <c r="AK521" s="363"/>
      <c r="AL521" s="363"/>
      <c r="AM521" s="363"/>
      <c r="AN521" s="363"/>
      <c r="AO521" s="363"/>
      <c r="AP521" s="363"/>
      <c r="AQ521" s="363"/>
      <c r="AR521" s="363"/>
      <c r="AS521" s="363"/>
      <c r="AT521" s="363"/>
      <c r="AU521" s="363"/>
      <c r="AV521" s="363"/>
      <c r="AW521" s="363"/>
      <c r="AX521" s="363"/>
      <c r="AY521" s="363"/>
      <c r="AZ521" s="363"/>
      <c r="BA521" s="363"/>
      <c r="BB521" s="363"/>
      <c r="BC521" s="363"/>
      <c r="BD521" s="363"/>
      <c r="BE521" s="363"/>
      <c r="BF521" s="363"/>
      <c r="BG521" s="363"/>
      <c r="BH521" s="363"/>
      <c r="BI521" s="363"/>
      <c r="BJ521" s="363"/>
      <c r="BK521" s="363"/>
      <c r="BL521" s="363"/>
      <c r="BM521" s="363"/>
      <c r="BN521" s="363"/>
      <c r="BO521" s="363"/>
      <c r="BP521" s="1018"/>
      <c r="BQ521" s="318"/>
      <c r="BR521" s="318"/>
      <c r="BS521" s="318"/>
      <c r="BT521" s="318"/>
      <c r="BU521" s="318"/>
      <c r="BV521" s="318"/>
      <c r="BW521" s="318"/>
      <c r="BX521" s="318"/>
      <c r="BY521" s="318"/>
      <c r="BZ521" s="318"/>
      <c r="CA521" s="318"/>
      <c r="CB521" s="318"/>
      <c r="CC521" s="318"/>
      <c r="CD521" s="318"/>
      <c r="CE521" s="318"/>
      <c r="CF521" s="363"/>
      <c r="CG521" s="363"/>
    </row>
    <row r="522" spans="1:88" s="8" customFormat="1" ht="14.25" hidden="1" customHeight="1" outlineLevel="1">
      <c r="B522" s="1030" t="s">
        <v>271</v>
      </c>
      <c r="C522" s="268"/>
      <c r="D522" s="1031"/>
      <c r="E522" s="1031"/>
      <c r="F522" s="1031"/>
      <c r="G522" s="1031"/>
      <c r="H522" s="1034">
        <f>IF(ABS(H520-IS!H$7)&lt;1,"OK",H520-IS!H$7)</f>
        <v>-3334</v>
      </c>
      <c r="I522" s="1034">
        <f>IF(ABS(I520-IS!I$7)&lt;1,"OK",I520-IS!I$7)</f>
        <v>-3697</v>
      </c>
      <c r="J522" s="1034">
        <f>IF(ABS(J520-IS!J$7)&lt;1,"OK",J520-IS!J$7)</f>
        <v>-3761</v>
      </c>
      <c r="K522" s="1034">
        <f>IF(ABS(K520-IS!K$7)&lt;1,"OK",K520-IS!K$7)</f>
        <v>-3463</v>
      </c>
      <c r="L522" s="1034">
        <f>IF(ABS(L520-IS!L$7)&lt;1,"OK",L520-IS!L$7)</f>
        <v>-3191</v>
      </c>
      <c r="M522" s="1034">
        <f>IF(ABS(M520-IS!M$7)&lt;1,"OK",M520-IS!M$7)</f>
        <v>-3424</v>
      </c>
      <c r="N522" s="1034">
        <f>IF(ABS(N520-IS!N$7)&lt;1,"OK",N520-IS!N$7)</f>
        <v>-3663</v>
      </c>
      <c r="O522" s="1034">
        <f>IF(ABS(O520-IS!O$7)&lt;1,"OK",O520-IS!O$7)</f>
        <v>-3556</v>
      </c>
      <c r="P522" s="1034">
        <f>IF(ABS(P520-IS!P$7)&lt;1,"OK",P520-IS!P$7)</f>
        <v>-3272</v>
      </c>
      <c r="Q522" s="1034">
        <f>IF(ABS(Q520-IS!Q$7)&lt;1,"OK",Q520-IS!Q$7)</f>
        <v>-3351</v>
      </c>
      <c r="R522" s="1034">
        <f>IF(ABS(R520-IS!R$7)&lt;1,"OK",R520-IS!R$7)</f>
        <v>-3387</v>
      </c>
      <c r="S522" s="1034">
        <f>IF(ABS(S520-IS!S$7)&lt;1,"OK",S520-IS!S$7)</f>
        <v>-2491</v>
      </c>
      <c r="T522" s="1034">
        <f>IF(ABS(T520-IS!T$7)&lt;1,"OK",T520-IS!T$7)</f>
        <v>-2086</v>
      </c>
      <c r="U522" s="1034">
        <f>IF(ABS(U520-IS!U$7)&lt;1,"OK",U520-IS!U$7)</f>
        <v>-2457</v>
      </c>
      <c r="V522" s="1034">
        <f>IF(ABS(V520-IS!V$7)&lt;1,"OK",V520-IS!V$7)</f>
        <v>-2880</v>
      </c>
      <c r="W522" s="1034">
        <f>IF(ABS(W520-IS!W$7)&lt;1,"OK",W520-IS!W$7)</f>
        <v>-3004</v>
      </c>
      <c r="X522" s="1034">
        <f>IF(ABS(X520-IS!X$7)&lt;1,"OK",X520-IS!X$7)</f>
        <v>-3205</v>
      </c>
      <c r="Y522" s="1034">
        <f>IF(ABS(Y520-IS!Y$7)&lt;1,"OK",Y520-IS!Y$7)</f>
        <v>-3496</v>
      </c>
      <c r="Z522" s="1034">
        <f>IF(ABS(Z520-IS!Z$7)&lt;1,"OK",Z520-IS!Z$7)</f>
        <v>-3740</v>
      </c>
      <c r="AA522" s="1034">
        <f>IF(ABS(AA520-IS!AA$7)&lt;1,"OK",AA520-IS!AA$7)</f>
        <v>-3525</v>
      </c>
      <c r="AB522" s="1034">
        <f>IF(ABS(AB520-IS!AB$7)&lt;1,"OK",AB520-IS!AB$7)</f>
        <v>-3392</v>
      </c>
      <c r="AC522" s="1034">
        <f>IF(ABS(AC520-IS!AC$7)&lt;1,"OK",AC520-IS!AC$7)</f>
        <v>-3458</v>
      </c>
      <c r="AD522" s="1034">
        <f>IF(ABS(AD520-IS!AD$7)&lt;1,"OK",AD520-IS!AD$7)</f>
        <v>-3466</v>
      </c>
      <c r="AE522" s="1034">
        <f>IF(ABS(AE520-IS!AE$7)&lt;1,"OK",AE520-IS!AE$7)</f>
        <v>-3420</v>
      </c>
      <c r="AF522" s="1034"/>
      <c r="AG522" s="280"/>
      <c r="AH522" s="280"/>
      <c r="AI522" s="280"/>
      <c r="AJ522" s="280"/>
      <c r="AK522" s="280"/>
      <c r="AL522" s="280"/>
      <c r="AM522" s="280"/>
      <c r="AN522" s="280"/>
      <c r="AO522" s="280"/>
      <c r="AP522" s="280"/>
      <c r="AQ522" s="280"/>
      <c r="AR522" s="280"/>
      <c r="AS522" s="280"/>
      <c r="AT522" s="280"/>
      <c r="AU522" s="280"/>
      <c r="AV522" s="280"/>
      <c r="AW522" s="280"/>
      <c r="AX522" s="280"/>
      <c r="AY522" s="280"/>
      <c r="AZ522" s="280"/>
      <c r="BA522" s="280"/>
      <c r="BB522" s="280"/>
      <c r="BC522" s="280"/>
      <c r="BD522" s="280"/>
      <c r="BE522" s="280"/>
      <c r="BF522" s="280"/>
      <c r="BG522" s="280"/>
      <c r="BH522" s="280"/>
      <c r="BI522" s="280"/>
      <c r="BJ522" s="280"/>
      <c r="BK522" s="280"/>
      <c r="BL522" s="280"/>
      <c r="BM522" s="280"/>
      <c r="BN522" s="280"/>
      <c r="BO522" s="280"/>
      <c r="BP522" s="652"/>
      <c r="BQ522" s="1033"/>
      <c r="BR522" s="280">
        <f>IF(ABS(BR520-IS!BR$7)&lt;1,"OK",BR520-IS!BR$7)</f>
        <v>-8553</v>
      </c>
      <c r="BS522" s="280">
        <f>IF(ABS(BS520-IS!BS$7)&lt;1,"OK",BS520-IS!BS$7)</f>
        <v>-7608.7000000000007</v>
      </c>
      <c r="BT522" s="14">
        <f>IF(ABS(BT520-IS!BT$7)&lt;1,"OK",BT520-IS!BT$7)</f>
        <v>-6000.4800000000005</v>
      </c>
      <c r="BU522" s="14">
        <f>IF(ABS(BU520-IS!BU$7)&lt;1,"OK",BU520-IS!BU$7)</f>
        <v>-4796.42</v>
      </c>
      <c r="BV522" s="14">
        <f>IF(ABS(BV520-IS!BV$7)&lt;1,"OK",BV520-IS!BV$7)</f>
        <v>-6145.04</v>
      </c>
      <c r="BW522" s="14">
        <f>IF(ABS(BW520-IS!BW$7)&lt;1,"OK",BW520-IS!BW$7)</f>
        <v>-6455.9199999999992</v>
      </c>
      <c r="BX522" s="14"/>
      <c r="BY522" s="14"/>
      <c r="BZ522" s="14"/>
      <c r="CA522" s="14"/>
      <c r="CB522" s="14"/>
      <c r="CC522" s="14"/>
      <c r="CD522" s="14"/>
      <c r="CE522" s="14"/>
      <c r="CF522" s="14"/>
      <c r="CG522" s="14"/>
      <c r="CH522" s="14"/>
      <c r="CI522" s="221"/>
      <c r="CJ522"/>
    </row>
    <row r="523" spans="1:88" ht="14.25" hidden="1" customHeight="1" outlineLevel="1">
      <c r="B523" s="989"/>
      <c r="C523" s="363"/>
      <c r="D523" s="363"/>
      <c r="E523" s="363"/>
      <c r="F523" s="363"/>
      <c r="G523" s="363"/>
      <c r="H523" s="363"/>
      <c r="I523" s="363"/>
      <c r="J523" s="363"/>
      <c r="K523" s="363"/>
      <c r="L523" s="363"/>
      <c r="M523" s="363"/>
      <c r="N523" s="363"/>
      <c r="O523" s="363"/>
      <c r="P523" s="363"/>
      <c r="Q523" s="363"/>
      <c r="R523" s="363"/>
      <c r="S523" s="363"/>
      <c r="T523" s="363"/>
      <c r="U523" s="363"/>
      <c r="V523" s="363"/>
      <c r="W523" s="363"/>
      <c r="X523" s="363"/>
      <c r="Y523" s="363"/>
      <c r="Z523" s="363"/>
      <c r="AA523" s="363"/>
      <c r="AB523" s="14"/>
      <c r="AC523" s="14"/>
      <c r="AD523" s="14"/>
      <c r="AE523" s="363"/>
      <c r="AF523" s="14"/>
      <c r="AG523" s="363"/>
      <c r="AH523" s="363"/>
      <c r="AI523" s="363"/>
      <c r="AJ523" s="363"/>
      <c r="AK523" s="363"/>
      <c r="AL523" s="363"/>
      <c r="AM523" s="363"/>
      <c r="AN523" s="363"/>
      <c r="AO523" s="363"/>
      <c r="AP523" s="363"/>
      <c r="AQ523" s="363"/>
      <c r="AR523" s="363"/>
      <c r="AS523" s="363"/>
      <c r="AT523" s="363"/>
      <c r="AU523" s="363"/>
      <c r="AV523" s="363"/>
      <c r="AW523" s="363"/>
      <c r="AX523" s="363"/>
      <c r="AY523" s="363"/>
      <c r="AZ523" s="363"/>
      <c r="BA523" s="363"/>
      <c r="BB523" s="363"/>
      <c r="BC523" s="363"/>
      <c r="BD523" s="363"/>
      <c r="BE523" s="363"/>
      <c r="BF523" s="363"/>
      <c r="BG523" s="363"/>
      <c r="BH523" s="363"/>
      <c r="BI523" s="363"/>
      <c r="BJ523" s="363"/>
      <c r="BK523" s="363"/>
      <c r="BL523" s="363"/>
      <c r="BM523" s="363"/>
      <c r="BN523" s="363"/>
      <c r="BO523" s="363"/>
      <c r="BP523" s="1018"/>
      <c r="BQ523" s="363"/>
      <c r="BR523" s="363"/>
      <c r="BS523" s="363"/>
      <c r="BT523" s="363"/>
      <c r="BU523" s="363"/>
      <c r="BV523" s="363"/>
      <c r="BW523" s="363"/>
      <c r="BX523" s="363"/>
      <c r="BY523" s="363"/>
      <c r="BZ523" s="363"/>
      <c r="CA523" s="363"/>
      <c r="CB523" s="363"/>
      <c r="CC523" s="363"/>
      <c r="CD523" s="363"/>
      <c r="CE523" s="363"/>
      <c r="CF523" s="363"/>
      <c r="CG523" s="363"/>
    </row>
    <row r="524" spans="1:88" ht="14.25" hidden="1" customHeight="1" outlineLevel="1">
      <c r="A524" s="1"/>
      <c r="B524" s="1010" t="s">
        <v>461</v>
      </c>
      <c r="C524" s="1011"/>
      <c r="D524" s="1012" t="str">
        <f t="shared" ref="D524:BC524" si="1290">D$6</f>
        <v>F1Q05A</v>
      </c>
      <c r="E524" s="1012" t="str">
        <f t="shared" si="1290"/>
        <v>F2Q05A</v>
      </c>
      <c r="F524" s="1012" t="str">
        <f t="shared" si="1290"/>
        <v>F3Q05A</v>
      </c>
      <c r="G524" s="1012" t="str">
        <f t="shared" si="1290"/>
        <v>F4Q05A</v>
      </c>
      <c r="H524" s="1012" t="str">
        <f t="shared" si="1290"/>
        <v>F1Q06A</v>
      </c>
      <c r="I524" s="1012" t="str">
        <f t="shared" si="1290"/>
        <v>F2Q06A</v>
      </c>
      <c r="J524" s="1012" t="str">
        <f t="shared" si="1290"/>
        <v>F3Q06A</v>
      </c>
      <c r="K524" s="1012" t="str">
        <f t="shared" si="1290"/>
        <v>F4Q06A</v>
      </c>
      <c r="L524" s="1012" t="str">
        <f t="shared" si="1290"/>
        <v>F1Q07A</v>
      </c>
      <c r="M524" s="1012" t="str">
        <f t="shared" si="1290"/>
        <v>F2Q07A</v>
      </c>
      <c r="N524" s="1012" t="str">
        <f t="shared" si="1290"/>
        <v>F3Q07A</v>
      </c>
      <c r="O524" s="1012" t="str">
        <f t="shared" si="1290"/>
        <v>F4Q07A</v>
      </c>
      <c r="P524" s="1012" t="str">
        <f t="shared" si="1290"/>
        <v>F1Q08A</v>
      </c>
      <c r="Q524" s="1012" t="str">
        <f t="shared" si="1290"/>
        <v>F2Q08A</v>
      </c>
      <c r="R524" s="1012" t="str">
        <f t="shared" si="1290"/>
        <v>F3Q08A</v>
      </c>
      <c r="S524" s="1012" t="str">
        <f t="shared" si="1290"/>
        <v>F4Q08A</v>
      </c>
      <c r="T524" s="1012" t="str">
        <f t="shared" si="1290"/>
        <v>F1Q09A</v>
      </c>
      <c r="U524" s="1012" t="str">
        <f t="shared" si="1290"/>
        <v>F2Q09A</v>
      </c>
      <c r="V524" s="1012" t="str">
        <f t="shared" si="1290"/>
        <v>F3Q09A</v>
      </c>
      <c r="W524" s="1012" t="str">
        <f t="shared" si="1290"/>
        <v>F4Q09A</v>
      </c>
      <c r="X524" s="1012" t="str">
        <f t="shared" si="1290"/>
        <v>F1Q10A</v>
      </c>
      <c r="Y524" s="1012" t="str">
        <f t="shared" si="1290"/>
        <v>F2Q10A</v>
      </c>
      <c r="Z524" s="1012" t="str">
        <f t="shared" si="1290"/>
        <v>F3Q10A</v>
      </c>
      <c r="AA524" s="1012" t="str">
        <f t="shared" si="1290"/>
        <v>F4Q10A</v>
      </c>
      <c r="AB524" s="1012" t="str">
        <f t="shared" si="1290"/>
        <v>F1Q11A</v>
      </c>
      <c r="AC524" s="1012" t="str">
        <f t="shared" si="1290"/>
        <v>F2Q11A</v>
      </c>
      <c r="AD524" s="1012" t="str">
        <f t="shared" si="1290"/>
        <v>F3Q11A</v>
      </c>
      <c r="AE524" s="1012" t="str">
        <f t="shared" si="1290"/>
        <v>F4Q11A</v>
      </c>
      <c r="AF524" s="1012" t="str">
        <f t="shared" si="1290"/>
        <v>F1Q12A</v>
      </c>
      <c r="AG524" s="1012" t="str">
        <f t="shared" si="1290"/>
        <v>F2Q12A</v>
      </c>
      <c r="AH524" s="1012" t="str">
        <f t="shared" si="1290"/>
        <v>F3Q12A</v>
      </c>
      <c r="AI524" s="1012" t="str">
        <f t="shared" si="1290"/>
        <v>F4Q12A</v>
      </c>
      <c r="AJ524" s="1012" t="str">
        <f t="shared" si="1290"/>
        <v>F1Q13A</v>
      </c>
      <c r="AK524" s="1012" t="str">
        <f t="shared" si="1290"/>
        <v>F2Q13A</v>
      </c>
      <c r="AL524" s="1012" t="str">
        <f t="shared" si="1290"/>
        <v>F3Q13A</v>
      </c>
      <c r="AM524" s="1012" t="str">
        <f t="shared" si="1290"/>
        <v>F4Q13A</v>
      </c>
      <c r="AN524" s="1012" t="str">
        <f t="shared" si="1290"/>
        <v>F1Q14A</v>
      </c>
      <c r="AO524" s="1012" t="str">
        <f t="shared" si="1290"/>
        <v>F2Q14A</v>
      </c>
      <c r="AP524" s="1012" t="str">
        <f t="shared" si="1290"/>
        <v>F3Q14A</v>
      </c>
      <c r="AQ524" s="1012" t="str">
        <f t="shared" si="1290"/>
        <v>F4Q14A</v>
      </c>
      <c r="AR524" s="1012" t="str">
        <f t="shared" si="1290"/>
        <v>F1Q15A</v>
      </c>
      <c r="AS524" s="1012" t="str">
        <f t="shared" si="1290"/>
        <v>F2Q15A</v>
      </c>
      <c r="AT524" s="1012" t="str">
        <f t="shared" si="1290"/>
        <v>F3Q15A</v>
      </c>
      <c r="AU524" s="1012" t="str">
        <f t="shared" si="1290"/>
        <v>F4Q15A</v>
      </c>
      <c r="AV524" s="1012" t="str">
        <f t="shared" si="1290"/>
        <v>F1Q16A</v>
      </c>
      <c r="AW524" s="1012" t="str">
        <f t="shared" si="1290"/>
        <v>F2Q16A</v>
      </c>
      <c r="AX524" s="1012" t="str">
        <f t="shared" si="1290"/>
        <v>F3Q16A</v>
      </c>
      <c r="AY524" s="1012" t="str">
        <f t="shared" si="1290"/>
        <v>F4Q16A</v>
      </c>
      <c r="AZ524" s="1012" t="str">
        <f t="shared" si="1290"/>
        <v>F1Q17A</v>
      </c>
      <c r="BA524" s="1012" t="str">
        <f t="shared" si="1290"/>
        <v>F2Q17A</v>
      </c>
      <c r="BB524" s="1012" t="str">
        <f t="shared" si="1290"/>
        <v>F3Q17A</v>
      </c>
      <c r="BC524" s="1012" t="str">
        <f t="shared" si="1290"/>
        <v>F4Q17A</v>
      </c>
      <c r="BD524" s="1012"/>
      <c r="BE524" s="1012"/>
      <c r="BF524" s="1012"/>
      <c r="BG524" s="1012"/>
      <c r="BH524" s="1012"/>
      <c r="BI524" s="1012"/>
      <c r="BJ524" s="1012"/>
      <c r="BK524" s="1012"/>
      <c r="BL524" s="1012"/>
      <c r="BM524" s="1012"/>
      <c r="BN524" s="1012"/>
      <c r="BO524" s="1012"/>
      <c r="BP524" s="652"/>
      <c r="BQ524" s="1012" t="str">
        <f t="shared" ref="BQ524:CF524" si="1291">BQ$6</f>
        <v>FY2005A</v>
      </c>
      <c r="BR524" s="1012" t="str">
        <f t="shared" si="1291"/>
        <v>FY2006A</v>
      </c>
      <c r="BS524" s="1012" t="str">
        <f t="shared" si="1291"/>
        <v>FY2007A</v>
      </c>
      <c r="BT524" s="1012" t="str">
        <f t="shared" si="1291"/>
        <v>FY2008A</v>
      </c>
      <c r="BU524" s="1012" t="str">
        <f t="shared" si="1291"/>
        <v>FY2009A</v>
      </c>
      <c r="BV524" s="1012" t="str">
        <f t="shared" si="1291"/>
        <v>FY2010A</v>
      </c>
      <c r="BW524" s="1012" t="str">
        <f t="shared" si="1291"/>
        <v>FY2011A</v>
      </c>
      <c r="BX524" s="1012" t="str">
        <f t="shared" si="1291"/>
        <v>FY2012A</v>
      </c>
      <c r="BY524" s="1012" t="str">
        <f t="shared" si="1291"/>
        <v>FY2013A</v>
      </c>
      <c r="BZ524" s="1012" t="str">
        <f t="shared" si="1291"/>
        <v>FY2014A</v>
      </c>
      <c r="CA524" s="1012" t="str">
        <f t="shared" si="1291"/>
        <v>FY2015A</v>
      </c>
      <c r="CB524" s="1012" t="str">
        <f t="shared" si="1291"/>
        <v>FY2016A</v>
      </c>
      <c r="CC524" s="1012" t="str">
        <f t="shared" si="1291"/>
        <v>FY2017E</v>
      </c>
      <c r="CD524" s="1012" t="str">
        <f t="shared" si="1291"/>
        <v>FY2018E</v>
      </c>
      <c r="CE524" s="1012" t="str">
        <f t="shared" si="1291"/>
        <v>FY2019E</v>
      </c>
      <c r="CF524" s="1012" t="str">
        <f t="shared" si="1291"/>
        <v>FY2020E</v>
      </c>
      <c r="CG524" s="318"/>
    </row>
    <row r="525" spans="1:88" ht="14.25" hidden="1" customHeight="1" outlineLevel="1">
      <c r="B525" s="1035" t="str">
        <f>B518</f>
        <v>Nokia</v>
      </c>
      <c r="C525" s="318"/>
      <c r="D525" s="873"/>
      <c r="E525" s="873"/>
      <c r="F525" s="873"/>
      <c r="G525" s="873"/>
      <c r="H525" s="873"/>
      <c r="I525" s="873"/>
      <c r="J525" s="873"/>
      <c r="K525" s="873"/>
      <c r="L525" s="873"/>
      <c r="M525" s="873"/>
      <c r="N525" s="873"/>
      <c r="O525" s="873"/>
      <c r="P525" s="873"/>
      <c r="Q525" s="873"/>
      <c r="R525" s="873"/>
      <c r="S525" s="873"/>
      <c r="T525" s="873"/>
      <c r="U525" s="873"/>
      <c r="V525" s="873"/>
      <c r="W525" s="873"/>
      <c r="X525" s="873"/>
      <c r="Y525" s="873"/>
      <c r="Z525" s="873"/>
      <c r="AA525" s="873"/>
      <c r="AB525" s="873"/>
      <c r="AC525" s="873"/>
      <c r="AD525" s="873"/>
      <c r="AE525" s="873"/>
      <c r="AF525" s="752"/>
      <c r="AG525" s="1036"/>
      <c r="AH525" s="1036"/>
      <c r="AI525" s="1036"/>
      <c r="AJ525" s="1036"/>
      <c r="AK525" s="1036"/>
      <c r="AL525" s="1036"/>
      <c r="AM525" s="1036"/>
      <c r="AN525" s="1036"/>
      <c r="AO525" s="1036"/>
      <c r="AP525" s="1036"/>
      <c r="AQ525" s="1036"/>
      <c r="AR525" s="1036"/>
      <c r="AS525" s="1036"/>
      <c r="AT525" s="1036"/>
      <c r="AU525" s="1036"/>
      <c r="AV525" s="1036"/>
      <c r="AW525" s="1036"/>
      <c r="AX525" s="1036"/>
      <c r="AY525" s="1036"/>
      <c r="AZ525" s="1036"/>
      <c r="BA525" s="1036"/>
      <c r="BB525" s="1036"/>
      <c r="BC525" s="1036"/>
      <c r="BD525" s="1036"/>
      <c r="BE525" s="1036"/>
      <c r="BF525" s="1036"/>
      <c r="BG525" s="1036"/>
      <c r="BH525" s="1036"/>
      <c r="BI525" s="1036"/>
      <c r="BJ525" s="1036"/>
      <c r="BK525" s="1036"/>
      <c r="BL525" s="1036"/>
      <c r="BM525" s="1036"/>
      <c r="BN525" s="1036"/>
      <c r="BO525" s="1036"/>
      <c r="BP525" s="1018"/>
      <c r="BQ525" s="78">
        <v>0.1</v>
      </c>
      <c r="BR525" s="78">
        <v>0.1</v>
      </c>
      <c r="BS525" s="78">
        <v>0.15</v>
      </c>
      <c r="BT525" s="1037">
        <v>0.22</v>
      </c>
      <c r="BU525" s="1037">
        <v>0.24</v>
      </c>
      <c r="BV525" s="1037">
        <v>0.19</v>
      </c>
      <c r="BW525" s="1037">
        <v>0.13</v>
      </c>
      <c r="BX525" s="1037"/>
      <c r="BY525" s="1037"/>
      <c r="BZ525" s="1037"/>
      <c r="CA525" s="1037"/>
      <c r="CB525" s="1037"/>
      <c r="CC525" s="1037"/>
      <c r="CD525" s="1037"/>
      <c r="CE525" s="1037"/>
      <c r="CF525" s="1037"/>
      <c r="CG525" s="1037"/>
    </row>
    <row r="526" spans="1:88" ht="14.25" hidden="1" customHeight="1" outlineLevel="1">
      <c r="B526" s="1035" t="str">
        <f>B519</f>
        <v>Distributors</v>
      </c>
      <c r="C526" s="318"/>
      <c r="D526" s="873"/>
      <c r="E526" s="873"/>
      <c r="F526" s="873"/>
      <c r="G526" s="873"/>
      <c r="H526" s="873"/>
      <c r="I526" s="873"/>
      <c r="J526" s="873"/>
      <c r="K526" s="873"/>
      <c r="L526" s="873"/>
      <c r="M526" s="873"/>
      <c r="N526" s="873"/>
      <c r="O526" s="873"/>
      <c r="P526" s="873"/>
      <c r="Q526" s="873"/>
      <c r="R526" s="873"/>
      <c r="S526" s="873"/>
      <c r="T526" s="873"/>
      <c r="U526" s="873"/>
      <c r="V526" s="873"/>
      <c r="W526" s="873"/>
      <c r="X526" s="873"/>
      <c r="Y526" s="873"/>
      <c r="Z526" s="873"/>
      <c r="AA526" s="873"/>
      <c r="AB526" s="873"/>
      <c r="AC526" s="873"/>
      <c r="AD526" s="873"/>
      <c r="AE526" s="873"/>
      <c r="AF526" s="752"/>
      <c r="AG526" s="1036"/>
      <c r="AH526" s="1036"/>
      <c r="AI526" s="1036"/>
      <c r="AJ526" s="1036"/>
      <c r="AK526" s="1036"/>
      <c r="AL526" s="1036"/>
      <c r="AM526" s="1036"/>
      <c r="AN526" s="1036"/>
      <c r="AO526" s="1036"/>
      <c r="AP526" s="1036"/>
      <c r="AQ526" s="1036"/>
      <c r="AR526" s="1036"/>
      <c r="AS526" s="1036"/>
      <c r="AT526" s="1036"/>
      <c r="AU526" s="1036"/>
      <c r="AV526" s="1036"/>
      <c r="AW526" s="1036"/>
      <c r="AX526" s="1036"/>
      <c r="AY526" s="1036"/>
      <c r="AZ526" s="1036"/>
      <c r="BA526" s="1036"/>
      <c r="BB526" s="1036"/>
      <c r="BC526" s="1036"/>
      <c r="BD526" s="1036"/>
      <c r="BE526" s="1036"/>
      <c r="BF526" s="1036"/>
      <c r="BG526" s="1036"/>
      <c r="BH526" s="1036"/>
      <c r="BI526" s="1036"/>
      <c r="BJ526" s="1036"/>
      <c r="BK526" s="1036"/>
      <c r="BL526" s="1036"/>
      <c r="BM526" s="1036"/>
      <c r="BN526" s="1036"/>
      <c r="BO526" s="1036"/>
      <c r="BP526" s="1018"/>
      <c r="BQ526" s="78">
        <v>0.25</v>
      </c>
      <c r="BR526" s="78">
        <v>0.3</v>
      </c>
      <c r="BS526" s="78">
        <v>0.3</v>
      </c>
      <c r="BT526" s="1037">
        <v>0.3</v>
      </c>
      <c r="BU526" s="1037">
        <v>0.3</v>
      </c>
      <c r="BV526" s="1037">
        <v>0.37</v>
      </c>
      <c r="BW526" s="1037">
        <v>0.4</v>
      </c>
      <c r="BX526" s="1037"/>
      <c r="BY526" s="1037"/>
      <c r="BZ526" s="1037"/>
      <c r="CA526" s="1037"/>
      <c r="CB526" s="1037"/>
      <c r="CC526" s="1037"/>
      <c r="CD526" s="1037"/>
      <c r="CE526" s="1037"/>
      <c r="CF526" s="1037"/>
      <c r="CG526" s="1037"/>
    </row>
    <row r="527" spans="1:88" s="85" customFormat="1" ht="14.25" hidden="1" customHeight="1" outlineLevel="1">
      <c r="B527" s="1044" t="s">
        <v>440</v>
      </c>
      <c r="C527" s="1007"/>
      <c r="D527" s="1039"/>
      <c r="E527" s="1039"/>
      <c r="F527" s="1039"/>
      <c r="G527" s="1039"/>
      <c r="H527" s="1040">
        <f t="shared" ref="H527:AE527" si="1292">SUM(H525:H526)</f>
        <v>0</v>
      </c>
      <c r="I527" s="1040">
        <f t="shared" si="1292"/>
        <v>0</v>
      </c>
      <c r="J527" s="1040">
        <f t="shared" si="1292"/>
        <v>0</v>
      </c>
      <c r="K527" s="1040">
        <f t="shared" si="1292"/>
        <v>0</v>
      </c>
      <c r="L527" s="1040">
        <f t="shared" si="1292"/>
        <v>0</v>
      </c>
      <c r="M527" s="1040">
        <f t="shared" si="1292"/>
        <v>0</v>
      </c>
      <c r="N527" s="1040">
        <f t="shared" si="1292"/>
        <v>0</v>
      </c>
      <c r="O527" s="1040">
        <f t="shared" si="1292"/>
        <v>0</v>
      </c>
      <c r="P527" s="1040">
        <f t="shared" si="1292"/>
        <v>0</v>
      </c>
      <c r="Q527" s="1040">
        <f t="shared" si="1292"/>
        <v>0</v>
      </c>
      <c r="R527" s="1040">
        <f t="shared" si="1292"/>
        <v>0</v>
      </c>
      <c r="S527" s="1040">
        <f t="shared" si="1292"/>
        <v>0</v>
      </c>
      <c r="T527" s="1040">
        <f t="shared" si="1292"/>
        <v>0</v>
      </c>
      <c r="U527" s="1040">
        <f t="shared" si="1292"/>
        <v>0</v>
      </c>
      <c r="V527" s="1040">
        <f t="shared" si="1292"/>
        <v>0</v>
      </c>
      <c r="W527" s="1040">
        <f t="shared" si="1292"/>
        <v>0</v>
      </c>
      <c r="X527" s="1040">
        <f t="shared" si="1292"/>
        <v>0</v>
      </c>
      <c r="Y527" s="1040">
        <f t="shared" si="1292"/>
        <v>0</v>
      </c>
      <c r="Z527" s="1040">
        <f t="shared" si="1292"/>
        <v>0</v>
      </c>
      <c r="AA527" s="1040">
        <f t="shared" si="1292"/>
        <v>0</v>
      </c>
      <c r="AB527" s="1040">
        <f t="shared" si="1292"/>
        <v>0</v>
      </c>
      <c r="AC527" s="1040">
        <f t="shared" si="1292"/>
        <v>0</v>
      </c>
      <c r="AD527" s="1040">
        <f t="shared" si="1292"/>
        <v>0</v>
      </c>
      <c r="AE527" s="1040">
        <f t="shared" si="1292"/>
        <v>0</v>
      </c>
      <c r="AF527" s="1040"/>
      <c r="AG527" s="1041"/>
      <c r="AH527" s="1041"/>
      <c r="AI527" s="1041"/>
      <c r="AJ527" s="1041"/>
      <c r="AK527" s="1041"/>
      <c r="AL527" s="1041"/>
      <c r="AM527" s="1041"/>
      <c r="AN527" s="1041"/>
      <c r="AO527" s="1041"/>
      <c r="AP527" s="1041"/>
      <c r="AQ527" s="1041"/>
      <c r="AR527" s="1041"/>
      <c r="AS527" s="1041"/>
      <c r="AT527" s="1041"/>
      <c r="AU527" s="1041"/>
      <c r="AV527" s="1041"/>
      <c r="AW527" s="1041"/>
      <c r="AX527" s="1041"/>
      <c r="AY527" s="1041"/>
      <c r="AZ527" s="1041"/>
      <c r="BA527" s="1041"/>
      <c r="BB527" s="1041"/>
      <c r="BC527" s="1041"/>
      <c r="BD527" s="1041"/>
      <c r="BE527" s="1041"/>
      <c r="BF527" s="1041"/>
      <c r="BG527" s="1041"/>
      <c r="BH527" s="1041"/>
      <c r="BI527" s="1041"/>
      <c r="BJ527" s="1041"/>
      <c r="BK527" s="1041"/>
      <c r="BL527" s="1041"/>
      <c r="BM527" s="1041"/>
      <c r="BN527" s="1041"/>
      <c r="BO527" s="1041"/>
      <c r="BP527" s="1028"/>
      <c r="BQ527" s="1050">
        <f t="shared" ref="BQ527:BW527" si="1293">SUM(BQ525:BQ526)</f>
        <v>0.35</v>
      </c>
      <c r="BR527" s="732">
        <f t="shared" si="1293"/>
        <v>0.4</v>
      </c>
      <c r="BS527" s="732">
        <f t="shared" si="1293"/>
        <v>0.44999999999999996</v>
      </c>
      <c r="BT527" s="1007">
        <f t="shared" si="1293"/>
        <v>0.52</v>
      </c>
      <c r="BU527" s="1007">
        <f t="shared" si="1293"/>
        <v>0.54</v>
      </c>
      <c r="BV527" s="1007">
        <f t="shared" si="1293"/>
        <v>0.56000000000000005</v>
      </c>
      <c r="BW527" s="1007">
        <f t="shared" si="1293"/>
        <v>0.53</v>
      </c>
      <c r="BX527" s="1007"/>
      <c r="BY527" s="1007"/>
      <c r="BZ527" s="1007"/>
      <c r="CA527" s="1007"/>
      <c r="CB527" s="1007"/>
      <c r="CC527" s="1007"/>
      <c r="CD527" s="1007"/>
      <c r="CE527" s="1007"/>
      <c r="CF527" s="1007"/>
      <c r="CG527" s="1007"/>
      <c r="CH527"/>
      <c r="CI527"/>
      <c r="CJ527"/>
    </row>
    <row r="528" spans="1:88" ht="14.25" hidden="1" customHeight="1" outlineLevel="1">
      <c r="B528" s="1045"/>
      <c r="C528" s="363"/>
      <c r="D528" s="363"/>
      <c r="E528" s="363"/>
      <c r="F528" s="363"/>
      <c r="G528" s="363"/>
      <c r="H528" s="363"/>
      <c r="I528" s="363"/>
      <c r="J528" s="363"/>
      <c r="K528" s="363"/>
      <c r="L528" s="363"/>
      <c r="M528" s="363"/>
      <c r="N528" s="363"/>
      <c r="O528" s="363"/>
      <c r="P528" s="363"/>
      <c r="Q528" s="363"/>
      <c r="R528" s="363"/>
      <c r="S528" s="363"/>
      <c r="T528" s="363"/>
      <c r="U528" s="363"/>
      <c r="V528" s="363"/>
      <c r="W528" s="363"/>
      <c r="X528" s="363"/>
      <c r="Y528" s="363"/>
      <c r="Z528" s="363"/>
      <c r="AA528" s="363"/>
      <c r="AB528" s="363"/>
      <c r="AC528" s="363"/>
      <c r="AD528" s="363"/>
      <c r="AE528" s="363"/>
      <c r="AF528" s="363"/>
      <c r="AG528" s="363"/>
      <c r="AH528" s="363"/>
      <c r="AI528" s="363"/>
      <c r="AJ528" s="363"/>
      <c r="AK528" s="363"/>
      <c r="AL528" s="363"/>
      <c r="AM528" s="363"/>
      <c r="AN528" s="363"/>
      <c r="AO528" s="363"/>
      <c r="AP528" s="363"/>
      <c r="AQ528" s="363"/>
      <c r="AR528" s="363"/>
      <c r="AS528" s="363"/>
      <c r="AT528" s="363"/>
      <c r="AU528" s="363"/>
      <c r="AV528" s="363"/>
      <c r="AW528" s="363"/>
      <c r="AX528" s="363"/>
      <c r="AY528" s="363"/>
      <c r="AZ528" s="363"/>
      <c r="BA528" s="363"/>
      <c r="BB528" s="363"/>
      <c r="BC528" s="363"/>
      <c r="BD528" s="363"/>
      <c r="BE528" s="363"/>
      <c r="BF528" s="363"/>
      <c r="BG528" s="363"/>
      <c r="BH528" s="363"/>
      <c r="BI528" s="363"/>
      <c r="BJ528" s="363"/>
      <c r="BK528" s="363"/>
      <c r="BL528" s="363"/>
      <c r="BM528" s="363"/>
      <c r="BN528" s="363"/>
      <c r="BO528" s="363"/>
      <c r="BP528" s="1018"/>
      <c r="BQ528" s="14"/>
      <c r="BR528" s="14"/>
      <c r="BS528" s="14"/>
      <c r="BT528" s="363"/>
      <c r="BU528" s="363"/>
      <c r="BV528" s="363"/>
      <c r="BW528" s="363"/>
      <c r="BX528" s="363"/>
      <c r="BY528" s="363"/>
      <c r="BZ528" s="363"/>
      <c r="CA528" s="363"/>
      <c r="CB528" s="363"/>
      <c r="CC528" s="363"/>
      <c r="CD528" s="363"/>
      <c r="CE528" s="363"/>
      <c r="CF528" s="363"/>
      <c r="CG528" s="363"/>
    </row>
    <row r="529" spans="1:88" s="8" customFormat="1" ht="14.25" hidden="1" customHeight="1" outlineLevel="1">
      <c r="B529" s="1030" t="s">
        <v>272</v>
      </c>
      <c r="C529" s="268"/>
      <c r="D529" s="1031"/>
      <c r="E529" s="1031"/>
      <c r="F529" s="1031"/>
      <c r="G529" s="1031"/>
      <c r="H529" s="1034">
        <f t="shared" ref="H529:AF529" si="1294">IF(ROUND(H527,1)=1,"OK",H527)</f>
        <v>0</v>
      </c>
      <c r="I529" s="1034">
        <f t="shared" si="1294"/>
        <v>0</v>
      </c>
      <c r="J529" s="1034">
        <f t="shared" si="1294"/>
        <v>0</v>
      </c>
      <c r="K529" s="1034">
        <f t="shared" si="1294"/>
        <v>0</v>
      </c>
      <c r="L529" s="1034">
        <f t="shared" si="1294"/>
        <v>0</v>
      </c>
      <c r="M529" s="1034">
        <f t="shared" si="1294"/>
        <v>0</v>
      </c>
      <c r="N529" s="1034">
        <f t="shared" si="1294"/>
        <v>0</v>
      </c>
      <c r="O529" s="1034">
        <f t="shared" si="1294"/>
        <v>0</v>
      </c>
      <c r="P529" s="1034">
        <f t="shared" si="1294"/>
        <v>0</v>
      </c>
      <c r="Q529" s="1034">
        <f t="shared" si="1294"/>
        <v>0</v>
      </c>
      <c r="R529" s="1034">
        <f t="shared" si="1294"/>
        <v>0</v>
      </c>
      <c r="S529" s="1034">
        <f t="shared" si="1294"/>
        <v>0</v>
      </c>
      <c r="T529" s="1034">
        <f t="shared" si="1294"/>
        <v>0</v>
      </c>
      <c r="U529" s="1034">
        <f t="shared" si="1294"/>
        <v>0</v>
      </c>
      <c r="V529" s="1034">
        <f t="shared" si="1294"/>
        <v>0</v>
      </c>
      <c r="W529" s="1034">
        <f t="shared" si="1294"/>
        <v>0</v>
      </c>
      <c r="X529" s="1034">
        <f t="shared" si="1294"/>
        <v>0</v>
      </c>
      <c r="Y529" s="1034">
        <f t="shared" si="1294"/>
        <v>0</v>
      </c>
      <c r="Z529" s="1034">
        <f t="shared" si="1294"/>
        <v>0</v>
      </c>
      <c r="AA529" s="1034">
        <f t="shared" si="1294"/>
        <v>0</v>
      </c>
      <c r="AB529" s="1034">
        <f t="shared" si="1294"/>
        <v>0</v>
      </c>
      <c r="AC529" s="1034">
        <f t="shared" si="1294"/>
        <v>0</v>
      </c>
      <c r="AD529" s="1034">
        <f t="shared" si="1294"/>
        <v>0</v>
      </c>
      <c r="AE529" s="1034">
        <f t="shared" si="1294"/>
        <v>0</v>
      </c>
      <c r="AF529" s="1034">
        <f t="shared" si="1294"/>
        <v>0</v>
      </c>
      <c r="AG529" s="280"/>
      <c r="AH529" s="280"/>
      <c r="AI529" s="280"/>
      <c r="AJ529" s="280"/>
      <c r="AK529" s="280"/>
      <c r="AL529" s="280"/>
      <c r="AM529" s="280"/>
      <c r="AN529" s="280"/>
      <c r="AO529" s="280"/>
      <c r="AP529" s="280"/>
      <c r="AQ529" s="280"/>
      <c r="AR529" s="280"/>
      <c r="AS529" s="280"/>
      <c r="AT529" s="280"/>
      <c r="AU529" s="280"/>
      <c r="AV529" s="280"/>
      <c r="AW529" s="280"/>
      <c r="AX529" s="280"/>
      <c r="AY529" s="280"/>
      <c r="AZ529" s="280"/>
      <c r="BA529" s="280"/>
      <c r="BB529" s="280"/>
      <c r="BC529" s="280"/>
      <c r="BD529" s="280"/>
      <c r="BE529" s="280"/>
      <c r="BF529" s="280"/>
      <c r="BG529" s="280"/>
      <c r="BH529" s="280"/>
      <c r="BI529" s="280"/>
      <c r="BJ529" s="280"/>
      <c r="BK529" s="280"/>
      <c r="BL529" s="280"/>
      <c r="BM529" s="280"/>
      <c r="BN529" s="280"/>
      <c r="BO529" s="280"/>
      <c r="BP529" s="652"/>
      <c r="BQ529" s="1051">
        <f t="shared" ref="BQ529:BW529" si="1295">IF(ROUND(BQ527,1)=1,"OK",BQ527)</f>
        <v>0.35</v>
      </c>
      <c r="BR529" s="280">
        <f t="shared" si="1295"/>
        <v>0.4</v>
      </c>
      <c r="BS529" s="280">
        <f t="shared" si="1295"/>
        <v>0.44999999999999996</v>
      </c>
      <c r="BT529" s="14">
        <f t="shared" si="1295"/>
        <v>0.52</v>
      </c>
      <c r="BU529" s="14">
        <f t="shared" si="1295"/>
        <v>0.54</v>
      </c>
      <c r="BV529" s="14">
        <f t="shared" si="1295"/>
        <v>0.56000000000000005</v>
      </c>
      <c r="BW529" s="14">
        <f t="shared" si="1295"/>
        <v>0.53</v>
      </c>
      <c r="BX529" s="14"/>
      <c r="BY529" s="14"/>
      <c r="BZ529" s="14"/>
      <c r="CA529" s="14"/>
      <c r="CB529" s="14"/>
      <c r="CC529" s="14"/>
      <c r="CD529" s="14"/>
      <c r="CE529" s="14"/>
      <c r="CF529" s="14"/>
      <c r="CG529" s="14"/>
      <c r="CH529" s="14"/>
      <c r="CI529" s="221"/>
      <c r="CJ529"/>
    </row>
    <row r="530" spans="1:88" ht="14.25" hidden="1" customHeight="1" outlineLevel="1">
      <c r="A530" s="1"/>
      <c r="B530" s="1006"/>
      <c r="C530" s="1007"/>
      <c r="D530" s="1008"/>
      <c r="E530" s="1008"/>
      <c r="F530" s="1008"/>
      <c r="G530" s="1008"/>
      <c r="H530" s="1008"/>
      <c r="I530" s="1008"/>
      <c r="J530" s="1008"/>
      <c r="K530" s="1008"/>
      <c r="L530" s="1008"/>
      <c r="M530" s="1008"/>
      <c r="N530" s="1008"/>
      <c r="O530" s="1008"/>
      <c r="P530" s="1008"/>
      <c r="Q530" s="1008"/>
      <c r="R530" s="1008"/>
      <c r="S530" s="1008"/>
      <c r="T530" s="1008"/>
      <c r="U530" s="1008"/>
      <c r="V530" s="1008"/>
      <c r="W530" s="1008"/>
      <c r="X530" s="1008"/>
      <c r="Y530" s="1008"/>
      <c r="Z530" s="1008"/>
      <c r="AA530" s="1008"/>
      <c r="AB530" s="1008"/>
      <c r="AC530" s="1008"/>
      <c r="AD530" s="1008"/>
      <c r="AE530" s="1008"/>
      <c r="AF530" s="1008"/>
      <c r="AG530" s="1008"/>
      <c r="AH530" s="1008"/>
      <c r="AI530" s="1008"/>
      <c r="AJ530" s="1008"/>
      <c r="AK530" s="1008"/>
      <c r="AL530" s="1008"/>
      <c r="AM530" s="1008"/>
      <c r="AN530" s="1008"/>
      <c r="AO530" s="1008"/>
      <c r="AP530" s="1008"/>
      <c r="AQ530" s="1008"/>
      <c r="AR530" s="1008"/>
      <c r="AS530" s="1008"/>
      <c r="AT530" s="1008"/>
      <c r="AU530" s="1008"/>
      <c r="AV530" s="1008"/>
      <c r="AW530" s="1008"/>
      <c r="AX530" s="1008"/>
      <c r="AY530" s="1008"/>
      <c r="AZ530" s="1008"/>
      <c r="BA530" s="1008"/>
      <c r="BB530" s="1008"/>
      <c r="BC530" s="1008"/>
      <c r="BD530" s="1008"/>
      <c r="BE530" s="1008"/>
      <c r="BF530" s="1008"/>
      <c r="BG530" s="1008"/>
      <c r="BH530" s="1008"/>
      <c r="BI530" s="1008"/>
      <c r="BJ530" s="1008"/>
      <c r="BK530" s="1008"/>
      <c r="BL530" s="1008"/>
      <c r="BM530" s="1008"/>
      <c r="BN530" s="1008"/>
      <c r="BO530" s="1008"/>
      <c r="BP530" s="1009"/>
      <c r="BQ530" s="173"/>
      <c r="BR530" s="173"/>
      <c r="BS530" s="173"/>
      <c r="BT530" s="1008"/>
      <c r="BU530" s="1008"/>
      <c r="BV530" s="1008"/>
      <c r="BW530" s="1008"/>
      <c r="BX530" s="1008"/>
      <c r="BY530" s="1008"/>
      <c r="BZ530" s="1008"/>
      <c r="CA530" s="1008"/>
      <c r="CB530" s="1008"/>
      <c r="CC530" s="1008"/>
      <c r="CD530" s="1008"/>
      <c r="CE530" s="1008"/>
      <c r="CF530" s="1008"/>
      <c r="CG530" s="363"/>
    </row>
    <row r="531" spans="1:88" ht="14.25" hidden="1" customHeight="1" outlineLevel="1">
      <c r="A531" s="1"/>
      <c r="B531" s="1010" t="s">
        <v>450</v>
      </c>
      <c r="C531" s="1011"/>
      <c r="D531" s="1012" t="str">
        <f t="shared" ref="D531:BC531" si="1296">D$6</f>
        <v>F1Q05A</v>
      </c>
      <c r="E531" s="1012" t="str">
        <f t="shared" si="1296"/>
        <v>F2Q05A</v>
      </c>
      <c r="F531" s="1012" t="str">
        <f t="shared" si="1296"/>
        <v>F3Q05A</v>
      </c>
      <c r="G531" s="1012" t="str">
        <f t="shared" si="1296"/>
        <v>F4Q05A</v>
      </c>
      <c r="H531" s="1012" t="str">
        <f t="shared" si="1296"/>
        <v>F1Q06A</v>
      </c>
      <c r="I531" s="1012" t="str">
        <f t="shared" si="1296"/>
        <v>F2Q06A</v>
      </c>
      <c r="J531" s="1012" t="str">
        <f t="shared" si="1296"/>
        <v>F3Q06A</v>
      </c>
      <c r="K531" s="1012" t="str">
        <f t="shared" si="1296"/>
        <v>F4Q06A</v>
      </c>
      <c r="L531" s="1012" t="str">
        <f t="shared" si="1296"/>
        <v>F1Q07A</v>
      </c>
      <c r="M531" s="1012" t="str">
        <f t="shared" si="1296"/>
        <v>F2Q07A</v>
      </c>
      <c r="N531" s="1012" t="str">
        <f t="shared" si="1296"/>
        <v>F3Q07A</v>
      </c>
      <c r="O531" s="1012" t="str">
        <f t="shared" si="1296"/>
        <v>F4Q07A</v>
      </c>
      <c r="P531" s="1012" t="str">
        <f t="shared" si="1296"/>
        <v>F1Q08A</v>
      </c>
      <c r="Q531" s="1012" t="str">
        <f t="shared" si="1296"/>
        <v>F2Q08A</v>
      </c>
      <c r="R531" s="1012" t="str">
        <f t="shared" si="1296"/>
        <v>F3Q08A</v>
      </c>
      <c r="S531" s="1012" t="str">
        <f t="shared" si="1296"/>
        <v>F4Q08A</v>
      </c>
      <c r="T531" s="1012" t="str">
        <f t="shared" si="1296"/>
        <v>F1Q09A</v>
      </c>
      <c r="U531" s="1012" t="str">
        <f t="shared" si="1296"/>
        <v>F2Q09A</v>
      </c>
      <c r="V531" s="1012" t="str">
        <f t="shared" si="1296"/>
        <v>F3Q09A</v>
      </c>
      <c r="W531" s="1012" t="str">
        <f t="shared" si="1296"/>
        <v>F4Q09A</v>
      </c>
      <c r="X531" s="1012" t="str">
        <f t="shared" si="1296"/>
        <v>F1Q10A</v>
      </c>
      <c r="Y531" s="1012" t="str">
        <f t="shared" si="1296"/>
        <v>F2Q10A</v>
      </c>
      <c r="Z531" s="1012" t="str">
        <f t="shared" si="1296"/>
        <v>F3Q10A</v>
      </c>
      <c r="AA531" s="1012" t="str">
        <f t="shared" si="1296"/>
        <v>F4Q10A</v>
      </c>
      <c r="AB531" s="1012" t="str">
        <f t="shared" si="1296"/>
        <v>F1Q11A</v>
      </c>
      <c r="AC531" s="1012" t="str">
        <f t="shared" si="1296"/>
        <v>F2Q11A</v>
      </c>
      <c r="AD531" s="1012" t="str">
        <f t="shared" si="1296"/>
        <v>F3Q11A</v>
      </c>
      <c r="AE531" s="1012" t="str">
        <f t="shared" si="1296"/>
        <v>F4Q11A</v>
      </c>
      <c r="AF531" s="1012" t="str">
        <f t="shared" si="1296"/>
        <v>F1Q12A</v>
      </c>
      <c r="AG531" s="1012" t="str">
        <f t="shared" si="1296"/>
        <v>F2Q12A</v>
      </c>
      <c r="AH531" s="1012" t="str">
        <f t="shared" si="1296"/>
        <v>F3Q12A</v>
      </c>
      <c r="AI531" s="1012" t="str">
        <f t="shared" si="1296"/>
        <v>F4Q12A</v>
      </c>
      <c r="AJ531" s="1012" t="str">
        <f t="shared" si="1296"/>
        <v>F1Q13A</v>
      </c>
      <c r="AK531" s="1012" t="str">
        <f t="shared" si="1296"/>
        <v>F2Q13A</v>
      </c>
      <c r="AL531" s="1012" t="str">
        <f t="shared" si="1296"/>
        <v>F3Q13A</v>
      </c>
      <c r="AM531" s="1012" t="str">
        <f t="shared" si="1296"/>
        <v>F4Q13A</v>
      </c>
      <c r="AN531" s="1012" t="str">
        <f t="shared" si="1296"/>
        <v>F1Q14A</v>
      </c>
      <c r="AO531" s="1012" t="str">
        <f t="shared" si="1296"/>
        <v>F2Q14A</v>
      </c>
      <c r="AP531" s="1012" t="str">
        <f t="shared" si="1296"/>
        <v>F3Q14A</v>
      </c>
      <c r="AQ531" s="1012" t="str">
        <f t="shared" si="1296"/>
        <v>F4Q14A</v>
      </c>
      <c r="AR531" s="1012" t="str">
        <f t="shared" si="1296"/>
        <v>F1Q15A</v>
      </c>
      <c r="AS531" s="1012" t="str">
        <f t="shared" si="1296"/>
        <v>F2Q15A</v>
      </c>
      <c r="AT531" s="1012" t="str">
        <f t="shared" si="1296"/>
        <v>F3Q15A</v>
      </c>
      <c r="AU531" s="1012" t="str">
        <f t="shared" si="1296"/>
        <v>F4Q15A</v>
      </c>
      <c r="AV531" s="1012" t="str">
        <f t="shared" si="1296"/>
        <v>F1Q16A</v>
      </c>
      <c r="AW531" s="1012" t="str">
        <f t="shared" si="1296"/>
        <v>F2Q16A</v>
      </c>
      <c r="AX531" s="1012" t="str">
        <f t="shared" si="1296"/>
        <v>F3Q16A</v>
      </c>
      <c r="AY531" s="1012" t="str">
        <f t="shared" si="1296"/>
        <v>F4Q16A</v>
      </c>
      <c r="AZ531" s="1012" t="str">
        <f t="shared" si="1296"/>
        <v>F1Q17A</v>
      </c>
      <c r="BA531" s="1012" t="str">
        <f t="shared" si="1296"/>
        <v>F2Q17A</v>
      </c>
      <c r="BB531" s="1012" t="str">
        <f t="shared" si="1296"/>
        <v>F3Q17A</v>
      </c>
      <c r="BC531" s="1012" t="str">
        <f t="shared" si="1296"/>
        <v>F4Q17A</v>
      </c>
      <c r="BD531" s="1012"/>
      <c r="BE531" s="1012"/>
      <c r="BF531" s="1012"/>
      <c r="BG531" s="1012"/>
      <c r="BH531" s="1012"/>
      <c r="BI531" s="1012"/>
      <c r="BJ531" s="1012"/>
      <c r="BK531" s="1012"/>
      <c r="BL531" s="1012"/>
      <c r="BM531" s="1012"/>
      <c r="BN531" s="1012"/>
      <c r="BO531" s="1012"/>
      <c r="BP531" s="652"/>
      <c r="BQ531" s="1012" t="str">
        <f t="shared" ref="BQ531:CF531" si="1297">BQ$6</f>
        <v>FY2005A</v>
      </c>
      <c r="BR531" s="1012" t="str">
        <f t="shared" si="1297"/>
        <v>FY2006A</v>
      </c>
      <c r="BS531" s="1012" t="str">
        <f t="shared" si="1297"/>
        <v>FY2007A</v>
      </c>
      <c r="BT531" s="1012" t="str">
        <f t="shared" si="1297"/>
        <v>FY2008A</v>
      </c>
      <c r="BU531" s="1012" t="str">
        <f t="shared" si="1297"/>
        <v>FY2009A</v>
      </c>
      <c r="BV531" s="1012" t="str">
        <f t="shared" si="1297"/>
        <v>FY2010A</v>
      </c>
      <c r="BW531" s="1012" t="str">
        <f t="shared" si="1297"/>
        <v>FY2011A</v>
      </c>
      <c r="BX531" s="1012" t="str">
        <f t="shared" si="1297"/>
        <v>FY2012A</v>
      </c>
      <c r="BY531" s="1012" t="str">
        <f t="shared" si="1297"/>
        <v>FY2013A</v>
      </c>
      <c r="BZ531" s="1012" t="str">
        <f t="shared" si="1297"/>
        <v>FY2014A</v>
      </c>
      <c r="CA531" s="1012" t="str">
        <f t="shared" si="1297"/>
        <v>FY2015A</v>
      </c>
      <c r="CB531" s="1012" t="str">
        <f t="shared" si="1297"/>
        <v>FY2016A</v>
      </c>
      <c r="CC531" s="1012" t="str">
        <f t="shared" si="1297"/>
        <v>FY2017E</v>
      </c>
      <c r="CD531" s="1012" t="str">
        <f t="shared" si="1297"/>
        <v>FY2018E</v>
      </c>
      <c r="CE531" s="1012" t="str">
        <f t="shared" si="1297"/>
        <v>FY2019E</v>
      </c>
      <c r="CF531" s="1012" t="str">
        <f t="shared" si="1297"/>
        <v>FY2020E</v>
      </c>
      <c r="CG531" s="318"/>
    </row>
    <row r="532" spans="1:88" ht="14.25" hidden="1" customHeight="1" outlineLevel="1">
      <c r="B532" s="989" t="s">
        <v>451</v>
      </c>
      <c r="C532" s="318"/>
      <c r="D532" s="1013"/>
      <c r="E532" s="1013"/>
      <c r="F532" s="1013"/>
      <c r="G532" s="1014"/>
      <c r="H532" s="1013"/>
      <c r="I532" s="1013"/>
      <c r="J532" s="1013"/>
      <c r="K532" s="1014"/>
      <c r="L532" s="1013"/>
      <c r="M532" s="1013"/>
      <c r="N532" s="1013"/>
      <c r="O532" s="1013"/>
      <c r="P532" s="1013"/>
      <c r="Q532" s="1013"/>
      <c r="R532" s="1013"/>
      <c r="S532" s="1013"/>
      <c r="T532" s="1013"/>
      <c r="U532" s="1013"/>
      <c r="V532" s="1013"/>
      <c r="W532" s="1013"/>
      <c r="X532" s="1013"/>
      <c r="Y532" s="1013"/>
      <c r="Z532" s="1013"/>
      <c r="AA532" s="1013"/>
      <c r="AB532" s="1013"/>
      <c r="AC532" s="1013"/>
      <c r="AD532" s="1013"/>
      <c r="AE532" s="1013"/>
      <c r="AF532" s="1015"/>
      <c r="AG532" s="1017"/>
      <c r="AH532" s="1017"/>
      <c r="AI532" s="1017"/>
      <c r="AJ532" s="1017"/>
      <c r="AK532" s="1017"/>
      <c r="AL532" s="1017"/>
      <c r="AM532" s="1017"/>
      <c r="AN532" s="1017"/>
      <c r="AO532" s="1017"/>
      <c r="AP532" s="1017"/>
      <c r="AQ532" s="1017"/>
      <c r="AR532" s="1017"/>
      <c r="AS532" s="1017"/>
      <c r="AT532" s="1017"/>
      <c r="AU532" s="1017"/>
      <c r="AV532" s="1017"/>
      <c r="AW532" s="1017"/>
      <c r="AX532" s="1017"/>
      <c r="AY532" s="1017"/>
      <c r="AZ532" s="1017"/>
      <c r="BA532" s="1017"/>
      <c r="BB532" s="1017"/>
      <c r="BC532" s="1017"/>
      <c r="BD532" s="1017"/>
      <c r="BE532" s="1017"/>
      <c r="BF532" s="1017"/>
      <c r="BG532" s="1017"/>
      <c r="BH532" s="1017"/>
      <c r="BI532" s="1017"/>
      <c r="BJ532" s="1017"/>
      <c r="BK532" s="1017"/>
      <c r="BL532" s="1017"/>
      <c r="BM532" s="1017"/>
      <c r="BN532" s="1017"/>
      <c r="BO532" s="1017"/>
      <c r="BP532" s="1018"/>
      <c r="BQ532" s="1019"/>
      <c r="BR532" s="1052">
        <v>1868</v>
      </c>
      <c r="BS532" s="1052">
        <v>1758</v>
      </c>
      <c r="BT532" s="318">
        <v>1551</v>
      </c>
      <c r="BU532" s="318">
        <v>1140</v>
      </c>
      <c r="BV532" s="318">
        <v>1539</v>
      </c>
      <c r="BW532" s="318">
        <v>1468</v>
      </c>
      <c r="BX532" s="318">
        <v>1596</v>
      </c>
      <c r="BY532" s="318">
        <v>1666</v>
      </c>
      <c r="BZ532" s="318"/>
      <c r="CA532" s="318"/>
      <c r="CB532" s="318"/>
      <c r="CC532" s="318"/>
      <c r="CD532" s="318"/>
      <c r="CE532" s="318"/>
      <c r="CF532" s="318"/>
      <c r="CG532" s="318"/>
    </row>
    <row r="533" spans="1:88" ht="14.25" hidden="1" customHeight="1" outlineLevel="1">
      <c r="B533" s="989" t="s">
        <v>456</v>
      </c>
      <c r="C533" s="318"/>
      <c r="D533" s="1013"/>
      <c r="E533" s="1013"/>
      <c r="F533" s="1013"/>
      <c r="G533" s="1014"/>
      <c r="H533" s="1013"/>
      <c r="I533" s="1013"/>
      <c r="J533" s="1013"/>
      <c r="K533" s="1014"/>
      <c r="L533" s="1013"/>
      <c r="M533" s="1013"/>
      <c r="N533" s="1013"/>
      <c r="O533" s="1013"/>
      <c r="P533" s="1013"/>
      <c r="Q533" s="1013"/>
      <c r="R533" s="1013"/>
      <c r="S533" s="1013"/>
      <c r="T533" s="1013"/>
      <c r="U533" s="1013"/>
      <c r="V533" s="1013"/>
      <c r="W533" s="1013"/>
      <c r="X533" s="1013"/>
      <c r="Y533" s="1013"/>
      <c r="Z533" s="1013"/>
      <c r="AA533" s="1013"/>
      <c r="AB533" s="1013"/>
      <c r="AC533" s="1013"/>
      <c r="AD533" s="1013"/>
      <c r="AE533" s="1013"/>
      <c r="AF533" s="1015"/>
      <c r="AG533" s="1017"/>
      <c r="AH533" s="1017"/>
      <c r="AI533" s="1017"/>
      <c r="AJ533" s="1017"/>
      <c r="AK533" s="1017"/>
      <c r="AL533" s="1017"/>
      <c r="AM533" s="1017"/>
      <c r="AN533" s="1017"/>
      <c r="AO533" s="1017"/>
      <c r="AP533" s="1017"/>
      <c r="AQ533" s="1017"/>
      <c r="AR533" s="1017"/>
      <c r="AS533" s="1017"/>
      <c r="AT533" s="1017"/>
      <c r="AU533" s="1017"/>
      <c r="AV533" s="1017"/>
      <c r="AW533" s="1017"/>
      <c r="AX533" s="1017"/>
      <c r="AY533" s="1017"/>
      <c r="AZ533" s="1017"/>
      <c r="BA533" s="1017"/>
      <c r="BB533" s="1017"/>
      <c r="BC533" s="1017"/>
      <c r="BD533" s="1017"/>
      <c r="BE533" s="1017"/>
      <c r="BF533" s="1017"/>
      <c r="BG533" s="1017"/>
      <c r="BH533" s="1017"/>
      <c r="BI533" s="1017"/>
      <c r="BJ533" s="1017"/>
      <c r="BK533" s="1017"/>
      <c r="BL533" s="1017"/>
      <c r="BM533" s="1017"/>
      <c r="BN533" s="1017"/>
      <c r="BO533" s="1017"/>
      <c r="BP533" s="1018"/>
      <c r="BQ533" s="1019"/>
      <c r="BR533" s="1052">
        <v>7568</v>
      </c>
      <c r="BS533" s="1052">
        <v>8013</v>
      </c>
      <c r="BT533" s="318">
        <v>7387</v>
      </c>
      <c r="BU533" s="318">
        <v>6575</v>
      </c>
      <c r="BV533" s="318">
        <v>8903</v>
      </c>
      <c r="BW533" s="318">
        <v>8619</v>
      </c>
      <c r="BX533" s="318">
        <v>7808</v>
      </c>
      <c r="BY533" s="318">
        <v>7370</v>
      </c>
      <c r="BZ533" s="318"/>
      <c r="CA533" s="318"/>
      <c r="CB533" s="318"/>
      <c r="CC533" s="318"/>
      <c r="CD533" s="318"/>
      <c r="CE533" s="318"/>
      <c r="CF533" s="318"/>
      <c r="CG533" s="318"/>
    </row>
    <row r="534" spans="1:88" ht="14.25" hidden="1" customHeight="1" outlineLevel="1">
      <c r="B534" s="989" t="s">
        <v>452</v>
      </c>
      <c r="C534" s="318"/>
      <c r="D534" s="1013"/>
      <c r="E534" s="1013"/>
      <c r="F534" s="1013"/>
      <c r="G534" s="1014"/>
      <c r="H534" s="1013"/>
      <c r="I534" s="1013"/>
      <c r="J534" s="1013"/>
      <c r="K534" s="1014"/>
      <c r="L534" s="1013"/>
      <c r="M534" s="1013"/>
      <c r="N534" s="1013"/>
      <c r="O534" s="1013"/>
      <c r="P534" s="1013"/>
      <c r="Q534" s="1013"/>
      <c r="R534" s="1013"/>
      <c r="S534" s="1013"/>
      <c r="T534" s="1013"/>
      <c r="U534" s="1013"/>
      <c r="V534" s="1013"/>
      <c r="W534" s="1013"/>
      <c r="X534" s="1013"/>
      <c r="Y534" s="1013"/>
      <c r="Z534" s="1013"/>
      <c r="AA534" s="1013"/>
      <c r="AB534" s="1013"/>
      <c r="AC534" s="1013"/>
      <c r="AD534" s="1013"/>
      <c r="AE534" s="1013"/>
      <c r="AF534" s="1015"/>
      <c r="AG534" s="1017"/>
      <c r="AH534" s="1017"/>
      <c r="AI534" s="1017"/>
      <c r="AJ534" s="1017"/>
      <c r="AK534" s="1017"/>
      <c r="AL534" s="1017"/>
      <c r="AM534" s="1017"/>
      <c r="AN534" s="1017"/>
      <c r="AO534" s="1017"/>
      <c r="AP534" s="1017"/>
      <c r="AQ534" s="1017"/>
      <c r="AR534" s="1017"/>
      <c r="AS534" s="1017"/>
      <c r="AT534" s="1017"/>
      <c r="AU534" s="1017"/>
      <c r="AV534" s="1017"/>
      <c r="AW534" s="1017"/>
      <c r="AX534" s="1017"/>
      <c r="AY534" s="1017"/>
      <c r="AZ534" s="1017"/>
      <c r="BA534" s="1017"/>
      <c r="BB534" s="1017"/>
      <c r="BC534" s="1017"/>
      <c r="BD534" s="1017"/>
      <c r="BE534" s="1017"/>
      <c r="BF534" s="1017"/>
      <c r="BG534" s="1017"/>
      <c r="BH534" s="1017"/>
      <c r="BI534" s="1017"/>
      <c r="BJ534" s="1017"/>
      <c r="BK534" s="1017"/>
      <c r="BL534" s="1017"/>
      <c r="BM534" s="1017"/>
      <c r="BN534" s="1017"/>
      <c r="BO534" s="1017"/>
      <c r="BP534" s="1018"/>
      <c r="BQ534" s="1019"/>
      <c r="BR534" s="1052">
        <v>2286</v>
      </c>
      <c r="BS534" s="1052">
        <v>2258</v>
      </c>
      <c r="BT534" s="318">
        <v>1875</v>
      </c>
      <c r="BU534" s="318">
        <v>1408</v>
      </c>
      <c r="BV534" s="318">
        <v>1760</v>
      </c>
      <c r="BW534" s="318">
        <v>1822</v>
      </c>
      <c r="BX534" s="318">
        <v>1861</v>
      </c>
      <c r="BY534" s="318">
        <v>1926</v>
      </c>
      <c r="BZ534" s="318"/>
      <c r="CA534" s="318"/>
      <c r="CB534" s="318"/>
      <c r="CC534" s="318"/>
      <c r="CD534" s="318"/>
      <c r="CE534" s="318"/>
      <c r="CF534" s="318"/>
      <c r="CG534" s="318"/>
    </row>
    <row r="535" spans="1:88" ht="14.25" hidden="1" customHeight="1" outlineLevel="1">
      <c r="B535" s="989" t="s">
        <v>453</v>
      </c>
      <c r="C535" s="318"/>
      <c r="D535" s="1013"/>
      <c r="E535" s="1013"/>
      <c r="F535" s="1013"/>
      <c r="G535" s="1014"/>
      <c r="H535" s="1013"/>
      <c r="I535" s="1013"/>
      <c r="J535" s="1013"/>
      <c r="K535" s="1014"/>
      <c r="L535" s="1013"/>
      <c r="M535" s="1013"/>
      <c r="N535" s="1013"/>
      <c r="O535" s="1013"/>
      <c r="P535" s="1013"/>
      <c r="Q535" s="1013"/>
      <c r="R535" s="1013"/>
      <c r="S535" s="1013"/>
      <c r="T535" s="1013"/>
      <c r="U535" s="1013"/>
      <c r="V535" s="1013"/>
      <c r="W535" s="1013"/>
      <c r="X535" s="1013"/>
      <c r="Y535" s="1013"/>
      <c r="Z535" s="1013"/>
      <c r="AA535" s="1013"/>
      <c r="AB535" s="1013"/>
      <c r="AC535" s="1013"/>
      <c r="AD535" s="1013"/>
      <c r="AE535" s="1013"/>
      <c r="AF535" s="1015"/>
      <c r="AG535" s="1017"/>
      <c r="AH535" s="1017"/>
      <c r="AI535" s="1017"/>
      <c r="AJ535" s="1017"/>
      <c r="AK535" s="1017"/>
      <c r="AL535" s="1017"/>
      <c r="AM535" s="1017"/>
      <c r="AN535" s="1017"/>
      <c r="AO535" s="1017"/>
      <c r="AP535" s="1017"/>
      <c r="AQ535" s="1017"/>
      <c r="AR535" s="1017"/>
      <c r="AS535" s="1017"/>
      <c r="AT535" s="1017"/>
      <c r="AU535" s="1017"/>
      <c r="AV535" s="1017"/>
      <c r="AW535" s="1017"/>
      <c r="AX535" s="1017"/>
      <c r="AY535" s="1017"/>
      <c r="AZ535" s="1017"/>
      <c r="BA535" s="1017"/>
      <c r="BB535" s="1017"/>
      <c r="BC535" s="1017"/>
      <c r="BD535" s="1017"/>
      <c r="BE535" s="1017"/>
      <c r="BF535" s="1017"/>
      <c r="BG535" s="1017"/>
      <c r="BH535" s="1017"/>
      <c r="BI535" s="1017"/>
      <c r="BJ535" s="1017"/>
      <c r="BK535" s="1017"/>
      <c r="BL535" s="1017"/>
      <c r="BM535" s="1017"/>
      <c r="BN535" s="1017"/>
      <c r="BO535" s="1017"/>
      <c r="BP535" s="1018"/>
      <c r="BQ535" s="1019"/>
      <c r="BR535" s="1052">
        <v>2008</v>
      </c>
      <c r="BS535" s="1052">
        <v>1423</v>
      </c>
      <c r="BT535" s="318">
        <v>1268</v>
      </c>
      <c r="BU535" s="318">
        <v>976</v>
      </c>
      <c r="BV535" s="318">
        <v>1366</v>
      </c>
      <c r="BW535" s="318">
        <v>1462</v>
      </c>
      <c r="BX535" s="318">
        <v>1357</v>
      </c>
      <c r="BY535" s="318">
        <v>1072</v>
      </c>
      <c r="BZ535" s="318"/>
      <c r="CA535" s="318"/>
      <c r="CB535" s="318"/>
      <c r="CC535" s="318"/>
      <c r="CD535" s="318"/>
      <c r="CE535" s="318"/>
      <c r="CF535" s="318"/>
      <c r="CG535" s="318"/>
    </row>
    <row r="536" spans="1:88" ht="14.25" hidden="1" customHeight="1" outlineLevel="1">
      <c r="B536" s="989" t="s">
        <v>457</v>
      </c>
      <c r="C536" s="318"/>
      <c r="D536" s="1013"/>
      <c r="E536" s="1013"/>
      <c r="F536" s="1013"/>
      <c r="G536" s="1014"/>
      <c r="H536" s="1013"/>
      <c r="I536" s="1013"/>
      <c r="J536" s="1013"/>
      <c r="K536" s="1014"/>
      <c r="L536" s="1013"/>
      <c r="M536" s="1013"/>
      <c r="N536" s="1013"/>
      <c r="O536" s="1013"/>
      <c r="P536" s="1013"/>
      <c r="Q536" s="1013"/>
      <c r="R536" s="1013"/>
      <c r="S536" s="1013"/>
      <c r="T536" s="1013"/>
      <c r="U536" s="1013"/>
      <c r="V536" s="1013"/>
      <c r="W536" s="1013"/>
      <c r="X536" s="1013"/>
      <c r="Y536" s="1013"/>
      <c r="Z536" s="1013"/>
      <c r="AA536" s="1013"/>
      <c r="AB536" s="1013"/>
      <c r="AC536" s="1013"/>
      <c r="AD536" s="1013"/>
      <c r="AE536" s="1013"/>
      <c r="AF536" s="1015"/>
      <c r="AG536" s="1017"/>
      <c r="AH536" s="1017"/>
      <c r="AI536" s="1017"/>
      <c r="AJ536" s="1017"/>
      <c r="AK536" s="1017"/>
      <c r="AL536" s="1017"/>
      <c r="AM536" s="1017"/>
      <c r="AN536" s="1017"/>
      <c r="AO536" s="1017"/>
      <c r="AP536" s="1017"/>
      <c r="AQ536" s="1017"/>
      <c r="AR536" s="1017"/>
      <c r="AS536" s="1017"/>
      <c r="AT536" s="1017"/>
      <c r="AU536" s="1017"/>
      <c r="AV536" s="1017"/>
      <c r="AW536" s="1017"/>
      <c r="AX536" s="1017"/>
      <c r="AY536" s="1017"/>
      <c r="AZ536" s="1017"/>
      <c r="BA536" s="1017"/>
      <c r="BB536" s="1017"/>
      <c r="BC536" s="1017"/>
      <c r="BD536" s="1017"/>
      <c r="BE536" s="1017"/>
      <c r="BF536" s="1017"/>
      <c r="BG536" s="1017"/>
      <c r="BH536" s="1017"/>
      <c r="BI536" s="1017"/>
      <c r="BJ536" s="1017"/>
      <c r="BK536" s="1017"/>
      <c r="BL536" s="1017"/>
      <c r="BM536" s="1017"/>
      <c r="BN536" s="1017"/>
      <c r="BO536" s="1017"/>
      <c r="BP536" s="1018"/>
      <c r="BQ536" s="1019"/>
      <c r="BR536" s="1052">
        <v>525</v>
      </c>
      <c r="BS536" s="1052">
        <v>383</v>
      </c>
      <c r="BT536" s="318">
        <v>420</v>
      </c>
      <c r="BU536" s="318">
        <v>328</v>
      </c>
      <c r="BV536" s="318">
        <v>398</v>
      </c>
      <c r="BW536" s="318">
        <v>364</v>
      </c>
      <c r="BX536" s="318">
        <v>203</v>
      </c>
      <c r="BY536" s="318">
        <v>171</v>
      </c>
      <c r="BZ536" s="318"/>
      <c r="CA536" s="318"/>
      <c r="CB536" s="318"/>
      <c r="CC536" s="318"/>
      <c r="CD536" s="318"/>
      <c r="CE536" s="318"/>
      <c r="CF536" s="318"/>
      <c r="CG536" s="318"/>
    </row>
    <row r="537" spans="1:88" s="85" customFormat="1" ht="14.25" hidden="1" customHeight="1" outlineLevel="1">
      <c r="B537" s="988" t="s">
        <v>440</v>
      </c>
      <c r="C537" s="1007"/>
      <c r="D537" s="1026"/>
      <c r="E537" s="1026"/>
      <c r="F537" s="1026"/>
      <c r="G537" s="1026"/>
      <c r="H537" s="1022"/>
      <c r="I537" s="1022"/>
      <c r="J537" s="1022"/>
      <c r="K537" s="1022"/>
      <c r="L537" s="1022">
        <f t="shared" ref="L537:AE537" si="1298">SUM(L532:L536)</f>
        <v>0</v>
      </c>
      <c r="M537" s="1022">
        <f t="shared" si="1298"/>
        <v>0</v>
      </c>
      <c r="N537" s="1022">
        <f t="shared" si="1298"/>
        <v>0</v>
      </c>
      <c r="O537" s="1022">
        <f t="shared" si="1298"/>
        <v>0</v>
      </c>
      <c r="P537" s="1022">
        <f t="shared" si="1298"/>
        <v>0</v>
      </c>
      <c r="Q537" s="1022">
        <f t="shared" si="1298"/>
        <v>0</v>
      </c>
      <c r="R537" s="1022">
        <f t="shared" si="1298"/>
        <v>0</v>
      </c>
      <c r="S537" s="1022">
        <f t="shared" si="1298"/>
        <v>0</v>
      </c>
      <c r="T537" s="1022">
        <f t="shared" si="1298"/>
        <v>0</v>
      </c>
      <c r="U537" s="1022">
        <f t="shared" si="1298"/>
        <v>0</v>
      </c>
      <c r="V537" s="1022">
        <f t="shared" si="1298"/>
        <v>0</v>
      </c>
      <c r="W537" s="1022">
        <f t="shared" si="1298"/>
        <v>0</v>
      </c>
      <c r="X537" s="1022">
        <f t="shared" si="1298"/>
        <v>0</v>
      </c>
      <c r="Y537" s="1022">
        <f t="shared" si="1298"/>
        <v>0</v>
      </c>
      <c r="Z537" s="1022">
        <f t="shared" si="1298"/>
        <v>0</v>
      </c>
      <c r="AA537" s="1022">
        <f t="shared" si="1298"/>
        <v>0</v>
      </c>
      <c r="AB537" s="1022">
        <f t="shared" si="1298"/>
        <v>0</v>
      </c>
      <c r="AC537" s="1022">
        <f t="shared" si="1298"/>
        <v>0</v>
      </c>
      <c r="AD537" s="1022">
        <f t="shared" si="1298"/>
        <v>0</v>
      </c>
      <c r="AE537" s="1022">
        <f t="shared" si="1298"/>
        <v>0</v>
      </c>
      <c r="AF537" s="1022"/>
      <c r="AG537" s="1027"/>
      <c r="AH537" s="1027"/>
      <c r="AI537" s="1027"/>
      <c r="AJ537" s="1027"/>
      <c r="AK537" s="1027"/>
      <c r="AL537" s="1027"/>
      <c r="AM537" s="1027"/>
      <c r="AN537" s="1027"/>
      <c r="AO537" s="1027"/>
      <c r="AP537" s="1027"/>
      <c r="AQ537" s="1027"/>
      <c r="AR537" s="1027"/>
      <c r="AS537" s="1027"/>
      <c r="AT537" s="1027"/>
      <c r="AU537" s="1027"/>
      <c r="AV537" s="1027"/>
      <c r="AW537" s="1027"/>
      <c r="AX537" s="1027"/>
      <c r="AY537" s="1027"/>
      <c r="AZ537" s="1027"/>
      <c r="BA537" s="1027"/>
      <c r="BB537" s="1027"/>
      <c r="BC537" s="1027"/>
      <c r="BD537" s="1027"/>
      <c r="BE537" s="1027"/>
      <c r="BF537" s="1027"/>
      <c r="BG537" s="1027"/>
      <c r="BH537" s="1027"/>
      <c r="BI537" s="1027"/>
      <c r="BJ537" s="1027"/>
      <c r="BK537" s="1027"/>
      <c r="BL537" s="1027"/>
      <c r="BM537" s="1027"/>
      <c r="BN537" s="1027"/>
      <c r="BO537" s="1027"/>
      <c r="BP537" s="1028"/>
      <c r="BQ537" s="1053"/>
      <c r="BR537" s="712">
        <f t="shared" ref="BR537:BY537" si="1299">SUM(BR532:BR536)</f>
        <v>14255</v>
      </c>
      <c r="BS537" s="712">
        <f t="shared" si="1299"/>
        <v>13835</v>
      </c>
      <c r="BT537" s="1007">
        <f t="shared" si="1299"/>
        <v>12501</v>
      </c>
      <c r="BU537" s="1007">
        <f t="shared" si="1299"/>
        <v>10427</v>
      </c>
      <c r="BV537" s="1007">
        <f t="shared" si="1299"/>
        <v>13966</v>
      </c>
      <c r="BW537" s="1007">
        <f t="shared" si="1299"/>
        <v>13735</v>
      </c>
      <c r="BX537" s="1007">
        <f t="shared" si="1299"/>
        <v>12825</v>
      </c>
      <c r="BY537" s="1007">
        <f t="shared" si="1299"/>
        <v>12205</v>
      </c>
      <c r="BZ537" s="1007"/>
      <c r="CA537" s="1007"/>
      <c r="CB537" s="1007"/>
      <c r="CC537" s="1007"/>
      <c r="CD537" s="1007"/>
      <c r="CE537" s="1007"/>
      <c r="CF537" s="1007"/>
      <c r="CG537" s="1007"/>
      <c r="CH537"/>
      <c r="CI537"/>
      <c r="CJ537"/>
    </row>
    <row r="538" spans="1:88" ht="14.25" hidden="1" customHeight="1" outlineLevel="1">
      <c r="B538" s="989"/>
      <c r="C538" s="363"/>
      <c r="D538" s="363"/>
      <c r="E538" s="363"/>
      <c r="F538" s="363"/>
      <c r="G538" s="363"/>
      <c r="H538" s="363"/>
      <c r="I538" s="363"/>
      <c r="J538" s="363"/>
      <c r="K538" s="363"/>
      <c r="L538" s="363"/>
      <c r="M538" s="363"/>
      <c r="N538" s="363"/>
      <c r="O538" s="363"/>
      <c r="P538" s="363"/>
      <c r="Q538" s="363"/>
      <c r="R538" s="363"/>
      <c r="S538" s="363"/>
      <c r="T538" s="363"/>
      <c r="U538" s="363"/>
      <c r="V538" s="363"/>
      <c r="W538" s="363"/>
      <c r="X538" s="363"/>
      <c r="Y538" s="363"/>
      <c r="Z538" s="363"/>
      <c r="AA538" s="363"/>
      <c r="AB538" s="14"/>
      <c r="AC538" s="14"/>
      <c r="AD538" s="14"/>
      <c r="AE538" s="363"/>
      <c r="AF538" s="14"/>
      <c r="AG538" s="363"/>
      <c r="AH538" s="363"/>
      <c r="AI538" s="363"/>
      <c r="AJ538" s="363"/>
      <c r="AK538" s="363"/>
      <c r="AL538" s="363"/>
      <c r="AM538" s="363"/>
      <c r="AN538" s="363"/>
      <c r="AO538" s="363"/>
      <c r="AP538" s="363"/>
      <c r="AQ538" s="363"/>
      <c r="AR538" s="363"/>
      <c r="AS538" s="363"/>
      <c r="AT538" s="363"/>
      <c r="AU538" s="363"/>
      <c r="AV538" s="363"/>
      <c r="AW538" s="363"/>
      <c r="AX538" s="363"/>
      <c r="AY538" s="363"/>
      <c r="AZ538" s="363"/>
      <c r="BA538" s="363"/>
      <c r="BB538" s="363"/>
      <c r="BC538" s="363"/>
      <c r="BD538" s="363"/>
      <c r="BE538" s="363"/>
      <c r="BF538" s="363"/>
      <c r="BG538" s="363"/>
      <c r="BH538" s="363"/>
      <c r="BI538" s="363"/>
      <c r="BJ538" s="363"/>
      <c r="BK538" s="363"/>
      <c r="BL538" s="363"/>
      <c r="BM538" s="363"/>
      <c r="BN538" s="363"/>
      <c r="BO538" s="363"/>
      <c r="BP538" s="1018"/>
      <c r="BQ538" s="318"/>
      <c r="BR538" s="318"/>
      <c r="BS538" s="318"/>
      <c r="BT538" s="318"/>
      <c r="BU538" s="318"/>
      <c r="BV538" s="318"/>
      <c r="BW538" s="318"/>
      <c r="BX538" s="318"/>
      <c r="BY538" s="318"/>
      <c r="BZ538" s="318"/>
      <c r="CA538" s="318"/>
      <c r="CB538" s="318"/>
      <c r="CC538" s="318"/>
      <c r="CD538" s="318"/>
      <c r="CE538" s="318"/>
      <c r="CF538" s="363"/>
      <c r="CG538" s="363"/>
    </row>
    <row r="539" spans="1:88" s="8" customFormat="1" ht="14.25" hidden="1" customHeight="1" outlineLevel="1">
      <c r="B539" s="1030" t="s">
        <v>271</v>
      </c>
      <c r="C539" s="268"/>
      <c r="D539" s="1031"/>
      <c r="E539" s="1031"/>
      <c r="F539" s="1031"/>
      <c r="G539" s="1031"/>
      <c r="H539" s="1034"/>
      <c r="I539" s="1034"/>
      <c r="J539" s="1034"/>
      <c r="K539" s="1034"/>
      <c r="L539" s="1034">
        <f>IF(ABS(L537-IS!L$7)&lt;1,"OK",L537-IS!L$7)</f>
        <v>-3191</v>
      </c>
      <c r="M539" s="1034">
        <f>IF(ABS(M537-IS!M$7)&lt;1,"OK",M537-IS!M$7)</f>
        <v>-3424</v>
      </c>
      <c r="N539" s="1034">
        <f>IF(ABS(N537-IS!N$7)&lt;1,"OK",N537-IS!N$7)</f>
        <v>-3663</v>
      </c>
      <c r="O539" s="1034">
        <f>IF(ABS(O537-IS!O$7)&lt;1,"OK",O537-IS!O$7)</f>
        <v>-3556</v>
      </c>
      <c r="P539" s="1034">
        <f>IF(ABS(P537-IS!P$7)&lt;1,"OK",P537-IS!P$7)</f>
        <v>-3272</v>
      </c>
      <c r="Q539" s="1034">
        <f>IF(ABS(Q537-IS!Q$7)&lt;1,"OK",Q537-IS!Q$7)</f>
        <v>-3351</v>
      </c>
      <c r="R539" s="1034">
        <f>IF(ABS(R537-IS!R$7)&lt;1,"OK",R537-IS!R$7)</f>
        <v>-3387</v>
      </c>
      <c r="S539" s="1034">
        <f>IF(ABS(S537-IS!S$7)&lt;1,"OK",S537-IS!S$7)</f>
        <v>-2491</v>
      </c>
      <c r="T539" s="1034">
        <f>IF(ABS(T537-IS!T$7)&lt;1,"OK",T537-IS!T$7)</f>
        <v>-2086</v>
      </c>
      <c r="U539" s="1034">
        <f>IF(ABS(U537-IS!U$7)&lt;1,"OK",U537-IS!U$7)</f>
        <v>-2457</v>
      </c>
      <c r="V539" s="1034">
        <f>IF(ABS(V537-IS!V$7)&lt;1,"OK",V537-IS!V$7)</f>
        <v>-2880</v>
      </c>
      <c r="W539" s="1034">
        <f>IF(ABS(W537-IS!W$7)&lt;1,"OK",W537-IS!W$7)</f>
        <v>-3004</v>
      </c>
      <c r="X539" s="1034">
        <f>IF(ABS(X537-IS!X$7)&lt;1,"OK",X537-IS!X$7)</f>
        <v>-3205</v>
      </c>
      <c r="Y539" s="1034">
        <f>IF(ABS(Y537-IS!Y$7)&lt;1,"OK",Y537-IS!Y$7)</f>
        <v>-3496</v>
      </c>
      <c r="Z539" s="1034">
        <f>IF(ABS(Z537-IS!Z$7)&lt;1,"OK",Z537-IS!Z$7)</f>
        <v>-3740</v>
      </c>
      <c r="AA539" s="1034">
        <f>IF(ABS(AA537-IS!AA$7)&lt;1,"OK",AA537-IS!AA$7)</f>
        <v>-3525</v>
      </c>
      <c r="AB539" s="1034">
        <f>IF(ABS(AB537-IS!AB$7)&lt;1,"OK",AB537-IS!AB$7)</f>
        <v>-3392</v>
      </c>
      <c r="AC539" s="1034">
        <f>IF(ABS(AC537-IS!AC$7)&lt;1,"OK",AC537-IS!AC$7)</f>
        <v>-3458</v>
      </c>
      <c r="AD539" s="1034">
        <f>IF(ABS(AD537-IS!AD$7)&lt;1,"OK",AD537-IS!AD$7)</f>
        <v>-3466</v>
      </c>
      <c r="AE539" s="1034">
        <f>IF(ABS(AE537-IS!AE$7)&lt;1,"OK",AE537-IS!AE$7)</f>
        <v>-3420</v>
      </c>
      <c r="AF539" s="1034"/>
      <c r="AG539" s="280"/>
      <c r="AH539" s="280"/>
      <c r="AI539" s="280"/>
      <c r="AJ539" s="280"/>
      <c r="AK539" s="280"/>
      <c r="AL539" s="280"/>
      <c r="AM539" s="280"/>
      <c r="AN539" s="280"/>
      <c r="AO539" s="280"/>
      <c r="AP539" s="280"/>
      <c r="AQ539" s="280"/>
      <c r="AR539" s="280"/>
      <c r="AS539" s="280"/>
      <c r="AT539" s="280"/>
      <c r="AU539" s="280"/>
      <c r="AV539" s="280"/>
      <c r="AW539" s="280"/>
      <c r="AX539" s="280"/>
      <c r="AY539" s="280"/>
      <c r="AZ539" s="280"/>
      <c r="BA539" s="280"/>
      <c r="BB539" s="280"/>
      <c r="BC539" s="280"/>
      <c r="BD539" s="280"/>
      <c r="BE539" s="280"/>
      <c r="BF539" s="280"/>
      <c r="BG539" s="280"/>
      <c r="BH539" s="280"/>
      <c r="BI539" s="280"/>
      <c r="BJ539" s="280"/>
      <c r="BK539" s="280"/>
      <c r="BL539" s="280"/>
      <c r="BM539" s="280"/>
      <c r="BN539" s="280"/>
      <c r="BO539" s="280"/>
      <c r="BP539" s="652"/>
      <c r="BQ539" s="1033"/>
      <c r="BR539" s="280" t="str">
        <f>IF(ABS(BR537-IS!BR$7)&lt;1,"OK",BR537-IS!BR$7)</f>
        <v>OK</v>
      </c>
      <c r="BS539" s="280">
        <f>IF(ABS(BS537-IS!BS$7)&lt;1,"OK",BS537-IS!BS$7)</f>
        <v>1</v>
      </c>
      <c r="BT539" s="14" t="str">
        <f>IF(ABS(BT537-IS!BT$7)&lt;1,"OK",BT537-IS!BT$7)</f>
        <v>OK</v>
      </c>
      <c r="BU539" s="14" t="str">
        <f>IF(ABS(BU537-IS!BU$7)&lt;1,"OK",BU537-IS!BU$7)</f>
        <v>OK</v>
      </c>
      <c r="BV539" s="14" t="str">
        <f>IF(ABS(BV537-IS!BV$7)&lt;1,"OK",BV537-IS!BV$7)</f>
        <v>OK</v>
      </c>
      <c r="BW539" s="14">
        <f>IF(ABS(BW537-IS!BW$7)&lt;1,"OK",BW537-IS!BW$7)</f>
        <v>-1</v>
      </c>
      <c r="BX539" s="14"/>
      <c r="BY539" s="14"/>
      <c r="BZ539" s="14"/>
      <c r="CA539" s="14"/>
      <c r="CB539" s="14"/>
      <c r="CC539" s="14"/>
      <c r="CD539" s="14"/>
      <c r="CE539" s="14"/>
      <c r="CF539" s="14"/>
      <c r="CG539" s="14"/>
      <c r="CH539" s="14"/>
      <c r="CI539" s="221"/>
      <c r="CJ539"/>
    </row>
    <row r="540" spans="1:88" ht="14.25" hidden="1" customHeight="1" outlineLevel="1">
      <c r="B540" s="989"/>
      <c r="C540" s="363"/>
      <c r="D540" s="363"/>
      <c r="E540" s="363"/>
      <c r="F540" s="363"/>
      <c r="G540" s="363"/>
      <c r="H540" s="363"/>
      <c r="I540" s="363"/>
      <c r="J540" s="363"/>
      <c r="K540" s="363"/>
      <c r="L540" s="363"/>
      <c r="M540" s="363"/>
      <c r="N540" s="363"/>
      <c r="O540" s="363"/>
      <c r="P540" s="363"/>
      <c r="Q540" s="363"/>
      <c r="R540" s="363"/>
      <c r="S540" s="363"/>
      <c r="T540" s="363"/>
      <c r="U540" s="363"/>
      <c r="V540" s="363"/>
      <c r="W540" s="363"/>
      <c r="X540" s="363"/>
      <c r="Y540" s="363"/>
      <c r="Z540" s="363"/>
      <c r="AA540" s="363"/>
      <c r="AB540" s="14"/>
      <c r="AC540" s="14"/>
      <c r="AD540" s="14"/>
      <c r="AE540" s="363"/>
      <c r="AF540" s="14"/>
      <c r="AG540" s="363"/>
      <c r="AH540" s="363"/>
      <c r="AI540" s="363"/>
      <c r="AJ540" s="363"/>
      <c r="AK540" s="363"/>
      <c r="AL540" s="363"/>
      <c r="AM540" s="363"/>
      <c r="AN540" s="363"/>
      <c r="AO540" s="363"/>
      <c r="AP540" s="363"/>
      <c r="AQ540" s="363"/>
      <c r="AR540" s="363"/>
      <c r="AS540" s="363"/>
      <c r="AT540" s="363"/>
      <c r="AU540" s="363"/>
      <c r="AV540" s="363"/>
      <c r="AW540" s="363"/>
      <c r="AX540" s="363"/>
      <c r="AY540" s="363"/>
      <c r="AZ540" s="363"/>
      <c r="BA540" s="363"/>
      <c r="BB540" s="363"/>
      <c r="BC540" s="363"/>
      <c r="BD540" s="363"/>
      <c r="BE540" s="363"/>
      <c r="BF540" s="363"/>
      <c r="BG540" s="363"/>
      <c r="BH540" s="363"/>
      <c r="BI540" s="363"/>
      <c r="BJ540" s="363"/>
      <c r="BK540" s="363"/>
      <c r="BL540" s="363"/>
      <c r="BM540" s="363"/>
      <c r="BN540" s="363"/>
      <c r="BO540" s="363"/>
      <c r="BP540" s="1018"/>
      <c r="BQ540" s="363"/>
      <c r="BR540" s="363"/>
      <c r="BS540" s="363"/>
      <c r="BT540" s="363"/>
      <c r="BU540" s="363"/>
      <c r="BV540" s="363"/>
      <c r="BW540" s="363"/>
      <c r="BX540" s="363"/>
      <c r="BY540" s="363"/>
      <c r="BZ540" s="363"/>
      <c r="CA540" s="363"/>
      <c r="CB540" s="363"/>
      <c r="CC540" s="363"/>
      <c r="CD540" s="363"/>
      <c r="CE540" s="363"/>
      <c r="CF540" s="363"/>
      <c r="CG540" s="363"/>
    </row>
    <row r="541" spans="1:88" ht="14.25" hidden="1" customHeight="1" outlineLevel="1">
      <c r="A541" s="1"/>
      <c r="B541" s="1010" t="s">
        <v>454</v>
      </c>
      <c r="C541" s="1011"/>
      <c r="D541" s="1012" t="str">
        <f t="shared" ref="D541:BC541" si="1300">D$6</f>
        <v>F1Q05A</v>
      </c>
      <c r="E541" s="1012" t="str">
        <f t="shared" si="1300"/>
        <v>F2Q05A</v>
      </c>
      <c r="F541" s="1012" t="str">
        <f t="shared" si="1300"/>
        <v>F3Q05A</v>
      </c>
      <c r="G541" s="1012" t="str">
        <f t="shared" si="1300"/>
        <v>F4Q05A</v>
      </c>
      <c r="H541" s="1012" t="str">
        <f t="shared" si="1300"/>
        <v>F1Q06A</v>
      </c>
      <c r="I541" s="1012" t="str">
        <f t="shared" si="1300"/>
        <v>F2Q06A</v>
      </c>
      <c r="J541" s="1012" t="str">
        <f t="shared" si="1300"/>
        <v>F3Q06A</v>
      </c>
      <c r="K541" s="1012" t="str">
        <f t="shared" si="1300"/>
        <v>F4Q06A</v>
      </c>
      <c r="L541" s="1012" t="str">
        <f t="shared" si="1300"/>
        <v>F1Q07A</v>
      </c>
      <c r="M541" s="1012" t="str">
        <f t="shared" si="1300"/>
        <v>F2Q07A</v>
      </c>
      <c r="N541" s="1012" t="str">
        <f t="shared" si="1300"/>
        <v>F3Q07A</v>
      </c>
      <c r="O541" s="1012" t="str">
        <f t="shared" si="1300"/>
        <v>F4Q07A</v>
      </c>
      <c r="P541" s="1012" t="str">
        <f t="shared" si="1300"/>
        <v>F1Q08A</v>
      </c>
      <c r="Q541" s="1012" t="str">
        <f t="shared" si="1300"/>
        <v>F2Q08A</v>
      </c>
      <c r="R541" s="1012" t="str">
        <f t="shared" si="1300"/>
        <v>F3Q08A</v>
      </c>
      <c r="S541" s="1012" t="str">
        <f t="shared" si="1300"/>
        <v>F4Q08A</v>
      </c>
      <c r="T541" s="1012" t="str">
        <f t="shared" si="1300"/>
        <v>F1Q09A</v>
      </c>
      <c r="U541" s="1012" t="str">
        <f t="shared" si="1300"/>
        <v>F2Q09A</v>
      </c>
      <c r="V541" s="1012" t="str">
        <f t="shared" si="1300"/>
        <v>F3Q09A</v>
      </c>
      <c r="W541" s="1012" t="str">
        <f t="shared" si="1300"/>
        <v>F4Q09A</v>
      </c>
      <c r="X541" s="1012" t="str">
        <f t="shared" si="1300"/>
        <v>F1Q10A</v>
      </c>
      <c r="Y541" s="1012" t="str">
        <f t="shared" si="1300"/>
        <v>F2Q10A</v>
      </c>
      <c r="Z541" s="1012" t="str">
        <f t="shared" si="1300"/>
        <v>F3Q10A</v>
      </c>
      <c r="AA541" s="1012" t="str">
        <f t="shared" si="1300"/>
        <v>F4Q10A</v>
      </c>
      <c r="AB541" s="1012" t="str">
        <f t="shared" si="1300"/>
        <v>F1Q11A</v>
      </c>
      <c r="AC541" s="1012" t="str">
        <f t="shared" si="1300"/>
        <v>F2Q11A</v>
      </c>
      <c r="AD541" s="1012" t="str">
        <f t="shared" si="1300"/>
        <v>F3Q11A</v>
      </c>
      <c r="AE541" s="1012" t="str">
        <f t="shared" si="1300"/>
        <v>F4Q11A</v>
      </c>
      <c r="AF541" s="1012" t="str">
        <f t="shared" si="1300"/>
        <v>F1Q12A</v>
      </c>
      <c r="AG541" s="1012" t="str">
        <f t="shared" si="1300"/>
        <v>F2Q12A</v>
      </c>
      <c r="AH541" s="1012" t="str">
        <f t="shared" si="1300"/>
        <v>F3Q12A</v>
      </c>
      <c r="AI541" s="1012" t="str">
        <f t="shared" si="1300"/>
        <v>F4Q12A</v>
      </c>
      <c r="AJ541" s="1012" t="str">
        <f t="shared" si="1300"/>
        <v>F1Q13A</v>
      </c>
      <c r="AK541" s="1012" t="str">
        <f t="shared" si="1300"/>
        <v>F2Q13A</v>
      </c>
      <c r="AL541" s="1012" t="str">
        <f t="shared" si="1300"/>
        <v>F3Q13A</v>
      </c>
      <c r="AM541" s="1012" t="str">
        <f t="shared" si="1300"/>
        <v>F4Q13A</v>
      </c>
      <c r="AN541" s="1012" t="str">
        <f t="shared" si="1300"/>
        <v>F1Q14A</v>
      </c>
      <c r="AO541" s="1012" t="str">
        <f t="shared" si="1300"/>
        <v>F2Q14A</v>
      </c>
      <c r="AP541" s="1012" t="str">
        <f t="shared" si="1300"/>
        <v>F3Q14A</v>
      </c>
      <c r="AQ541" s="1012" t="str">
        <f t="shared" si="1300"/>
        <v>F4Q14A</v>
      </c>
      <c r="AR541" s="1012" t="str">
        <f t="shared" si="1300"/>
        <v>F1Q15A</v>
      </c>
      <c r="AS541" s="1012" t="str">
        <f t="shared" si="1300"/>
        <v>F2Q15A</v>
      </c>
      <c r="AT541" s="1012" t="str">
        <f t="shared" si="1300"/>
        <v>F3Q15A</v>
      </c>
      <c r="AU541" s="1012" t="str">
        <f t="shared" si="1300"/>
        <v>F4Q15A</v>
      </c>
      <c r="AV541" s="1012" t="str">
        <f t="shared" si="1300"/>
        <v>F1Q16A</v>
      </c>
      <c r="AW541" s="1012" t="str">
        <f t="shared" si="1300"/>
        <v>F2Q16A</v>
      </c>
      <c r="AX541" s="1012" t="str">
        <f t="shared" si="1300"/>
        <v>F3Q16A</v>
      </c>
      <c r="AY541" s="1012" t="str">
        <f t="shared" si="1300"/>
        <v>F4Q16A</v>
      </c>
      <c r="AZ541" s="1012" t="str">
        <f t="shared" si="1300"/>
        <v>F1Q17A</v>
      </c>
      <c r="BA541" s="1012" t="str">
        <f t="shared" si="1300"/>
        <v>F2Q17A</v>
      </c>
      <c r="BB541" s="1012" t="str">
        <f t="shared" si="1300"/>
        <v>F3Q17A</v>
      </c>
      <c r="BC541" s="1012" t="str">
        <f t="shared" si="1300"/>
        <v>F4Q17A</v>
      </c>
      <c r="BD541" s="1012"/>
      <c r="BE541" s="1012"/>
      <c r="BF541" s="1012"/>
      <c r="BG541" s="1012"/>
      <c r="BH541" s="1012"/>
      <c r="BI541" s="1012"/>
      <c r="BJ541" s="1012"/>
      <c r="BK541" s="1012"/>
      <c r="BL541" s="1012"/>
      <c r="BM541" s="1012"/>
      <c r="BN541" s="1012"/>
      <c r="BO541" s="1012"/>
      <c r="BP541" s="652"/>
      <c r="BQ541" s="1012" t="str">
        <f t="shared" ref="BQ541:CF541" si="1301">BQ$6</f>
        <v>FY2005A</v>
      </c>
      <c r="BR541" s="1012" t="str">
        <f t="shared" si="1301"/>
        <v>FY2006A</v>
      </c>
      <c r="BS541" s="1012" t="str">
        <f t="shared" si="1301"/>
        <v>FY2007A</v>
      </c>
      <c r="BT541" s="1012" t="str">
        <f t="shared" si="1301"/>
        <v>FY2008A</v>
      </c>
      <c r="BU541" s="1012" t="str">
        <f t="shared" si="1301"/>
        <v>FY2009A</v>
      </c>
      <c r="BV541" s="1012" t="str">
        <f t="shared" si="1301"/>
        <v>FY2010A</v>
      </c>
      <c r="BW541" s="1012" t="str">
        <f t="shared" si="1301"/>
        <v>FY2011A</v>
      </c>
      <c r="BX541" s="1012" t="str">
        <f t="shared" si="1301"/>
        <v>FY2012A</v>
      </c>
      <c r="BY541" s="1012" t="str">
        <f t="shared" si="1301"/>
        <v>FY2013A</v>
      </c>
      <c r="BZ541" s="1012" t="str">
        <f t="shared" si="1301"/>
        <v>FY2014A</v>
      </c>
      <c r="CA541" s="1012" t="str">
        <f t="shared" si="1301"/>
        <v>FY2015A</v>
      </c>
      <c r="CB541" s="1012" t="str">
        <f t="shared" si="1301"/>
        <v>FY2016A</v>
      </c>
      <c r="CC541" s="1012" t="str">
        <f t="shared" si="1301"/>
        <v>FY2017E</v>
      </c>
      <c r="CD541" s="1012" t="str">
        <f t="shared" si="1301"/>
        <v>FY2018E</v>
      </c>
      <c r="CE541" s="1012" t="str">
        <f t="shared" si="1301"/>
        <v>FY2019E</v>
      </c>
      <c r="CF541" s="1012" t="str">
        <f t="shared" si="1301"/>
        <v>FY2020E</v>
      </c>
      <c r="CG541" s="318"/>
    </row>
    <row r="542" spans="1:88" ht="14.25" hidden="1" customHeight="1" outlineLevel="1">
      <c r="B542" s="1035" t="str">
        <f>B532</f>
        <v>United States</v>
      </c>
      <c r="C542" s="318"/>
      <c r="D542" s="1054"/>
      <c r="E542" s="873"/>
      <c r="F542" s="873"/>
      <c r="G542" s="873"/>
      <c r="H542" s="752"/>
      <c r="I542" s="752"/>
      <c r="J542" s="752"/>
      <c r="K542" s="752"/>
      <c r="L542" s="752">
        <f>L532/IS!L$7</f>
        <v>0</v>
      </c>
      <c r="M542" s="231">
        <f>M532/IS!M$7</f>
        <v>0</v>
      </c>
      <c r="N542" s="231">
        <f>N532/IS!N$7</f>
        <v>0</v>
      </c>
      <c r="O542" s="231">
        <f>O532/IS!O$7</f>
        <v>0</v>
      </c>
      <c r="P542" s="752">
        <f>P532/IS!P$7</f>
        <v>0</v>
      </c>
      <c r="Q542" s="752">
        <f>Q532/IS!Q$7</f>
        <v>0</v>
      </c>
      <c r="R542" s="752">
        <f>R532/IS!R$7</f>
        <v>0</v>
      </c>
      <c r="S542" s="752">
        <f>S532/IS!S$7</f>
        <v>0</v>
      </c>
      <c r="T542" s="752">
        <f>T532/IS!T$7</f>
        <v>0</v>
      </c>
      <c r="U542" s="752">
        <f>U532/IS!U$7</f>
        <v>0</v>
      </c>
      <c r="V542" s="752">
        <f>V532/IS!V$7</f>
        <v>0</v>
      </c>
      <c r="W542" s="752">
        <f>W532/IS!W$7</f>
        <v>0</v>
      </c>
      <c r="X542" s="752">
        <f>X532/IS!X$7</f>
        <v>0</v>
      </c>
      <c r="Y542" s="752">
        <f>Y532/IS!Y$7</f>
        <v>0</v>
      </c>
      <c r="Z542" s="752">
        <f>Z532/IS!Z$7</f>
        <v>0</v>
      </c>
      <c r="AA542" s="752">
        <f>AA532/IS!AA$7</f>
        <v>0</v>
      </c>
      <c r="AB542" s="752">
        <f>AB532/IS!AB$7</f>
        <v>0</v>
      </c>
      <c r="AC542" s="752">
        <f>AC532/IS!AC$7</f>
        <v>0</v>
      </c>
      <c r="AD542" s="752">
        <f>AD532/IS!AD$7</f>
        <v>0</v>
      </c>
      <c r="AE542" s="752">
        <f>AE532/IS!AE$7</f>
        <v>0</v>
      </c>
      <c r="AF542" s="752"/>
      <c r="AG542" s="1036"/>
      <c r="AH542" s="1036"/>
      <c r="AI542" s="1036"/>
      <c r="AJ542" s="1036"/>
      <c r="AK542" s="1036"/>
      <c r="AL542" s="1036"/>
      <c r="AM542" s="1036"/>
      <c r="AN542" s="1036"/>
      <c r="AO542" s="1036"/>
      <c r="AP542" s="1036"/>
      <c r="AQ542" s="1036"/>
      <c r="AR542" s="1036"/>
      <c r="AS542" s="1036"/>
      <c r="AT542" s="1036"/>
      <c r="AU542" s="1036"/>
      <c r="AV542" s="1036"/>
      <c r="AW542" s="1036"/>
      <c r="AX542" s="1036"/>
      <c r="AY542" s="1036"/>
      <c r="AZ542" s="1036"/>
      <c r="BA542" s="1036"/>
      <c r="BB542" s="1036"/>
      <c r="BC542" s="1036"/>
      <c r="BD542" s="1036"/>
      <c r="BE542" s="1036"/>
      <c r="BF542" s="1036"/>
      <c r="BG542" s="1036"/>
      <c r="BH542" s="1036"/>
      <c r="BI542" s="1036"/>
      <c r="BJ542" s="1036"/>
      <c r="BK542" s="1036"/>
      <c r="BL542" s="1036"/>
      <c r="BM542" s="1036"/>
      <c r="BN542" s="1036"/>
      <c r="BO542" s="1036"/>
      <c r="BP542" s="1018"/>
      <c r="BQ542" s="873"/>
      <c r="BR542" s="231">
        <f>BR532/IS!BR$7</f>
        <v>0.13104173974044195</v>
      </c>
      <c r="BS542" s="231">
        <f>BS532/IS!BS$7</f>
        <v>0.12707821309816394</v>
      </c>
      <c r="BT542" s="1037">
        <f>BT532/IS!BT$7</f>
        <v>0.12407007439404848</v>
      </c>
      <c r="BU542" s="1037">
        <f>BU532/IS!BU$7</f>
        <v>0.10933154310923564</v>
      </c>
      <c r="BV542" s="1037">
        <f>BV532/IS!BV$7</f>
        <v>0.11019619074896177</v>
      </c>
      <c r="BW542" s="1037">
        <f>BW532/IS!BW$7</f>
        <v>0.10687245195107746</v>
      </c>
      <c r="BX542" s="1037">
        <f>BX532/IS!BX$7</f>
        <v>0.12444444444444444</v>
      </c>
      <c r="BY542" s="1037">
        <f>BY532/IS!BY$7</f>
        <v>0.13651261881350377</v>
      </c>
      <c r="BZ542" s="1037"/>
      <c r="CA542" s="1037"/>
      <c r="CB542" s="1037"/>
      <c r="CC542" s="1037"/>
      <c r="CD542" s="1037"/>
      <c r="CE542" s="1037"/>
      <c r="CF542" s="1037"/>
      <c r="CG542" s="1037"/>
    </row>
    <row r="543" spans="1:88" ht="14.25" hidden="1" customHeight="1" outlineLevel="1">
      <c r="B543" s="1035" t="str">
        <f>B533</f>
        <v>Asia</v>
      </c>
      <c r="C543" s="318"/>
      <c r="D543" s="873"/>
      <c r="E543" s="873"/>
      <c r="F543" s="873"/>
      <c r="G543" s="873"/>
      <c r="H543" s="752"/>
      <c r="I543" s="752"/>
      <c r="J543" s="752"/>
      <c r="K543" s="752"/>
      <c r="L543" s="752">
        <f>L533/IS!L$7</f>
        <v>0</v>
      </c>
      <c r="M543" s="231">
        <f>M533/IS!M$7</f>
        <v>0</v>
      </c>
      <c r="N543" s="231">
        <f>N533/IS!N$7</f>
        <v>0</v>
      </c>
      <c r="O543" s="231">
        <f>O533/IS!O$7</f>
        <v>0</v>
      </c>
      <c r="P543" s="752">
        <f>P533/IS!P$7</f>
        <v>0</v>
      </c>
      <c r="Q543" s="752">
        <f>Q533/IS!Q$7</f>
        <v>0</v>
      </c>
      <c r="R543" s="752">
        <f>R533/IS!R$7</f>
        <v>0</v>
      </c>
      <c r="S543" s="752">
        <f>S533/IS!S$7</f>
        <v>0</v>
      </c>
      <c r="T543" s="752">
        <f>T533/IS!T$7</f>
        <v>0</v>
      </c>
      <c r="U543" s="752">
        <f>U533/IS!U$7</f>
        <v>0</v>
      </c>
      <c r="V543" s="752">
        <f>V533/IS!V$7</f>
        <v>0</v>
      </c>
      <c r="W543" s="752">
        <f>W533/IS!W$7</f>
        <v>0</v>
      </c>
      <c r="X543" s="752">
        <f>X533/IS!X$7</f>
        <v>0</v>
      </c>
      <c r="Y543" s="752">
        <f>Y533/IS!Y$7</f>
        <v>0</v>
      </c>
      <c r="Z543" s="752">
        <f>Z533/IS!Z$7</f>
        <v>0</v>
      </c>
      <c r="AA543" s="752">
        <f>AA533/IS!AA$7</f>
        <v>0</v>
      </c>
      <c r="AB543" s="752">
        <f>AB533/IS!AB$7</f>
        <v>0</v>
      </c>
      <c r="AC543" s="752">
        <f>AC533/IS!AC$7</f>
        <v>0</v>
      </c>
      <c r="AD543" s="752">
        <f>AD533/IS!AD$7</f>
        <v>0</v>
      </c>
      <c r="AE543" s="752">
        <f>AE533/IS!AE$7</f>
        <v>0</v>
      </c>
      <c r="AF543" s="752"/>
      <c r="AG543" s="1036"/>
      <c r="AH543" s="1036"/>
      <c r="AI543" s="1036"/>
      <c r="AJ543" s="1036"/>
      <c r="AK543" s="1036"/>
      <c r="AL543" s="1036"/>
      <c r="AM543" s="1036"/>
      <c r="AN543" s="1036"/>
      <c r="AO543" s="1036"/>
      <c r="AP543" s="1036"/>
      <c r="AQ543" s="1036"/>
      <c r="AR543" s="1036"/>
      <c r="AS543" s="1036"/>
      <c r="AT543" s="1036"/>
      <c r="AU543" s="1036"/>
      <c r="AV543" s="1036"/>
      <c r="AW543" s="1036"/>
      <c r="AX543" s="1036"/>
      <c r="AY543" s="1036"/>
      <c r="AZ543" s="1036"/>
      <c r="BA543" s="1036"/>
      <c r="BB543" s="1036"/>
      <c r="BC543" s="1036"/>
      <c r="BD543" s="1036"/>
      <c r="BE543" s="1036"/>
      <c r="BF543" s="1036"/>
      <c r="BG543" s="1036"/>
      <c r="BH543" s="1036"/>
      <c r="BI543" s="1036"/>
      <c r="BJ543" s="1036"/>
      <c r="BK543" s="1036"/>
      <c r="BL543" s="1036"/>
      <c r="BM543" s="1036"/>
      <c r="BN543" s="1036"/>
      <c r="BO543" s="1036"/>
      <c r="BP543" s="1018"/>
      <c r="BQ543" s="873"/>
      <c r="BR543" s="231">
        <f>BR533/IS!BR$7</f>
        <v>0.5309014380918976</v>
      </c>
      <c r="BS543" s="231">
        <f>BS533/IS!BS$7</f>
        <v>0.57922509758565854</v>
      </c>
      <c r="BT543" s="1037">
        <f>BT533/IS!BT$7</f>
        <v>0.5909127269818415</v>
      </c>
      <c r="BU543" s="1037">
        <f>BU533/IS!BU$7</f>
        <v>0.63057447012563539</v>
      </c>
      <c r="BV543" s="1037">
        <f>BV533/IS!BV$7</f>
        <v>0.6374767291994845</v>
      </c>
      <c r="BW543" s="1037">
        <f>BW533/IS!BW$7</f>
        <v>0.62747524752475248</v>
      </c>
      <c r="BX543" s="1037">
        <f>BX533/IS!BX$7</f>
        <v>0.60881091617933725</v>
      </c>
      <c r="BY543" s="1037">
        <f>BY533/IS!BY$7</f>
        <v>0.60390036053752871</v>
      </c>
      <c r="BZ543" s="1037"/>
      <c r="CA543" s="1037"/>
      <c r="CB543" s="1037"/>
      <c r="CC543" s="1037"/>
      <c r="CD543" s="1037"/>
      <c r="CE543" s="1037"/>
      <c r="CF543" s="1037"/>
      <c r="CG543" s="1037"/>
    </row>
    <row r="544" spans="1:88" ht="14.25" hidden="1" customHeight="1" outlineLevel="1">
      <c r="B544" s="1035" t="str">
        <f>B534</f>
        <v>Europe</v>
      </c>
      <c r="C544" s="318"/>
      <c r="D544" s="873"/>
      <c r="E544" s="873"/>
      <c r="F544" s="873"/>
      <c r="G544" s="873"/>
      <c r="H544" s="752"/>
      <c r="I544" s="752"/>
      <c r="J544" s="752"/>
      <c r="K544" s="752"/>
      <c r="L544" s="752">
        <f>L534/IS!L$7</f>
        <v>0</v>
      </c>
      <c r="M544" s="231">
        <f>M534/IS!M$7</f>
        <v>0</v>
      </c>
      <c r="N544" s="231">
        <f>N534/IS!N$7</f>
        <v>0</v>
      </c>
      <c r="O544" s="231">
        <f>O534/IS!O$7</f>
        <v>0</v>
      </c>
      <c r="P544" s="752">
        <f>P534/IS!P$7</f>
        <v>0</v>
      </c>
      <c r="Q544" s="752">
        <f>Q534/IS!Q$7</f>
        <v>0</v>
      </c>
      <c r="R544" s="752">
        <f>R534/IS!R$7</f>
        <v>0</v>
      </c>
      <c r="S544" s="752">
        <f>S534/IS!S$7</f>
        <v>0</v>
      </c>
      <c r="T544" s="752">
        <f>T534/IS!T$7</f>
        <v>0</v>
      </c>
      <c r="U544" s="752">
        <f>U534/IS!U$7</f>
        <v>0</v>
      </c>
      <c r="V544" s="752">
        <f>V534/IS!V$7</f>
        <v>0</v>
      </c>
      <c r="W544" s="752">
        <f>W534/IS!W$7</f>
        <v>0</v>
      </c>
      <c r="X544" s="752">
        <f>X534/IS!X$7</f>
        <v>0</v>
      </c>
      <c r="Y544" s="752">
        <f>Y534/IS!Y$7</f>
        <v>0</v>
      </c>
      <c r="Z544" s="752">
        <f>Z534/IS!Z$7</f>
        <v>0</v>
      </c>
      <c r="AA544" s="752">
        <f>AA534/IS!AA$7</f>
        <v>0</v>
      </c>
      <c r="AB544" s="752">
        <f>AB534/IS!AB$7</f>
        <v>0</v>
      </c>
      <c r="AC544" s="752">
        <f>AC534/IS!AC$7</f>
        <v>0</v>
      </c>
      <c r="AD544" s="752">
        <f>AD534/IS!AD$7</f>
        <v>0</v>
      </c>
      <c r="AE544" s="752">
        <f>AE534/IS!AE$7</f>
        <v>0</v>
      </c>
      <c r="AF544" s="752"/>
      <c r="AG544" s="1036"/>
      <c r="AH544" s="1036"/>
      <c r="AI544" s="1036"/>
      <c r="AJ544" s="1036"/>
      <c r="AK544" s="1036"/>
      <c r="AL544" s="1036"/>
      <c r="AM544" s="1036"/>
      <c r="AN544" s="1036"/>
      <c r="AO544" s="1036"/>
      <c r="AP544" s="1036"/>
      <c r="AQ544" s="1036"/>
      <c r="AR544" s="1036"/>
      <c r="AS544" s="1036"/>
      <c r="AT544" s="1036"/>
      <c r="AU544" s="1036"/>
      <c r="AV544" s="1036"/>
      <c r="AW544" s="1036"/>
      <c r="AX544" s="1036"/>
      <c r="AY544" s="1036"/>
      <c r="AZ544" s="1036"/>
      <c r="BA544" s="1036"/>
      <c r="BB544" s="1036"/>
      <c r="BC544" s="1036"/>
      <c r="BD544" s="1036"/>
      <c r="BE544" s="1036"/>
      <c r="BF544" s="1036"/>
      <c r="BG544" s="1036"/>
      <c r="BH544" s="1036"/>
      <c r="BI544" s="1036"/>
      <c r="BJ544" s="1036"/>
      <c r="BK544" s="1036"/>
      <c r="BL544" s="1036"/>
      <c r="BM544" s="1036"/>
      <c r="BN544" s="1036"/>
      <c r="BO544" s="1036"/>
      <c r="BP544" s="1018"/>
      <c r="BQ544" s="873"/>
      <c r="BR544" s="231">
        <f>BR534/IS!BR$7</f>
        <v>0.16036478428621537</v>
      </c>
      <c r="BS544" s="231">
        <f>BS534/IS!BS$7</f>
        <v>0.16322104958797165</v>
      </c>
      <c r="BT544" s="1037">
        <f>BT534/IS!BT$7</f>
        <v>0.14998800095992321</v>
      </c>
      <c r="BU544" s="1037">
        <f>BU534/IS!BU$7</f>
        <v>0.13503404622614368</v>
      </c>
      <c r="BV544" s="1037">
        <f>BV534/IS!BV$7</f>
        <v>0.12602033509952743</v>
      </c>
      <c r="BW544" s="1037">
        <f>BW534/IS!BW$7</f>
        <v>0.13264414676761793</v>
      </c>
      <c r="BX544" s="1037">
        <f>BX534/IS!BX$7</f>
        <v>0.14510721247563352</v>
      </c>
      <c r="BY544" s="1037">
        <f>BY534/IS!BY$7</f>
        <v>0.15781710914454278</v>
      </c>
      <c r="BZ544" s="1037"/>
      <c r="CA544" s="1037"/>
      <c r="CB544" s="1037"/>
      <c r="CC544" s="1037"/>
      <c r="CD544" s="1037"/>
      <c r="CE544" s="1037"/>
      <c r="CF544" s="1037"/>
      <c r="CG544" s="1037"/>
    </row>
    <row r="545" spans="1:88" ht="14.25" hidden="1" customHeight="1" outlineLevel="1">
      <c r="B545" s="1035" t="str">
        <f>B535</f>
        <v>Japan</v>
      </c>
      <c r="C545" s="318"/>
      <c r="D545" s="873"/>
      <c r="E545" s="873"/>
      <c r="F545" s="873"/>
      <c r="G545" s="873"/>
      <c r="H545" s="752"/>
      <c r="I545" s="752"/>
      <c r="J545" s="752"/>
      <c r="K545" s="752"/>
      <c r="L545" s="752">
        <f>L535/IS!L$7</f>
        <v>0</v>
      </c>
      <c r="M545" s="231">
        <f>M535/IS!M$7</f>
        <v>0</v>
      </c>
      <c r="N545" s="231">
        <f>N535/IS!N$7</f>
        <v>0</v>
      </c>
      <c r="O545" s="231">
        <f>O535/IS!O$7</f>
        <v>0</v>
      </c>
      <c r="P545" s="752">
        <f>P535/IS!P$7</f>
        <v>0</v>
      </c>
      <c r="Q545" s="752">
        <f>Q535/IS!Q$7</f>
        <v>0</v>
      </c>
      <c r="R545" s="752">
        <f>R535/IS!R$7</f>
        <v>0</v>
      </c>
      <c r="S545" s="752">
        <f>S535/IS!S$7</f>
        <v>0</v>
      </c>
      <c r="T545" s="752">
        <f>T535/IS!T$7</f>
        <v>0</v>
      </c>
      <c r="U545" s="752">
        <f>U535/IS!U$7</f>
        <v>0</v>
      </c>
      <c r="V545" s="752">
        <f>V535/IS!V$7</f>
        <v>0</v>
      </c>
      <c r="W545" s="752">
        <f>W535/IS!W$7</f>
        <v>0</v>
      </c>
      <c r="X545" s="752">
        <f>X535/IS!X$7</f>
        <v>0</v>
      </c>
      <c r="Y545" s="752">
        <f>Y535/IS!Y$7</f>
        <v>0</v>
      </c>
      <c r="Z545" s="752">
        <f>Z535/IS!Z$7</f>
        <v>0</v>
      </c>
      <c r="AA545" s="752">
        <f>AA535/IS!AA$7</f>
        <v>0</v>
      </c>
      <c r="AB545" s="752">
        <f>AB535/IS!AB$7</f>
        <v>0</v>
      </c>
      <c r="AC545" s="752">
        <f>AC535/IS!AC$7</f>
        <v>0</v>
      </c>
      <c r="AD545" s="752">
        <f>AD535/IS!AD$7</f>
        <v>0</v>
      </c>
      <c r="AE545" s="752">
        <f>AE535/IS!AE$7</f>
        <v>0</v>
      </c>
      <c r="AF545" s="752"/>
      <c r="AG545" s="1036"/>
      <c r="AH545" s="1036"/>
      <c r="AI545" s="1036"/>
      <c r="AJ545" s="1036"/>
      <c r="AK545" s="1036"/>
      <c r="AL545" s="1036"/>
      <c r="AM545" s="1036"/>
      <c r="AN545" s="1036"/>
      <c r="AO545" s="1036"/>
      <c r="AP545" s="1036"/>
      <c r="AQ545" s="1036"/>
      <c r="AR545" s="1036"/>
      <c r="AS545" s="1036"/>
      <c r="AT545" s="1036"/>
      <c r="AU545" s="1036"/>
      <c r="AV545" s="1036"/>
      <c r="AW545" s="1036"/>
      <c r="AX545" s="1036"/>
      <c r="AY545" s="1036"/>
      <c r="AZ545" s="1036"/>
      <c r="BA545" s="1036"/>
      <c r="BB545" s="1036"/>
      <c r="BC545" s="1036"/>
      <c r="BD545" s="1036"/>
      <c r="BE545" s="1036"/>
      <c r="BF545" s="1036"/>
      <c r="BG545" s="1036"/>
      <c r="BH545" s="1036"/>
      <c r="BI545" s="1036"/>
      <c r="BJ545" s="1036"/>
      <c r="BK545" s="1036"/>
      <c r="BL545" s="1036"/>
      <c r="BM545" s="1036"/>
      <c r="BN545" s="1036"/>
      <c r="BO545" s="1036"/>
      <c r="BP545" s="1018"/>
      <c r="BQ545" s="873"/>
      <c r="BR545" s="231">
        <f>BR535/IS!BR$7</f>
        <v>0.14086285513854788</v>
      </c>
      <c r="BS545" s="231">
        <f>BS535/IS!BS$7</f>
        <v>0.10286251264999277</v>
      </c>
      <c r="BT545" s="1037">
        <f>BT535/IS!BT$7</f>
        <v>0.10143188544916407</v>
      </c>
      <c r="BU545" s="1037">
        <f>BU535/IS!BU$7</f>
        <v>9.3603145679485952E-2</v>
      </c>
      <c r="BV545" s="1037">
        <f>BV535/IS!BV$7</f>
        <v>9.7808964628383219E-2</v>
      </c>
      <c r="BW545" s="1037">
        <f>BW535/IS!BW$7</f>
        <v>0.10643564356435643</v>
      </c>
      <c r="BX545" s="1037">
        <f>BX535/IS!BX$7</f>
        <v>0.10580896686159844</v>
      </c>
      <c r="BY545" s="1037">
        <f>BY535/IS!BY$7</f>
        <v>8.7840052441822358E-2</v>
      </c>
      <c r="BZ545" s="1037"/>
      <c r="CA545" s="1037"/>
      <c r="CB545" s="1037"/>
      <c r="CC545" s="1037"/>
      <c r="CD545" s="1037"/>
      <c r="CE545" s="1037"/>
      <c r="CF545" s="1037"/>
      <c r="CG545" s="1037"/>
    </row>
    <row r="546" spans="1:88" ht="14.25" hidden="1" customHeight="1" outlineLevel="1">
      <c r="B546" s="1035" t="str">
        <f>B536</f>
        <v>Rest of World</v>
      </c>
      <c r="C546" s="318"/>
      <c r="D546" s="873"/>
      <c r="E546" s="873"/>
      <c r="F546" s="873"/>
      <c r="G546" s="873"/>
      <c r="H546" s="752"/>
      <c r="I546" s="752"/>
      <c r="J546" s="752"/>
      <c r="K546" s="752"/>
      <c r="L546" s="752">
        <f>L536/IS!L$7</f>
        <v>0</v>
      </c>
      <c r="M546" s="231">
        <f>M536/IS!M$7</f>
        <v>0</v>
      </c>
      <c r="N546" s="231">
        <f>N536/IS!N$7</f>
        <v>0</v>
      </c>
      <c r="O546" s="231">
        <f>O536/IS!O$7</f>
        <v>0</v>
      </c>
      <c r="P546" s="752">
        <f>P536/IS!P$7</f>
        <v>0</v>
      </c>
      <c r="Q546" s="752">
        <f>Q536/IS!Q$7</f>
        <v>0</v>
      </c>
      <c r="R546" s="752">
        <f>R536/IS!R$7</f>
        <v>0</v>
      </c>
      <c r="S546" s="752">
        <f>S536/IS!S$7</f>
        <v>0</v>
      </c>
      <c r="T546" s="752">
        <f>T536/IS!T$7</f>
        <v>0</v>
      </c>
      <c r="U546" s="752">
        <f>U536/IS!U$7</f>
        <v>0</v>
      </c>
      <c r="V546" s="752">
        <f>V536/IS!V$7</f>
        <v>0</v>
      </c>
      <c r="W546" s="752">
        <f>W536/IS!W$7</f>
        <v>0</v>
      </c>
      <c r="X546" s="752">
        <f>X536/IS!X$7</f>
        <v>0</v>
      </c>
      <c r="Y546" s="752">
        <f>Y536/IS!Y$7</f>
        <v>0</v>
      </c>
      <c r="Z546" s="752">
        <f>Z536/IS!Z$7</f>
        <v>0</v>
      </c>
      <c r="AA546" s="752">
        <f>AA536/IS!AA$7</f>
        <v>0</v>
      </c>
      <c r="AB546" s="752">
        <f>AB536/IS!AB$7</f>
        <v>0</v>
      </c>
      <c r="AC546" s="752">
        <f>AC536/IS!AC$7</f>
        <v>0</v>
      </c>
      <c r="AD546" s="752">
        <f>AD536/IS!AD$7</f>
        <v>0</v>
      </c>
      <c r="AE546" s="752">
        <f>AE536/IS!AE$7</f>
        <v>0</v>
      </c>
      <c r="AF546" s="752"/>
      <c r="AG546" s="1036"/>
      <c r="AH546" s="1036"/>
      <c r="AI546" s="1036"/>
      <c r="AJ546" s="1036"/>
      <c r="AK546" s="1036"/>
      <c r="AL546" s="1036"/>
      <c r="AM546" s="1036"/>
      <c r="AN546" s="1036"/>
      <c r="AO546" s="1036"/>
      <c r="AP546" s="1036"/>
      <c r="AQ546" s="1036"/>
      <c r="AR546" s="1036"/>
      <c r="AS546" s="1036"/>
      <c r="AT546" s="1036"/>
      <c r="AU546" s="1036"/>
      <c r="AV546" s="1036"/>
      <c r="AW546" s="1036"/>
      <c r="AX546" s="1036"/>
      <c r="AY546" s="1036"/>
      <c r="AZ546" s="1036"/>
      <c r="BA546" s="1036"/>
      <c r="BB546" s="1036"/>
      <c r="BC546" s="1036"/>
      <c r="BD546" s="1036"/>
      <c r="BE546" s="1036"/>
      <c r="BF546" s="1036"/>
      <c r="BG546" s="1036"/>
      <c r="BH546" s="1036"/>
      <c r="BI546" s="1036"/>
      <c r="BJ546" s="1036"/>
      <c r="BK546" s="1036"/>
      <c r="BL546" s="1036"/>
      <c r="BM546" s="1036"/>
      <c r="BN546" s="1036"/>
      <c r="BO546" s="1036"/>
      <c r="BP546" s="1018"/>
      <c r="BQ546" s="873"/>
      <c r="BR546" s="231">
        <f>BR536/IS!BR$7</f>
        <v>3.6829182742897232E-2</v>
      </c>
      <c r="BS546" s="231">
        <f>BS536/IS!BS$7</f>
        <v>2.7685412751192715E-2</v>
      </c>
      <c r="BT546" s="1037">
        <f>BT536/IS!BT$7</f>
        <v>3.3597312215022795E-2</v>
      </c>
      <c r="BU546" s="1037">
        <f>BU536/IS!BU$7</f>
        <v>3.1456794859499378E-2</v>
      </c>
      <c r="BV546" s="1037">
        <f>BV536/IS!BV$7</f>
        <v>2.8497780323643133E-2</v>
      </c>
      <c r="BW546" s="1037">
        <f>BW536/IS!BW$7</f>
        <v>2.6499708794408851E-2</v>
      </c>
      <c r="BX546" s="1037">
        <f>BX536/IS!BX$7</f>
        <v>1.5828460038986355E-2</v>
      </c>
      <c r="BY546" s="1037">
        <f>BY536/IS!BY$7</f>
        <v>1.4011799410029498E-2</v>
      </c>
      <c r="BZ546" s="1037"/>
      <c r="CA546" s="1037"/>
      <c r="CB546" s="1037"/>
      <c r="CC546" s="1037"/>
      <c r="CD546" s="1037"/>
      <c r="CE546" s="1037"/>
      <c r="CF546" s="1037"/>
      <c r="CG546" s="1037"/>
    </row>
    <row r="547" spans="1:88" s="85" customFormat="1" ht="14.25" hidden="1" customHeight="1" outlineLevel="1">
      <c r="B547" s="1044" t="s">
        <v>440</v>
      </c>
      <c r="C547" s="1007"/>
      <c r="D547" s="1039"/>
      <c r="E547" s="1039"/>
      <c r="F547" s="1039"/>
      <c r="G547" s="1039"/>
      <c r="H547" s="1040"/>
      <c r="I547" s="1040"/>
      <c r="J547" s="1040"/>
      <c r="K547" s="1040"/>
      <c r="L547" s="1040">
        <f t="shared" ref="L547:AE547" si="1302">SUM(L542:L546)</f>
        <v>0</v>
      </c>
      <c r="M547" s="732">
        <f t="shared" si="1302"/>
        <v>0</v>
      </c>
      <c r="N547" s="732">
        <f t="shared" si="1302"/>
        <v>0</v>
      </c>
      <c r="O547" s="732">
        <f t="shared" si="1302"/>
        <v>0</v>
      </c>
      <c r="P547" s="1040">
        <f t="shared" si="1302"/>
        <v>0</v>
      </c>
      <c r="Q547" s="1040">
        <f t="shared" si="1302"/>
        <v>0</v>
      </c>
      <c r="R547" s="1040">
        <f t="shared" si="1302"/>
        <v>0</v>
      </c>
      <c r="S547" s="1040">
        <f t="shared" si="1302"/>
        <v>0</v>
      </c>
      <c r="T547" s="1040">
        <f t="shared" si="1302"/>
        <v>0</v>
      </c>
      <c r="U547" s="1040">
        <f t="shared" si="1302"/>
        <v>0</v>
      </c>
      <c r="V547" s="1040">
        <f t="shared" si="1302"/>
        <v>0</v>
      </c>
      <c r="W547" s="1040">
        <f t="shared" si="1302"/>
        <v>0</v>
      </c>
      <c r="X547" s="1040">
        <f t="shared" si="1302"/>
        <v>0</v>
      </c>
      <c r="Y547" s="1040">
        <f t="shared" si="1302"/>
        <v>0</v>
      </c>
      <c r="Z547" s="1040">
        <f t="shared" si="1302"/>
        <v>0</v>
      </c>
      <c r="AA547" s="1040">
        <f t="shared" si="1302"/>
        <v>0</v>
      </c>
      <c r="AB547" s="1040">
        <f t="shared" si="1302"/>
        <v>0</v>
      </c>
      <c r="AC547" s="1040">
        <f t="shared" si="1302"/>
        <v>0</v>
      </c>
      <c r="AD547" s="1040">
        <f t="shared" si="1302"/>
        <v>0</v>
      </c>
      <c r="AE547" s="1040">
        <f t="shared" si="1302"/>
        <v>0</v>
      </c>
      <c r="AF547" s="1040"/>
      <c r="AG547" s="1041"/>
      <c r="AH547" s="1041"/>
      <c r="AI547" s="1041"/>
      <c r="AJ547" s="1041"/>
      <c r="AK547" s="1041"/>
      <c r="AL547" s="1041"/>
      <c r="AM547" s="1041"/>
      <c r="AN547" s="1041"/>
      <c r="AO547" s="1041"/>
      <c r="AP547" s="1041"/>
      <c r="AQ547" s="1041"/>
      <c r="AR547" s="1041"/>
      <c r="AS547" s="1041"/>
      <c r="AT547" s="1041"/>
      <c r="AU547" s="1041"/>
      <c r="AV547" s="1041"/>
      <c r="AW547" s="1041"/>
      <c r="AX547" s="1041"/>
      <c r="AY547" s="1041"/>
      <c r="AZ547" s="1041"/>
      <c r="BA547" s="1041"/>
      <c r="BB547" s="1041"/>
      <c r="BC547" s="1041"/>
      <c r="BD547" s="1041"/>
      <c r="BE547" s="1041"/>
      <c r="BF547" s="1041"/>
      <c r="BG547" s="1041"/>
      <c r="BH547" s="1041"/>
      <c r="BI547" s="1041"/>
      <c r="BJ547" s="1041"/>
      <c r="BK547" s="1041"/>
      <c r="BL547" s="1041"/>
      <c r="BM547" s="1041"/>
      <c r="BN547" s="1041"/>
      <c r="BO547" s="1041"/>
      <c r="BP547" s="1028"/>
      <c r="BQ547" s="1039"/>
      <c r="BR547" s="732">
        <f t="shared" ref="BR547:BY547" si="1303">SUM(BR542:BR546)</f>
        <v>1</v>
      </c>
      <c r="BS547" s="732">
        <f t="shared" si="1303"/>
        <v>1.0000722856729796</v>
      </c>
      <c r="BT547" s="1007">
        <f t="shared" si="1303"/>
        <v>1</v>
      </c>
      <c r="BU547" s="1007">
        <f t="shared" si="1303"/>
        <v>1</v>
      </c>
      <c r="BV547" s="1007">
        <f t="shared" si="1303"/>
        <v>1</v>
      </c>
      <c r="BW547" s="1007">
        <f t="shared" si="1303"/>
        <v>0.99992719860221313</v>
      </c>
      <c r="BX547" s="1007">
        <f t="shared" si="1303"/>
        <v>1</v>
      </c>
      <c r="BY547" s="1007">
        <f t="shared" si="1303"/>
        <v>1.000081940347427</v>
      </c>
      <c r="BZ547" s="1007"/>
      <c r="CA547" s="1007"/>
      <c r="CB547" s="1007"/>
      <c r="CC547" s="1007"/>
      <c r="CD547" s="1007"/>
      <c r="CE547" s="1007"/>
      <c r="CF547" s="1007"/>
      <c r="CG547" s="1007"/>
      <c r="CH547"/>
      <c r="CI547"/>
      <c r="CJ547"/>
    </row>
    <row r="548" spans="1:88" ht="14.25" hidden="1" customHeight="1" outlineLevel="1">
      <c r="B548" s="1045"/>
      <c r="C548" s="363"/>
      <c r="D548" s="363"/>
      <c r="E548" s="363"/>
      <c r="F548" s="363"/>
      <c r="G548" s="363"/>
      <c r="H548" s="363"/>
      <c r="I548" s="363"/>
      <c r="J548" s="363"/>
      <c r="K548" s="363"/>
      <c r="L548" s="363"/>
      <c r="M548" s="363"/>
      <c r="N548" s="363"/>
      <c r="O548" s="363"/>
      <c r="P548" s="363"/>
      <c r="Q548" s="363"/>
      <c r="R548" s="363"/>
      <c r="S548" s="363"/>
      <c r="T548" s="363"/>
      <c r="U548" s="363"/>
      <c r="V548" s="363"/>
      <c r="W548" s="363"/>
      <c r="X548" s="363"/>
      <c r="Y548" s="363"/>
      <c r="Z548" s="363"/>
      <c r="AA548" s="363"/>
      <c r="AB548" s="363"/>
      <c r="AC548" s="363"/>
      <c r="AD548" s="363"/>
      <c r="AE548" s="363"/>
      <c r="AF548" s="363"/>
      <c r="AG548" s="363"/>
      <c r="AH548" s="363"/>
      <c r="AI548" s="363"/>
      <c r="AJ548" s="363"/>
      <c r="AK548" s="363"/>
      <c r="AL548" s="363"/>
      <c r="AM548" s="363"/>
      <c r="AN548" s="363"/>
      <c r="AO548" s="363"/>
      <c r="AP548" s="363"/>
      <c r="AQ548" s="363"/>
      <c r="AR548" s="363"/>
      <c r="AS548" s="363"/>
      <c r="AT548" s="363"/>
      <c r="AU548" s="363"/>
      <c r="AV548" s="363"/>
      <c r="AW548" s="363"/>
      <c r="AX548" s="363"/>
      <c r="AY548" s="363"/>
      <c r="AZ548" s="363"/>
      <c r="BA548" s="363"/>
      <c r="BB548" s="363"/>
      <c r="BC548" s="363"/>
      <c r="BD548" s="363"/>
      <c r="BE548" s="363"/>
      <c r="BF548" s="363"/>
      <c r="BG548" s="363"/>
      <c r="BH548" s="363"/>
      <c r="BI548" s="363"/>
      <c r="BJ548" s="363"/>
      <c r="BK548" s="363"/>
      <c r="BL548" s="363"/>
      <c r="BM548" s="363"/>
      <c r="BN548" s="363"/>
      <c r="BO548" s="363"/>
      <c r="BP548" s="1018"/>
      <c r="BQ548" s="14"/>
      <c r="BR548" s="14"/>
      <c r="BS548" s="14"/>
      <c r="BT548" s="363"/>
      <c r="BU548" s="363"/>
      <c r="BV548" s="363"/>
      <c r="BW548" s="363"/>
      <c r="BX548" s="363"/>
      <c r="BY548" s="363"/>
      <c r="BZ548" s="363"/>
      <c r="CA548" s="363"/>
      <c r="CB548" s="363"/>
      <c r="CC548" s="363"/>
      <c r="CD548" s="363"/>
      <c r="CE548" s="363"/>
      <c r="CF548" s="363"/>
      <c r="CG548" s="363"/>
    </row>
    <row r="549" spans="1:88" s="8" customFormat="1" ht="14.25" hidden="1" customHeight="1" outlineLevel="1">
      <c r="B549" s="1030" t="s">
        <v>272</v>
      </c>
      <c r="C549" s="268"/>
      <c r="D549" s="1031"/>
      <c r="E549" s="1031"/>
      <c r="F549" s="1031"/>
      <c r="G549" s="1031"/>
      <c r="H549" s="1034"/>
      <c r="I549" s="1034"/>
      <c r="J549" s="1034"/>
      <c r="K549" s="1034"/>
      <c r="L549" s="1034">
        <f t="shared" ref="L549:AF549" si="1304">IF(ROUND(L547,1)=1,"OK",L547)</f>
        <v>0</v>
      </c>
      <c r="M549" s="1034">
        <f t="shared" si="1304"/>
        <v>0</v>
      </c>
      <c r="N549" s="1034">
        <f t="shared" si="1304"/>
        <v>0</v>
      </c>
      <c r="O549" s="1034">
        <f t="shared" si="1304"/>
        <v>0</v>
      </c>
      <c r="P549" s="1034">
        <f t="shared" si="1304"/>
        <v>0</v>
      </c>
      <c r="Q549" s="1034">
        <f t="shared" si="1304"/>
        <v>0</v>
      </c>
      <c r="R549" s="1034">
        <f t="shared" si="1304"/>
        <v>0</v>
      </c>
      <c r="S549" s="1034">
        <f t="shared" si="1304"/>
        <v>0</v>
      </c>
      <c r="T549" s="1034">
        <f t="shared" si="1304"/>
        <v>0</v>
      </c>
      <c r="U549" s="1034">
        <f t="shared" si="1304"/>
        <v>0</v>
      </c>
      <c r="V549" s="1034">
        <f t="shared" si="1304"/>
        <v>0</v>
      </c>
      <c r="W549" s="1034">
        <f t="shared" si="1304"/>
        <v>0</v>
      </c>
      <c r="X549" s="1034">
        <f t="shared" si="1304"/>
        <v>0</v>
      </c>
      <c r="Y549" s="1034">
        <f t="shared" si="1304"/>
        <v>0</v>
      </c>
      <c r="Z549" s="1034">
        <f t="shared" si="1304"/>
        <v>0</v>
      </c>
      <c r="AA549" s="1034">
        <f t="shared" si="1304"/>
        <v>0</v>
      </c>
      <c r="AB549" s="1034">
        <f t="shared" si="1304"/>
        <v>0</v>
      </c>
      <c r="AC549" s="1034">
        <f t="shared" si="1304"/>
        <v>0</v>
      </c>
      <c r="AD549" s="1034">
        <f t="shared" si="1304"/>
        <v>0</v>
      </c>
      <c r="AE549" s="1034">
        <f t="shared" si="1304"/>
        <v>0</v>
      </c>
      <c r="AF549" s="1034">
        <f t="shared" si="1304"/>
        <v>0</v>
      </c>
      <c r="AG549" s="280"/>
      <c r="AH549" s="280"/>
      <c r="AI549" s="280"/>
      <c r="AJ549" s="280"/>
      <c r="AK549" s="280"/>
      <c r="AL549" s="280"/>
      <c r="AM549" s="280"/>
      <c r="AN549" s="280"/>
      <c r="AO549" s="280"/>
      <c r="AP549" s="280"/>
      <c r="AQ549" s="280"/>
      <c r="AR549" s="280"/>
      <c r="AS549" s="280"/>
      <c r="AT549" s="280"/>
      <c r="AU549" s="280"/>
      <c r="AV549" s="280"/>
      <c r="AW549" s="280"/>
      <c r="AX549" s="280"/>
      <c r="AY549" s="280"/>
      <c r="AZ549" s="280"/>
      <c r="BA549" s="280"/>
      <c r="BB549" s="280"/>
      <c r="BC549" s="280"/>
      <c r="BD549" s="280"/>
      <c r="BE549" s="280"/>
      <c r="BF549" s="280"/>
      <c r="BG549" s="280"/>
      <c r="BH549" s="280"/>
      <c r="BI549" s="280"/>
      <c r="BJ549" s="280"/>
      <c r="BK549" s="280"/>
      <c r="BL549" s="280"/>
      <c r="BM549" s="280"/>
      <c r="BN549" s="280"/>
      <c r="BO549" s="280"/>
      <c r="BP549" s="652"/>
      <c r="BQ549" s="1033"/>
      <c r="BR549" s="280" t="str">
        <f t="shared" ref="BR549:BW549" si="1305">IF(ROUND(BR547,1)=1,"OK",BR547)</f>
        <v>OK</v>
      </c>
      <c r="BS549" s="280" t="str">
        <f t="shared" si="1305"/>
        <v>OK</v>
      </c>
      <c r="BT549" s="14" t="str">
        <f t="shared" si="1305"/>
        <v>OK</v>
      </c>
      <c r="BU549" s="14" t="str">
        <f t="shared" si="1305"/>
        <v>OK</v>
      </c>
      <c r="BV549" s="14" t="str">
        <f t="shared" si="1305"/>
        <v>OK</v>
      </c>
      <c r="BW549" s="14" t="str">
        <f t="shared" si="1305"/>
        <v>OK</v>
      </c>
      <c r="BX549" s="14"/>
      <c r="BY549" s="14"/>
      <c r="BZ549" s="14"/>
      <c r="CA549" s="14"/>
      <c r="CB549" s="14"/>
      <c r="CC549" s="14"/>
      <c r="CD549" s="14"/>
      <c r="CE549" s="14"/>
      <c r="CF549" s="14"/>
      <c r="CG549" s="14"/>
      <c r="CH549" s="14"/>
      <c r="CI549" s="221"/>
      <c r="CJ549"/>
    </row>
    <row r="550" spans="1:88" s="8" customFormat="1" ht="14.25" hidden="1" customHeight="1" outlineLevel="1">
      <c r="B550" s="988"/>
      <c r="C550" s="268"/>
      <c r="D550" s="280"/>
      <c r="E550" s="280"/>
      <c r="F550" s="280"/>
      <c r="G550" s="280"/>
      <c r="H550" s="280"/>
      <c r="I550" s="280"/>
      <c r="J550" s="280"/>
      <c r="K550" s="280"/>
      <c r="L550" s="280"/>
      <c r="M550" s="280"/>
      <c r="N550" s="280"/>
      <c r="O550" s="280"/>
      <c r="P550" s="280"/>
      <c r="Q550" s="280"/>
      <c r="R550" s="280"/>
      <c r="S550" s="280"/>
      <c r="T550" s="280"/>
      <c r="U550" s="280"/>
      <c r="V550" s="280"/>
      <c r="W550" s="280"/>
      <c r="X550" s="280"/>
      <c r="Y550" s="280"/>
      <c r="Z550" s="280"/>
      <c r="AA550" s="280"/>
      <c r="AB550" s="280"/>
      <c r="AC550" s="280"/>
      <c r="AD550" s="280"/>
      <c r="AE550" s="280"/>
      <c r="AF550" s="280"/>
      <c r="AG550" s="280"/>
      <c r="AH550" s="280"/>
      <c r="AI550" s="280"/>
      <c r="AJ550" s="280"/>
      <c r="AK550" s="280"/>
      <c r="AL550" s="280"/>
      <c r="AM550" s="280"/>
      <c r="AN550" s="280"/>
      <c r="AO550" s="280"/>
      <c r="AP550" s="280"/>
      <c r="AQ550" s="280"/>
      <c r="AR550" s="280"/>
      <c r="AS550" s="280"/>
      <c r="AT550" s="280"/>
      <c r="AU550" s="280"/>
      <c r="AV550" s="280"/>
      <c r="AW550" s="280"/>
      <c r="AX550" s="280"/>
      <c r="AY550" s="280"/>
      <c r="AZ550" s="280"/>
      <c r="BA550" s="280"/>
      <c r="BB550" s="280"/>
      <c r="BC550" s="280"/>
      <c r="BD550" s="280"/>
      <c r="BE550" s="280"/>
      <c r="BF550" s="280"/>
      <c r="BG550" s="280"/>
      <c r="BH550" s="280"/>
      <c r="BI550" s="280"/>
      <c r="BJ550" s="280"/>
      <c r="BK550" s="280"/>
      <c r="BL550" s="280"/>
      <c r="BM550" s="280"/>
      <c r="BN550" s="280"/>
      <c r="BO550" s="280"/>
      <c r="BP550" s="652"/>
      <c r="BQ550" s="280"/>
      <c r="BR550" s="280"/>
      <c r="BS550" s="280"/>
      <c r="BT550" s="14"/>
      <c r="BU550" s="14"/>
      <c r="BV550" s="14"/>
      <c r="BW550" s="14"/>
      <c r="BX550" s="14"/>
      <c r="BY550" s="14"/>
      <c r="BZ550" s="14"/>
      <c r="CA550" s="14"/>
      <c r="CB550" s="14"/>
      <c r="CC550" s="14"/>
      <c r="CD550" s="14"/>
      <c r="CE550" s="14"/>
      <c r="CF550" s="14"/>
      <c r="CG550" s="14"/>
      <c r="CH550" s="14"/>
      <c r="CI550" s="221"/>
      <c r="CJ550"/>
    </row>
    <row r="551" spans="1:88" ht="14.25" hidden="1" customHeight="1" outlineLevel="1">
      <c r="A551" s="1"/>
      <c r="B551" s="1010" t="s">
        <v>438</v>
      </c>
      <c r="C551" s="1011"/>
      <c r="D551" s="1012" t="str">
        <f t="shared" ref="D551:BC551" si="1306">D$6</f>
        <v>F1Q05A</v>
      </c>
      <c r="E551" s="1012" t="str">
        <f t="shared" si="1306"/>
        <v>F2Q05A</v>
      </c>
      <c r="F551" s="1012" t="str">
        <f t="shared" si="1306"/>
        <v>F3Q05A</v>
      </c>
      <c r="G551" s="1012" t="str">
        <f t="shared" si="1306"/>
        <v>F4Q05A</v>
      </c>
      <c r="H551" s="1012" t="str">
        <f t="shared" si="1306"/>
        <v>F1Q06A</v>
      </c>
      <c r="I551" s="1012" t="str">
        <f t="shared" si="1306"/>
        <v>F2Q06A</v>
      </c>
      <c r="J551" s="1012" t="str">
        <f t="shared" si="1306"/>
        <v>F3Q06A</v>
      </c>
      <c r="K551" s="1012" t="str">
        <f t="shared" si="1306"/>
        <v>F4Q06A</v>
      </c>
      <c r="L551" s="1012" t="str">
        <f t="shared" si="1306"/>
        <v>F1Q07A</v>
      </c>
      <c r="M551" s="1012" t="str">
        <f t="shared" si="1306"/>
        <v>F2Q07A</v>
      </c>
      <c r="N551" s="1012" t="str">
        <f t="shared" si="1306"/>
        <v>F3Q07A</v>
      </c>
      <c r="O551" s="1012" t="str">
        <f t="shared" si="1306"/>
        <v>F4Q07A</v>
      </c>
      <c r="P551" s="1012" t="str">
        <f t="shared" si="1306"/>
        <v>F1Q08A</v>
      </c>
      <c r="Q551" s="1012" t="str">
        <f t="shared" si="1306"/>
        <v>F2Q08A</v>
      </c>
      <c r="R551" s="1012" t="str">
        <f t="shared" si="1306"/>
        <v>F3Q08A</v>
      </c>
      <c r="S551" s="1012" t="str">
        <f t="shared" si="1306"/>
        <v>F4Q08A</v>
      </c>
      <c r="T551" s="1012" t="str">
        <f t="shared" si="1306"/>
        <v>F1Q09A</v>
      </c>
      <c r="U551" s="1012" t="str">
        <f t="shared" si="1306"/>
        <v>F2Q09A</v>
      </c>
      <c r="V551" s="1012" t="str">
        <f t="shared" si="1306"/>
        <v>F3Q09A</v>
      </c>
      <c r="W551" s="1012" t="str">
        <f t="shared" si="1306"/>
        <v>F4Q09A</v>
      </c>
      <c r="X551" s="1012" t="str">
        <f t="shared" si="1306"/>
        <v>F1Q10A</v>
      </c>
      <c r="Y551" s="1012" t="str">
        <f t="shared" si="1306"/>
        <v>F2Q10A</v>
      </c>
      <c r="Z551" s="1012" t="str">
        <f t="shared" si="1306"/>
        <v>F3Q10A</v>
      </c>
      <c r="AA551" s="1012" t="str">
        <f t="shared" si="1306"/>
        <v>F4Q10A</v>
      </c>
      <c r="AB551" s="1012" t="str">
        <f t="shared" si="1306"/>
        <v>F1Q11A</v>
      </c>
      <c r="AC551" s="1012" t="str">
        <f t="shared" si="1306"/>
        <v>F2Q11A</v>
      </c>
      <c r="AD551" s="1012" t="str">
        <f t="shared" si="1306"/>
        <v>F3Q11A</v>
      </c>
      <c r="AE551" s="1012" t="str">
        <f t="shared" si="1306"/>
        <v>F4Q11A</v>
      </c>
      <c r="AF551" s="1012" t="str">
        <f t="shared" si="1306"/>
        <v>F1Q12A</v>
      </c>
      <c r="AG551" s="1012" t="str">
        <f t="shared" si="1306"/>
        <v>F2Q12A</v>
      </c>
      <c r="AH551" s="1012" t="str">
        <f t="shared" si="1306"/>
        <v>F3Q12A</v>
      </c>
      <c r="AI551" s="1012" t="str">
        <f t="shared" si="1306"/>
        <v>F4Q12A</v>
      </c>
      <c r="AJ551" s="1012" t="str">
        <f t="shared" si="1306"/>
        <v>F1Q13A</v>
      </c>
      <c r="AK551" s="1012" t="str">
        <f t="shared" si="1306"/>
        <v>F2Q13A</v>
      </c>
      <c r="AL551" s="1012" t="str">
        <f t="shared" si="1306"/>
        <v>F3Q13A</v>
      </c>
      <c r="AM551" s="1012" t="str">
        <f t="shared" si="1306"/>
        <v>F4Q13A</v>
      </c>
      <c r="AN551" s="1012" t="str">
        <f t="shared" si="1306"/>
        <v>F1Q14A</v>
      </c>
      <c r="AO551" s="1012" t="str">
        <f t="shared" si="1306"/>
        <v>F2Q14A</v>
      </c>
      <c r="AP551" s="1012" t="str">
        <f t="shared" si="1306"/>
        <v>F3Q14A</v>
      </c>
      <c r="AQ551" s="1012" t="str">
        <f t="shared" si="1306"/>
        <v>F4Q14A</v>
      </c>
      <c r="AR551" s="1012" t="str">
        <f t="shared" si="1306"/>
        <v>F1Q15A</v>
      </c>
      <c r="AS551" s="1012" t="str">
        <f t="shared" si="1306"/>
        <v>F2Q15A</v>
      </c>
      <c r="AT551" s="1012" t="str">
        <f t="shared" si="1306"/>
        <v>F3Q15A</v>
      </c>
      <c r="AU551" s="1012" t="str">
        <f t="shared" si="1306"/>
        <v>F4Q15A</v>
      </c>
      <c r="AV551" s="1012" t="str">
        <f t="shared" si="1306"/>
        <v>F1Q16A</v>
      </c>
      <c r="AW551" s="1012" t="str">
        <f t="shared" si="1306"/>
        <v>F2Q16A</v>
      </c>
      <c r="AX551" s="1012" t="str">
        <f t="shared" si="1306"/>
        <v>F3Q16A</v>
      </c>
      <c r="AY551" s="1012" t="str">
        <f t="shared" si="1306"/>
        <v>F4Q16A</v>
      </c>
      <c r="AZ551" s="1012" t="str">
        <f t="shared" si="1306"/>
        <v>F1Q17A</v>
      </c>
      <c r="BA551" s="1012" t="str">
        <f t="shared" si="1306"/>
        <v>F2Q17A</v>
      </c>
      <c r="BB551" s="1012" t="str">
        <f t="shared" si="1306"/>
        <v>F3Q17A</v>
      </c>
      <c r="BC551" s="1012" t="str">
        <f t="shared" si="1306"/>
        <v>F4Q17A</v>
      </c>
      <c r="BD551" s="1012"/>
      <c r="BE551" s="1012"/>
      <c r="BF551" s="1012"/>
      <c r="BG551" s="1012"/>
      <c r="BH551" s="1012"/>
      <c r="BI551" s="1012"/>
      <c r="BJ551" s="1012"/>
      <c r="BK551" s="1012"/>
      <c r="BL551" s="1012"/>
      <c r="BM551" s="1012"/>
      <c r="BN551" s="1012"/>
      <c r="BO551" s="1012"/>
      <c r="BP551" s="652"/>
      <c r="BQ551" s="1012" t="str">
        <f t="shared" ref="BQ551:CF551" si="1307">BQ$6</f>
        <v>FY2005A</v>
      </c>
      <c r="BR551" s="1012" t="str">
        <f t="shared" si="1307"/>
        <v>FY2006A</v>
      </c>
      <c r="BS551" s="1012" t="str">
        <f t="shared" si="1307"/>
        <v>FY2007A</v>
      </c>
      <c r="BT551" s="1012" t="str">
        <f t="shared" si="1307"/>
        <v>FY2008A</v>
      </c>
      <c r="BU551" s="1012" t="str">
        <f t="shared" si="1307"/>
        <v>FY2009A</v>
      </c>
      <c r="BV551" s="1012" t="str">
        <f t="shared" si="1307"/>
        <v>FY2010A</v>
      </c>
      <c r="BW551" s="1012" t="str">
        <f t="shared" si="1307"/>
        <v>FY2011A</v>
      </c>
      <c r="BX551" s="1012" t="str">
        <f t="shared" si="1307"/>
        <v>FY2012A</v>
      </c>
      <c r="BY551" s="1012" t="str">
        <f t="shared" si="1307"/>
        <v>FY2013A</v>
      </c>
      <c r="BZ551" s="1012" t="str">
        <f t="shared" si="1307"/>
        <v>FY2014A</v>
      </c>
      <c r="CA551" s="1012" t="str">
        <f t="shared" si="1307"/>
        <v>FY2015A</v>
      </c>
      <c r="CB551" s="1012" t="str">
        <f t="shared" si="1307"/>
        <v>FY2016A</v>
      </c>
      <c r="CC551" s="1012" t="str">
        <f t="shared" si="1307"/>
        <v>FY2017E</v>
      </c>
      <c r="CD551" s="1012" t="str">
        <f t="shared" si="1307"/>
        <v>FY2018E</v>
      </c>
      <c r="CE551" s="1012" t="str">
        <f t="shared" si="1307"/>
        <v>FY2019E</v>
      </c>
      <c r="CF551" s="1012" t="str">
        <f t="shared" si="1307"/>
        <v>FY2020E</v>
      </c>
      <c r="CG551" s="318"/>
    </row>
    <row r="552" spans="1:88" ht="14.25" hidden="1" customHeight="1" outlineLevel="1">
      <c r="B552" s="989" t="s">
        <v>459</v>
      </c>
      <c r="C552" s="318"/>
      <c r="D552" s="1013"/>
      <c r="E552" s="1013"/>
      <c r="F552" s="1013"/>
      <c r="G552" s="1014"/>
      <c r="H552" s="1013"/>
      <c r="I552" s="1013"/>
      <c r="J552" s="1013"/>
      <c r="K552" s="1014"/>
      <c r="L552" s="1013"/>
      <c r="M552" s="1013"/>
      <c r="N552" s="1013"/>
      <c r="O552" s="1014"/>
      <c r="P552" s="1013"/>
      <c r="Q552" s="1013"/>
      <c r="R552" s="1013"/>
      <c r="S552" s="1014"/>
      <c r="T552" s="1013"/>
      <c r="U552" s="1013"/>
      <c r="V552" s="1013"/>
      <c r="W552" s="1014"/>
      <c r="X552" s="1013"/>
      <c r="Y552" s="1013"/>
      <c r="Z552" s="1013"/>
      <c r="AA552" s="1055">
        <v>0.75</v>
      </c>
      <c r="AB552" s="1056">
        <v>0.75</v>
      </c>
      <c r="AC552" s="1055">
        <v>0.75</v>
      </c>
      <c r="AD552" s="1055">
        <v>0.75</v>
      </c>
      <c r="AE552" s="1055">
        <v>0.75</v>
      </c>
      <c r="AF552" s="1055"/>
      <c r="AG552" s="1055"/>
      <c r="AH552" s="1017"/>
      <c r="AI552" s="1055"/>
      <c r="AJ552" s="1017"/>
      <c r="AK552" s="1017"/>
      <c r="AL552" s="1017"/>
      <c r="AM552" s="1017"/>
      <c r="AN552" s="1017"/>
      <c r="AO552" s="1017"/>
      <c r="AP552" s="1017"/>
      <c r="AQ552" s="1017"/>
      <c r="AR552" s="1017"/>
      <c r="AS552" s="1017"/>
      <c r="AT552" s="1017"/>
      <c r="AU552" s="1017"/>
      <c r="AV552" s="1017"/>
      <c r="AW552" s="1017"/>
      <c r="AX552" s="1017"/>
      <c r="AY552" s="1017"/>
      <c r="AZ552" s="1017"/>
      <c r="BA552" s="1017"/>
      <c r="BB552" s="1017"/>
      <c r="BC552" s="1017"/>
      <c r="BD552" s="1017"/>
      <c r="BE552" s="1017"/>
      <c r="BF552" s="1017"/>
      <c r="BG552" s="1017"/>
      <c r="BH552" s="1017"/>
      <c r="BI552" s="1017"/>
      <c r="BJ552" s="1017"/>
      <c r="BK552" s="1017"/>
      <c r="BL552" s="1017"/>
      <c r="BM552" s="1017"/>
      <c r="BN552" s="1017"/>
      <c r="BO552" s="1017"/>
      <c r="BP552" s="1018"/>
      <c r="BQ552" s="1019"/>
      <c r="BR552" s="1019"/>
      <c r="BS552" s="1019"/>
      <c r="BT552" s="318"/>
      <c r="BU552" s="318"/>
      <c r="BV552" s="318">
        <v>0.75</v>
      </c>
      <c r="BW552" s="318">
        <v>0.75</v>
      </c>
      <c r="BX552" s="318"/>
      <c r="BY552" s="318"/>
      <c r="BZ552" s="318"/>
      <c r="CA552" s="318"/>
      <c r="CB552" s="318"/>
      <c r="CC552" s="318"/>
      <c r="CD552" s="318"/>
      <c r="CE552" s="318"/>
      <c r="CF552" s="318"/>
      <c r="CG552" s="318"/>
    </row>
    <row r="553" spans="1:88" ht="14.25" hidden="1" customHeight="1" outlineLevel="1">
      <c r="B553" s="989" t="s">
        <v>489</v>
      </c>
      <c r="C553" s="318"/>
      <c r="D553" s="1013"/>
      <c r="E553" s="1013"/>
      <c r="F553" s="1013"/>
      <c r="G553" s="1014"/>
      <c r="H553" s="1013"/>
      <c r="I553" s="1013"/>
      <c r="J553" s="1013"/>
      <c r="K553" s="1014"/>
      <c r="L553" s="1013"/>
      <c r="M553" s="1013"/>
      <c r="N553" s="1013"/>
      <c r="O553" s="1014"/>
      <c r="P553" s="1013"/>
      <c r="Q553" s="1013"/>
      <c r="R553" s="1013"/>
      <c r="S553" s="1014"/>
      <c r="T553" s="1057">
        <v>1.05</v>
      </c>
      <c r="U553" s="1057">
        <v>1.1399999999999999</v>
      </c>
      <c r="V553" s="1057">
        <v>1.08</v>
      </c>
      <c r="W553" s="1058">
        <v>1.08</v>
      </c>
      <c r="X553" s="1057">
        <v>1.1399999999999999</v>
      </c>
      <c r="Y553" s="1057">
        <v>1.07</v>
      </c>
      <c r="Z553" s="1057">
        <v>0.92</v>
      </c>
      <c r="AA553" s="1059">
        <v>0.89</v>
      </c>
      <c r="AB553" s="1060">
        <v>1.06</v>
      </c>
      <c r="AC553" s="1059">
        <v>1.04</v>
      </c>
      <c r="AD553" s="1059">
        <v>0.89</v>
      </c>
      <c r="AE553" s="1059">
        <v>0.84</v>
      </c>
      <c r="AF553" s="1060">
        <v>1.04</v>
      </c>
      <c r="AG553" s="1059">
        <v>1.02</v>
      </c>
      <c r="AH553" s="1061">
        <v>0.96</v>
      </c>
      <c r="AI553" s="1059">
        <v>0.91</v>
      </c>
      <c r="AJ553" s="1060">
        <v>1.03</v>
      </c>
      <c r="AK553" s="1059">
        <v>1.03</v>
      </c>
      <c r="AL553" s="1061">
        <v>0.97</v>
      </c>
      <c r="AM553" s="1059">
        <v>0.94</v>
      </c>
      <c r="AN553" s="1060">
        <v>1.03</v>
      </c>
      <c r="AO553" s="1059">
        <v>1.01</v>
      </c>
      <c r="AP553" s="1061" t="s">
        <v>494</v>
      </c>
      <c r="AQ553" s="1059" t="s">
        <v>494</v>
      </c>
      <c r="AR553" s="1060"/>
      <c r="AS553" s="1017"/>
      <c r="AT553" s="1017"/>
      <c r="AU553" s="1059" t="s">
        <v>494</v>
      </c>
      <c r="AV553" s="1060"/>
      <c r="AW553" s="1017"/>
      <c r="AX553" s="1017"/>
      <c r="AY553" s="1059" t="s">
        <v>494</v>
      </c>
      <c r="AZ553" s="1017"/>
      <c r="BA553" s="1017"/>
      <c r="BB553" s="1017"/>
      <c r="BC553" s="1017"/>
      <c r="BD553" s="1017"/>
      <c r="BE553" s="1017"/>
      <c r="BF553" s="1017"/>
      <c r="BG553" s="1017"/>
      <c r="BH553" s="1017"/>
      <c r="BI553" s="1017"/>
      <c r="BJ553" s="1017"/>
      <c r="BK553" s="1017"/>
      <c r="BL553" s="1017"/>
      <c r="BM553" s="1017"/>
      <c r="BN553" s="1017"/>
      <c r="BO553" s="1017"/>
      <c r="BP553" s="1018"/>
      <c r="BQ553" s="1019"/>
      <c r="BR553" s="1019"/>
      <c r="BS553" s="1019"/>
      <c r="BT553" s="318"/>
      <c r="BU553" s="318"/>
      <c r="BV553" s="318"/>
      <c r="BW553" s="318"/>
      <c r="BX553" s="318"/>
      <c r="BY553" s="318"/>
      <c r="BZ553" s="318"/>
      <c r="CA553" s="318"/>
      <c r="CB553" s="318"/>
      <c r="CC553" s="318"/>
      <c r="CD553" s="318"/>
      <c r="CE553" s="318"/>
      <c r="CF553" s="318"/>
      <c r="CG553" s="318"/>
    </row>
    <row r="554" spans="1:88" ht="14.25" hidden="1" customHeight="1" outlineLevel="1">
      <c r="B554" s="989" t="s">
        <v>462</v>
      </c>
      <c r="C554" s="318"/>
      <c r="D554" s="1013"/>
      <c r="E554" s="1013"/>
      <c r="F554" s="1013"/>
      <c r="G554" s="1015">
        <v>1880</v>
      </c>
      <c r="H554" s="1013"/>
      <c r="I554" s="1013"/>
      <c r="J554" s="1013"/>
      <c r="K554" s="1015">
        <v>1640</v>
      </c>
      <c r="L554" s="1013"/>
      <c r="M554" s="1013"/>
      <c r="N554" s="1013"/>
      <c r="O554" s="1015">
        <v>1500</v>
      </c>
      <c r="P554" s="1013"/>
      <c r="Q554" s="1013"/>
      <c r="R554" s="1013"/>
      <c r="S554" s="1015">
        <v>860</v>
      </c>
      <c r="T554" s="1013"/>
      <c r="U554" s="1013"/>
      <c r="V554" s="1013"/>
      <c r="W554" s="1015">
        <v>1790</v>
      </c>
      <c r="X554" s="1062"/>
      <c r="Y554" s="1062"/>
      <c r="Z554" s="1062"/>
      <c r="AA554" s="1015">
        <v>1750</v>
      </c>
      <c r="AB554" s="1062"/>
      <c r="AC554" s="1062"/>
      <c r="AD554" s="1062"/>
      <c r="AE554" s="1015">
        <v>1739</v>
      </c>
      <c r="AF554" s="1062"/>
      <c r="AG554" s="1062"/>
      <c r="AH554" s="1062"/>
      <c r="AI554" s="1062"/>
      <c r="AJ554" s="1017"/>
      <c r="AK554" s="1017"/>
      <c r="AL554" s="1017"/>
      <c r="AM554" s="1017"/>
      <c r="AN554" s="1017"/>
      <c r="AO554" s="1017"/>
      <c r="AP554" s="1017"/>
      <c r="AQ554" s="1017"/>
      <c r="AR554" s="1017"/>
      <c r="AS554" s="1017"/>
      <c r="AT554" s="1017"/>
      <c r="AU554" s="1017"/>
      <c r="AV554" s="1017"/>
      <c r="AW554" s="1017"/>
      <c r="AX554" s="1017"/>
      <c r="AY554" s="1017"/>
      <c r="AZ554" s="1017"/>
      <c r="BA554" s="1017"/>
      <c r="BB554" s="1017"/>
      <c r="BC554" s="1017"/>
      <c r="BD554" s="1017"/>
      <c r="BE554" s="1017"/>
      <c r="BF554" s="1017"/>
      <c r="BG554" s="1017"/>
      <c r="BH554" s="1017"/>
      <c r="BI554" s="1017"/>
      <c r="BJ554" s="1017"/>
      <c r="BK554" s="1017"/>
      <c r="BL554" s="1017"/>
      <c r="BM554" s="1017"/>
      <c r="BN554" s="1017"/>
      <c r="BO554" s="1017"/>
      <c r="BP554" s="1018"/>
      <c r="BQ554" s="1019"/>
      <c r="BR554" s="1063">
        <v>1640</v>
      </c>
      <c r="BS554" s="1063">
        <v>1500</v>
      </c>
      <c r="BT554" s="318">
        <v>860</v>
      </c>
      <c r="BU554" s="318">
        <v>1790</v>
      </c>
      <c r="BV554" s="318">
        <v>1750</v>
      </c>
      <c r="BW554" s="318">
        <v>1390</v>
      </c>
      <c r="BX554" s="318"/>
      <c r="BY554" s="318"/>
      <c r="BZ554" s="318"/>
      <c r="CA554" s="318"/>
      <c r="CB554" s="318"/>
      <c r="CC554" s="318"/>
      <c r="CD554" s="318"/>
      <c r="CE554" s="318"/>
      <c r="CF554" s="318"/>
      <c r="CG554" s="318"/>
    </row>
    <row r="555" spans="1:88" ht="14.25" hidden="1" customHeight="1" outlineLevel="1">
      <c r="B555" s="989" t="s">
        <v>460</v>
      </c>
      <c r="C555" s="318"/>
      <c r="D555" s="1016">
        <v>3028</v>
      </c>
      <c r="E555" s="1015">
        <v>3389</v>
      </c>
      <c r="F555" s="1015">
        <v>3740</v>
      </c>
      <c r="G555" s="1015">
        <v>3770</v>
      </c>
      <c r="H555" s="1016">
        <v>3600</v>
      </c>
      <c r="I555" s="1015">
        <v>3750</v>
      </c>
      <c r="J555" s="1015">
        <v>3310</v>
      </c>
      <c r="K555" s="1015">
        <v>3080</v>
      </c>
      <c r="L555" s="1016">
        <v>3200</v>
      </c>
      <c r="M555" s="1015">
        <v>3450</v>
      </c>
      <c r="N555" s="1015">
        <v>3550</v>
      </c>
      <c r="O555" s="1015">
        <v>3480</v>
      </c>
      <c r="P555" s="1016">
        <v>3320</v>
      </c>
      <c r="Q555" s="1015">
        <v>3460</v>
      </c>
      <c r="R555" s="1015">
        <v>3230</v>
      </c>
      <c r="S555" s="1015">
        <v>1860</v>
      </c>
      <c r="T555" s="1016">
        <v>2190</v>
      </c>
      <c r="U555" s="1015">
        <v>2800</v>
      </c>
      <c r="V555" s="1015">
        <v>3110</v>
      </c>
      <c r="W555" s="1015">
        <v>3260</v>
      </c>
      <c r="X555" s="1016">
        <v>3640</v>
      </c>
      <c r="Y555" s="1015">
        <v>3730</v>
      </c>
      <c r="Z555" s="1015">
        <v>3430</v>
      </c>
      <c r="AA555" s="1015">
        <v>3130</v>
      </c>
      <c r="AB555" s="1016">
        <v>3580</v>
      </c>
      <c r="AC555" s="1015">
        <v>3600</v>
      </c>
      <c r="AD555" s="1015">
        <v>3070</v>
      </c>
      <c r="AE555" s="1015">
        <v>2860</v>
      </c>
      <c r="AF555" s="1015">
        <v>3240</v>
      </c>
      <c r="AG555" s="1015">
        <v>3410</v>
      </c>
      <c r="AH555" s="1015">
        <v>3240</v>
      </c>
      <c r="AI555" s="1015">
        <v>2720</v>
      </c>
      <c r="AJ555" s="1017"/>
      <c r="AK555" s="1017"/>
      <c r="AL555" s="1017"/>
      <c r="AM555" s="1017"/>
      <c r="AN555" s="1017"/>
      <c r="AO555" s="1017"/>
      <c r="AP555" s="1017"/>
      <c r="AQ555" s="1017"/>
      <c r="AR555" s="1017"/>
      <c r="AS555" s="1017"/>
      <c r="AT555" s="1017"/>
      <c r="AU555" s="1017"/>
      <c r="AV555" s="1017"/>
      <c r="AW555" s="1017"/>
      <c r="AX555" s="1017"/>
      <c r="AY555" s="1017"/>
      <c r="AZ555" s="1017"/>
      <c r="BA555" s="1017"/>
      <c r="BB555" s="1017"/>
      <c r="BC555" s="1017"/>
      <c r="BD555" s="1017"/>
      <c r="BE555" s="1017"/>
      <c r="BF555" s="1017"/>
      <c r="BG555" s="1017"/>
      <c r="BH555" s="1017"/>
      <c r="BI555" s="1017"/>
      <c r="BJ555" s="1017"/>
      <c r="BK555" s="1017"/>
      <c r="BL555" s="1017"/>
      <c r="BM555" s="1017"/>
      <c r="BN555" s="1017"/>
      <c r="BO555" s="1017"/>
      <c r="BP555" s="1018"/>
      <c r="BQ555" s="1019"/>
      <c r="BR555" s="131">
        <f>SUM(H555:K555)</f>
        <v>13740</v>
      </c>
      <c r="BS555" s="131">
        <f>SUM(L555:O555)</f>
        <v>13680</v>
      </c>
      <c r="BT555" s="318">
        <f>SUM(P555:S555)</f>
        <v>11870</v>
      </c>
      <c r="BU555" s="318">
        <f>SUM(T555:W555)</f>
        <v>11360</v>
      </c>
      <c r="BV555" s="318">
        <v>13930</v>
      </c>
      <c r="BW555" s="318">
        <v>13120</v>
      </c>
      <c r="BX555" s="318"/>
      <c r="BY555" s="318"/>
      <c r="BZ555" s="318"/>
      <c r="CA555" s="318"/>
      <c r="CB555" s="318"/>
      <c r="CC555" s="318"/>
      <c r="CD555" s="318"/>
      <c r="CE555" s="318"/>
      <c r="CF555" s="318"/>
      <c r="CG555" s="318"/>
    </row>
    <row r="556" spans="1:88" ht="14.25" hidden="1" customHeight="1" outlineLevel="1">
      <c r="B556" s="1045"/>
      <c r="C556" s="363"/>
      <c r="D556" s="363"/>
      <c r="E556" s="363"/>
      <c r="F556" s="363"/>
      <c r="G556" s="363"/>
      <c r="H556" s="363"/>
      <c r="I556" s="363"/>
      <c r="J556" s="363"/>
      <c r="K556" s="1064"/>
      <c r="L556" s="363"/>
      <c r="M556" s="363"/>
      <c r="N556" s="363"/>
      <c r="O556" s="1064"/>
      <c r="P556" s="363"/>
      <c r="Q556" s="363"/>
      <c r="R556" s="363"/>
      <c r="S556" s="1064"/>
      <c r="T556" s="363"/>
      <c r="U556" s="363"/>
      <c r="V556" s="363"/>
      <c r="W556" s="363"/>
      <c r="X556" s="363"/>
      <c r="Y556" s="363"/>
      <c r="Z556" s="363"/>
      <c r="AA556" s="363"/>
      <c r="AB556" s="363"/>
      <c r="AC556" s="363"/>
      <c r="AD556" s="363"/>
      <c r="AE556" s="363"/>
      <c r="AF556" s="363"/>
      <c r="AG556" s="363"/>
      <c r="AH556" s="363"/>
      <c r="AI556" s="363"/>
      <c r="AJ556" s="363"/>
      <c r="AK556" s="363"/>
      <c r="AL556" s="363"/>
      <c r="AM556" s="363"/>
      <c r="AN556" s="363"/>
      <c r="AO556" s="363"/>
      <c r="AP556" s="363"/>
      <c r="AQ556" s="363"/>
      <c r="AR556" s="363"/>
      <c r="AS556" s="363"/>
      <c r="AT556" s="363"/>
      <c r="AU556" s="363"/>
      <c r="AV556" s="363"/>
      <c r="AW556" s="363"/>
      <c r="AX556" s="363"/>
      <c r="AY556" s="363"/>
      <c r="AZ556" s="363"/>
      <c r="BA556" s="363"/>
      <c r="BB556" s="363"/>
      <c r="BC556" s="363"/>
      <c r="BD556" s="363"/>
      <c r="BE556" s="363"/>
      <c r="BF556" s="363"/>
      <c r="BG556" s="363"/>
      <c r="BH556" s="363"/>
      <c r="BI556" s="363"/>
      <c r="BJ556" s="363"/>
      <c r="BK556" s="363"/>
      <c r="BL556" s="363"/>
      <c r="BM556" s="363"/>
      <c r="BN556" s="363"/>
      <c r="BO556" s="363"/>
      <c r="BP556" s="1018"/>
      <c r="BQ556" s="363"/>
      <c r="BR556" s="363"/>
      <c r="BS556" s="363"/>
      <c r="BT556" s="363"/>
      <c r="BU556" s="363"/>
      <c r="BV556" s="363"/>
      <c r="BW556" s="363"/>
      <c r="BX556" s="363"/>
      <c r="BY556" s="363"/>
      <c r="BZ556" s="363"/>
      <c r="CA556" s="363"/>
      <c r="CB556" s="363"/>
      <c r="CC556" s="363"/>
      <c r="CD556" s="363"/>
      <c r="CE556" s="363"/>
      <c r="CF556" s="363"/>
      <c r="CG556" s="363"/>
    </row>
    <row r="557" spans="1:88" ht="14.25" hidden="1" customHeight="1" outlineLevel="1">
      <c r="A557" s="1"/>
      <c r="B557" s="1010" t="s">
        <v>439</v>
      </c>
      <c r="C557" s="1011"/>
      <c r="D557" s="1012" t="str">
        <f t="shared" ref="D557:BC557" si="1308">D$6</f>
        <v>F1Q05A</v>
      </c>
      <c r="E557" s="1012" t="str">
        <f t="shared" si="1308"/>
        <v>F2Q05A</v>
      </c>
      <c r="F557" s="1012" t="str">
        <f t="shared" si="1308"/>
        <v>F3Q05A</v>
      </c>
      <c r="G557" s="1012" t="str">
        <f t="shared" si="1308"/>
        <v>F4Q05A</v>
      </c>
      <c r="H557" s="1012" t="str">
        <f t="shared" si="1308"/>
        <v>F1Q06A</v>
      </c>
      <c r="I557" s="1012" t="str">
        <f t="shared" si="1308"/>
        <v>F2Q06A</v>
      </c>
      <c r="J557" s="1012" t="str">
        <f t="shared" si="1308"/>
        <v>F3Q06A</v>
      </c>
      <c r="K557" s="1012" t="str">
        <f t="shared" si="1308"/>
        <v>F4Q06A</v>
      </c>
      <c r="L557" s="1012" t="str">
        <f t="shared" si="1308"/>
        <v>F1Q07A</v>
      </c>
      <c r="M557" s="1012" t="str">
        <f t="shared" si="1308"/>
        <v>F2Q07A</v>
      </c>
      <c r="N557" s="1012" t="str">
        <f t="shared" si="1308"/>
        <v>F3Q07A</v>
      </c>
      <c r="O557" s="1012" t="str">
        <f t="shared" si="1308"/>
        <v>F4Q07A</v>
      </c>
      <c r="P557" s="1012" t="str">
        <f t="shared" si="1308"/>
        <v>F1Q08A</v>
      </c>
      <c r="Q557" s="1012" t="str">
        <f t="shared" si="1308"/>
        <v>F2Q08A</v>
      </c>
      <c r="R557" s="1012" t="str">
        <f t="shared" si="1308"/>
        <v>F3Q08A</v>
      </c>
      <c r="S557" s="1012" t="str">
        <f t="shared" si="1308"/>
        <v>F4Q08A</v>
      </c>
      <c r="T557" s="1012" t="str">
        <f t="shared" si="1308"/>
        <v>F1Q09A</v>
      </c>
      <c r="U557" s="1012" t="str">
        <f t="shared" si="1308"/>
        <v>F2Q09A</v>
      </c>
      <c r="V557" s="1012" t="str">
        <f t="shared" si="1308"/>
        <v>F3Q09A</v>
      </c>
      <c r="W557" s="1012" t="str">
        <f t="shared" si="1308"/>
        <v>F4Q09A</v>
      </c>
      <c r="X557" s="1012" t="str">
        <f t="shared" si="1308"/>
        <v>F1Q10A</v>
      </c>
      <c r="Y557" s="1012" t="str">
        <f t="shared" si="1308"/>
        <v>F2Q10A</v>
      </c>
      <c r="Z557" s="1012" t="str">
        <f t="shared" si="1308"/>
        <v>F3Q10A</v>
      </c>
      <c r="AA557" s="1012" t="str">
        <f t="shared" si="1308"/>
        <v>F4Q10A</v>
      </c>
      <c r="AB557" s="1012" t="str">
        <f t="shared" si="1308"/>
        <v>F1Q11A</v>
      </c>
      <c r="AC557" s="1012" t="str">
        <f t="shared" si="1308"/>
        <v>F2Q11A</v>
      </c>
      <c r="AD557" s="1012" t="str">
        <f t="shared" si="1308"/>
        <v>F3Q11A</v>
      </c>
      <c r="AE557" s="1012" t="str">
        <f t="shared" si="1308"/>
        <v>F4Q11A</v>
      </c>
      <c r="AF557" s="1012" t="str">
        <f t="shared" si="1308"/>
        <v>F1Q12A</v>
      </c>
      <c r="AG557" s="1012" t="str">
        <f t="shared" si="1308"/>
        <v>F2Q12A</v>
      </c>
      <c r="AH557" s="1012" t="str">
        <f t="shared" si="1308"/>
        <v>F3Q12A</v>
      </c>
      <c r="AI557" s="1012" t="str">
        <f t="shared" si="1308"/>
        <v>F4Q12A</v>
      </c>
      <c r="AJ557" s="1012" t="str">
        <f t="shared" si="1308"/>
        <v>F1Q13A</v>
      </c>
      <c r="AK557" s="1012" t="str">
        <f t="shared" si="1308"/>
        <v>F2Q13A</v>
      </c>
      <c r="AL557" s="1012" t="str">
        <f t="shared" si="1308"/>
        <v>F3Q13A</v>
      </c>
      <c r="AM557" s="1012" t="str">
        <f t="shared" si="1308"/>
        <v>F4Q13A</v>
      </c>
      <c r="AN557" s="1012" t="str">
        <f t="shared" si="1308"/>
        <v>F1Q14A</v>
      </c>
      <c r="AO557" s="1012" t="str">
        <f t="shared" si="1308"/>
        <v>F2Q14A</v>
      </c>
      <c r="AP557" s="1012" t="str">
        <f t="shared" si="1308"/>
        <v>F3Q14A</v>
      </c>
      <c r="AQ557" s="1012" t="str">
        <f t="shared" si="1308"/>
        <v>F4Q14A</v>
      </c>
      <c r="AR557" s="1012" t="str">
        <f t="shared" si="1308"/>
        <v>F1Q15A</v>
      </c>
      <c r="AS557" s="1012" t="str">
        <f t="shared" si="1308"/>
        <v>F2Q15A</v>
      </c>
      <c r="AT557" s="1012" t="str">
        <f t="shared" si="1308"/>
        <v>F3Q15A</v>
      </c>
      <c r="AU557" s="1012" t="str">
        <f t="shared" si="1308"/>
        <v>F4Q15A</v>
      </c>
      <c r="AV557" s="1012" t="str">
        <f t="shared" si="1308"/>
        <v>F1Q16A</v>
      </c>
      <c r="AW557" s="1012" t="str">
        <f t="shared" si="1308"/>
        <v>F2Q16A</v>
      </c>
      <c r="AX557" s="1012" t="str">
        <f t="shared" si="1308"/>
        <v>F3Q16A</v>
      </c>
      <c r="AY557" s="1012" t="str">
        <f t="shared" si="1308"/>
        <v>F4Q16A</v>
      </c>
      <c r="AZ557" s="1012" t="str">
        <f t="shared" si="1308"/>
        <v>F1Q17A</v>
      </c>
      <c r="BA557" s="1012" t="str">
        <f t="shared" si="1308"/>
        <v>F2Q17A</v>
      </c>
      <c r="BB557" s="1012" t="str">
        <f t="shared" si="1308"/>
        <v>F3Q17A</v>
      </c>
      <c r="BC557" s="1012" t="str">
        <f t="shared" si="1308"/>
        <v>F4Q17A</v>
      </c>
      <c r="BD557" s="1012"/>
      <c r="BE557" s="1012"/>
      <c r="BF557" s="1012"/>
      <c r="BG557" s="1012"/>
      <c r="BH557" s="1012"/>
      <c r="BI557" s="1012"/>
      <c r="BJ557" s="1012"/>
      <c r="BK557" s="1012"/>
      <c r="BL557" s="1012"/>
      <c r="BM557" s="1012"/>
      <c r="BN557" s="1012"/>
      <c r="BO557" s="1012"/>
      <c r="BP557" s="652"/>
      <c r="BQ557" s="1012" t="str">
        <f t="shared" ref="BQ557:CF557" si="1309">BQ$6</f>
        <v>FY2005A</v>
      </c>
      <c r="BR557" s="1012" t="str">
        <f t="shared" si="1309"/>
        <v>FY2006A</v>
      </c>
      <c r="BS557" s="1012" t="str">
        <f t="shared" si="1309"/>
        <v>FY2007A</v>
      </c>
      <c r="BT557" s="1012" t="str">
        <f t="shared" si="1309"/>
        <v>FY2008A</v>
      </c>
      <c r="BU557" s="1012" t="str">
        <f t="shared" si="1309"/>
        <v>FY2009A</v>
      </c>
      <c r="BV557" s="1012" t="str">
        <f t="shared" si="1309"/>
        <v>FY2010A</v>
      </c>
      <c r="BW557" s="1012" t="str">
        <f t="shared" si="1309"/>
        <v>FY2011A</v>
      </c>
      <c r="BX557" s="1012" t="str">
        <f t="shared" si="1309"/>
        <v>FY2012A</v>
      </c>
      <c r="BY557" s="1012" t="str">
        <f t="shared" si="1309"/>
        <v>FY2013A</v>
      </c>
      <c r="BZ557" s="1012" t="str">
        <f t="shared" si="1309"/>
        <v>FY2014A</v>
      </c>
      <c r="CA557" s="1012" t="str">
        <f t="shared" si="1309"/>
        <v>FY2015A</v>
      </c>
      <c r="CB557" s="1012" t="str">
        <f t="shared" si="1309"/>
        <v>FY2016A</v>
      </c>
      <c r="CC557" s="1012" t="str">
        <f t="shared" si="1309"/>
        <v>FY2017E</v>
      </c>
      <c r="CD557" s="1012" t="str">
        <f t="shared" si="1309"/>
        <v>FY2018E</v>
      </c>
      <c r="CE557" s="1012" t="str">
        <f t="shared" si="1309"/>
        <v>FY2019E</v>
      </c>
      <c r="CF557" s="1012" t="str">
        <f t="shared" si="1309"/>
        <v>FY2020E</v>
      </c>
      <c r="CG557" s="318"/>
    </row>
    <row r="558" spans="1:88" ht="14.25" hidden="1" customHeight="1" outlineLevel="1">
      <c r="B558" s="989" t="s">
        <v>344</v>
      </c>
      <c r="C558" s="318"/>
      <c r="D558" s="1016">
        <v>1348.557</v>
      </c>
      <c r="E558" s="1016">
        <v>1422.3679999999999</v>
      </c>
      <c r="F558" s="1016">
        <v>1512.3420000000001</v>
      </c>
      <c r="G558" s="1016">
        <v>1616.7739999999999</v>
      </c>
      <c r="H558" s="1015">
        <v>1660.8869999999999</v>
      </c>
      <c r="I558" s="1015">
        <v>1748.3510000000001</v>
      </c>
      <c r="J558" s="1015">
        <v>1799.2819999999999</v>
      </c>
      <c r="K558" s="1015">
        <v>1707.1469999999999</v>
      </c>
      <c r="L558" s="1015">
        <v>1658.6210000000001</v>
      </c>
      <c r="M558" s="1015">
        <v>1662.4079999999999</v>
      </c>
      <c r="N558" s="1015">
        <v>1875.8</v>
      </c>
      <c r="O558" s="1015">
        <v>1922.6969999999999</v>
      </c>
      <c r="P558" s="1015">
        <v>1822.675</v>
      </c>
      <c r="Q558" s="1015">
        <v>2017.905</v>
      </c>
      <c r="R558" s="1015">
        <v>2097.922</v>
      </c>
      <c r="S558" s="1015">
        <v>1649.0260000000001</v>
      </c>
      <c r="T558" s="1015">
        <v>1268.914</v>
      </c>
      <c r="U558" s="1015">
        <v>1546.8720000000001</v>
      </c>
      <c r="V558" s="1015">
        <v>1838.077</v>
      </c>
      <c r="W558" s="1015">
        <v>1952.028</v>
      </c>
      <c r="X558" s="1015">
        <v>2090.127</v>
      </c>
      <c r="Y558" s="1015">
        <v>2351.9490000000001</v>
      </c>
      <c r="Z558" s="1015">
        <v>2498.1999999999998</v>
      </c>
      <c r="AA558" s="1015">
        <v>2389.5479999999998</v>
      </c>
      <c r="AB558" s="1015">
        <v>2257.6779999999999</v>
      </c>
      <c r="AC558" s="1015">
        <v>2455.73</v>
      </c>
      <c r="AD558" s="1015">
        <v>2366.5509999999999</v>
      </c>
      <c r="AE558" s="1015">
        <v>2086.1170000000002</v>
      </c>
      <c r="AF558" s="756">
        <v>2151.902</v>
      </c>
      <c r="AG558" s="1065"/>
      <c r="AH558" s="1017"/>
      <c r="AI558" s="1017"/>
      <c r="AJ558" s="1017"/>
      <c r="AK558" s="1017"/>
      <c r="AL558" s="1017"/>
      <c r="AM558" s="1017"/>
      <c r="AN558" s="1017"/>
      <c r="AO558" s="1017"/>
      <c r="AP558" s="1017"/>
      <c r="AQ558" s="1017"/>
      <c r="AR558" s="1017"/>
      <c r="AS558" s="1017"/>
      <c r="AT558" s="1017"/>
      <c r="AU558" s="1017"/>
      <c r="AV558" s="1017"/>
      <c r="AW558" s="1017"/>
      <c r="AX558" s="1017"/>
      <c r="AY558" s="1017"/>
      <c r="AZ558" s="1017"/>
      <c r="BA558" s="1017"/>
      <c r="BB558" s="1017"/>
      <c r="BC558" s="1017"/>
      <c r="BD558" s="1017"/>
      <c r="BE558" s="1017"/>
      <c r="BF558" s="1017"/>
      <c r="BG558" s="1017"/>
      <c r="BH558" s="1017"/>
      <c r="BI558" s="1017"/>
      <c r="BJ558" s="1017"/>
      <c r="BK558" s="1017"/>
      <c r="BL558" s="1017"/>
      <c r="BM558" s="1017"/>
      <c r="BN558" s="1017"/>
      <c r="BO558" s="1017"/>
      <c r="BP558" s="1018"/>
      <c r="BQ558" s="131">
        <f>SUM(D558:G558)</f>
        <v>5900.0409999999993</v>
      </c>
      <c r="BR558" s="1020">
        <f>SUM(H558:K558)</f>
        <v>6915.6670000000004</v>
      </c>
      <c r="BS558" s="1020">
        <f>SUM(L558:O558)</f>
        <v>7119.5259999999998</v>
      </c>
      <c r="BT558" s="318">
        <f>SUM(P558:S558)</f>
        <v>7587.5280000000002</v>
      </c>
      <c r="BU558" s="318">
        <f>SUM(T558:W558)</f>
        <v>6605.8910000000005</v>
      </c>
      <c r="BV558" s="318">
        <f>SUM(X558:AA558)</f>
        <v>9329.8240000000005</v>
      </c>
      <c r="BW558" s="318">
        <f>SUM(AB558:AE558)</f>
        <v>9166.0759999999991</v>
      </c>
      <c r="BX558" s="318"/>
      <c r="BY558" s="318"/>
      <c r="BZ558" s="318"/>
      <c r="CA558" s="318"/>
      <c r="CB558" s="318"/>
      <c r="CC558" s="318"/>
      <c r="CD558" s="318"/>
      <c r="CE558" s="318"/>
      <c r="CF558" s="318"/>
      <c r="CG558" s="318"/>
    </row>
    <row r="559" spans="1:88" ht="14.25" hidden="1" customHeight="1" outlineLevel="1">
      <c r="B559" s="989" t="s">
        <v>346</v>
      </c>
      <c r="C559" s="318"/>
      <c r="D559" s="1015">
        <v>1371.74</v>
      </c>
      <c r="E559" s="1015">
        <v>1433.5140000000001</v>
      </c>
      <c r="F559" s="1015">
        <v>1494.1659999999999</v>
      </c>
      <c r="G559" s="1015">
        <v>1533.6110000000001</v>
      </c>
      <c r="H559" s="1015">
        <v>1584.165</v>
      </c>
      <c r="I559" s="1015">
        <v>1704.838</v>
      </c>
      <c r="J559" s="1015">
        <v>1704.431</v>
      </c>
      <c r="K559" s="1015">
        <v>1611.145</v>
      </c>
      <c r="L559" s="1015">
        <v>1720.7220000000002</v>
      </c>
      <c r="M559" s="1015">
        <v>1809.7339999999999</v>
      </c>
      <c r="N559" s="1015">
        <v>1898.8160000000003</v>
      </c>
      <c r="O559" s="1015">
        <v>1900.028</v>
      </c>
      <c r="P559" s="1015">
        <v>1892.162</v>
      </c>
      <c r="Q559" s="1015">
        <v>2051.6310000000003</v>
      </c>
      <c r="R559" s="1015">
        <v>2099.8770000000004</v>
      </c>
      <c r="S559" s="1015">
        <v>1712.2829999999999</v>
      </c>
      <c r="T559" s="1015">
        <v>1307.7670000000001</v>
      </c>
      <c r="U559" s="1015">
        <v>1469.52</v>
      </c>
      <c r="V559" s="1015">
        <v>1711.404</v>
      </c>
      <c r="W559" s="1015">
        <v>1894.6509999999998</v>
      </c>
      <c r="X559" s="1015">
        <v>1950.1659999999999</v>
      </c>
      <c r="Y559" s="1015">
        <v>2101.5300000000002</v>
      </c>
      <c r="Z559" s="1015">
        <v>2259.0190000000002</v>
      </c>
      <c r="AA559" s="1015">
        <v>2152.7190000000001</v>
      </c>
      <c r="AB559" s="1015">
        <v>2159.8980000000001</v>
      </c>
      <c r="AC559" s="1015">
        <v>2184.056</v>
      </c>
      <c r="AD559" s="1015">
        <v>1957.8779999999999</v>
      </c>
      <c r="AE559" s="1015">
        <v>1673.191</v>
      </c>
      <c r="AF559" s="756">
        <v>1740.6709999999998</v>
      </c>
      <c r="AG559" s="1065"/>
      <c r="AH559" s="1017"/>
      <c r="AI559" s="1017"/>
      <c r="AJ559" s="1017"/>
      <c r="AK559" s="1017"/>
      <c r="AL559" s="1017"/>
      <c r="AM559" s="1017"/>
      <c r="AN559" s="1017"/>
      <c r="AO559" s="1017"/>
      <c r="AP559" s="1017"/>
      <c r="AQ559" s="1017"/>
      <c r="AR559" s="1017"/>
      <c r="AS559" s="1017"/>
      <c r="AT559" s="1017"/>
      <c r="AU559" s="1017"/>
      <c r="AV559" s="1017"/>
      <c r="AW559" s="1017"/>
      <c r="AX559" s="1017"/>
      <c r="AY559" s="1017"/>
      <c r="AZ559" s="1017"/>
      <c r="BA559" s="1017"/>
      <c r="BB559" s="1017"/>
      <c r="BC559" s="1017"/>
      <c r="BD559" s="1017"/>
      <c r="BE559" s="1017"/>
      <c r="BF559" s="1017"/>
      <c r="BG559" s="1017"/>
      <c r="BH559" s="1017"/>
      <c r="BI559" s="1017"/>
      <c r="BJ559" s="1017"/>
      <c r="BK559" s="1017"/>
      <c r="BL559" s="1017"/>
      <c r="BM559" s="1017"/>
      <c r="BN559" s="1017"/>
      <c r="BO559" s="1017"/>
      <c r="BP559" s="1018"/>
      <c r="BQ559" s="131">
        <f>SUM(D559:G559)</f>
        <v>5833.0309999999999</v>
      </c>
      <c r="BR559" s="1020">
        <f>SUM(H559:K559)</f>
        <v>6604.5789999999997</v>
      </c>
      <c r="BS559" s="1020">
        <f>SUM(L559:O559)</f>
        <v>7329.3000000000011</v>
      </c>
      <c r="BT559" s="318">
        <f>SUM(P559:S559)</f>
        <v>7755.9530000000013</v>
      </c>
      <c r="BU559" s="318">
        <f>SUM(T559:W559)</f>
        <v>6383.3420000000006</v>
      </c>
      <c r="BV559" s="318">
        <f>SUM(X559:AA559)</f>
        <v>8463.4340000000011</v>
      </c>
      <c r="BW559" s="318">
        <f>SUM(AB559:AE559)</f>
        <v>7975.0229999999992</v>
      </c>
      <c r="BX559" s="318"/>
      <c r="BY559" s="318"/>
      <c r="BZ559" s="318"/>
      <c r="CA559" s="318"/>
      <c r="CB559" s="318"/>
      <c r="CC559" s="318"/>
      <c r="CD559" s="318"/>
      <c r="CE559" s="318"/>
      <c r="CF559" s="318"/>
      <c r="CG559" s="318"/>
    </row>
    <row r="560" spans="1:88" ht="14.25" hidden="1" customHeight="1" outlineLevel="1">
      <c r="B560" s="989" t="s">
        <v>345</v>
      </c>
      <c r="C560" s="318"/>
      <c r="D560" s="1015">
        <v>4459.5150000000003</v>
      </c>
      <c r="E560" s="1015">
        <v>4801.9089999999997</v>
      </c>
      <c r="F560" s="1015">
        <v>5385.0140000000001</v>
      </c>
      <c r="G560" s="1015">
        <v>5542.4889999999996</v>
      </c>
      <c r="H560" s="1015">
        <v>5651.3950000000004</v>
      </c>
      <c r="I560" s="1015">
        <v>5831.6989999999996</v>
      </c>
      <c r="J560" s="1015">
        <v>6010.0709999999999</v>
      </c>
      <c r="K560" s="1015">
        <v>5926.2950000000001</v>
      </c>
      <c r="L560" s="1015">
        <v>5206.1319999999996</v>
      </c>
      <c r="M560" s="1015">
        <v>5342.5559999999996</v>
      </c>
      <c r="N560" s="1015">
        <v>5796.4679999999998</v>
      </c>
      <c r="O560" s="1015">
        <v>5658.902</v>
      </c>
      <c r="P560" s="1015">
        <v>5008.0330000000004</v>
      </c>
      <c r="Q560" s="1015">
        <v>5394.2939999999999</v>
      </c>
      <c r="R560" s="1015">
        <v>5839.6239999999998</v>
      </c>
      <c r="S560" s="1015">
        <v>4051.2440000000001</v>
      </c>
      <c r="T560" s="1015">
        <v>3446.125</v>
      </c>
      <c r="U560" s="1015">
        <v>4713.4250000000002</v>
      </c>
      <c r="V560" s="1015">
        <v>5264.4690000000001</v>
      </c>
      <c r="W560" s="1015">
        <v>5587.491</v>
      </c>
      <c r="X560" s="1015">
        <v>5896.9530000000004</v>
      </c>
      <c r="Y560" s="1015">
        <v>6080.8630000000003</v>
      </c>
      <c r="Z560" s="1015">
        <v>6278.4620000000004</v>
      </c>
      <c r="AA560" s="1015">
        <v>6235.2120000000004</v>
      </c>
      <c r="AB560" s="1015">
        <v>6337.9369999999999</v>
      </c>
      <c r="AC560" s="1015">
        <v>6456.59</v>
      </c>
      <c r="AD560" s="1015">
        <v>6476.2079999999996</v>
      </c>
      <c r="AE560" s="1015">
        <v>5925.8119999999999</v>
      </c>
      <c r="AF560" s="756">
        <v>5864.3209999999999</v>
      </c>
      <c r="AG560" s="1065"/>
      <c r="AH560" s="1017"/>
      <c r="AI560" s="1017"/>
      <c r="AJ560" s="1017"/>
      <c r="AK560" s="1017"/>
      <c r="AL560" s="1017"/>
      <c r="AM560" s="1017"/>
      <c r="AN560" s="1017"/>
      <c r="AO560" s="1017"/>
      <c r="AP560" s="1017"/>
      <c r="AQ560" s="1017"/>
      <c r="AR560" s="1017"/>
      <c r="AS560" s="1017"/>
      <c r="AT560" s="1017"/>
      <c r="AU560" s="1017"/>
      <c r="AV560" s="1017"/>
      <c r="AW560" s="1017"/>
      <c r="AX560" s="1017"/>
      <c r="AY560" s="1017"/>
      <c r="AZ560" s="1017"/>
      <c r="BA560" s="1017"/>
      <c r="BB560" s="1017"/>
      <c r="BC560" s="1017"/>
      <c r="BD560" s="1017"/>
      <c r="BE560" s="1017"/>
      <c r="BF560" s="1017"/>
      <c r="BG560" s="1017"/>
      <c r="BH560" s="1017"/>
      <c r="BI560" s="1017"/>
      <c r="BJ560" s="1017"/>
      <c r="BK560" s="1017"/>
      <c r="BL560" s="1017"/>
      <c r="BM560" s="1017"/>
      <c r="BN560" s="1017"/>
      <c r="BO560" s="1017"/>
      <c r="BP560" s="1018"/>
      <c r="BQ560" s="131">
        <f>SUM(D560:G560)</f>
        <v>20188.926999999996</v>
      </c>
      <c r="BR560" s="1020">
        <f>SUM(H560:K560)</f>
        <v>23419.46</v>
      </c>
      <c r="BS560" s="1020">
        <f>SUM(L560:O560)</f>
        <v>22004.057999999997</v>
      </c>
      <c r="BT560" s="318">
        <f>SUM(P560:S560)</f>
        <v>20293.195</v>
      </c>
      <c r="BU560" s="318">
        <f>SUM(T560:W560)</f>
        <v>19011.510000000002</v>
      </c>
      <c r="BV560" s="318">
        <f>SUM(X560:AA560)</f>
        <v>24491.49</v>
      </c>
      <c r="BW560" s="318">
        <f>SUM(AB560:AE560)</f>
        <v>25196.546999999999</v>
      </c>
      <c r="BX560" s="318"/>
      <c r="BY560" s="318"/>
      <c r="BZ560" s="318"/>
      <c r="CA560" s="318"/>
      <c r="CB560" s="318"/>
      <c r="CC560" s="318"/>
      <c r="CD560" s="318"/>
      <c r="CE560" s="318"/>
      <c r="CF560" s="318"/>
      <c r="CG560" s="318"/>
    </row>
    <row r="561" spans="1:88" ht="14.25" hidden="1" customHeight="1" outlineLevel="1">
      <c r="B561" s="988" t="s">
        <v>312</v>
      </c>
      <c r="C561" s="318"/>
      <c r="D561" s="1022">
        <f t="shared" ref="D561:AF561" si="1310">SUM(D558:D560)</f>
        <v>7179.8119999999999</v>
      </c>
      <c r="E561" s="1022">
        <f t="shared" si="1310"/>
        <v>7657.7909999999993</v>
      </c>
      <c r="F561" s="1022">
        <f t="shared" si="1310"/>
        <v>8391.5220000000008</v>
      </c>
      <c r="G561" s="1022">
        <f t="shared" si="1310"/>
        <v>8692.8739999999998</v>
      </c>
      <c r="H561" s="1022">
        <f t="shared" si="1310"/>
        <v>8896.4470000000001</v>
      </c>
      <c r="I561" s="1022">
        <f t="shared" si="1310"/>
        <v>9284.887999999999</v>
      </c>
      <c r="J561" s="1022">
        <f t="shared" si="1310"/>
        <v>9513.7839999999997</v>
      </c>
      <c r="K561" s="1022">
        <f t="shared" si="1310"/>
        <v>9244.5869999999995</v>
      </c>
      <c r="L561" s="1022">
        <f t="shared" si="1310"/>
        <v>8585.4750000000004</v>
      </c>
      <c r="M561" s="1022">
        <f t="shared" si="1310"/>
        <v>8814.6980000000003</v>
      </c>
      <c r="N561" s="1022">
        <f t="shared" si="1310"/>
        <v>9571.0839999999989</v>
      </c>
      <c r="O561" s="1022">
        <f t="shared" si="1310"/>
        <v>9481.6270000000004</v>
      </c>
      <c r="P561" s="1022">
        <f t="shared" si="1310"/>
        <v>8722.8700000000008</v>
      </c>
      <c r="Q561" s="1022">
        <f t="shared" si="1310"/>
        <v>9463.83</v>
      </c>
      <c r="R561" s="1022">
        <f t="shared" si="1310"/>
        <v>10037.423000000001</v>
      </c>
      <c r="S561" s="1022">
        <f t="shared" si="1310"/>
        <v>7412.5529999999999</v>
      </c>
      <c r="T561" s="1022">
        <f t="shared" si="1310"/>
        <v>6022.8060000000005</v>
      </c>
      <c r="U561" s="1022">
        <f t="shared" si="1310"/>
        <v>7729.817</v>
      </c>
      <c r="V561" s="1022">
        <f t="shared" si="1310"/>
        <v>8813.9500000000007</v>
      </c>
      <c r="W561" s="1022">
        <f t="shared" si="1310"/>
        <v>9434.17</v>
      </c>
      <c r="X561" s="1022">
        <f t="shared" si="1310"/>
        <v>9937.2459999999992</v>
      </c>
      <c r="Y561" s="1022">
        <f t="shared" si="1310"/>
        <v>10534.342000000001</v>
      </c>
      <c r="Z561" s="1022">
        <f t="shared" si="1310"/>
        <v>11035.681</v>
      </c>
      <c r="AA561" s="1022">
        <f t="shared" si="1310"/>
        <v>10777.478999999999</v>
      </c>
      <c r="AB561" s="1022">
        <f t="shared" si="1310"/>
        <v>10755.512999999999</v>
      </c>
      <c r="AC561" s="1022">
        <f t="shared" si="1310"/>
        <v>11096.376</v>
      </c>
      <c r="AD561" s="1022">
        <f t="shared" si="1310"/>
        <v>10800.636999999999</v>
      </c>
      <c r="AE561" s="1022">
        <f t="shared" si="1310"/>
        <v>9685.119999999999</v>
      </c>
      <c r="AF561" s="1022">
        <f t="shared" si="1310"/>
        <v>9756.8940000000002</v>
      </c>
      <c r="AG561" s="1065"/>
      <c r="AH561" s="1017"/>
      <c r="AI561" s="1017"/>
      <c r="AJ561" s="1017"/>
      <c r="AK561" s="1017"/>
      <c r="AL561" s="1017"/>
      <c r="AM561" s="1017"/>
      <c r="AN561" s="1017"/>
      <c r="AO561" s="1017"/>
      <c r="AP561" s="1017"/>
      <c r="AQ561" s="1017"/>
      <c r="AR561" s="1017"/>
      <c r="AS561" s="1017"/>
      <c r="AT561" s="1017"/>
      <c r="AU561" s="1017"/>
      <c r="AV561" s="1017"/>
      <c r="AW561" s="1017"/>
      <c r="AX561" s="1017"/>
      <c r="AY561" s="1017"/>
      <c r="AZ561" s="1017"/>
      <c r="BA561" s="1017"/>
      <c r="BB561" s="1017"/>
      <c r="BC561" s="1017"/>
      <c r="BD561" s="1017"/>
      <c r="BE561" s="1017"/>
      <c r="BF561" s="1017"/>
      <c r="BG561" s="1017"/>
      <c r="BH561" s="1017"/>
      <c r="BI561" s="1017"/>
      <c r="BJ561" s="1017"/>
      <c r="BK561" s="1017"/>
      <c r="BL561" s="1017"/>
      <c r="BM561" s="1017"/>
      <c r="BN561" s="1017"/>
      <c r="BO561" s="1017"/>
      <c r="BP561" s="1018"/>
      <c r="BQ561" s="1066">
        <f t="shared" ref="BQ561:BW561" si="1311">SUM(BQ558:BQ560)</f>
        <v>31921.998999999996</v>
      </c>
      <c r="BR561" s="1023">
        <f t="shared" si="1311"/>
        <v>36939.705999999998</v>
      </c>
      <c r="BS561" s="1023">
        <f t="shared" si="1311"/>
        <v>36452.883999999998</v>
      </c>
      <c r="BT561" s="318">
        <f t="shared" si="1311"/>
        <v>35636.675999999999</v>
      </c>
      <c r="BU561" s="318">
        <f t="shared" si="1311"/>
        <v>32000.743000000002</v>
      </c>
      <c r="BV561" s="318">
        <f t="shared" si="1311"/>
        <v>42284.748000000007</v>
      </c>
      <c r="BW561" s="318">
        <f t="shared" si="1311"/>
        <v>42337.645999999993</v>
      </c>
      <c r="BX561" s="318"/>
      <c r="BY561" s="318"/>
      <c r="BZ561" s="318"/>
      <c r="CA561" s="318"/>
      <c r="CB561" s="318"/>
      <c r="CC561" s="318"/>
      <c r="CD561" s="318"/>
      <c r="CE561" s="318"/>
      <c r="CF561" s="318"/>
      <c r="CG561" s="318"/>
    </row>
    <row r="562" spans="1:88" ht="14.25" hidden="1" customHeight="1" outlineLevel="1">
      <c r="B562" s="989" t="s">
        <v>342</v>
      </c>
      <c r="C562" s="318"/>
      <c r="D562" s="1015">
        <v>628.36900000000003</v>
      </c>
      <c r="E562" s="1015">
        <v>611.21</v>
      </c>
      <c r="F562" s="1015">
        <v>615.28599999999994</v>
      </c>
      <c r="G562" s="1015">
        <v>620.21900000000005</v>
      </c>
      <c r="H562" s="1015">
        <v>711.42100000000005</v>
      </c>
      <c r="I562" s="1015">
        <v>756.30399999999997</v>
      </c>
      <c r="J562" s="1015">
        <v>817.25</v>
      </c>
      <c r="K562" s="1015">
        <v>737.89300000000003</v>
      </c>
      <c r="L562" s="1015">
        <v>636.00199999999995</v>
      </c>
      <c r="M562" s="1015">
        <v>680.91800000000001</v>
      </c>
      <c r="N562" s="1015">
        <v>761.84199999999998</v>
      </c>
      <c r="O562" s="1015">
        <v>775.79200000000003</v>
      </c>
      <c r="P562" s="1015">
        <v>707.66099999999994</v>
      </c>
      <c r="Q562" s="1015">
        <v>758.85699999999997</v>
      </c>
      <c r="R562" s="1015">
        <v>882.69500000000005</v>
      </c>
      <c r="S562" s="1015">
        <v>666.58500000000004</v>
      </c>
      <c r="T562" s="1015">
        <v>540.97799999999995</v>
      </c>
      <c r="U562" s="1015">
        <v>656.09299999999996</v>
      </c>
      <c r="V562" s="1015">
        <v>786.08799999999997</v>
      </c>
      <c r="W562" s="1015">
        <v>839.79700000000003</v>
      </c>
      <c r="X562" s="1015">
        <v>716.08900000000006</v>
      </c>
      <c r="Y562" s="1015">
        <v>777.73599999999999</v>
      </c>
      <c r="Z562" s="1015">
        <v>897.78700000000003</v>
      </c>
      <c r="AA562" s="1015">
        <v>840.596</v>
      </c>
      <c r="AB562" s="1015">
        <v>798.24099999999999</v>
      </c>
      <c r="AC562" s="1015">
        <v>772.72699999999998</v>
      </c>
      <c r="AD562" s="1015">
        <v>738.65</v>
      </c>
      <c r="AE562" s="1015">
        <v>640.86699999999996</v>
      </c>
      <c r="AF562" s="756">
        <v>592.11</v>
      </c>
      <c r="AG562" s="1065"/>
      <c r="AH562" s="1017"/>
      <c r="AI562" s="1017"/>
      <c r="AJ562" s="1017"/>
      <c r="AK562" s="1017"/>
      <c r="AL562" s="1017"/>
      <c r="AM562" s="1017"/>
      <c r="AN562" s="1017"/>
      <c r="AO562" s="1017"/>
      <c r="AP562" s="1017"/>
      <c r="AQ562" s="1017"/>
      <c r="AR562" s="1017"/>
      <c r="AS562" s="1017"/>
      <c r="AT562" s="1017"/>
      <c r="AU562" s="1017"/>
      <c r="AV562" s="1017"/>
      <c r="AW562" s="1017"/>
      <c r="AX562" s="1017"/>
      <c r="AY562" s="1017"/>
      <c r="AZ562" s="1017"/>
      <c r="BA562" s="1017"/>
      <c r="BB562" s="1017"/>
      <c r="BC562" s="1017"/>
      <c r="BD562" s="1017"/>
      <c r="BE562" s="1017"/>
      <c r="BF562" s="1017"/>
      <c r="BG562" s="1017"/>
      <c r="BH562" s="1017"/>
      <c r="BI562" s="1017"/>
      <c r="BJ562" s="1017"/>
      <c r="BK562" s="1017"/>
      <c r="BL562" s="1017"/>
      <c r="BM562" s="1017"/>
      <c r="BN562" s="1017"/>
      <c r="BO562" s="1017"/>
      <c r="BP562" s="1018"/>
      <c r="BQ562" s="131">
        <f>SUM(D562:G562)</f>
        <v>2475.0840000000003</v>
      </c>
      <c r="BR562" s="1020">
        <f>SUM(H562:K562)</f>
        <v>3022.8679999999999</v>
      </c>
      <c r="BS562" s="1020">
        <f>SUM(L562:O562)</f>
        <v>2854.5540000000001</v>
      </c>
      <c r="BT562" s="318">
        <f>SUM(P562:S562)</f>
        <v>3015.7980000000002</v>
      </c>
      <c r="BU562" s="318">
        <f>SUM(T562:W562)</f>
        <v>2822.9560000000001</v>
      </c>
      <c r="BV562" s="318">
        <f>SUM(X562:AA562)</f>
        <v>3232.2080000000001</v>
      </c>
      <c r="BW562" s="318">
        <f>SUM(AB562:AE562)</f>
        <v>2950.4849999999997</v>
      </c>
      <c r="BX562" s="318"/>
      <c r="BY562" s="318"/>
      <c r="BZ562" s="318"/>
      <c r="CA562" s="318"/>
      <c r="CB562" s="318"/>
      <c r="CC562" s="318"/>
      <c r="CD562" s="318"/>
      <c r="CE562" s="318"/>
      <c r="CF562" s="318"/>
      <c r="CG562" s="318"/>
    </row>
    <row r="563" spans="1:88" ht="14.25" hidden="1" customHeight="1" outlineLevel="1">
      <c r="B563" s="989" t="s">
        <v>343</v>
      </c>
      <c r="C563" s="318"/>
      <c r="D563" s="1015">
        <v>3298.0010000000002</v>
      </c>
      <c r="E563" s="1015">
        <v>2960.1219999999998</v>
      </c>
      <c r="F563" s="1015">
        <v>3002.3429999999998</v>
      </c>
      <c r="G563" s="1015">
        <v>2821.9789999999998</v>
      </c>
      <c r="H563" s="1015">
        <v>2975.3719999999998</v>
      </c>
      <c r="I563" s="1015">
        <v>3185.799</v>
      </c>
      <c r="J563" s="1015">
        <v>3207.9969999999998</v>
      </c>
      <c r="K563" s="1015">
        <v>3076.694</v>
      </c>
      <c r="L563" s="1015">
        <v>3277.5940000000001</v>
      </c>
      <c r="M563" s="1015">
        <v>3428.5210000000002</v>
      </c>
      <c r="N563" s="1015">
        <v>3529.0259999999998</v>
      </c>
      <c r="O563" s="1015">
        <v>3630.5830000000001</v>
      </c>
      <c r="P563" s="1015">
        <v>3665.866</v>
      </c>
      <c r="Q563" s="1015">
        <v>3582.4050000000002</v>
      </c>
      <c r="R563" s="1015">
        <v>3606.2840000000001</v>
      </c>
      <c r="S563" s="1015">
        <v>2894.6880000000001</v>
      </c>
      <c r="T563" s="1015">
        <v>2019.664</v>
      </c>
      <c r="U563" s="1015">
        <v>2424.0059999999999</v>
      </c>
      <c r="V563" s="1015">
        <v>3076.5129999999999</v>
      </c>
      <c r="W563" s="1015">
        <v>3319.2730000000001</v>
      </c>
      <c r="X563" s="1015">
        <v>3361.1179999999999</v>
      </c>
      <c r="Y563" s="1015">
        <v>3548.0010000000002</v>
      </c>
      <c r="Z563" s="1015">
        <v>3916.2640000000001</v>
      </c>
      <c r="AA563" s="1015">
        <v>3973.2240000000002</v>
      </c>
      <c r="AB563" s="1015">
        <v>3861.0949999999998</v>
      </c>
      <c r="AC563" s="1015">
        <v>3777.152</v>
      </c>
      <c r="AD563" s="1015">
        <v>3958.1619999999998</v>
      </c>
      <c r="AE563" s="1015">
        <v>3558.643</v>
      </c>
      <c r="AF563" s="756">
        <v>3643.6210000000001</v>
      </c>
      <c r="AG563" s="1065"/>
      <c r="AH563" s="1017"/>
      <c r="AI563" s="1017"/>
      <c r="AJ563" s="1017"/>
      <c r="AK563" s="1017"/>
      <c r="AL563" s="1017"/>
      <c r="AM563" s="1017"/>
      <c r="AN563" s="1017"/>
      <c r="AO563" s="1017"/>
      <c r="AP563" s="1017"/>
      <c r="AQ563" s="1017"/>
      <c r="AR563" s="1017"/>
      <c r="AS563" s="1017"/>
      <c r="AT563" s="1017"/>
      <c r="AU563" s="1017"/>
      <c r="AV563" s="1017"/>
      <c r="AW563" s="1017"/>
      <c r="AX563" s="1017"/>
      <c r="AY563" s="1017"/>
      <c r="AZ563" s="1017"/>
      <c r="BA563" s="1017"/>
      <c r="BB563" s="1017"/>
      <c r="BC563" s="1017"/>
      <c r="BD563" s="1017"/>
      <c r="BE563" s="1017"/>
      <c r="BF563" s="1017"/>
      <c r="BG563" s="1017"/>
      <c r="BH563" s="1017"/>
      <c r="BI563" s="1017"/>
      <c r="BJ563" s="1017"/>
      <c r="BK563" s="1017"/>
      <c r="BL563" s="1017"/>
      <c r="BM563" s="1017"/>
      <c r="BN563" s="1017"/>
      <c r="BO563" s="1017"/>
      <c r="BP563" s="1018"/>
      <c r="BQ563" s="131">
        <f>SUM(D563:G563)</f>
        <v>12082.445</v>
      </c>
      <c r="BR563" s="1020">
        <f>SUM(H563:K563)</f>
        <v>12445.861999999999</v>
      </c>
      <c r="BS563" s="1020">
        <f>SUM(L563:O563)</f>
        <v>13865.724</v>
      </c>
      <c r="BT563" s="318">
        <f>SUM(P563:S563)</f>
        <v>13749.243</v>
      </c>
      <c r="BU563" s="318">
        <f>SUM(T563:W563)</f>
        <v>10839.456</v>
      </c>
      <c r="BV563" s="318">
        <f>SUM(X563:AA563)</f>
        <v>14798.607000000002</v>
      </c>
      <c r="BW563" s="318">
        <f>SUM(AB563:AE563)</f>
        <v>15155.052</v>
      </c>
      <c r="BX563" s="318"/>
      <c r="BY563" s="318"/>
      <c r="BZ563" s="318"/>
      <c r="CA563" s="318"/>
      <c r="CB563" s="318"/>
      <c r="CC563" s="318"/>
      <c r="CD563" s="318"/>
      <c r="CE563" s="318"/>
      <c r="CF563" s="318"/>
      <c r="CG563" s="318"/>
    </row>
    <row r="564" spans="1:88" ht="14.25" hidden="1" customHeight="1" outlineLevel="1">
      <c r="B564" s="988" t="s">
        <v>482</v>
      </c>
      <c r="C564" s="318"/>
      <c r="D564" s="1022">
        <f t="shared" ref="D564:AF564" si="1312">SUM(D562:D563)</f>
        <v>3926.3700000000003</v>
      </c>
      <c r="E564" s="1022">
        <f t="shared" si="1312"/>
        <v>3571.3319999999999</v>
      </c>
      <c r="F564" s="1022">
        <f t="shared" si="1312"/>
        <v>3617.6289999999999</v>
      </c>
      <c r="G564" s="1022">
        <f t="shared" si="1312"/>
        <v>3442.1979999999999</v>
      </c>
      <c r="H564" s="1022">
        <f t="shared" si="1312"/>
        <v>3686.7929999999997</v>
      </c>
      <c r="I564" s="1022">
        <f t="shared" si="1312"/>
        <v>3942.1030000000001</v>
      </c>
      <c r="J564" s="1022">
        <f t="shared" si="1312"/>
        <v>4025.2469999999998</v>
      </c>
      <c r="K564" s="1022">
        <f t="shared" si="1312"/>
        <v>3814.587</v>
      </c>
      <c r="L564" s="1022">
        <f t="shared" si="1312"/>
        <v>3913.596</v>
      </c>
      <c r="M564" s="1022">
        <f t="shared" si="1312"/>
        <v>4109.4390000000003</v>
      </c>
      <c r="N564" s="1022">
        <f t="shared" si="1312"/>
        <v>4290.8679999999995</v>
      </c>
      <c r="O564" s="1022">
        <f t="shared" si="1312"/>
        <v>4406.375</v>
      </c>
      <c r="P564" s="1022">
        <f t="shared" si="1312"/>
        <v>4373.527</v>
      </c>
      <c r="Q564" s="1022">
        <f t="shared" si="1312"/>
        <v>4341.2620000000006</v>
      </c>
      <c r="R564" s="1022">
        <f t="shared" si="1312"/>
        <v>4488.9790000000003</v>
      </c>
      <c r="S564" s="1022">
        <f t="shared" si="1312"/>
        <v>3561.2730000000001</v>
      </c>
      <c r="T564" s="1022">
        <f t="shared" si="1312"/>
        <v>2560.6419999999998</v>
      </c>
      <c r="U564" s="1022">
        <f t="shared" si="1312"/>
        <v>3080.0989999999997</v>
      </c>
      <c r="V564" s="1022">
        <f t="shared" si="1312"/>
        <v>3862.6009999999997</v>
      </c>
      <c r="W564" s="1022">
        <f t="shared" si="1312"/>
        <v>4159.07</v>
      </c>
      <c r="X564" s="1022">
        <f t="shared" si="1312"/>
        <v>4077.2069999999999</v>
      </c>
      <c r="Y564" s="1022">
        <f t="shared" si="1312"/>
        <v>4325.7370000000001</v>
      </c>
      <c r="Z564" s="1022">
        <f t="shared" si="1312"/>
        <v>4814.0510000000004</v>
      </c>
      <c r="AA564" s="1022">
        <f t="shared" si="1312"/>
        <v>4813.82</v>
      </c>
      <c r="AB564" s="1022">
        <f t="shared" si="1312"/>
        <v>4659.3359999999993</v>
      </c>
      <c r="AC564" s="1022">
        <f t="shared" si="1312"/>
        <v>4549.8789999999999</v>
      </c>
      <c r="AD564" s="1022">
        <f t="shared" si="1312"/>
        <v>4696.8119999999999</v>
      </c>
      <c r="AE564" s="1022">
        <f t="shared" si="1312"/>
        <v>4199.51</v>
      </c>
      <c r="AF564" s="1022">
        <f t="shared" si="1312"/>
        <v>4235.7309999999998</v>
      </c>
      <c r="AG564" s="1065"/>
      <c r="AH564" s="1017"/>
      <c r="AI564" s="1017"/>
      <c r="AJ564" s="1017"/>
      <c r="AK564" s="1017"/>
      <c r="AL564" s="1017"/>
      <c r="AM564" s="1017"/>
      <c r="AN564" s="1017"/>
      <c r="AO564" s="1017"/>
      <c r="AP564" s="1017"/>
      <c r="AQ564" s="1017"/>
      <c r="AR564" s="1017"/>
      <c r="AS564" s="1017"/>
      <c r="AT564" s="1017"/>
      <c r="AU564" s="1017"/>
      <c r="AV564" s="1017"/>
      <c r="AW564" s="1017"/>
      <c r="AX564" s="1017"/>
      <c r="AY564" s="1017"/>
      <c r="AZ564" s="1017"/>
      <c r="BA564" s="1017"/>
      <c r="BB564" s="1017"/>
      <c r="BC564" s="1017"/>
      <c r="BD564" s="1017"/>
      <c r="BE564" s="1017"/>
      <c r="BF564" s="1017"/>
      <c r="BG564" s="1017"/>
      <c r="BH564" s="1017"/>
      <c r="BI564" s="1017"/>
      <c r="BJ564" s="1017"/>
      <c r="BK564" s="1017"/>
      <c r="BL564" s="1017"/>
      <c r="BM564" s="1017"/>
      <c r="BN564" s="1017"/>
      <c r="BO564" s="1017"/>
      <c r="BP564" s="1018"/>
      <c r="BQ564" s="1066">
        <f t="shared" ref="BQ564:BW564" si="1313">SUM(BQ562:BQ563)</f>
        <v>14557.529</v>
      </c>
      <c r="BR564" s="1023">
        <f t="shared" si="1313"/>
        <v>15468.73</v>
      </c>
      <c r="BS564" s="1023">
        <f t="shared" si="1313"/>
        <v>16720.277999999998</v>
      </c>
      <c r="BT564" s="318">
        <f t="shared" si="1313"/>
        <v>16765.041000000001</v>
      </c>
      <c r="BU564" s="318">
        <f t="shared" si="1313"/>
        <v>13662.412</v>
      </c>
      <c r="BV564" s="318">
        <f t="shared" si="1313"/>
        <v>18030.815000000002</v>
      </c>
      <c r="BW564" s="318">
        <f t="shared" si="1313"/>
        <v>18105.537</v>
      </c>
      <c r="BX564" s="318"/>
      <c r="BY564" s="318"/>
      <c r="BZ564" s="318"/>
      <c r="CA564" s="318"/>
      <c r="CB564" s="318"/>
      <c r="CC564" s="318"/>
      <c r="CD564" s="318"/>
      <c r="CE564" s="318"/>
      <c r="CF564" s="318"/>
      <c r="CG564" s="318"/>
    </row>
    <row r="565" spans="1:88" s="85" customFormat="1" ht="14.25" hidden="1" customHeight="1" outlineLevel="1">
      <c r="B565" s="988" t="s">
        <v>440</v>
      </c>
      <c r="C565" s="1007"/>
      <c r="D565" s="1022">
        <f t="shared" ref="D565:AF565" si="1314">D564+D561</f>
        <v>11106.182000000001</v>
      </c>
      <c r="E565" s="1022">
        <f t="shared" si="1314"/>
        <v>11229.123</v>
      </c>
      <c r="F565" s="1022">
        <f t="shared" si="1314"/>
        <v>12009.151000000002</v>
      </c>
      <c r="G565" s="1022">
        <f t="shared" si="1314"/>
        <v>12135.072</v>
      </c>
      <c r="H565" s="1022">
        <f t="shared" si="1314"/>
        <v>12583.24</v>
      </c>
      <c r="I565" s="1022">
        <f t="shared" si="1314"/>
        <v>13226.990999999998</v>
      </c>
      <c r="J565" s="1022">
        <f t="shared" si="1314"/>
        <v>13539.030999999999</v>
      </c>
      <c r="K565" s="1022">
        <f t="shared" si="1314"/>
        <v>13059.173999999999</v>
      </c>
      <c r="L565" s="1022">
        <f t="shared" si="1314"/>
        <v>12499.071</v>
      </c>
      <c r="M565" s="1022">
        <f t="shared" si="1314"/>
        <v>12924.137000000001</v>
      </c>
      <c r="N565" s="1022">
        <f t="shared" si="1314"/>
        <v>13861.951999999997</v>
      </c>
      <c r="O565" s="1022">
        <f t="shared" si="1314"/>
        <v>13888.002</v>
      </c>
      <c r="P565" s="1022">
        <f t="shared" si="1314"/>
        <v>13096.397000000001</v>
      </c>
      <c r="Q565" s="1022">
        <f t="shared" si="1314"/>
        <v>13805.092000000001</v>
      </c>
      <c r="R565" s="1022">
        <f t="shared" si="1314"/>
        <v>14526.402000000002</v>
      </c>
      <c r="S565" s="1022">
        <f t="shared" si="1314"/>
        <v>10973.826000000001</v>
      </c>
      <c r="T565" s="1022">
        <f t="shared" si="1314"/>
        <v>8583.4480000000003</v>
      </c>
      <c r="U565" s="1022">
        <f t="shared" si="1314"/>
        <v>10809.915999999999</v>
      </c>
      <c r="V565" s="1022">
        <f t="shared" si="1314"/>
        <v>12676.550999999999</v>
      </c>
      <c r="W565" s="1022">
        <f t="shared" si="1314"/>
        <v>13593.24</v>
      </c>
      <c r="X565" s="1022">
        <f t="shared" si="1314"/>
        <v>14014.453</v>
      </c>
      <c r="Y565" s="1022">
        <f t="shared" si="1314"/>
        <v>14860.079000000002</v>
      </c>
      <c r="Z565" s="1022">
        <f t="shared" si="1314"/>
        <v>15849.732</v>
      </c>
      <c r="AA565" s="1022">
        <f t="shared" si="1314"/>
        <v>15591.298999999999</v>
      </c>
      <c r="AB565" s="1022">
        <f t="shared" si="1314"/>
        <v>15414.848999999998</v>
      </c>
      <c r="AC565" s="1022">
        <f t="shared" si="1314"/>
        <v>15646.255000000001</v>
      </c>
      <c r="AD565" s="1022">
        <f t="shared" si="1314"/>
        <v>15497.448999999999</v>
      </c>
      <c r="AE565" s="1022">
        <f t="shared" si="1314"/>
        <v>13884.63</v>
      </c>
      <c r="AF565" s="1022">
        <f t="shared" si="1314"/>
        <v>13992.625</v>
      </c>
      <c r="AG565" s="1067"/>
      <c r="AH565" s="1027"/>
      <c r="AI565" s="1027"/>
      <c r="AJ565" s="1027"/>
      <c r="AK565" s="1027"/>
      <c r="AL565" s="1027"/>
      <c r="AM565" s="1027"/>
      <c r="AN565" s="1027"/>
      <c r="AO565" s="1027"/>
      <c r="AP565" s="1027"/>
      <c r="AQ565" s="1027"/>
      <c r="AR565" s="1027"/>
      <c r="AS565" s="1027"/>
      <c r="AT565" s="1027"/>
      <c r="AU565" s="1027"/>
      <c r="AV565" s="1027"/>
      <c r="AW565" s="1027"/>
      <c r="AX565" s="1027"/>
      <c r="AY565" s="1027"/>
      <c r="AZ565" s="1027"/>
      <c r="BA565" s="1027"/>
      <c r="BB565" s="1027"/>
      <c r="BC565" s="1027"/>
      <c r="BD565" s="1027"/>
      <c r="BE565" s="1027"/>
      <c r="BF565" s="1027"/>
      <c r="BG565" s="1027"/>
      <c r="BH565" s="1027"/>
      <c r="BI565" s="1027"/>
      <c r="BJ565" s="1027"/>
      <c r="BK565" s="1027"/>
      <c r="BL565" s="1027"/>
      <c r="BM565" s="1027"/>
      <c r="BN565" s="1027"/>
      <c r="BO565" s="1027"/>
      <c r="BP565" s="1028"/>
      <c r="BQ565" s="708">
        <f t="shared" ref="BQ565:BW565" si="1315">BQ564+BQ561</f>
        <v>46479.527999999998</v>
      </c>
      <c r="BR565" s="1068">
        <f t="shared" si="1315"/>
        <v>52408.436000000002</v>
      </c>
      <c r="BS565" s="1068">
        <f t="shared" si="1315"/>
        <v>53173.161999999997</v>
      </c>
      <c r="BT565" s="1007">
        <f t="shared" si="1315"/>
        <v>52401.717000000004</v>
      </c>
      <c r="BU565" s="1007">
        <f t="shared" si="1315"/>
        <v>45663.154999999999</v>
      </c>
      <c r="BV565" s="1007">
        <f t="shared" si="1315"/>
        <v>60315.563000000009</v>
      </c>
      <c r="BW565" s="1007">
        <f t="shared" si="1315"/>
        <v>60443.18299999999</v>
      </c>
      <c r="BX565" s="1007"/>
      <c r="BY565" s="1007"/>
      <c r="BZ565" s="1007"/>
      <c r="CA565" s="1007"/>
      <c r="CB565" s="1007"/>
      <c r="CC565" s="1007"/>
      <c r="CD565" s="1007"/>
      <c r="CE565" s="1007"/>
      <c r="CF565" s="1007"/>
      <c r="CG565" s="1007"/>
      <c r="CH565"/>
      <c r="CI565"/>
      <c r="CJ565"/>
    </row>
    <row r="566" spans="1:88" ht="14.25" hidden="1" customHeight="1" outlineLevel="1">
      <c r="B566" s="1045"/>
      <c r="C566" s="363"/>
      <c r="D566" s="363"/>
      <c r="E566" s="363"/>
      <c r="F566" s="363"/>
      <c r="G566" s="363"/>
      <c r="H566" s="363"/>
      <c r="I566" s="363"/>
      <c r="J566" s="363"/>
      <c r="K566" s="363"/>
      <c r="L566" s="363"/>
      <c r="M566" s="363"/>
      <c r="N566" s="363"/>
      <c r="O566" s="363"/>
      <c r="P566" s="363"/>
      <c r="Q566" s="363"/>
      <c r="R566" s="363"/>
      <c r="S566" s="363"/>
      <c r="T566" s="363"/>
      <c r="U566" s="363"/>
      <c r="V566" s="363"/>
      <c r="W566" s="363"/>
      <c r="X566" s="363"/>
      <c r="Y566" s="363"/>
      <c r="Z566" s="363"/>
      <c r="AA566" s="363"/>
      <c r="AB566" s="363"/>
      <c r="AC566" s="363"/>
      <c r="AD566" s="363"/>
      <c r="AE566" s="363"/>
      <c r="AF566" s="363"/>
      <c r="AG566" s="363"/>
      <c r="AH566" s="363"/>
      <c r="AI566" s="363"/>
      <c r="AJ566" s="363"/>
      <c r="AK566" s="363"/>
      <c r="AL566" s="363"/>
      <c r="AM566" s="363"/>
      <c r="AN566" s="363"/>
      <c r="AO566" s="363"/>
      <c r="AP566" s="363"/>
      <c r="AQ566" s="363"/>
      <c r="AR566" s="363"/>
      <c r="AS566" s="363"/>
      <c r="AT566" s="363"/>
      <c r="AU566" s="363"/>
      <c r="AV566" s="363"/>
      <c r="AW566" s="363"/>
      <c r="AX566" s="363"/>
      <c r="AY566" s="363"/>
      <c r="AZ566" s="363"/>
      <c r="BA566" s="363"/>
      <c r="BB566" s="363"/>
      <c r="BC566" s="363"/>
      <c r="BD566" s="363"/>
      <c r="BE566" s="363"/>
      <c r="BF566" s="363"/>
      <c r="BG566" s="363"/>
      <c r="BH566" s="363"/>
      <c r="BI566" s="363"/>
      <c r="BJ566" s="363"/>
      <c r="BK566" s="363"/>
      <c r="BL566" s="363"/>
      <c r="BM566" s="363"/>
      <c r="BN566" s="363"/>
      <c r="BO566" s="363"/>
      <c r="BP566" s="1018"/>
      <c r="BQ566" s="363"/>
      <c r="BR566" s="363"/>
      <c r="BS566" s="363"/>
      <c r="BT566" s="363"/>
      <c r="BU566" s="363"/>
      <c r="BV566" s="363"/>
      <c r="BW566" s="363"/>
      <c r="BX566" s="363"/>
      <c r="BY566" s="363"/>
      <c r="BZ566" s="363"/>
      <c r="CA566" s="363"/>
      <c r="CB566" s="363"/>
      <c r="CC566" s="363"/>
      <c r="CD566" s="363"/>
      <c r="CE566" s="363"/>
      <c r="CF566" s="363"/>
      <c r="CG566" s="363"/>
    </row>
    <row r="567" spans="1:88" ht="14.25" hidden="1" customHeight="1" outlineLevel="1">
      <c r="A567" s="1"/>
      <c r="B567" s="1010" t="s">
        <v>441</v>
      </c>
      <c r="C567" s="1011"/>
      <c r="D567" s="1012" t="str">
        <f t="shared" ref="D567:BC567" si="1316">D$6</f>
        <v>F1Q05A</v>
      </c>
      <c r="E567" s="1012" t="str">
        <f t="shared" si="1316"/>
        <v>F2Q05A</v>
      </c>
      <c r="F567" s="1012" t="str">
        <f t="shared" si="1316"/>
        <v>F3Q05A</v>
      </c>
      <c r="G567" s="1012" t="str">
        <f t="shared" si="1316"/>
        <v>F4Q05A</v>
      </c>
      <c r="H567" s="1012" t="str">
        <f t="shared" si="1316"/>
        <v>F1Q06A</v>
      </c>
      <c r="I567" s="1012" t="str">
        <f t="shared" si="1316"/>
        <v>F2Q06A</v>
      </c>
      <c r="J567" s="1012" t="str">
        <f t="shared" si="1316"/>
        <v>F3Q06A</v>
      </c>
      <c r="K567" s="1012" t="str">
        <f t="shared" si="1316"/>
        <v>F4Q06A</v>
      </c>
      <c r="L567" s="1012" t="str">
        <f t="shared" si="1316"/>
        <v>F1Q07A</v>
      </c>
      <c r="M567" s="1012" t="str">
        <f t="shared" si="1316"/>
        <v>F2Q07A</v>
      </c>
      <c r="N567" s="1012" t="str">
        <f t="shared" si="1316"/>
        <v>F3Q07A</v>
      </c>
      <c r="O567" s="1012" t="str">
        <f t="shared" si="1316"/>
        <v>F4Q07A</v>
      </c>
      <c r="P567" s="1012" t="str">
        <f t="shared" si="1316"/>
        <v>F1Q08A</v>
      </c>
      <c r="Q567" s="1012" t="str">
        <f t="shared" si="1316"/>
        <v>F2Q08A</v>
      </c>
      <c r="R567" s="1012" t="str">
        <f t="shared" si="1316"/>
        <v>F3Q08A</v>
      </c>
      <c r="S567" s="1012" t="str">
        <f t="shared" si="1316"/>
        <v>F4Q08A</v>
      </c>
      <c r="T567" s="1012" t="str">
        <f t="shared" si="1316"/>
        <v>F1Q09A</v>
      </c>
      <c r="U567" s="1012" t="str">
        <f t="shared" si="1316"/>
        <v>F2Q09A</v>
      </c>
      <c r="V567" s="1012" t="str">
        <f t="shared" si="1316"/>
        <v>F3Q09A</v>
      </c>
      <c r="W567" s="1012" t="str">
        <f t="shared" si="1316"/>
        <v>F4Q09A</v>
      </c>
      <c r="X567" s="1012" t="str">
        <f t="shared" si="1316"/>
        <v>F1Q10A</v>
      </c>
      <c r="Y567" s="1012" t="str">
        <f t="shared" si="1316"/>
        <v>F2Q10A</v>
      </c>
      <c r="Z567" s="1012" t="str">
        <f t="shared" si="1316"/>
        <v>F3Q10A</v>
      </c>
      <c r="AA567" s="1012" t="str">
        <f t="shared" si="1316"/>
        <v>F4Q10A</v>
      </c>
      <c r="AB567" s="1012" t="str">
        <f t="shared" si="1316"/>
        <v>F1Q11A</v>
      </c>
      <c r="AC567" s="1012" t="str">
        <f t="shared" si="1316"/>
        <v>F2Q11A</v>
      </c>
      <c r="AD567" s="1012" t="str">
        <f t="shared" si="1316"/>
        <v>F3Q11A</v>
      </c>
      <c r="AE567" s="1012" t="str">
        <f t="shared" si="1316"/>
        <v>F4Q11A</v>
      </c>
      <c r="AF567" s="1012" t="str">
        <f t="shared" si="1316"/>
        <v>F1Q12A</v>
      </c>
      <c r="AG567" s="1012" t="str">
        <f t="shared" si="1316"/>
        <v>F2Q12A</v>
      </c>
      <c r="AH567" s="1012" t="str">
        <f t="shared" si="1316"/>
        <v>F3Q12A</v>
      </c>
      <c r="AI567" s="1012" t="str">
        <f t="shared" si="1316"/>
        <v>F4Q12A</v>
      </c>
      <c r="AJ567" s="1012" t="str">
        <f t="shared" si="1316"/>
        <v>F1Q13A</v>
      </c>
      <c r="AK567" s="1012" t="str">
        <f t="shared" si="1316"/>
        <v>F2Q13A</v>
      </c>
      <c r="AL567" s="1012" t="str">
        <f t="shared" si="1316"/>
        <v>F3Q13A</v>
      </c>
      <c r="AM567" s="1012" t="str">
        <f t="shared" si="1316"/>
        <v>F4Q13A</v>
      </c>
      <c r="AN567" s="1012" t="str">
        <f t="shared" si="1316"/>
        <v>F1Q14A</v>
      </c>
      <c r="AO567" s="1012" t="str">
        <f t="shared" si="1316"/>
        <v>F2Q14A</v>
      </c>
      <c r="AP567" s="1012" t="str">
        <f t="shared" si="1316"/>
        <v>F3Q14A</v>
      </c>
      <c r="AQ567" s="1012" t="str">
        <f t="shared" si="1316"/>
        <v>F4Q14A</v>
      </c>
      <c r="AR567" s="1012" t="str">
        <f t="shared" si="1316"/>
        <v>F1Q15A</v>
      </c>
      <c r="AS567" s="1012" t="str">
        <f t="shared" si="1316"/>
        <v>F2Q15A</v>
      </c>
      <c r="AT567" s="1012" t="str">
        <f t="shared" si="1316"/>
        <v>F3Q15A</v>
      </c>
      <c r="AU567" s="1012" t="str">
        <f t="shared" si="1316"/>
        <v>F4Q15A</v>
      </c>
      <c r="AV567" s="1012" t="str">
        <f t="shared" si="1316"/>
        <v>F1Q16A</v>
      </c>
      <c r="AW567" s="1012" t="str">
        <f t="shared" si="1316"/>
        <v>F2Q16A</v>
      </c>
      <c r="AX567" s="1012" t="str">
        <f t="shared" si="1316"/>
        <v>F3Q16A</v>
      </c>
      <c r="AY567" s="1012" t="str">
        <f t="shared" si="1316"/>
        <v>F4Q16A</v>
      </c>
      <c r="AZ567" s="1012" t="str">
        <f t="shared" si="1316"/>
        <v>F1Q17A</v>
      </c>
      <c r="BA567" s="1012" t="str">
        <f t="shared" si="1316"/>
        <v>F2Q17A</v>
      </c>
      <c r="BB567" s="1012" t="str">
        <f t="shared" si="1316"/>
        <v>F3Q17A</v>
      </c>
      <c r="BC567" s="1012" t="str">
        <f t="shared" si="1316"/>
        <v>F4Q17A</v>
      </c>
      <c r="BD567" s="1012"/>
      <c r="BE567" s="1012"/>
      <c r="BF567" s="1012"/>
      <c r="BG567" s="1012"/>
      <c r="BH567" s="1012"/>
      <c r="BI567" s="1012"/>
      <c r="BJ567" s="1012"/>
      <c r="BK567" s="1012"/>
      <c r="BL567" s="1012"/>
      <c r="BM567" s="1012"/>
      <c r="BN567" s="1012"/>
      <c r="BO567" s="1012"/>
      <c r="BP567" s="652"/>
      <c r="BQ567" s="1012" t="str">
        <f t="shared" ref="BQ567:CF567" si="1317">BQ$6</f>
        <v>FY2005A</v>
      </c>
      <c r="BR567" s="1012" t="str">
        <f t="shared" si="1317"/>
        <v>FY2006A</v>
      </c>
      <c r="BS567" s="1012" t="str">
        <f t="shared" si="1317"/>
        <v>FY2007A</v>
      </c>
      <c r="BT567" s="1012" t="str">
        <f t="shared" si="1317"/>
        <v>FY2008A</v>
      </c>
      <c r="BU567" s="1012" t="str">
        <f t="shared" si="1317"/>
        <v>FY2009A</v>
      </c>
      <c r="BV567" s="1012" t="str">
        <f t="shared" si="1317"/>
        <v>FY2010A</v>
      </c>
      <c r="BW567" s="1012" t="str">
        <f t="shared" si="1317"/>
        <v>FY2011A</v>
      </c>
      <c r="BX567" s="1012" t="str">
        <f t="shared" si="1317"/>
        <v>FY2012A</v>
      </c>
      <c r="BY567" s="1012" t="str">
        <f t="shared" si="1317"/>
        <v>FY2013A</v>
      </c>
      <c r="BZ567" s="1012" t="str">
        <f t="shared" si="1317"/>
        <v>FY2014A</v>
      </c>
      <c r="CA567" s="1012" t="str">
        <f t="shared" si="1317"/>
        <v>FY2015A</v>
      </c>
      <c r="CB567" s="1012" t="str">
        <f t="shared" si="1317"/>
        <v>FY2016A</v>
      </c>
      <c r="CC567" s="1012" t="str">
        <f t="shared" si="1317"/>
        <v>FY2017E</v>
      </c>
      <c r="CD567" s="1012" t="str">
        <f t="shared" si="1317"/>
        <v>FY2018E</v>
      </c>
      <c r="CE567" s="1012" t="str">
        <f t="shared" si="1317"/>
        <v>FY2019E</v>
      </c>
      <c r="CF567" s="1012" t="str">
        <f t="shared" si="1317"/>
        <v>FY2020E</v>
      </c>
      <c r="CG567" s="318"/>
    </row>
    <row r="568" spans="1:88" ht="14.25" hidden="1" customHeight="1" outlineLevel="1">
      <c r="B568" s="989" t="s">
        <v>344</v>
      </c>
      <c r="C568" s="318"/>
      <c r="D568" s="1016">
        <v>4638.8270000000002</v>
      </c>
      <c r="E568" s="1016">
        <v>5249.6040000000003</v>
      </c>
      <c r="F568" s="1016">
        <v>5835.732</v>
      </c>
      <c r="G568" s="1016">
        <v>6101.3909999999996</v>
      </c>
      <c r="H568" s="1015">
        <v>6212.1769999999997</v>
      </c>
      <c r="I568" s="1015">
        <v>6413.2730000000001</v>
      </c>
      <c r="J568" s="1015">
        <v>6702.9480000000003</v>
      </c>
      <c r="K568" s="1015">
        <v>6579.84</v>
      </c>
      <c r="L568" s="1015">
        <v>6317.4480000000003</v>
      </c>
      <c r="M568" s="1015">
        <v>6442.0820000000003</v>
      </c>
      <c r="N568" s="1015">
        <v>7268.4549999999999</v>
      </c>
      <c r="O568" s="1015">
        <v>7290.2870000000003</v>
      </c>
      <c r="P568" s="1015">
        <v>6508.1580000000004</v>
      </c>
      <c r="Q568" s="1015">
        <v>7393.9160000000002</v>
      </c>
      <c r="R568" s="1015">
        <v>8125.0730000000003</v>
      </c>
      <c r="S568" s="1015">
        <v>6135.0529999999999</v>
      </c>
      <c r="T568" s="1015">
        <v>4607.4849999999997</v>
      </c>
      <c r="U568" s="1015">
        <v>6165.9189999999999</v>
      </c>
      <c r="V568" s="1015">
        <v>7271.4229999999998</v>
      </c>
      <c r="W568" s="1015">
        <v>7178.9250000000002</v>
      </c>
      <c r="X568" s="1015">
        <v>7392.634</v>
      </c>
      <c r="Y568" s="1015">
        <v>8397.509</v>
      </c>
      <c r="Z568" s="1015">
        <v>8799.6380000000008</v>
      </c>
      <c r="AA568" s="1015">
        <v>8437.9789999999994</v>
      </c>
      <c r="AB568" s="1015">
        <v>7997.4120000000003</v>
      </c>
      <c r="AC568" s="1015">
        <v>8843.4050000000007</v>
      </c>
      <c r="AD568" s="1015">
        <v>8691.7070000000003</v>
      </c>
      <c r="AE568" s="1015">
        <v>7684.3090000000002</v>
      </c>
      <c r="AF568" s="756">
        <v>8003.5860000000002</v>
      </c>
      <c r="AG568" s="1065"/>
      <c r="AH568" s="1017"/>
      <c r="AI568" s="1017"/>
      <c r="AJ568" s="1017"/>
      <c r="AK568" s="1017"/>
      <c r="AL568" s="1017"/>
      <c r="AM568" s="1017"/>
      <c r="AN568" s="1017"/>
      <c r="AO568" s="1017"/>
      <c r="AP568" s="1017"/>
      <c r="AQ568" s="1017"/>
      <c r="AR568" s="1017"/>
      <c r="AS568" s="1017"/>
      <c r="AT568" s="1017"/>
      <c r="AU568" s="1017"/>
      <c r="AV568" s="1017"/>
      <c r="AW568" s="1017"/>
      <c r="AX568" s="1017"/>
      <c r="AY568" s="1017"/>
      <c r="AZ568" s="1017"/>
      <c r="BA568" s="1017"/>
      <c r="BB568" s="1017"/>
      <c r="BC568" s="1017"/>
      <c r="BD568" s="1017"/>
      <c r="BE568" s="1017"/>
      <c r="BF568" s="1017"/>
      <c r="BG568" s="1017"/>
      <c r="BH568" s="1017"/>
      <c r="BI568" s="1017"/>
      <c r="BJ568" s="1017"/>
      <c r="BK568" s="1017"/>
      <c r="BL568" s="1017"/>
      <c r="BM568" s="1017"/>
      <c r="BN568" s="1017"/>
      <c r="BO568" s="1017"/>
      <c r="BP568" s="1018"/>
      <c r="BQ568" s="131">
        <f>SUM(D568:G568)</f>
        <v>21825.554</v>
      </c>
      <c r="BR568" s="1020">
        <f>SUM(H568:K568)</f>
        <v>25908.238000000001</v>
      </c>
      <c r="BS568" s="1020">
        <f>SUM(L568:O568)</f>
        <v>27318.272000000001</v>
      </c>
      <c r="BT568" s="318">
        <f>SUM(P568:S568)</f>
        <v>28162.2</v>
      </c>
      <c r="BU568" s="318">
        <f>SUM(T568:W568)</f>
        <v>25223.751999999997</v>
      </c>
      <c r="BV568" s="318">
        <f>SUM(X568:AA568)</f>
        <v>33027.760000000002</v>
      </c>
      <c r="BW568" s="318">
        <f>SUM(AB568:AE568)</f>
        <v>33216.833000000006</v>
      </c>
      <c r="BX568" s="318"/>
      <c r="BY568" s="318"/>
      <c r="BZ568" s="318"/>
      <c r="CA568" s="318"/>
      <c r="CB568" s="318"/>
      <c r="CC568" s="318"/>
      <c r="CD568" s="318"/>
      <c r="CE568" s="318"/>
      <c r="CF568" s="318"/>
      <c r="CG568" s="318"/>
    </row>
    <row r="569" spans="1:88" ht="14.25" hidden="1" customHeight="1" outlineLevel="1">
      <c r="B569" s="989" t="s">
        <v>346</v>
      </c>
      <c r="C569" s="318"/>
      <c r="D569" s="1015">
        <v>3291.9350000000004</v>
      </c>
      <c r="E569" s="1015">
        <v>3600.3840000000005</v>
      </c>
      <c r="F569" s="1015">
        <v>3924.9430000000002</v>
      </c>
      <c r="G569" s="1015">
        <v>4068.076</v>
      </c>
      <c r="H569" s="1015">
        <v>4172.0909999999994</v>
      </c>
      <c r="I569" s="1015">
        <v>4323.0219999999999</v>
      </c>
      <c r="J569" s="1015">
        <v>4495.9660000000003</v>
      </c>
      <c r="K569" s="1015">
        <v>4229.2689999999993</v>
      </c>
      <c r="L569" s="1015">
        <v>4963.6440000000002</v>
      </c>
      <c r="M569" s="1015">
        <v>5077.2719999999999</v>
      </c>
      <c r="N569" s="1015">
        <v>5534.1620000000003</v>
      </c>
      <c r="O569" s="1015">
        <v>5676.1549999999997</v>
      </c>
      <c r="P569" s="1015">
        <v>5240.4080000000004</v>
      </c>
      <c r="Q569" s="1015">
        <v>5677.9690000000001</v>
      </c>
      <c r="R569" s="1015">
        <v>6059</v>
      </c>
      <c r="S569" s="1015">
        <v>4634.3969999999999</v>
      </c>
      <c r="T569" s="1015">
        <v>3404.5250000000001</v>
      </c>
      <c r="U569" s="1015">
        <v>4390.25</v>
      </c>
      <c r="V569" s="1015">
        <v>5325.3860000000004</v>
      </c>
      <c r="W569" s="1015">
        <v>5605.6820000000007</v>
      </c>
      <c r="X569" s="1015">
        <v>5606.1729999999998</v>
      </c>
      <c r="Y569" s="1015">
        <v>6265.3159999999998</v>
      </c>
      <c r="Z569" s="1015">
        <v>6509.7209999999995</v>
      </c>
      <c r="AA569" s="1015">
        <v>6184.0119999999997</v>
      </c>
      <c r="AB569" s="1015">
        <v>6316.8919999999998</v>
      </c>
      <c r="AC569" s="1015">
        <v>6529.0309999999999</v>
      </c>
      <c r="AD569" s="1015">
        <v>6290.1019999999999</v>
      </c>
      <c r="AE569" s="1015">
        <v>5504.1290000000008</v>
      </c>
      <c r="AF569" s="756">
        <v>5201.1890000000003</v>
      </c>
      <c r="AG569" s="1065"/>
      <c r="AH569" s="1017"/>
      <c r="AI569" s="1017"/>
      <c r="AJ569" s="1017"/>
      <c r="AK569" s="1017"/>
      <c r="AL569" s="1017"/>
      <c r="AM569" s="1017"/>
      <c r="AN569" s="1017"/>
      <c r="AO569" s="1017"/>
      <c r="AP569" s="1017"/>
      <c r="AQ569" s="1017"/>
      <c r="AR569" s="1017"/>
      <c r="AS569" s="1017"/>
      <c r="AT569" s="1017"/>
      <c r="AU569" s="1017"/>
      <c r="AV569" s="1017"/>
      <c r="AW569" s="1017"/>
      <c r="AX569" s="1017"/>
      <c r="AY569" s="1017"/>
      <c r="AZ569" s="1017"/>
      <c r="BA569" s="1017"/>
      <c r="BB569" s="1017"/>
      <c r="BC569" s="1017"/>
      <c r="BD569" s="1017"/>
      <c r="BE569" s="1017"/>
      <c r="BF569" s="1017"/>
      <c r="BG569" s="1017"/>
      <c r="BH569" s="1017"/>
      <c r="BI569" s="1017"/>
      <c r="BJ569" s="1017"/>
      <c r="BK569" s="1017"/>
      <c r="BL569" s="1017"/>
      <c r="BM569" s="1017"/>
      <c r="BN569" s="1017"/>
      <c r="BO569" s="1017"/>
      <c r="BP569" s="1018"/>
      <c r="BQ569" s="131">
        <f>SUM(D569:G569)</f>
        <v>14885.338000000003</v>
      </c>
      <c r="BR569" s="1020">
        <f>SUM(H569:K569)</f>
        <v>17220.347999999998</v>
      </c>
      <c r="BS569" s="1020">
        <f>SUM(L569:O569)</f>
        <v>21251.233</v>
      </c>
      <c r="BT569" s="318">
        <f>SUM(P569:S569)</f>
        <v>21611.774000000001</v>
      </c>
      <c r="BU569" s="318">
        <f>SUM(T569:W569)</f>
        <v>18725.843000000001</v>
      </c>
      <c r="BV569" s="318">
        <f>SUM(X569:AA569)</f>
        <v>24565.221999999998</v>
      </c>
      <c r="BW569" s="318">
        <f>SUM(AB569:AE569)</f>
        <v>24640.153999999999</v>
      </c>
      <c r="BX569" s="318"/>
      <c r="BY569" s="318"/>
      <c r="BZ569" s="318"/>
      <c r="CA569" s="318"/>
      <c r="CB569" s="318"/>
      <c r="CC569" s="318"/>
      <c r="CD569" s="318"/>
      <c r="CE569" s="318"/>
      <c r="CF569" s="318"/>
      <c r="CG569" s="318"/>
    </row>
    <row r="570" spans="1:88" ht="14.25" hidden="1" customHeight="1" outlineLevel="1">
      <c r="B570" s="989" t="s">
        <v>345</v>
      </c>
      <c r="C570" s="318"/>
      <c r="D570" s="1015">
        <v>4268.6490000000003</v>
      </c>
      <c r="E570" s="1015">
        <v>4819.4070000000002</v>
      </c>
      <c r="F570" s="1015">
        <v>5871.6490000000003</v>
      </c>
      <c r="G570" s="1015">
        <v>6251.576</v>
      </c>
      <c r="H570" s="1015">
        <v>6308.5950000000003</v>
      </c>
      <c r="I570" s="1015">
        <v>6616.5889999999999</v>
      </c>
      <c r="J570" s="1015">
        <v>7040.3</v>
      </c>
      <c r="K570" s="1015">
        <v>6830.6419999999998</v>
      </c>
      <c r="L570" s="1015">
        <v>6190.3720000000003</v>
      </c>
      <c r="M570" s="1015">
        <v>6329.9769999999999</v>
      </c>
      <c r="N570" s="1015">
        <v>6692.9009999999998</v>
      </c>
      <c r="O570" s="1015">
        <v>6765.9440000000004</v>
      </c>
      <c r="P570" s="1015">
        <v>6243.8329999999996</v>
      </c>
      <c r="Q570" s="1015">
        <v>6813.3419999999996</v>
      </c>
      <c r="R570" s="1015">
        <v>7324.2520000000004</v>
      </c>
      <c r="S570" s="1015">
        <v>5559.46</v>
      </c>
      <c r="T570" s="1015">
        <v>4475.576</v>
      </c>
      <c r="U570" s="1015">
        <v>6293.9440000000004</v>
      </c>
      <c r="V570" s="1015">
        <v>7125.4939999999997</v>
      </c>
      <c r="W570" s="1015">
        <v>7512.7640000000001</v>
      </c>
      <c r="X570" s="1015">
        <v>8155.152</v>
      </c>
      <c r="Y570" s="1015">
        <v>8755.0400000000009</v>
      </c>
      <c r="Z570" s="1015">
        <v>8858.9339999999993</v>
      </c>
      <c r="AA570" s="1015">
        <v>8487.7639999999992</v>
      </c>
      <c r="AB570" s="1015">
        <v>8760.0920000000006</v>
      </c>
      <c r="AC570" s="1015">
        <v>8844.1710000000003</v>
      </c>
      <c r="AD570" s="1015">
        <v>8633.6200000000008</v>
      </c>
      <c r="AE570" s="1015">
        <v>7872.4830000000002</v>
      </c>
      <c r="AF570" s="756">
        <v>7891.5640000000003</v>
      </c>
      <c r="AG570" s="1065"/>
      <c r="AH570" s="1017"/>
      <c r="AI570" s="1017"/>
      <c r="AJ570" s="1017"/>
      <c r="AK570" s="1017"/>
      <c r="AL570" s="1017"/>
      <c r="AM570" s="1017"/>
      <c r="AN570" s="1017"/>
      <c r="AO570" s="1017"/>
      <c r="AP570" s="1017"/>
      <c r="AQ570" s="1017"/>
      <c r="AR570" s="1017"/>
      <c r="AS570" s="1017"/>
      <c r="AT570" s="1017"/>
      <c r="AU570" s="1017"/>
      <c r="AV570" s="1017"/>
      <c r="AW570" s="1017"/>
      <c r="AX570" s="1017"/>
      <c r="AY570" s="1017"/>
      <c r="AZ570" s="1017"/>
      <c r="BA570" s="1017"/>
      <c r="BB570" s="1017"/>
      <c r="BC570" s="1017"/>
      <c r="BD570" s="1017"/>
      <c r="BE570" s="1017"/>
      <c r="BF570" s="1017"/>
      <c r="BG570" s="1017"/>
      <c r="BH570" s="1017"/>
      <c r="BI570" s="1017"/>
      <c r="BJ570" s="1017"/>
      <c r="BK570" s="1017"/>
      <c r="BL570" s="1017"/>
      <c r="BM570" s="1017"/>
      <c r="BN570" s="1017"/>
      <c r="BO570" s="1017"/>
      <c r="BP570" s="1018"/>
      <c r="BQ570" s="131">
        <f>SUM(D570:G570)</f>
        <v>21211.281000000003</v>
      </c>
      <c r="BR570" s="1020">
        <f>SUM(H570:K570)</f>
        <v>26796.126</v>
      </c>
      <c r="BS570" s="1020">
        <f>SUM(L570:O570)</f>
        <v>25979.194</v>
      </c>
      <c r="BT570" s="318">
        <f>SUM(P570:S570)</f>
        <v>25940.886999999999</v>
      </c>
      <c r="BU570" s="318">
        <f>SUM(T570:W570)</f>
        <v>25407.777999999998</v>
      </c>
      <c r="BV570" s="318">
        <f>SUM(X570:AA570)</f>
        <v>34256.89</v>
      </c>
      <c r="BW570" s="318">
        <f>SUM(AB570:AE570)</f>
        <v>34110.366000000002</v>
      </c>
      <c r="BX570" s="318"/>
      <c r="BY570" s="318"/>
      <c r="BZ570" s="318"/>
      <c r="CA570" s="318"/>
      <c r="CB570" s="318"/>
      <c r="CC570" s="318"/>
      <c r="CD570" s="318"/>
      <c r="CE570" s="318"/>
      <c r="CF570" s="318"/>
      <c r="CG570" s="318"/>
    </row>
    <row r="571" spans="1:88" ht="14.25" hidden="1" customHeight="1" outlineLevel="1">
      <c r="B571" s="988" t="s">
        <v>312</v>
      </c>
      <c r="C571" s="318"/>
      <c r="D571" s="1022">
        <f t="shared" ref="D571:AF571" si="1318">SUM(D568:D570)</f>
        <v>12199.411</v>
      </c>
      <c r="E571" s="1022">
        <f t="shared" si="1318"/>
        <v>13669.395</v>
      </c>
      <c r="F571" s="1022">
        <f t="shared" si="1318"/>
        <v>15632.324000000001</v>
      </c>
      <c r="G571" s="1022">
        <f t="shared" si="1318"/>
        <v>16421.043000000001</v>
      </c>
      <c r="H571" s="1022">
        <f t="shared" si="1318"/>
        <v>16692.863000000001</v>
      </c>
      <c r="I571" s="1022">
        <f t="shared" si="1318"/>
        <v>17352.883999999998</v>
      </c>
      <c r="J571" s="1022">
        <f t="shared" si="1318"/>
        <v>18239.214</v>
      </c>
      <c r="K571" s="1022">
        <f t="shared" si="1318"/>
        <v>17639.751</v>
      </c>
      <c r="L571" s="1022">
        <f t="shared" si="1318"/>
        <v>17471.464</v>
      </c>
      <c r="M571" s="1022">
        <f t="shared" si="1318"/>
        <v>17849.330999999998</v>
      </c>
      <c r="N571" s="1022">
        <f t="shared" si="1318"/>
        <v>19495.518</v>
      </c>
      <c r="O571" s="1022">
        <f t="shared" si="1318"/>
        <v>19732.385999999999</v>
      </c>
      <c r="P571" s="1022">
        <f t="shared" si="1318"/>
        <v>17992.399000000001</v>
      </c>
      <c r="Q571" s="1022">
        <f t="shared" si="1318"/>
        <v>19885.226999999999</v>
      </c>
      <c r="R571" s="1022">
        <f t="shared" si="1318"/>
        <v>21508.325000000001</v>
      </c>
      <c r="S571" s="1022">
        <f t="shared" si="1318"/>
        <v>16328.91</v>
      </c>
      <c r="T571" s="1022">
        <f t="shared" si="1318"/>
        <v>12487.585999999999</v>
      </c>
      <c r="U571" s="1022">
        <f t="shared" si="1318"/>
        <v>16850.113000000001</v>
      </c>
      <c r="V571" s="1022">
        <f t="shared" si="1318"/>
        <v>19722.303</v>
      </c>
      <c r="W571" s="1022">
        <f t="shared" si="1318"/>
        <v>20297.370999999999</v>
      </c>
      <c r="X571" s="1022">
        <f t="shared" si="1318"/>
        <v>21153.959000000003</v>
      </c>
      <c r="Y571" s="1022">
        <f t="shared" si="1318"/>
        <v>23417.865000000002</v>
      </c>
      <c r="Z571" s="1022">
        <f t="shared" si="1318"/>
        <v>24168.292999999998</v>
      </c>
      <c r="AA571" s="1022">
        <f t="shared" si="1318"/>
        <v>23109.754999999997</v>
      </c>
      <c r="AB571" s="1022">
        <f t="shared" si="1318"/>
        <v>23074.396000000001</v>
      </c>
      <c r="AC571" s="1022">
        <f t="shared" si="1318"/>
        <v>24216.607000000004</v>
      </c>
      <c r="AD571" s="1022">
        <f t="shared" si="1318"/>
        <v>23615.429000000004</v>
      </c>
      <c r="AE571" s="1022">
        <f t="shared" si="1318"/>
        <v>21060.921000000002</v>
      </c>
      <c r="AF571" s="1022">
        <f t="shared" si="1318"/>
        <v>21096.339</v>
      </c>
      <c r="AG571" s="1065"/>
      <c r="AH571" s="1017"/>
      <c r="AI571" s="1017"/>
      <c r="AJ571" s="1017"/>
      <c r="AK571" s="1017"/>
      <c r="AL571" s="1017"/>
      <c r="AM571" s="1017"/>
      <c r="AN571" s="1017"/>
      <c r="AO571" s="1017"/>
      <c r="AP571" s="1017"/>
      <c r="AQ571" s="1017"/>
      <c r="AR571" s="1017"/>
      <c r="AS571" s="1017"/>
      <c r="AT571" s="1017"/>
      <c r="AU571" s="1017"/>
      <c r="AV571" s="1017"/>
      <c r="AW571" s="1017"/>
      <c r="AX571" s="1017"/>
      <c r="AY571" s="1017"/>
      <c r="AZ571" s="1017"/>
      <c r="BA571" s="1017"/>
      <c r="BB571" s="1017"/>
      <c r="BC571" s="1017"/>
      <c r="BD571" s="1017"/>
      <c r="BE571" s="1017"/>
      <c r="BF571" s="1017"/>
      <c r="BG571" s="1017"/>
      <c r="BH571" s="1017"/>
      <c r="BI571" s="1017"/>
      <c r="BJ571" s="1017"/>
      <c r="BK571" s="1017"/>
      <c r="BL571" s="1017"/>
      <c r="BM571" s="1017"/>
      <c r="BN571" s="1017"/>
      <c r="BO571" s="1017"/>
      <c r="BP571" s="1018"/>
      <c r="BQ571" s="1066">
        <f t="shared" ref="BQ571:BW571" si="1319">SUM(BQ568:BQ570)</f>
        <v>57922.17300000001</v>
      </c>
      <c r="BR571" s="1023">
        <f t="shared" si="1319"/>
        <v>69924.712</v>
      </c>
      <c r="BS571" s="1023">
        <f t="shared" si="1319"/>
        <v>74548.699000000008</v>
      </c>
      <c r="BT571" s="318">
        <f t="shared" si="1319"/>
        <v>75714.861000000004</v>
      </c>
      <c r="BU571" s="318">
        <f t="shared" si="1319"/>
        <v>69357.372999999992</v>
      </c>
      <c r="BV571" s="318">
        <f t="shared" si="1319"/>
        <v>91849.872000000003</v>
      </c>
      <c r="BW571" s="318">
        <f t="shared" si="1319"/>
        <v>91967.353000000003</v>
      </c>
      <c r="BX571" s="318"/>
      <c r="BY571" s="318"/>
      <c r="BZ571" s="318"/>
      <c r="CA571" s="318"/>
      <c r="CB571" s="318"/>
      <c r="CC571" s="318"/>
      <c r="CD571" s="318"/>
      <c r="CE571" s="318"/>
      <c r="CF571" s="318"/>
      <c r="CG571" s="318"/>
    </row>
    <row r="572" spans="1:88" ht="14.25" hidden="1" customHeight="1" outlineLevel="1">
      <c r="B572" s="989" t="s">
        <v>342</v>
      </c>
      <c r="C572" s="318"/>
      <c r="D572" s="1015">
        <v>128.16200000000001</v>
      </c>
      <c r="E572" s="1015">
        <v>127.765</v>
      </c>
      <c r="F572" s="1015">
        <v>135.05799999999999</v>
      </c>
      <c r="G572" s="1015">
        <v>137.18100000000001</v>
      </c>
      <c r="H572" s="1015">
        <v>130.81800000000001</v>
      </c>
      <c r="I572" s="1015">
        <v>146.904</v>
      </c>
      <c r="J572" s="1015">
        <v>148.429</v>
      </c>
      <c r="K572" s="1015">
        <v>136.24</v>
      </c>
      <c r="L572" s="1015">
        <v>127.41500000000001</v>
      </c>
      <c r="M572" s="1015">
        <v>142.71299999999999</v>
      </c>
      <c r="N572" s="1015">
        <v>172.20400000000001</v>
      </c>
      <c r="O572" s="1015">
        <v>170.625</v>
      </c>
      <c r="P572" s="1015">
        <v>135.36600000000001</v>
      </c>
      <c r="Q572" s="1015">
        <v>154.488</v>
      </c>
      <c r="R572" s="1015">
        <v>208.715</v>
      </c>
      <c r="S572" s="1015">
        <v>152.667</v>
      </c>
      <c r="T572" s="1015">
        <v>117.78</v>
      </c>
      <c r="U572" s="1015">
        <v>152.77799999999999</v>
      </c>
      <c r="V572" s="1015">
        <v>193.68700000000001</v>
      </c>
      <c r="W572" s="1015">
        <v>220.79900000000001</v>
      </c>
      <c r="X572" s="1015">
        <v>201.94499999999999</v>
      </c>
      <c r="Y572" s="1015">
        <v>223.22</v>
      </c>
      <c r="Z572" s="1015">
        <v>248.91399999999999</v>
      </c>
      <c r="AA572" s="1015">
        <v>237.65899999999999</v>
      </c>
      <c r="AB572" s="1015">
        <v>183.46899999999999</v>
      </c>
      <c r="AC572" s="1015">
        <v>140.25399999999999</v>
      </c>
      <c r="AD572" s="1015">
        <v>149.69399999999999</v>
      </c>
      <c r="AE572" s="1015">
        <v>138.58199999999999</v>
      </c>
      <c r="AF572" s="756">
        <v>113.008</v>
      </c>
      <c r="AG572" s="1065"/>
      <c r="AH572" s="1017"/>
      <c r="AI572" s="1017"/>
      <c r="AJ572" s="1017"/>
      <c r="AK572" s="1017"/>
      <c r="AL572" s="1017"/>
      <c r="AM572" s="1017"/>
      <c r="AN572" s="1017"/>
      <c r="AO572" s="1017"/>
      <c r="AP572" s="1017"/>
      <c r="AQ572" s="1017"/>
      <c r="AR572" s="1017"/>
      <c r="AS572" s="1017"/>
      <c r="AT572" s="1017"/>
      <c r="AU572" s="1017"/>
      <c r="AV572" s="1017"/>
      <c r="AW572" s="1017"/>
      <c r="AX572" s="1017"/>
      <c r="AY572" s="1017"/>
      <c r="AZ572" s="1017"/>
      <c r="BA572" s="1017"/>
      <c r="BB572" s="1017"/>
      <c r="BC572" s="1017"/>
      <c r="BD572" s="1017"/>
      <c r="BE572" s="1017"/>
      <c r="BF572" s="1017"/>
      <c r="BG572" s="1017"/>
      <c r="BH572" s="1017"/>
      <c r="BI572" s="1017"/>
      <c r="BJ572" s="1017"/>
      <c r="BK572" s="1017"/>
      <c r="BL572" s="1017"/>
      <c r="BM572" s="1017"/>
      <c r="BN572" s="1017"/>
      <c r="BO572" s="1017"/>
      <c r="BP572" s="1018"/>
      <c r="BQ572" s="131">
        <f>SUM(D572:G572)</f>
        <v>528.16600000000005</v>
      </c>
      <c r="BR572" s="1020">
        <f>SUM(H572:K572)</f>
        <v>562.39099999999996</v>
      </c>
      <c r="BS572" s="1020">
        <f>SUM(L572:O572)</f>
        <v>612.95699999999999</v>
      </c>
      <c r="BT572" s="318">
        <f>SUM(P572:S572)</f>
        <v>651.2360000000001</v>
      </c>
      <c r="BU572" s="318">
        <f>SUM(T572:W572)</f>
        <v>685.04399999999998</v>
      </c>
      <c r="BV572" s="318">
        <f>SUM(X572:AA572)</f>
        <v>911.73799999999994</v>
      </c>
      <c r="BW572" s="318">
        <f>SUM(AB572:AE572)</f>
        <v>611.99899999999991</v>
      </c>
      <c r="BX572" s="318"/>
      <c r="BY572" s="318"/>
      <c r="BZ572" s="318"/>
      <c r="CA572" s="318"/>
      <c r="CB572" s="318"/>
      <c r="CC572" s="318"/>
      <c r="CD572" s="318"/>
      <c r="CE572" s="318"/>
      <c r="CF572" s="318"/>
      <c r="CG572" s="318"/>
    </row>
    <row r="573" spans="1:88" ht="14.25" hidden="1" customHeight="1" outlineLevel="1">
      <c r="B573" s="989" t="s">
        <v>343</v>
      </c>
      <c r="C573" s="318"/>
      <c r="D573" s="1015">
        <v>1861.654</v>
      </c>
      <c r="E573" s="1015">
        <v>1661.5340000000001</v>
      </c>
      <c r="F573" s="1015">
        <v>1804.7449999999999</v>
      </c>
      <c r="G573" s="1015">
        <v>1752.6079999999999</v>
      </c>
      <c r="H573" s="1015">
        <v>1954.8920000000001</v>
      </c>
      <c r="I573" s="1015">
        <v>2119.6439999999998</v>
      </c>
      <c r="J573" s="1015">
        <v>2228.4740000000002</v>
      </c>
      <c r="K573" s="1015">
        <v>2160.5160000000001</v>
      </c>
      <c r="L573" s="1015">
        <v>2299.1379999999999</v>
      </c>
      <c r="M573" s="1015">
        <v>2514.2109999999998</v>
      </c>
      <c r="N573" s="1015">
        <v>2600.1660000000002</v>
      </c>
      <c r="O573" s="1015">
        <v>2590.7600000000002</v>
      </c>
      <c r="P573" s="1015">
        <v>2663.48</v>
      </c>
      <c r="Q573" s="1015">
        <v>2747.8589999999999</v>
      </c>
      <c r="R573" s="1015">
        <v>2986.558</v>
      </c>
      <c r="S573" s="1015">
        <v>2440.1439999999998</v>
      </c>
      <c r="T573" s="1015">
        <v>1722.672</v>
      </c>
      <c r="U573" s="1015">
        <v>2250.7379999999998</v>
      </c>
      <c r="V573" s="1015">
        <v>2710.3530000000001</v>
      </c>
      <c r="W573" s="1015">
        <v>2959.0169999999998</v>
      </c>
      <c r="X573" s="1015">
        <v>3167.7379999999998</v>
      </c>
      <c r="Y573" s="1015">
        <v>3370.4920000000002</v>
      </c>
      <c r="Z573" s="1015">
        <v>3646.6950000000002</v>
      </c>
      <c r="AA573" s="1015">
        <v>3514.7060000000001</v>
      </c>
      <c r="AB573" s="1015">
        <v>3712.7620000000002</v>
      </c>
      <c r="AC573" s="1015">
        <v>3712.8389999999999</v>
      </c>
      <c r="AD573" s="1015">
        <v>3765.6590000000001</v>
      </c>
      <c r="AE573" s="1015">
        <v>3157.5169999999998</v>
      </c>
      <c r="AF573" s="756">
        <v>4045.422</v>
      </c>
      <c r="AG573" s="1065"/>
      <c r="AH573" s="1017"/>
      <c r="AI573" s="1017"/>
      <c r="AJ573" s="1017"/>
      <c r="AK573" s="1017"/>
      <c r="AL573" s="1017"/>
      <c r="AM573" s="1017"/>
      <c r="AN573" s="1017"/>
      <c r="AO573" s="1017"/>
      <c r="AP573" s="1017"/>
      <c r="AQ573" s="1017"/>
      <c r="AR573" s="1017"/>
      <c r="AS573" s="1017"/>
      <c r="AT573" s="1017"/>
      <c r="AU573" s="1017"/>
      <c r="AV573" s="1017"/>
      <c r="AW573" s="1017"/>
      <c r="AX573" s="1017"/>
      <c r="AY573" s="1017"/>
      <c r="AZ573" s="1017"/>
      <c r="BA573" s="1017"/>
      <c r="BB573" s="1017"/>
      <c r="BC573" s="1017"/>
      <c r="BD573" s="1017"/>
      <c r="BE573" s="1017"/>
      <c r="BF573" s="1017"/>
      <c r="BG573" s="1017"/>
      <c r="BH573" s="1017"/>
      <c r="BI573" s="1017"/>
      <c r="BJ573" s="1017"/>
      <c r="BK573" s="1017"/>
      <c r="BL573" s="1017"/>
      <c r="BM573" s="1017"/>
      <c r="BN573" s="1017"/>
      <c r="BO573" s="1017"/>
      <c r="BP573" s="1018"/>
      <c r="BQ573" s="131">
        <f>SUM(D573:G573)</f>
        <v>7080.5410000000002</v>
      </c>
      <c r="BR573" s="1020">
        <f>SUM(H573:K573)</f>
        <v>8463.5259999999998</v>
      </c>
      <c r="BS573" s="1020">
        <f>SUM(L573:O573)</f>
        <v>10004.275000000001</v>
      </c>
      <c r="BT573" s="318">
        <f>SUM(P573:S573)</f>
        <v>10838.041000000001</v>
      </c>
      <c r="BU573" s="318">
        <f>SUM(T573:W573)</f>
        <v>9642.7799999999988</v>
      </c>
      <c r="BV573" s="318">
        <f>SUM(X573:AA573)</f>
        <v>13699.630999999999</v>
      </c>
      <c r="BW573" s="318">
        <f>SUM(AB573:AE573)</f>
        <v>14348.777</v>
      </c>
      <c r="BX573" s="318"/>
      <c r="BY573" s="318"/>
      <c r="BZ573" s="318"/>
      <c r="CA573" s="318"/>
      <c r="CB573" s="318"/>
      <c r="CC573" s="318"/>
      <c r="CD573" s="318"/>
      <c r="CE573" s="318"/>
      <c r="CF573" s="318"/>
      <c r="CG573" s="318"/>
    </row>
    <row r="574" spans="1:88" ht="14.25" hidden="1" customHeight="1" outlineLevel="1">
      <c r="B574" s="988" t="s">
        <v>482</v>
      </c>
      <c r="C574" s="318"/>
      <c r="D574" s="1022">
        <f t="shared" ref="D574:AF574" si="1320">SUM(D572:D573)</f>
        <v>1989.816</v>
      </c>
      <c r="E574" s="1022">
        <f t="shared" si="1320"/>
        <v>1789.2990000000002</v>
      </c>
      <c r="F574" s="1022">
        <f t="shared" si="1320"/>
        <v>1939.8029999999999</v>
      </c>
      <c r="G574" s="1022">
        <f t="shared" si="1320"/>
        <v>1889.789</v>
      </c>
      <c r="H574" s="1022">
        <f t="shared" si="1320"/>
        <v>2085.71</v>
      </c>
      <c r="I574" s="1022">
        <f t="shared" si="1320"/>
        <v>2266.5479999999998</v>
      </c>
      <c r="J574" s="1022">
        <f t="shared" si="1320"/>
        <v>2376.9030000000002</v>
      </c>
      <c r="K574" s="1022">
        <f t="shared" si="1320"/>
        <v>2296.7560000000003</v>
      </c>
      <c r="L574" s="1022">
        <f t="shared" si="1320"/>
        <v>2426.5529999999999</v>
      </c>
      <c r="M574" s="1022">
        <f t="shared" si="1320"/>
        <v>2656.924</v>
      </c>
      <c r="N574" s="1022">
        <f t="shared" si="1320"/>
        <v>2772.3700000000003</v>
      </c>
      <c r="O574" s="1022">
        <f t="shared" si="1320"/>
        <v>2761.3850000000002</v>
      </c>
      <c r="P574" s="1022">
        <f t="shared" si="1320"/>
        <v>2798.846</v>
      </c>
      <c r="Q574" s="1022">
        <f t="shared" si="1320"/>
        <v>2902.3469999999998</v>
      </c>
      <c r="R574" s="1022">
        <f t="shared" si="1320"/>
        <v>3195.2730000000001</v>
      </c>
      <c r="S574" s="1022">
        <f t="shared" si="1320"/>
        <v>2592.8109999999997</v>
      </c>
      <c r="T574" s="1022">
        <f t="shared" si="1320"/>
        <v>1840.452</v>
      </c>
      <c r="U574" s="1022">
        <f t="shared" si="1320"/>
        <v>2403.5159999999996</v>
      </c>
      <c r="V574" s="1022">
        <f t="shared" si="1320"/>
        <v>2904.04</v>
      </c>
      <c r="W574" s="1022">
        <f t="shared" si="1320"/>
        <v>3179.8159999999998</v>
      </c>
      <c r="X574" s="1022">
        <f t="shared" si="1320"/>
        <v>3369.683</v>
      </c>
      <c r="Y574" s="1022">
        <f t="shared" si="1320"/>
        <v>3593.712</v>
      </c>
      <c r="Z574" s="1022">
        <f t="shared" si="1320"/>
        <v>3895.6090000000004</v>
      </c>
      <c r="AA574" s="1022">
        <f t="shared" si="1320"/>
        <v>3752.3650000000002</v>
      </c>
      <c r="AB574" s="1022">
        <f t="shared" si="1320"/>
        <v>3896.2310000000002</v>
      </c>
      <c r="AC574" s="1022">
        <f t="shared" si="1320"/>
        <v>3853.0929999999998</v>
      </c>
      <c r="AD574" s="1022">
        <f t="shared" si="1320"/>
        <v>3915.3530000000001</v>
      </c>
      <c r="AE574" s="1022">
        <f t="shared" si="1320"/>
        <v>3296.0989999999997</v>
      </c>
      <c r="AF574" s="1022">
        <f t="shared" si="1320"/>
        <v>4158.43</v>
      </c>
      <c r="AG574" s="1065"/>
      <c r="AH574" s="1017"/>
      <c r="AI574" s="1017"/>
      <c r="AJ574" s="1017"/>
      <c r="AK574" s="1017"/>
      <c r="AL574" s="1017"/>
      <c r="AM574" s="1017"/>
      <c r="AN574" s="1017"/>
      <c r="AO574" s="1017"/>
      <c r="AP574" s="1017"/>
      <c r="AQ574" s="1017"/>
      <c r="AR574" s="1017"/>
      <c r="AS574" s="1017"/>
      <c r="AT574" s="1017"/>
      <c r="AU574" s="1017"/>
      <c r="AV574" s="1017"/>
      <c r="AW574" s="1017"/>
      <c r="AX574" s="1017"/>
      <c r="AY574" s="1017"/>
      <c r="AZ574" s="1017"/>
      <c r="BA574" s="1017"/>
      <c r="BB574" s="1017"/>
      <c r="BC574" s="1017"/>
      <c r="BD574" s="1017"/>
      <c r="BE574" s="1017"/>
      <c r="BF574" s="1017"/>
      <c r="BG574" s="1017"/>
      <c r="BH574" s="1017"/>
      <c r="BI574" s="1017"/>
      <c r="BJ574" s="1017"/>
      <c r="BK574" s="1017"/>
      <c r="BL574" s="1017"/>
      <c r="BM574" s="1017"/>
      <c r="BN574" s="1017"/>
      <c r="BO574" s="1017"/>
      <c r="BP574" s="1018"/>
      <c r="BQ574" s="1066">
        <f t="shared" ref="BQ574:BW574" si="1321">SUM(BQ572:BQ573)</f>
        <v>7608.7070000000003</v>
      </c>
      <c r="BR574" s="1023">
        <f t="shared" si="1321"/>
        <v>9025.9169999999995</v>
      </c>
      <c r="BS574" s="1023">
        <f t="shared" si="1321"/>
        <v>10617.232000000002</v>
      </c>
      <c r="BT574" s="318">
        <f t="shared" si="1321"/>
        <v>11489.277000000002</v>
      </c>
      <c r="BU574" s="318">
        <f t="shared" si="1321"/>
        <v>10327.823999999999</v>
      </c>
      <c r="BV574" s="318">
        <f t="shared" si="1321"/>
        <v>14611.368999999999</v>
      </c>
      <c r="BW574" s="318">
        <f t="shared" si="1321"/>
        <v>14960.776</v>
      </c>
      <c r="BX574" s="318"/>
      <c r="BY574" s="318"/>
      <c r="BZ574" s="318"/>
      <c r="CA574" s="318"/>
      <c r="CB574" s="318"/>
      <c r="CC574" s="318"/>
      <c r="CD574" s="318"/>
      <c r="CE574" s="318"/>
      <c r="CF574" s="318"/>
      <c r="CG574" s="318"/>
    </row>
    <row r="575" spans="1:88" s="85" customFormat="1" ht="14.25" hidden="1" customHeight="1" outlineLevel="1">
      <c r="B575" s="988" t="s">
        <v>440</v>
      </c>
      <c r="C575" s="1007"/>
      <c r="D575" s="1022">
        <f t="shared" ref="D575:AF575" si="1322">D574+D571</f>
        <v>14189.227000000001</v>
      </c>
      <c r="E575" s="1022">
        <f t="shared" si="1322"/>
        <v>15458.694000000001</v>
      </c>
      <c r="F575" s="1022">
        <f t="shared" si="1322"/>
        <v>17572.127</v>
      </c>
      <c r="G575" s="1022">
        <f t="shared" si="1322"/>
        <v>18310.832000000002</v>
      </c>
      <c r="H575" s="1022">
        <f t="shared" si="1322"/>
        <v>18778.573</v>
      </c>
      <c r="I575" s="1022">
        <f t="shared" si="1322"/>
        <v>19619.431999999997</v>
      </c>
      <c r="J575" s="1022">
        <f t="shared" si="1322"/>
        <v>20616.116999999998</v>
      </c>
      <c r="K575" s="1022">
        <f t="shared" si="1322"/>
        <v>19936.507000000001</v>
      </c>
      <c r="L575" s="1022">
        <f t="shared" si="1322"/>
        <v>19898.017</v>
      </c>
      <c r="M575" s="1022">
        <f t="shared" si="1322"/>
        <v>20506.254999999997</v>
      </c>
      <c r="N575" s="1022">
        <f t="shared" si="1322"/>
        <v>22267.887999999999</v>
      </c>
      <c r="O575" s="1022">
        <f t="shared" si="1322"/>
        <v>22493.771000000001</v>
      </c>
      <c r="P575" s="1022">
        <f t="shared" si="1322"/>
        <v>20791.245000000003</v>
      </c>
      <c r="Q575" s="1022">
        <f t="shared" si="1322"/>
        <v>22787.574000000001</v>
      </c>
      <c r="R575" s="1022">
        <f t="shared" si="1322"/>
        <v>24703.598000000002</v>
      </c>
      <c r="S575" s="1022">
        <f t="shared" si="1322"/>
        <v>18921.720999999998</v>
      </c>
      <c r="T575" s="1022">
        <f t="shared" si="1322"/>
        <v>14328.037999999999</v>
      </c>
      <c r="U575" s="1022">
        <f t="shared" si="1322"/>
        <v>19253.629000000001</v>
      </c>
      <c r="V575" s="1022">
        <f t="shared" si="1322"/>
        <v>22626.343000000001</v>
      </c>
      <c r="W575" s="1022">
        <f t="shared" si="1322"/>
        <v>23477.186999999998</v>
      </c>
      <c r="X575" s="1022">
        <f t="shared" si="1322"/>
        <v>24523.642000000003</v>
      </c>
      <c r="Y575" s="1022">
        <f t="shared" si="1322"/>
        <v>27011.577000000001</v>
      </c>
      <c r="Z575" s="1022">
        <f t="shared" si="1322"/>
        <v>28063.901999999998</v>
      </c>
      <c r="AA575" s="1022">
        <f t="shared" si="1322"/>
        <v>26862.12</v>
      </c>
      <c r="AB575" s="1022">
        <f t="shared" si="1322"/>
        <v>26970.627</v>
      </c>
      <c r="AC575" s="1022">
        <f t="shared" si="1322"/>
        <v>28069.700000000004</v>
      </c>
      <c r="AD575" s="1022">
        <f t="shared" si="1322"/>
        <v>27530.782000000003</v>
      </c>
      <c r="AE575" s="1022">
        <f t="shared" si="1322"/>
        <v>24357.02</v>
      </c>
      <c r="AF575" s="1022">
        <f t="shared" si="1322"/>
        <v>25254.769</v>
      </c>
      <c r="AG575" s="1067"/>
      <c r="AH575" s="1027"/>
      <c r="AI575" s="1027"/>
      <c r="AJ575" s="1027"/>
      <c r="AK575" s="1027"/>
      <c r="AL575" s="1027"/>
      <c r="AM575" s="1027"/>
      <c r="AN575" s="1027"/>
      <c r="AO575" s="1027"/>
      <c r="AP575" s="1027"/>
      <c r="AQ575" s="1027"/>
      <c r="AR575" s="1027"/>
      <c r="AS575" s="1027"/>
      <c r="AT575" s="1027"/>
      <c r="AU575" s="1027"/>
      <c r="AV575" s="1027"/>
      <c r="AW575" s="1027"/>
      <c r="AX575" s="1027"/>
      <c r="AY575" s="1027"/>
      <c r="AZ575" s="1027"/>
      <c r="BA575" s="1027"/>
      <c r="BB575" s="1027"/>
      <c r="BC575" s="1027"/>
      <c r="BD575" s="1027"/>
      <c r="BE575" s="1027"/>
      <c r="BF575" s="1027"/>
      <c r="BG575" s="1027"/>
      <c r="BH575" s="1027"/>
      <c r="BI575" s="1027"/>
      <c r="BJ575" s="1027"/>
      <c r="BK575" s="1027"/>
      <c r="BL575" s="1027"/>
      <c r="BM575" s="1027"/>
      <c r="BN575" s="1027"/>
      <c r="BO575" s="1027"/>
      <c r="BP575" s="1028"/>
      <c r="BQ575" s="708">
        <f t="shared" ref="BQ575:BW575" si="1323">BQ574+BQ571</f>
        <v>65530.880000000012</v>
      </c>
      <c r="BR575" s="1068">
        <f t="shared" si="1323"/>
        <v>78950.629000000001</v>
      </c>
      <c r="BS575" s="1068">
        <f t="shared" si="1323"/>
        <v>85165.931000000011</v>
      </c>
      <c r="BT575" s="1007">
        <f t="shared" si="1323"/>
        <v>87204.138000000006</v>
      </c>
      <c r="BU575" s="1007">
        <f t="shared" si="1323"/>
        <v>79685.196999999986</v>
      </c>
      <c r="BV575" s="1007">
        <f t="shared" si="1323"/>
        <v>106461.24100000001</v>
      </c>
      <c r="BW575" s="1007">
        <f t="shared" si="1323"/>
        <v>106928.129</v>
      </c>
      <c r="BX575" s="1007"/>
      <c r="BY575" s="1007"/>
      <c r="BZ575" s="1007"/>
      <c r="CA575" s="1007"/>
      <c r="CB575" s="1007"/>
      <c r="CC575" s="1007"/>
      <c r="CD575" s="1007"/>
      <c r="CE575" s="1007"/>
      <c r="CF575" s="1007"/>
      <c r="CG575" s="1007"/>
      <c r="CH575"/>
      <c r="CI575"/>
      <c r="CJ575"/>
    </row>
    <row r="576" spans="1:88" ht="14.25" hidden="1" customHeight="1" outlineLevel="1">
      <c r="B576" s="1045"/>
      <c r="C576" s="363"/>
      <c r="D576" s="363"/>
      <c r="E576" s="363"/>
      <c r="F576" s="363"/>
      <c r="G576" s="363"/>
      <c r="H576" s="363"/>
      <c r="I576" s="363"/>
      <c r="J576" s="363"/>
      <c r="K576" s="363"/>
      <c r="L576" s="363"/>
      <c r="M576" s="363"/>
      <c r="N576" s="363"/>
      <c r="O576" s="363"/>
      <c r="P576" s="363"/>
      <c r="Q576" s="363"/>
      <c r="R576" s="363"/>
      <c r="S576" s="363"/>
      <c r="T576" s="363"/>
      <c r="U576" s="363"/>
      <c r="V576" s="363"/>
      <c r="W576" s="363"/>
      <c r="X576" s="363"/>
      <c r="Y576" s="363"/>
      <c r="Z576" s="363"/>
      <c r="AA576" s="363"/>
      <c r="AB576" s="363"/>
      <c r="AC576" s="363"/>
      <c r="AD576" s="363"/>
      <c r="AE576" s="363"/>
      <c r="AF576" s="363"/>
      <c r="AG576" s="363"/>
      <c r="AH576" s="363"/>
      <c r="AI576" s="363"/>
      <c r="AJ576" s="363"/>
      <c r="AK576" s="363"/>
      <c r="AL576" s="363"/>
      <c r="AM576" s="363"/>
      <c r="AN576" s="363"/>
      <c r="AO576" s="363"/>
      <c r="AP576" s="363"/>
      <c r="AQ576" s="363"/>
      <c r="AR576" s="363"/>
      <c r="AS576" s="363"/>
      <c r="AT576" s="363"/>
      <c r="AU576" s="363"/>
      <c r="AV576" s="363"/>
      <c r="AW576" s="363"/>
      <c r="AX576" s="363"/>
      <c r="AY576" s="363"/>
      <c r="AZ576" s="363"/>
      <c r="BA576" s="363"/>
      <c r="BB576" s="363"/>
      <c r="BC576" s="363"/>
      <c r="BD576" s="363"/>
      <c r="BE576" s="363"/>
      <c r="BF576" s="363"/>
      <c r="BG576" s="363"/>
      <c r="BH576" s="363"/>
      <c r="BI576" s="363"/>
      <c r="BJ576" s="363"/>
      <c r="BK576" s="363"/>
      <c r="BL576" s="363"/>
      <c r="BM576" s="363"/>
      <c r="BN576" s="363"/>
      <c r="BO576" s="363"/>
      <c r="BP576" s="1018"/>
      <c r="BQ576" s="363"/>
      <c r="BR576" s="363"/>
      <c r="BS576" s="363"/>
      <c r="BT576" s="363"/>
      <c r="BU576" s="363"/>
      <c r="BV576" s="363"/>
      <c r="BW576" s="363"/>
      <c r="BX576" s="363"/>
      <c r="BY576" s="363"/>
      <c r="BZ576" s="363"/>
      <c r="CA576" s="363"/>
      <c r="CB576" s="363"/>
      <c r="CC576" s="363"/>
      <c r="CD576" s="363"/>
      <c r="CE576" s="363"/>
      <c r="CF576" s="363"/>
      <c r="CG576" s="363"/>
    </row>
    <row r="577" spans="1:88" ht="14.25" hidden="1" customHeight="1" outlineLevel="1">
      <c r="A577" s="1"/>
      <c r="B577" s="1010" t="s">
        <v>442</v>
      </c>
      <c r="C577" s="1011"/>
      <c r="D577" s="1012" t="str">
        <f t="shared" ref="D577:BC577" si="1324">D$6</f>
        <v>F1Q05A</v>
      </c>
      <c r="E577" s="1012" t="str">
        <f t="shared" si="1324"/>
        <v>F2Q05A</v>
      </c>
      <c r="F577" s="1012" t="str">
        <f t="shared" si="1324"/>
        <v>F3Q05A</v>
      </c>
      <c r="G577" s="1012" t="str">
        <f t="shared" si="1324"/>
        <v>F4Q05A</v>
      </c>
      <c r="H577" s="1012" t="str">
        <f t="shared" si="1324"/>
        <v>F1Q06A</v>
      </c>
      <c r="I577" s="1012" t="str">
        <f t="shared" si="1324"/>
        <v>F2Q06A</v>
      </c>
      <c r="J577" s="1012" t="str">
        <f t="shared" si="1324"/>
        <v>F3Q06A</v>
      </c>
      <c r="K577" s="1012" t="str">
        <f t="shared" si="1324"/>
        <v>F4Q06A</v>
      </c>
      <c r="L577" s="1012" t="str">
        <f t="shared" si="1324"/>
        <v>F1Q07A</v>
      </c>
      <c r="M577" s="1012" t="str">
        <f t="shared" si="1324"/>
        <v>F2Q07A</v>
      </c>
      <c r="N577" s="1012" t="str">
        <f t="shared" si="1324"/>
        <v>F3Q07A</v>
      </c>
      <c r="O577" s="1012" t="str">
        <f t="shared" si="1324"/>
        <v>F4Q07A</v>
      </c>
      <c r="P577" s="1012" t="str">
        <f t="shared" si="1324"/>
        <v>F1Q08A</v>
      </c>
      <c r="Q577" s="1012" t="str">
        <f t="shared" si="1324"/>
        <v>F2Q08A</v>
      </c>
      <c r="R577" s="1012" t="str">
        <f t="shared" si="1324"/>
        <v>F3Q08A</v>
      </c>
      <c r="S577" s="1012" t="str">
        <f t="shared" si="1324"/>
        <v>F4Q08A</v>
      </c>
      <c r="T577" s="1012" t="str">
        <f t="shared" si="1324"/>
        <v>F1Q09A</v>
      </c>
      <c r="U577" s="1012" t="str">
        <f t="shared" si="1324"/>
        <v>F2Q09A</v>
      </c>
      <c r="V577" s="1012" t="str">
        <f t="shared" si="1324"/>
        <v>F3Q09A</v>
      </c>
      <c r="W577" s="1012" t="str">
        <f t="shared" si="1324"/>
        <v>F4Q09A</v>
      </c>
      <c r="X577" s="1012" t="str">
        <f t="shared" si="1324"/>
        <v>F1Q10A</v>
      </c>
      <c r="Y577" s="1012" t="str">
        <f t="shared" si="1324"/>
        <v>F2Q10A</v>
      </c>
      <c r="Z577" s="1012" t="str">
        <f t="shared" si="1324"/>
        <v>F3Q10A</v>
      </c>
      <c r="AA577" s="1012" t="str">
        <f t="shared" si="1324"/>
        <v>F4Q10A</v>
      </c>
      <c r="AB577" s="1012" t="str">
        <f t="shared" si="1324"/>
        <v>F1Q11A</v>
      </c>
      <c r="AC577" s="1012" t="str">
        <f t="shared" si="1324"/>
        <v>F2Q11A</v>
      </c>
      <c r="AD577" s="1012" t="str">
        <f t="shared" si="1324"/>
        <v>F3Q11A</v>
      </c>
      <c r="AE577" s="1012" t="str">
        <f t="shared" si="1324"/>
        <v>F4Q11A</v>
      </c>
      <c r="AF577" s="1012" t="str">
        <f t="shared" si="1324"/>
        <v>F1Q12A</v>
      </c>
      <c r="AG577" s="1012" t="str">
        <f t="shared" si="1324"/>
        <v>F2Q12A</v>
      </c>
      <c r="AH577" s="1012" t="str">
        <f t="shared" si="1324"/>
        <v>F3Q12A</v>
      </c>
      <c r="AI577" s="1012" t="str">
        <f t="shared" si="1324"/>
        <v>F4Q12A</v>
      </c>
      <c r="AJ577" s="1012" t="str">
        <f t="shared" si="1324"/>
        <v>F1Q13A</v>
      </c>
      <c r="AK577" s="1012" t="str">
        <f t="shared" si="1324"/>
        <v>F2Q13A</v>
      </c>
      <c r="AL577" s="1012" t="str">
        <f t="shared" si="1324"/>
        <v>F3Q13A</v>
      </c>
      <c r="AM577" s="1012" t="str">
        <f t="shared" si="1324"/>
        <v>F4Q13A</v>
      </c>
      <c r="AN577" s="1012" t="str">
        <f t="shared" si="1324"/>
        <v>F1Q14A</v>
      </c>
      <c r="AO577" s="1012" t="str">
        <f t="shared" si="1324"/>
        <v>F2Q14A</v>
      </c>
      <c r="AP577" s="1012" t="str">
        <f t="shared" si="1324"/>
        <v>F3Q14A</v>
      </c>
      <c r="AQ577" s="1012" t="str">
        <f t="shared" si="1324"/>
        <v>F4Q14A</v>
      </c>
      <c r="AR577" s="1012" t="str">
        <f t="shared" si="1324"/>
        <v>F1Q15A</v>
      </c>
      <c r="AS577" s="1012" t="str">
        <f t="shared" si="1324"/>
        <v>F2Q15A</v>
      </c>
      <c r="AT577" s="1012" t="str">
        <f t="shared" si="1324"/>
        <v>F3Q15A</v>
      </c>
      <c r="AU577" s="1012" t="str">
        <f t="shared" si="1324"/>
        <v>F4Q15A</v>
      </c>
      <c r="AV577" s="1012" t="str">
        <f t="shared" si="1324"/>
        <v>F1Q16A</v>
      </c>
      <c r="AW577" s="1012" t="str">
        <f t="shared" si="1324"/>
        <v>F2Q16A</v>
      </c>
      <c r="AX577" s="1012" t="str">
        <f t="shared" si="1324"/>
        <v>F3Q16A</v>
      </c>
      <c r="AY577" s="1012" t="str">
        <f t="shared" si="1324"/>
        <v>F4Q16A</v>
      </c>
      <c r="AZ577" s="1012" t="str">
        <f t="shared" si="1324"/>
        <v>F1Q17A</v>
      </c>
      <c r="BA577" s="1012" t="str">
        <f t="shared" si="1324"/>
        <v>F2Q17A</v>
      </c>
      <c r="BB577" s="1012" t="str">
        <f t="shared" si="1324"/>
        <v>F3Q17A</v>
      </c>
      <c r="BC577" s="1012" t="str">
        <f t="shared" si="1324"/>
        <v>F4Q17A</v>
      </c>
      <c r="BD577" s="1012"/>
      <c r="BE577" s="1012"/>
      <c r="BF577" s="1012"/>
      <c r="BG577" s="1012"/>
      <c r="BH577" s="1012"/>
      <c r="BI577" s="1012"/>
      <c r="BJ577" s="1012"/>
      <c r="BK577" s="1012"/>
      <c r="BL577" s="1012"/>
      <c r="BM577" s="1012"/>
      <c r="BN577" s="1012"/>
      <c r="BO577" s="1012"/>
      <c r="BP577" s="652"/>
      <c r="BQ577" s="1012" t="str">
        <f t="shared" ref="BQ577:CF577" si="1325">BQ$6</f>
        <v>FY2005A</v>
      </c>
      <c r="BR577" s="1012" t="str">
        <f t="shared" si="1325"/>
        <v>FY2006A</v>
      </c>
      <c r="BS577" s="1012" t="str">
        <f t="shared" si="1325"/>
        <v>FY2007A</v>
      </c>
      <c r="BT577" s="1012" t="str">
        <f t="shared" si="1325"/>
        <v>FY2008A</v>
      </c>
      <c r="BU577" s="1012" t="str">
        <f t="shared" si="1325"/>
        <v>FY2009A</v>
      </c>
      <c r="BV577" s="1012" t="str">
        <f t="shared" si="1325"/>
        <v>FY2010A</v>
      </c>
      <c r="BW577" s="1012" t="str">
        <f t="shared" si="1325"/>
        <v>FY2011A</v>
      </c>
      <c r="BX577" s="1012" t="str">
        <f t="shared" si="1325"/>
        <v>FY2012A</v>
      </c>
      <c r="BY577" s="1012" t="str">
        <f t="shared" si="1325"/>
        <v>FY2013A</v>
      </c>
      <c r="BZ577" s="1012" t="str">
        <f t="shared" si="1325"/>
        <v>FY2014A</v>
      </c>
      <c r="CA577" s="1012" t="str">
        <f t="shared" si="1325"/>
        <v>FY2015A</v>
      </c>
      <c r="CB577" s="1012" t="str">
        <f t="shared" si="1325"/>
        <v>FY2016A</v>
      </c>
      <c r="CC577" s="1012" t="str">
        <f t="shared" si="1325"/>
        <v>FY2017E</v>
      </c>
      <c r="CD577" s="1012" t="str">
        <f t="shared" si="1325"/>
        <v>FY2018E</v>
      </c>
      <c r="CE577" s="1012" t="str">
        <f t="shared" si="1325"/>
        <v>FY2019E</v>
      </c>
      <c r="CF577" s="1012" t="str">
        <f t="shared" si="1325"/>
        <v>FY2020E</v>
      </c>
      <c r="CG577" s="318"/>
    </row>
    <row r="578" spans="1:88" ht="14.25" hidden="1" customHeight="1" outlineLevel="1">
      <c r="B578" s="989" t="s">
        <v>344</v>
      </c>
      <c r="C578" s="318"/>
      <c r="D578" s="1069">
        <f t="shared" ref="D578:AF578" si="1326">D558/D568</f>
        <v>0.29071077666832584</v>
      </c>
      <c r="E578" s="1069">
        <f t="shared" si="1326"/>
        <v>0.27094767529131719</v>
      </c>
      <c r="F578" s="1069">
        <f t="shared" si="1326"/>
        <v>0.25915206524220102</v>
      </c>
      <c r="G578" s="1069">
        <f t="shared" si="1326"/>
        <v>0.264984492880394</v>
      </c>
      <c r="H578" s="1070">
        <f t="shared" si="1326"/>
        <v>0.26735989653868525</v>
      </c>
      <c r="I578" s="1070">
        <f t="shared" si="1326"/>
        <v>0.27261446690324892</v>
      </c>
      <c r="J578" s="1070">
        <f t="shared" si="1326"/>
        <v>0.26843144240414812</v>
      </c>
      <c r="K578" s="1070">
        <f t="shared" si="1326"/>
        <v>0.25945114166909833</v>
      </c>
      <c r="L578" s="1070">
        <f t="shared" si="1326"/>
        <v>0.26254604707470486</v>
      </c>
      <c r="M578" s="1070">
        <f t="shared" si="1326"/>
        <v>0.25805446127509707</v>
      </c>
      <c r="N578" s="1070">
        <f t="shared" si="1326"/>
        <v>0.25807410240553186</v>
      </c>
      <c r="O578" s="1070">
        <f t="shared" si="1326"/>
        <v>0.26373406149853906</v>
      </c>
      <c r="P578" s="1070">
        <f t="shared" si="1326"/>
        <v>0.28006004156629261</v>
      </c>
      <c r="Q578" s="1070">
        <f t="shared" si="1326"/>
        <v>0.27291424463031499</v>
      </c>
      <c r="R578" s="1070">
        <f t="shared" si="1326"/>
        <v>0.25820346475656281</v>
      </c>
      <c r="S578" s="1070">
        <f t="shared" si="1326"/>
        <v>0.26878757200630543</v>
      </c>
      <c r="T578" s="1070">
        <f t="shared" si="1326"/>
        <v>0.27540274140881632</v>
      </c>
      <c r="U578" s="1070">
        <f t="shared" si="1326"/>
        <v>0.25087452494916007</v>
      </c>
      <c r="V578" s="1070">
        <f t="shared" si="1326"/>
        <v>0.25278092059834784</v>
      </c>
      <c r="W578" s="1070">
        <f t="shared" si="1326"/>
        <v>0.27191090588075512</v>
      </c>
      <c r="X578" s="1070">
        <f t="shared" si="1326"/>
        <v>0.28273102658673482</v>
      </c>
      <c r="Y578" s="1070">
        <f t="shared" si="1326"/>
        <v>0.28007698473440162</v>
      </c>
      <c r="Z578" s="1070">
        <f t="shared" si="1326"/>
        <v>0.28389804216946191</v>
      </c>
      <c r="AA578" s="1070">
        <f t="shared" si="1326"/>
        <v>0.28318961210972438</v>
      </c>
      <c r="AB578" s="1070">
        <f t="shared" si="1326"/>
        <v>0.28230107439756758</v>
      </c>
      <c r="AC578" s="1070">
        <f t="shared" si="1326"/>
        <v>0.2776905501896611</v>
      </c>
      <c r="AD578" s="1070">
        <f t="shared" si="1326"/>
        <v>0.27227689566617924</v>
      </c>
      <c r="AE578" s="1070">
        <f t="shared" si="1326"/>
        <v>0.2714775004492922</v>
      </c>
      <c r="AF578" s="1070">
        <f t="shared" si="1326"/>
        <v>0.26886723026403414</v>
      </c>
      <c r="AG578" s="1071"/>
      <c r="AH578" s="1025"/>
      <c r="AI578" s="1025"/>
      <c r="AJ578" s="1017"/>
      <c r="AK578" s="1017"/>
      <c r="AL578" s="1017"/>
      <c r="AM578" s="1017"/>
      <c r="AN578" s="1017"/>
      <c r="AO578" s="1017"/>
      <c r="AP578" s="1017"/>
      <c r="AQ578" s="1017"/>
      <c r="AR578" s="1017"/>
      <c r="AS578" s="1017"/>
      <c r="AT578" s="1017"/>
      <c r="AU578" s="1017"/>
      <c r="AV578" s="1017"/>
      <c r="AW578" s="1017"/>
      <c r="AX578" s="1017"/>
      <c r="AY578" s="1017"/>
      <c r="AZ578" s="1017"/>
      <c r="BA578" s="1017"/>
      <c r="BB578" s="1017"/>
      <c r="BC578" s="1017"/>
      <c r="BD578" s="1017"/>
      <c r="BE578" s="1017"/>
      <c r="BF578" s="1017"/>
      <c r="BG578" s="1017"/>
      <c r="BH578" s="1017"/>
      <c r="BI578" s="1017"/>
      <c r="BJ578" s="1017"/>
      <c r="BK578" s="1017"/>
      <c r="BL578" s="1017"/>
      <c r="BM578" s="1017"/>
      <c r="BN578" s="1017"/>
      <c r="BO578" s="1017"/>
      <c r="BP578" s="1018"/>
      <c r="BQ578" s="427">
        <f t="shared" ref="BQ578:BW585" si="1327">BQ558/BQ568</f>
        <v>0.27032720452365144</v>
      </c>
      <c r="BR578" s="1072">
        <f t="shared" si="1327"/>
        <v>0.26692926782593246</v>
      </c>
      <c r="BS578" s="1072">
        <f t="shared" si="1327"/>
        <v>0.2606140681226104</v>
      </c>
      <c r="BT578" s="318">
        <f t="shared" si="1327"/>
        <v>0.26942241728274069</v>
      </c>
      <c r="BU578" s="318">
        <f t="shared" si="1327"/>
        <v>0.26189168843715249</v>
      </c>
      <c r="BV578" s="318">
        <f t="shared" si="1327"/>
        <v>0.28248431016817366</v>
      </c>
      <c r="BW578" s="318">
        <f t="shared" si="1327"/>
        <v>0.27594671653375258</v>
      </c>
      <c r="BX578" s="318"/>
      <c r="BY578" s="318"/>
      <c r="BZ578" s="318"/>
      <c r="CA578" s="318"/>
      <c r="CB578" s="318"/>
      <c r="CC578" s="318"/>
      <c r="CD578" s="318"/>
      <c r="CE578" s="318"/>
      <c r="CF578" s="318"/>
      <c r="CG578" s="318"/>
    </row>
    <row r="579" spans="1:88" ht="14.25" hidden="1" customHeight="1" outlineLevel="1">
      <c r="B579" s="989" t="s">
        <v>346</v>
      </c>
      <c r="C579" s="318"/>
      <c r="D579" s="1069">
        <f t="shared" ref="D579:AF579" si="1328">D559/D569</f>
        <v>0.41669717050913818</v>
      </c>
      <c r="E579" s="1069">
        <f t="shared" si="1328"/>
        <v>0.39815586337457337</v>
      </c>
      <c r="F579" s="1069">
        <f t="shared" si="1328"/>
        <v>0.38068476408447199</v>
      </c>
      <c r="G579" s="1069">
        <f t="shared" si="1328"/>
        <v>0.37698681145583318</v>
      </c>
      <c r="H579" s="1070">
        <f t="shared" si="1328"/>
        <v>0.37970528447246243</v>
      </c>
      <c r="I579" s="1070">
        <f t="shared" si="1328"/>
        <v>0.39436255471288373</v>
      </c>
      <c r="J579" s="1070">
        <f t="shared" si="1328"/>
        <v>0.37910228858492256</v>
      </c>
      <c r="K579" s="1070">
        <f t="shared" si="1328"/>
        <v>0.38095117619617014</v>
      </c>
      <c r="L579" s="1070">
        <f t="shared" si="1328"/>
        <v>0.34666507106472588</v>
      </c>
      <c r="M579" s="1070">
        <f t="shared" si="1328"/>
        <v>0.35643826054621458</v>
      </c>
      <c r="N579" s="1070">
        <f t="shared" si="1328"/>
        <v>0.34310813452876882</v>
      </c>
      <c r="O579" s="1070">
        <f t="shared" si="1328"/>
        <v>0.33473856862612106</v>
      </c>
      <c r="P579" s="1070">
        <f t="shared" si="1328"/>
        <v>0.36107150435614938</v>
      </c>
      <c r="Q579" s="1070">
        <f t="shared" si="1328"/>
        <v>0.36133184242464167</v>
      </c>
      <c r="R579" s="1070">
        <f t="shared" si="1328"/>
        <v>0.34657154645981192</v>
      </c>
      <c r="S579" s="1070">
        <f t="shared" si="1328"/>
        <v>0.36947266278655022</v>
      </c>
      <c r="T579" s="1070">
        <f t="shared" si="1328"/>
        <v>0.38412612625843545</v>
      </c>
      <c r="U579" s="1070">
        <f t="shared" si="1328"/>
        <v>0.33472353510620123</v>
      </c>
      <c r="V579" s="1070">
        <f t="shared" si="1328"/>
        <v>0.32136712719040456</v>
      </c>
      <c r="W579" s="1070">
        <f t="shared" si="1328"/>
        <v>0.33798759901114611</v>
      </c>
      <c r="X579" s="1070">
        <f t="shared" si="1328"/>
        <v>0.34786047451621632</v>
      </c>
      <c r="Y579" s="1070">
        <f t="shared" si="1328"/>
        <v>0.33542282623893199</v>
      </c>
      <c r="Z579" s="1070">
        <f t="shared" si="1328"/>
        <v>0.34702239927026063</v>
      </c>
      <c r="AA579" s="1070">
        <f t="shared" si="1328"/>
        <v>0.34811041763825817</v>
      </c>
      <c r="AB579" s="1070">
        <f t="shared" si="1328"/>
        <v>0.34192416143888488</v>
      </c>
      <c r="AC579" s="1070">
        <f t="shared" si="1328"/>
        <v>0.3345145703857127</v>
      </c>
      <c r="AD579" s="1070">
        <f t="shared" si="1328"/>
        <v>0.31126331496691151</v>
      </c>
      <c r="AE579" s="1070">
        <f t="shared" si="1328"/>
        <v>0.30398833312227963</v>
      </c>
      <c r="AF579" s="1070">
        <f t="shared" si="1328"/>
        <v>0.33466789997440965</v>
      </c>
      <c r="AG579" s="1071"/>
      <c r="AH579" s="1025"/>
      <c r="AI579" s="1025"/>
      <c r="AJ579" s="1017"/>
      <c r="AK579" s="1017"/>
      <c r="AL579" s="1017"/>
      <c r="AM579" s="1017"/>
      <c r="AN579" s="1017"/>
      <c r="AO579" s="1017"/>
      <c r="AP579" s="1017"/>
      <c r="AQ579" s="1017"/>
      <c r="AR579" s="1017"/>
      <c r="AS579" s="1017"/>
      <c r="AT579" s="1017"/>
      <c r="AU579" s="1017"/>
      <c r="AV579" s="1017"/>
      <c r="AW579" s="1017"/>
      <c r="AX579" s="1017"/>
      <c r="AY579" s="1017"/>
      <c r="AZ579" s="1017"/>
      <c r="BA579" s="1017"/>
      <c r="BB579" s="1017"/>
      <c r="BC579" s="1017"/>
      <c r="BD579" s="1017"/>
      <c r="BE579" s="1017"/>
      <c r="BF579" s="1017"/>
      <c r="BG579" s="1017"/>
      <c r="BH579" s="1017"/>
      <c r="BI579" s="1017"/>
      <c r="BJ579" s="1017"/>
      <c r="BK579" s="1017"/>
      <c r="BL579" s="1017"/>
      <c r="BM579" s="1017"/>
      <c r="BN579" s="1017"/>
      <c r="BO579" s="1017"/>
      <c r="BP579" s="1018"/>
      <c r="BQ579" s="427">
        <f t="shared" si="1327"/>
        <v>0.39186419549223528</v>
      </c>
      <c r="BR579" s="1072">
        <f t="shared" si="1327"/>
        <v>0.38353342220494036</v>
      </c>
      <c r="BS579" s="1072">
        <f t="shared" si="1327"/>
        <v>0.34488822366212829</v>
      </c>
      <c r="BT579" s="318">
        <f t="shared" si="1327"/>
        <v>0.35887627734770877</v>
      </c>
      <c r="BU579" s="318">
        <f t="shared" si="1327"/>
        <v>0.34088409264138336</v>
      </c>
      <c r="BV579" s="318">
        <f t="shared" si="1327"/>
        <v>0.34452910704409678</v>
      </c>
      <c r="BW579" s="318">
        <f t="shared" si="1327"/>
        <v>0.32365962485461736</v>
      </c>
      <c r="BX579" s="318"/>
      <c r="BY579" s="318"/>
      <c r="BZ579" s="318"/>
      <c r="CA579" s="318"/>
      <c r="CB579" s="318"/>
      <c r="CC579" s="318"/>
      <c r="CD579" s="318"/>
      <c r="CE579" s="318"/>
      <c r="CF579" s="318"/>
      <c r="CG579" s="318"/>
    </row>
    <row r="580" spans="1:88" ht="14.25" hidden="1" customHeight="1" outlineLevel="1">
      <c r="B580" s="989" t="s">
        <v>345</v>
      </c>
      <c r="C580" s="318"/>
      <c r="D580" s="1069">
        <f t="shared" ref="D580:AF580" si="1329">D560/D570</f>
        <v>1.0447134444645132</v>
      </c>
      <c r="E580" s="1069">
        <f t="shared" si="1329"/>
        <v>0.99636926285744276</v>
      </c>
      <c r="F580" s="1069">
        <f t="shared" si="1329"/>
        <v>0.91712123800315715</v>
      </c>
      <c r="G580" s="1069">
        <f t="shared" si="1329"/>
        <v>0.88657468132835615</v>
      </c>
      <c r="H580" s="1070">
        <f t="shared" si="1329"/>
        <v>0.8958246646044008</v>
      </c>
      <c r="I580" s="1070">
        <f t="shared" si="1329"/>
        <v>0.8813754337771319</v>
      </c>
      <c r="J580" s="1070">
        <f t="shared" si="1329"/>
        <v>0.85366688919506273</v>
      </c>
      <c r="K580" s="1070">
        <f t="shared" si="1329"/>
        <v>0.86760439209081663</v>
      </c>
      <c r="L580" s="1070">
        <f t="shared" si="1329"/>
        <v>0.84100470860232623</v>
      </c>
      <c r="M580" s="1070">
        <f t="shared" si="1329"/>
        <v>0.84400875390226526</v>
      </c>
      <c r="N580" s="1070">
        <f t="shared" si="1329"/>
        <v>0.8660621156655387</v>
      </c>
      <c r="O580" s="1070">
        <f t="shared" si="1329"/>
        <v>0.83638025972428975</v>
      </c>
      <c r="P580" s="1070">
        <f t="shared" si="1329"/>
        <v>0.80207670512648255</v>
      </c>
      <c r="Q580" s="1070">
        <f t="shared" si="1329"/>
        <v>0.79172511815787316</v>
      </c>
      <c r="R580" s="1070">
        <f t="shared" si="1329"/>
        <v>0.79729971060526039</v>
      </c>
      <c r="S580" s="1070">
        <f t="shared" si="1329"/>
        <v>0.72871178136006021</v>
      </c>
      <c r="T580" s="1070">
        <f t="shared" si="1329"/>
        <v>0.7699846902387536</v>
      </c>
      <c r="U580" s="1070">
        <f t="shared" si="1329"/>
        <v>0.74888257664828284</v>
      </c>
      <c r="V580" s="1070">
        <f t="shared" si="1329"/>
        <v>0.73882161713980821</v>
      </c>
      <c r="W580" s="1070">
        <f t="shared" si="1329"/>
        <v>0.74373306548694995</v>
      </c>
      <c r="X580" s="1070">
        <f t="shared" si="1329"/>
        <v>0.72309541256864374</v>
      </c>
      <c r="Y580" s="1070">
        <f t="shared" si="1329"/>
        <v>0.69455570734114291</v>
      </c>
      <c r="Z580" s="1070">
        <f t="shared" si="1329"/>
        <v>0.70871529238167941</v>
      </c>
      <c r="AA580" s="1070">
        <f t="shared" si="1329"/>
        <v>0.73461184830303961</v>
      </c>
      <c r="AB580" s="1070">
        <f t="shared" si="1329"/>
        <v>0.72350119153999748</v>
      </c>
      <c r="AC580" s="1070">
        <f t="shared" si="1329"/>
        <v>0.73003902796542486</v>
      </c>
      <c r="AD580" s="1070">
        <f t="shared" si="1329"/>
        <v>0.75011501548597215</v>
      </c>
      <c r="AE580" s="1070">
        <f t="shared" si="1329"/>
        <v>0.75272464862737709</v>
      </c>
      <c r="AF580" s="1070">
        <f t="shared" si="1329"/>
        <v>0.74311264535141575</v>
      </c>
      <c r="AG580" s="1071"/>
      <c r="AH580" s="1025"/>
      <c r="AI580" s="1025"/>
      <c r="AJ580" s="1017"/>
      <c r="AK580" s="1017"/>
      <c r="AL580" s="1017"/>
      <c r="AM580" s="1017"/>
      <c r="AN580" s="1017"/>
      <c r="AO580" s="1017"/>
      <c r="AP580" s="1017"/>
      <c r="AQ580" s="1017"/>
      <c r="AR580" s="1017"/>
      <c r="AS580" s="1017"/>
      <c r="AT580" s="1017"/>
      <c r="AU580" s="1017"/>
      <c r="AV580" s="1017"/>
      <c r="AW580" s="1017"/>
      <c r="AX580" s="1017"/>
      <c r="AY580" s="1017"/>
      <c r="AZ580" s="1017"/>
      <c r="BA580" s="1017"/>
      <c r="BB580" s="1017"/>
      <c r="BC580" s="1017"/>
      <c r="BD580" s="1017"/>
      <c r="BE580" s="1017"/>
      <c r="BF580" s="1017"/>
      <c r="BG580" s="1017"/>
      <c r="BH580" s="1017"/>
      <c r="BI580" s="1017"/>
      <c r="BJ580" s="1017"/>
      <c r="BK580" s="1017"/>
      <c r="BL580" s="1017"/>
      <c r="BM580" s="1017"/>
      <c r="BN580" s="1017"/>
      <c r="BO580" s="1017"/>
      <c r="BP580" s="1018"/>
      <c r="BQ580" s="427">
        <f t="shared" si="1327"/>
        <v>0.95180140228211552</v>
      </c>
      <c r="BR580" s="1072">
        <f t="shared" si="1327"/>
        <v>0.87398678450758138</v>
      </c>
      <c r="BS580" s="1072">
        <f t="shared" si="1327"/>
        <v>0.84698770870258711</v>
      </c>
      <c r="BT580" s="318">
        <f t="shared" si="1327"/>
        <v>0.78228608759600238</v>
      </c>
      <c r="BU580" s="318">
        <f t="shared" si="1327"/>
        <v>0.74825551451213101</v>
      </c>
      <c r="BV580" s="318">
        <f t="shared" si="1327"/>
        <v>0.71493617780248009</v>
      </c>
      <c r="BW580" s="318">
        <f t="shared" si="1327"/>
        <v>0.73867712237388472</v>
      </c>
      <c r="BX580" s="318"/>
      <c r="BY580" s="318"/>
      <c r="BZ580" s="318"/>
      <c r="CA580" s="318"/>
      <c r="CB580" s="318"/>
      <c r="CC580" s="318"/>
      <c r="CD580" s="318"/>
      <c r="CE580" s="318"/>
      <c r="CF580" s="318"/>
      <c r="CG580" s="318"/>
    </row>
    <row r="581" spans="1:88" ht="14.25" hidden="1" customHeight="1" outlineLevel="1">
      <c r="B581" s="988" t="s">
        <v>312</v>
      </c>
      <c r="C581" s="318"/>
      <c r="D581" s="1073">
        <f t="shared" ref="D581:AF581" si="1330">D561/D571</f>
        <v>0.58853759415106188</v>
      </c>
      <c r="E581" s="1073">
        <f t="shared" si="1330"/>
        <v>0.56021433282160615</v>
      </c>
      <c r="F581" s="1073">
        <f t="shared" si="1330"/>
        <v>0.53680578780224875</v>
      </c>
      <c r="G581" s="1073">
        <f t="shared" si="1330"/>
        <v>0.52937404767772667</v>
      </c>
      <c r="H581" s="1074">
        <f t="shared" si="1330"/>
        <v>0.5329491411988464</v>
      </c>
      <c r="I581" s="1074">
        <f t="shared" si="1330"/>
        <v>0.53506310536046919</v>
      </c>
      <c r="J581" s="1074">
        <f t="shared" si="1330"/>
        <v>0.52161151242591919</v>
      </c>
      <c r="K581" s="1074">
        <f t="shared" si="1330"/>
        <v>0.52407695550804545</v>
      </c>
      <c r="L581" s="1074">
        <f t="shared" si="1330"/>
        <v>0.49139986208368114</v>
      </c>
      <c r="M581" s="1074">
        <f t="shared" si="1330"/>
        <v>0.49383912483890857</v>
      </c>
      <c r="N581" s="1074">
        <f t="shared" si="1330"/>
        <v>0.49093766064589817</v>
      </c>
      <c r="O581" s="1074">
        <f t="shared" si="1330"/>
        <v>0.48051092250070526</v>
      </c>
      <c r="P581" s="1074">
        <f t="shared" si="1330"/>
        <v>0.48480861279254645</v>
      </c>
      <c r="Q581" s="1074">
        <f t="shared" si="1330"/>
        <v>0.47592265353571273</v>
      </c>
      <c r="R581" s="1074">
        <f t="shared" si="1330"/>
        <v>0.46667618236194591</v>
      </c>
      <c r="S581" s="1074">
        <f t="shared" si="1330"/>
        <v>0.45395271331644305</v>
      </c>
      <c r="T581" s="1074">
        <f t="shared" si="1330"/>
        <v>0.48230346521737677</v>
      </c>
      <c r="U581" s="1074">
        <f t="shared" si="1330"/>
        <v>0.45873977224959855</v>
      </c>
      <c r="V581" s="1074">
        <f t="shared" si="1330"/>
        <v>0.44690267662960054</v>
      </c>
      <c r="W581" s="1074">
        <f t="shared" si="1330"/>
        <v>0.46479763315160372</v>
      </c>
      <c r="X581" s="1074">
        <f t="shared" si="1330"/>
        <v>0.46975821405345441</v>
      </c>
      <c r="Y581" s="1074">
        <f t="shared" si="1330"/>
        <v>0.44984211839977728</v>
      </c>
      <c r="Z581" s="1074">
        <f t="shared" si="1330"/>
        <v>0.45661814013923124</v>
      </c>
      <c r="AA581" s="1074">
        <f t="shared" si="1330"/>
        <v>0.46636059101448718</v>
      </c>
      <c r="AB581" s="1074">
        <f t="shared" si="1330"/>
        <v>0.4661232736059483</v>
      </c>
      <c r="AC581" s="1074">
        <f t="shared" si="1330"/>
        <v>0.45821348961066255</v>
      </c>
      <c r="AD581" s="1074">
        <f t="shared" si="1330"/>
        <v>0.45735510458014533</v>
      </c>
      <c r="AE581" s="1074">
        <f t="shared" si="1330"/>
        <v>0.45986213043579616</v>
      </c>
      <c r="AF581" s="1074">
        <f t="shared" si="1330"/>
        <v>0.46249228361375877</v>
      </c>
      <c r="AG581" s="1071"/>
      <c r="AH581" s="1025"/>
      <c r="AI581" s="1025"/>
      <c r="AJ581" s="1017"/>
      <c r="AK581" s="1017"/>
      <c r="AL581" s="1017"/>
      <c r="AM581" s="1017"/>
      <c r="AN581" s="1017"/>
      <c r="AO581" s="1017"/>
      <c r="AP581" s="1017"/>
      <c r="AQ581" s="1017"/>
      <c r="AR581" s="1017"/>
      <c r="AS581" s="1017"/>
      <c r="AT581" s="1017"/>
      <c r="AU581" s="1017"/>
      <c r="AV581" s="1017"/>
      <c r="AW581" s="1017"/>
      <c r="AX581" s="1017"/>
      <c r="AY581" s="1017"/>
      <c r="AZ581" s="1017"/>
      <c r="BA581" s="1017"/>
      <c r="BB581" s="1017"/>
      <c r="BC581" s="1017"/>
      <c r="BD581" s="1017"/>
      <c r="BE581" s="1017"/>
      <c r="BF581" s="1017"/>
      <c r="BG581" s="1017"/>
      <c r="BH581" s="1017"/>
      <c r="BI581" s="1017"/>
      <c r="BJ581" s="1017"/>
      <c r="BK581" s="1017"/>
      <c r="BL581" s="1017"/>
      <c r="BM581" s="1017"/>
      <c r="BN581" s="1017"/>
      <c r="BO581" s="1017"/>
      <c r="BP581" s="1018"/>
      <c r="BQ581" s="1075">
        <f t="shared" si="1327"/>
        <v>0.55111880902672605</v>
      </c>
      <c r="BR581" s="1076">
        <f t="shared" si="1327"/>
        <v>0.52827827163592744</v>
      </c>
      <c r="BS581" s="1076">
        <f t="shared" si="1327"/>
        <v>0.48898082044329161</v>
      </c>
      <c r="BT581" s="318">
        <f t="shared" si="1327"/>
        <v>0.47066950304511551</v>
      </c>
      <c r="BU581" s="318">
        <f t="shared" si="1327"/>
        <v>0.461389202269815</v>
      </c>
      <c r="BV581" s="318">
        <f t="shared" si="1327"/>
        <v>0.46036806670781211</v>
      </c>
      <c r="BW581" s="318">
        <f t="shared" si="1327"/>
        <v>0.46035516538134996</v>
      </c>
      <c r="BX581" s="318"/>
      <c r="BY581" s="318"/>
      <c r="BZ581" s="318"/>
      <c r="CA581" s="318"/>
      <c r="CB581" s="318"/>
      <c r="CC581" s="318"/>
      <c r="CD581" s="318"/>
      <c r="CE581" s="318"/>
      <c r="CF581" s="318"/>
      <c r="CG581" s="318"/>
    </row>
    <row r="582" spans="1:88" ht="14.25" hidden="1" customHeight="1" outlineLevel="1">
      <c r="B582" s="989" t="s">
        <v>342</v>
      </c>
      <c r="C582" s="318"/>
      <c r="D582" s="1069">
        <f t="shared" ref="D582:AF582" si="1331">D562/D572</f>
        <v>4.9029275448260794</v>
      </c>
      <c r="E582" s="1069">
        <f t="shared" si="1331"/>
        <v>4.7838609947951323</v>
      </c>
      <c r="F582" s="1069">
        <f t="shared" si="1331"/>
        <v>4.5557168031512383</v>
      </c>
      <c r="G582" s="1069">
        <f t="shared" si="1331"/>
        <v>4.5211727571602482</v>
      </c>
      <c r="H582" s="1070">
        <f t="shared" si="1331"/>
        <v>5.4382500879083917</v>
      </c>
      <c r="I582" s="1070">
        <f t="shared" si="1331"/>
        <v>5.1482873168872185</v>
      </c>
      <c r="J582" s="1070">
        <f t="shared" si="1331"/>
        <v>5.5059995014451353</v>
      </c>
      <c r="K582" s="1070">
        <f t="shared" si="1331"/>
        <v>5.4161259541984732</v>
      </c>
      <c r="L582" s="1070">
        <f t="shared" si="1331"/>
        <v>4.9915786995251734</v>
      </c>
      <c r="M582" s="1070">
        <f t="shared" si="1331"/>
        <v>4.771240181342975</v>
      </c>
      <c r="N582" s="1070">
        <f t="shared" si="1331"/>
        <v>4.4240668044877003</v>
      </c>
      <c r="O582" s="1070">
        <f t="shared" si="1331"/>
        <v>4.5467663003663006</v>
      </c>
      <c r="P582" s="1070">
        <f t="shared" si="1331"/>
        <v>5.2277602943131942</v>
      </c>
      <c r="Q582" s="1070">
        <f t="shared" si="1331"/>
        <v>4.9120773134482931</v>
      </c>
      <c r="R582" s="1070">
        <f t="shared" si="1331"/>
        <v>4.2291881273506933</v>
      </c>
      <c r="S582" s="1070">
        <f t="shared" si="1331"/>
        <v>4.3662677592407002</v>
      </c>
      <c r="T582" s="1070">
        <f t="shared" si="1331"/>
        <v>4.5931227712684661</v>
      </c>
      <c r="U582" s="1070">
        <f t="shared" si="1331"/>
        <v>4.2944206626608539</v>
      </c>
      <c r="V582" s="1070">
        <f t="shared" si="1331"/>
        <v>4.0585480698239937</v>
      </c>
      <c r="W582" s="1070">
        <f t="shared" si="1331"/>
        <v>3.8034456677792923</v>
      </c>
      <c r="X582" s="1070">
        <f t="shared" si="1331"/>
        <v>3.5459605338087106</v>
      </c>
      <c r="Y582" s="1070">
        <f t="shared" si="1331"/>
        <v>3.4841680852970165</v>
      </c>
      <c r="Z582" s="1070">
        <f t="shared" si="1331"/>
        <v>3.6068160087419754</v>
      </c>
      <c r="AA582" s="1070">
        <f t="shared" si="1331"/>
        <v>3.5369836614645354</v>
      </c>
      <c r="AB582" s="1070">
        <f t="shared" si="1331"/>
        <v>4.3508222097466058</v>
      </c>
      <c r="AC582" s="1070">
        <f t="shared" si="1331"/>
        <v>5.5094827954995935</v>
      </c>
      <c r="AD582" s="1070">
        <f t="shared" si="1331"/>
        <v>4.9343995083303271</v>
      </c>
      <c r="AE582" s="1070">
        <f t="shared" si="1331"/>
        <v>4.6244606081597901</v>
      </c>
      <c r="AF582" s="1070">
        <f t="shared" si="1331"/>
        <v>5.2395405634999292</v>
      </c>
      <c r="AG582" s="1071"/>
      <c r="AH582" s="1025"/>
      <c r="AI582" s="1025"/>
      <c r="AJ582" s="1017"/>
      <c r="AK582" s="1017"/>
      <c r="AL582" s="1017"/>
      <c r="AM582" s="1017"/>
      <c r="AN582" s="1017"/>
      <c r="AO582" s="1017"/>
      <c r="AP582" s="1017"/>
      <c r="AQ582" s="1017"/>
      <c r="AR582" s="1017"/>
      <c r="AS582" s="1017"/>
      <c r="AT582" s="1017"/>
      <c r="AU582" s="1017"/>
      <c r="AV582" s="1017"/>
      <c r="AW582" s="1017"/>
      <c r="AX582" s="1017"/>
      <c r="AY582" s="1017"/>
      <c r="AZ582" s="1017"/>
      <c r="BA582" s="1017"/>
      <c r="BB582" s="1017"/>
      <c r="BC582" s="1017"/>
      <c r="BD582" s="1017"/>
      <c r="BE582" s="1017"/>
      <c r="BF582" s="1017"/>
      <c r="BG582" s="1017"/>
      <c r="BH582" s="1017"/>
      <c r="BI582" s="1017"/>
      <c r="BJ582" s="1017"/>
      <c r="BK582" s="1017"/>
      <c r="BL582" s="1017"/>
      <c r="BM582" s="1017"/>
      <c r="BN582" s="1017"/>
      <c r="BO582" s="1017"/>
      <c r="BP582" s="1018"/>
      <c r="BQ582" s="427">
        <f t="shared" si="1327"/>
        <v>4.6861857825001989</v>
      </c>
      <c r="BR582" s="1072">
        <f t="shared" si="1327"/>
        <v>5.3750291167532911</v>
      </c>
      <c r="BS582" s="1072">
        <f t="shared" si="1327"/>
        <v>4.6570216181559232</v>
      </c>
      <c r="BT582" s="318">
        <f t="shared" si="1327"/>
        <v>4.6308834278203292</v>
      </c>
      <c r="BU582" s="318">
        <f t="shared" si="1327"/>
        <v>4.120838953410292</v>
      </c>
      <c r="BV582" s="318">
        <f t="shared" si="1327"/>
        <v>3.5451061598836513</v>
      </c>
      <c r="BW582" s="318">
        <f t="shared" si="1327"/>
        <v>4.8210617991205869</v>
      </c>
      <c r="BX582" s="318"/>
      <c r="BY582" s="318"/>
      <c r="BZ582" s="318"/>
      <c r="CA582" s="318"/>
      <c r="CB582" s="318"/>
      <c r="CC582" s="318"/>
      <c r="CD582" s="318"/>
      <c r="CE582" s="318"/>
      <c r="CF582" s="318"/>
      <c r="CG582" s="318"/>
    </row>
    <row r="583" spans="1:88" ht="14.25" hidden="1" customHeight="1" outlineLevel="1">
      <c r="B583" s="989" t="s">
        <v>343</v>
      </c>
      <c r="C583" s="318"/>
      <c r="D583" s="1069">
        <f t="shared" ref="D583:AF583" si="1332">D563/D573</f>
        <v>1.7715434769296552</v>
      </c>
      <c r="E583" s="1069">
        <f t="shared" si="1332"/>
        <v>1.7815596912250966</v>
      </c>
      <c r="F583" s="1069">
        <f t="shared" si="1332"/>
        <v>1.6635829438507934</v>
      </c>
      <c r="G583" s="1069">
        <f t="shared" si="1332"/>
        <v>1.6101598303784987</v>
      </c>
      <c r="H583" s="1070">
        <f t="shared" si="1332"/>
        <v>1.5220134923054571</v>
      </c>
      <c r="I583" s="1070">
        <f t="shared" si="1332"/>
        <v>1.5029877658701181</v>
      </c>
      <c r="J583" s="1070">
        <f t="shared" si="1332"/>
        <v>1.4395487674525256</v>
      </c>
      <c r="K583" s="1070">
        <f t="shared" si="1332"/>
        <v>1.4240551794108445</v>
      </c>
      <c r="L583" s="1070">
        <f t="shared" si="1332"/>
        <v>1.4255751503389531</v>
      </c>
      <c r="M583" s="1070">
        <f t="shared" si="1332"/>
        <v>1.3636568291205473</v>
      </c>
      <c r="N583" s="1070">
        <f t="shared" si="1332"/>
        <v>1.3572310383260144</v>
      </c>
      <c r="O583" s="1070">
        <f t="shared" si="1332"/>
        <v>1.4013582886874894</v>
      </c>
      <c r="P583" s="1070">
        <f t="shared" si="1332"/>
        <v>1.3763444816555783</v>
      </c>
      <c r="Q583" s="1070">
        <f t="shared" si="1332"/>
        <v>1.3037077229945206</v>
      </c>
      <c r="R583" s="1070">
        <f t="shared" si="1332"/>
        <v>1.2075050944933934</v>
      </c>
      <c r="S583" s="1070">
        <f t="shared" si="1332"/>
        <v>1.1862775311620954</v>
      </c>
      <c r="T583" s="1070">
        <f t="shared" si="1332"/>
        <v>1.1724019430280401</v>
      </c>
      <c r="U583" s="1070">
        <f t="shared" si="1332"/>
        <v>1.0769827496581121</v>
      </c>
      <c r="V583" s="1070">
        <f t="shared" si="1332"/>
        <v>1.1350967936648841</v>
      </c>
      <c r="W583" s="1070">
        <f t="shared" si="1332"/>
        <v>1.1217485401401885</v>
      </c>
      <c r="X583" s="1070">
        <f t="shared" si="1332"/>
        <v>1.0610467153533532</v>
      </c>
      <c r="Y583" s="1070">
        <f t="shared" si="1332"/>
        <v>1.0526656049027856</v>
      </c>
      <c r="Z583" s="1070">
        <f t="shared" si="1332"/>
        <v>1.0739214549064289</v>
      </c>
      <c r="AA583" s="1070">
        <f t="shared" si="1332"/>
        <v>1.1304569998173388</v>
      </c>
      <c r="AB583" s="1070">
        <f t="shared" si="1332"/>
        <v>1.0399521973129437</v>
      </c>
      <c r="AC583" s="1070">
        <f t="shared" si="1332"/>
        <v>1.0173217852969116</v>
      </c>
      <c r="AD583" s="1070">
        <f t="shared" si="1332"/>
        <v>1.0511206670598692</v>
      </c>
      <c r="AE583" s="1070">
        <f t="shared" si="1332"/>
        <v>1.1270384292467786</v>
      </c>
      <c r="AF583" s="1070">
        <f t="shared" si="1332"/>
        <v>0.90067760545129782</v>
      </c>
      <c r="AG583" s="1071"/>
      <c r="AH583" s="1025"/>
      <c r="AI583" s="1025"/>
      <c r="AJ583" s="1017"/>
      <c r="AK583" s="1017"/>
      <c r="AL583" s="1017"/>
      <c r="AM583" s="1017"/>
      <c r="AN583" s="1017"/>
      <c r="AO583" s="1017"/>
      <c r="AP583" s="1017"/>
      <c r="AQ583" s="1017"/>
      <c r="AR583" s="1017"/>
      <c r="AS583" s="1017"/>
      <c r="AT583" s="1017"/>
      <c r="AU583" s="1017"/>
      <c r="AV583" s="1017"/>
      <c r="AW583" s="1017"/>
      <c r="AX583" s="1017"/>
      <c r="AY583" s="1017"/>
      <c r="AZ583" s="1017"/>
      <c r="BA583" s="1017"/>
      <c r="BB583" s="1017"/>
      <c r="BC583" s="1017"/>
      <c r="BD583" s="1017"/>
      <c r="BE583" s="1017"/>
      <c r="BF583" s="1017"/>
      <c r="BG583" s="1017"/>
      <c r="BH583" s="1017"/>
      <c r="BI583" s="1017"/>
      <c r="BJ583" s="1017"/>
      <c r="BK583" s="1017"/>
      <c r="BL583" s="1017"/>
      <c r="BM583" s="1017"/>
      <c r="BN583" s="1017"/>
      <c r="BO583" s="1017"/>
      <c r="BP583" s="1018"/>
      <c r="BQ583" s="427">
        <f t="shared" si="1327"/>
        <v>1.7064296358145514</v>
      </c>
      <c r="BR583" s="1072">
        <f t="shared" si="1327"/>
        <v>1.470529186062641</v>
      </c>
      <c r="BS583" s="1072">
        <f t="shared" si="1327"/>
        <v>1.3859798935954877</v>
      </c>
      <c r="BT583" s="318">
        <f t="shared" si="1327"/>
        <v>1.2686096131210427</v>
      </c>
      <c r="BU583" s="318">
        <f t="shared" si="1327"/>
        <v>1.1241007261391427</v>
      </c>
      <c r="BV583" s="318">
        <f t="shared" si="1327"/>
        <v>1.0802193869309329</v>
      </c>
      <c r="BW583" s="318">
        <f t="shared" si="1327"/>
        <v>1.0561912001280667</v>
      </c>
      <c r="BX583" s="318"/>
      <c r="BY583" s="318"/>
      <c r="BZ583" s="318"/>
      <c r="CA583" s="318"/>
      <c r="CB583" s="318"/>
      <c r="CC583" s="318"/>
      <c r="CD583" s="318"/>
      <c r="CE583" s="318"/>
      <c r="CF583" s="318"/>
      <c r="CG583" s="318"/>
    </row>
    <row r="584" spans="1:88" ht="14.25" hidden="1" customHeight="1" outlineLevel="1">
      <c r="B584" s="988" t="s">
        <v>482</v>
      </c>
      <c r="C584" s="318"/>
      <c r="D584" s="1073">
        <f t="shared" ref="D584:AF584" si="1333">D564/D574</f>
        <v>1.9732327009130495</v>
      </c>
      <c r="E584" s="1073">
        <f t="shared" si="1333"/>
        <v>1.995939191828755</v>
      </c>
      <c r="F584" s="1073">
        <f t="shared" si="1333"/>
        <v>1.8649465950923882</v>
      </c>
      <c r="G584" s="1073">
        <f t="shared" si="1333"/>
        <v>1.8214721326031635</v>
      </c>
      <c r="H584" s="1074">
        <f t="shared" si="1333"/>
        <v>1.7676441115974895</v>
      </c>
      <c r="I584" s="1074">
        <f t="shared" si="1333"/>
        <v>1.7392541433051496</v>
      </c>
      <c r="J584" s="1074">
        <f t="shared" si="1333"/>
        <v>1.693483915835017</v>
      </c>
      <c r="K584" s="1074">
        <f t="shared" si="1333"/>
        <v>1.6608586197227739</v>
      </c>
      <c r="L584" s="1074">
        <f t="shared" si="1333"/>
        <v>1.6128211500016691</v>
      </c>
      <c r="M584" s="1074">
        <f t="shared" si="1333"/>
        <v>1.5466904585904604</v>
      </c>
      <c r="N584" s="1074">
        <f t="shared" si="1333"/>
        <v>1.5477255921828612</v>
      </c>
      <c r="O584" s="1074">
        <f t="shared" si="1333"/>
        <v>1.5957119344097255</v>
      </c>
      <c r="P584" s="1074">
        <f t="shared" si="1333"/>
        <v>1.5626179503981283</v>
      </c>
      <c r="Q584" s="1074">
        <f t="shared" si="1333"/>
        <v>1.4957763492787048</v>
      </c>
      <c r="R584" s="1074">
        <f t="shared" si="1333"/>
        <v>1.404881210463081</v>
      </c>
      <c r="S584" s="1074">
        <f t="shared" si="1333"/>
        <v>1.373518162334239</v>
      </c>
      <c r="T584" s="1074">
        <f t="shared" si="1333"/>
        <v>1.3913114821793775</v>
      </c>
      <c r="U584" s="1074">
        <f t="shared" si="1333"/>
        <v>1.2814971899500567</v>
      </c>
      <c r="V584" s="1074">
        <f t="shared" si="1333"/>
        <v>1.3300784424456962</v>
      </c>
      <c r="W584" s="1074">
        <f t="shared" si="1333"/>
        <v>1.3079593284642885</v>
      </c>
      <c r="X584" s="1074">
        <f t="shared" si="1333"/>
        <v>1.2099675251351536</v>
      </c>
      <c r="Y584" s="1074">
        <f t="shared" si="1333"/>
        <v>1.203696066907977</v>
      </c>
      <c r="Z584" s="1074">
        <f t="shared" si="1333"/>
        <v>1.2357633941188657</v>
      </c>
      <c r="AA584" s="1074">
        <f t="shared" si="1333"/>
        <v>1.2828762660348871</v>
      </c>
      <c r="AB584" s="1074">
        <f t="shared" si="1333"/>
        <v>1.1958572271510592</v>
      </c>
      <c r="AC584" s="1074">
        <f t="shared" si="1333"/>
        <v>1.1808380955248161</v>
      </c>
      <c r="AD584" s="1074">
        <f t="shared" si="1333"/>
        <v>1.1995883896036961</v>
      </c>
      <c r="AE584" s="1074">
        <f t="shared" si="1333"/>
        <v>1.2740849106777439</v>
      </c>
      <c r="AF584" s="1074">
        <f t="shared" si="1333"/>
        <v>1.0185889867089262</v>
      </c>
      <c r="AG584" s="1071"/>
      <c r="AH584" s="1025"/>
      <c r="AI584" s="1025"/>
      <c r="AJ584" s="1017"/>
      <c r="AK584" s="1017"/>
      <c r="AL584" s="1017"/>
      <c r="AM584" s="1017"/>
      <c r="AN584" s="1017"/>
      <c r="AO584" s="1017"/>
      <c r="AP584" s="1017"/>
      <c r="AQ584" s="1017"/>
      <c r="AR584" s="1017"/>
      <c r="AS584" s="1017"/>
      <c r="AT584" s="1017"/>
      <c r="AU584" s="1017"/>
      <c r="AV584" s="1017"/>
      <c r="AW584" s="1017"/>
      <c r="AX584" s="1017"/>
      <c r="AY584" s="1017"/>
      <c r="AZ584" s="1017"/>
      <c r="BA584" s="1017"/>
      <c r="BB584" s="1017"/>
      <c r="BC584" s="1017"/>
      <c r="BD584" s="1017"/>
      <c r="BE584" s="1017"/>
      <c r="BF584" s="1017"/>
      <c r="BG584" s="1017"/>
      <c r="BH584" s="1017"/>
      <c r="BI584" s="1017"/>
      <c r="BJ584" s="1017"/>
      <c r="BK584" s="1017"/>
      <c r="BL584" s="1017"/>
      <c r="BM584" s="1017"/>
      <c r="BN584" s="1017"/>
      <c r="BO584" s="1017"/>
      <c r="BP584" s="1018"/>
      <c r="BQ584" s="1075">
        <f t="shared" si="1327"/>
        <v>1.9132723864908978</v>
      </c>
      <c r="BR584" s="1076">
        <f t="shared" si="1327"/>
        <v>1.7138125688503452</v>
      </c>
      <c r="BS584" s="1076">
        <f t="shared" si="1327"/>
        <v>1.5748245870486768</v>
      </c>
      <c r="BT584" s="318">
        <f t="shared" si="1327"/>
        <v>1.4591902519192459</v>
      </c>
      <c r="BU584" s="318">
        <f t="shared" si="1327"/>
        <v>1.3228742085457694</v>
      </c>
      <c r="BV584" s="318">
        <f t="shared" si="1327"/>
        <v>1.2340263941044816</v>
      </c>
      <c r="BW584" s="318">
        <f t="shared" si="1327"/>
        <v>1.2102003933485803</v>
      </c>
      <c r="BX584" s="318"/>
      <c r="BY584" s="318"/>
      <c r="BZ584" s="318"/>
      <c r="CA584" s="318"/>
      <c r="CB584" s="318"/>
      <c r="CC584" s="318"/>
      <c r="CD584" s="318"/>
      <c r="CE584" s="318"/>
      <c r="CF584" s="318"/>
      <c r="CG584" s="318"/>
    </row>
    <row r="585" spans="1:88" s="85" customFormat="1" ht="14.25" hidden="1" customHeight="1" outlineLevel="1">
      <c r="B585" s="988" t="s">
        <v>443</v>
      </c>
      <c r="C585" s="1007"/>
      <c r="D585" s="1074">
        <f t="shared" ref="D585:AF585" si="1334">D565/D575</f>
        <v>0.78271931233463243</v>
      </c>
      <c r="E585" s="1074">
        <f t="shared" si="1334"/>
        <v>0.72639532162290021</v>
      </c>
      <c r="F585" s="1074">
        <f t="shared" si="1334"/>
        <v>0.68342045331222578</v>
      </c>
      <c r="G585" s="1074">
        <f t="shared" si="1334"/>
        <v>0.66272641243172337</v>
      </c>
      <c r="H585" s="1074">
        <f t="shared" si="1334"/>
        <v>0.67008499527626508</v>
      </c>
      <c r="I585" s="1074">
        <f t="shared" si="1334"/>
        <v>0.67417808018091452</v>
      </c>
      <c r="J585" s="1074">
        <f t="shared" si="1334"/>
        <v>0.65672071030640733</v>
      </c>
      <c r="K585" s="1074">
        <f t="shared" si="1334"/>
        <v>0.65503821707583976</v>
      </c>
      <c r="L585" s="1074">
        <f t="shared" si="1334"/>
        <v>0.62815661480236951</v>
      </c>
      <c r="M585" s="1074">
        <f t="shared" si="1334"/>
        <v>0.63025340316893563</v>
      </c>
      <c r="N585" s="1074">
        <f t="shared" si="1334"/>
        <v>0.62250860970739563</v>
      </c>
      <c r="O585" s="1074">
        <f t="shared" si="1334"/>
        <v>0.61741546137372871</v>
      </c>
      <c r="P585" s="1074">
        <f t="shared" si="1334"/>
        <v>0.62989960437674608</v>
      </c>
      <c r="Q585" s="1074">
        <f t="shared" si="1334"/>
        <v>0.60581666130848333</v>
      </c>
      <c r="R585" s="1074">
        <f t="shared" si="1334"/>
        <v>0.58802778445471793</v>
      </c>
      <c r="S585" s="1074">
        <f t="shared" si="1334"/>
        <v>0.57995919081567693</v>
      </c>
      <c r="T585" s="1074">
        <f t="shared" si="1334"/>
        <v>0.59906652955554707</v>
      </c>
      <c r="U585" s="1074">
        <f t="shared" si="1334"/>
        <v>0.56144823399266697</v>
      </c>
      <c r="V585" s="1074">
        <f t="shared" si="1334"/>
        <v>0.56025629064316751</v>
      </c>
      <c r="W585" s="1074">
        <f t="shared" si="1334"/>
        <v>0.57899781605010858</v>
      </c>
      <c r="X585" s="1074">
        <f t="shared" si="1334"/>
        <v>0.57146703576899371</v>
      </c>
      <c r="Y585" s="1074">
        <f t="shared" si="1334"/>
        <v>0.55013740960033553</v>
      </c>
      <c r="Z585" s="1074">
        <f t="shared" si="1334"/>
        <v>0.56477292430681947</v>
      </c>
      <c r="AA585" s="1074">
        <f t="shared" si="1334"/>
        <v>0.58041952757265625</v>
      </c>
      <c r="AB585" s="1074">
        <f t="shared" si="1334"/>
        <v>0.57154210764176883</v>
      </c>
      <c r="AC585" s="1074">
        <f t="shared" si="1334"/>
        <v>0.5574072754607281</v>
      </c>
      <c r="AD585" s="1074">
        <f t="shared" si="1334"/>
        <v>0.56291350532651041</v>
      </c>
      <c r="AE585" s="1074">
        <f t="shared" si="1334"/>
        <v>0.57004633571758778</v>
      </c>
      <c r="AF585" s="1074">
        <f t="shared" si="1334"/>
        <v>0.55405872055293792</v>
      </c>
      <c r="AG585" s="1067"/>
      <c r="AH585" s="1027"/>
      <c r="AI585" s="1027"/>
      <c r="AJ585" s="1027"/>
      <c r="AK585" s="1027"/>
      <c r="AL585" s="1027"/>
      <c r="AM585" s="1027"/>
      <c r="AN585" s="1027"/>
      <c r="AO585" s="1027"/>
      <c r="AP585" s="1027"/>
      <c r="AQ585" s="1027"/>
      <c r="AR585" s="1027"/>
      <c r="AS585" s="1027"/>
      <c r="AT585" s="1027"/>
      <c r="AU585" s="1027"/>
      <c r="AV585" s="1027"/>
      <c r="AW585" s="1027"/>
      <c r="AX585" s="1027"/>
      <c r="AY585" s="1027"/>
      <c r="AZ585" s="1027"/>
      <c r="BA585" s="1027"/>
      <c r="BB585" s="1027"/>
      <c r="BC585" s="1027"/>
      <c r="BD585" s="1027"/>
      <c r="BE585" s="1027"/>
      <c r="BF585" s="1027"/>
      <c r="BG585" s="1027"/>
      <c r="BH585" s="1027"/>
      <c r="BI585" s="1027"/>
      <c r="BJ585" s="1027"/>
      <c r="BK585" s="1027"/>
      <c r="BL585" s="1027"/>
      <c r="BM585" s="1027"/>
      <c r="BN585" s="1027"/>
      <c r="BO585" s="1027"/>
      <c r="BP585" s="1028"/>
      <c r="BQ585" s="1075">
        <f t="shared" si="1327"/>
        <v>0.70927672572075928</v>
      </c>
      <c r="BR585" s="1076">
        <f t="shared" si="1327"/>
        <v>0.66381277342324907</v>
      </c>
      <c r="BS585" s="1076">
        <f t="shared" si="1327"/>
        <v>0.62434780405324275</v>
      </c>
      <c r="BT585" s="1007">
        <f t="shared" si="1327"/>
        <v>0.60090860596546458</v>
      </c>
      <c r="BU585" s="1007">
        <f t="shared" si="1327"/>
        <v>0.57304438865853602</v>
      </c>
      <c r="BV585" s="1007">
        <f t="shared" si="1327"/>
        <v>0.56654950133448101</v>
      </c>
      <c r="BW585" s="1007">
        <f t="shared" si="1327"/>
        <v>0.56526924734650497</v>
      </c>
      <c r="BX585" s="1007"/>
      <c r="BY585" s="1007"/>
      <c r="BZ585" s="1007"/>
      <c r="CA585" s="1007"/>
      <c r="CB585" s="1007"/>
      <c r="CC585" s="1007"/>
      <c r="CD585" s="1007"/>
      <c r="CE585" s="1007"/>
      <c r="CF585" s="1007"/>
      <c r="CG585" s="1007"/>
      <c r="CH585"/>
      <c r="CI585"/>
      <c r="CJ585"/>
    </row>
    <row r="586" spans="1:88" ht="14.25" hidden="1" customHeight="1" outlineLevel="1">
      <c r="A586" s="1"/>
      <c r="B586" s="1006"/>
      <c r="C586" s="1007"/>
      <c r="D586" s="1008"/>
      <c r="E586" s="1008"/>
      <c r="F586" s="1008"/>
      <c r="G586" s="1008"/>
      <c r="H586" s="1008"/>
      <c r="I586" s="1008"/>
      <c r="J586" s="1008"/>
      <c r="K586" s="1008"/>
      <c r="L586" s="1008"/>
      <c r="M586" s="1008"/>
      <c r="N586" s="1008"/>
      <c r="O586" s="1008"/>
      <c r="P586" s="1008"/>
      <c r="Q586" s="1008"/>
      <c r="R586" s="1008"/>
      <c r="S586" s="1008"/>
      <c r="T586" s="1008"/>
      <c r="U586" s="1008"/>
      <c r="V586" s="1008"/>
      <c r="W586" s="1008"/>
      <c r="X586" s="1008"/>
      <c r="Y586" s="1008"/>
      <c r="Z586" s="1008"/>
      <c r="AA586" s="1008"/>
      <c r="AB586" s="1008"/>
      <c r="AC586" s="1008"/>
      <c r="AD586" s="1008"/>
      <c r="AE586" s="1008"/>
      <c r="AF586" s="1008"/>
      <c r="AG586" s="1008"/>
      <c r="AH586" s="1008"/>
      <c r="AI586" s="1008"/>
      <c r="AJ586" s="1008"/>
      <c r="AK586" s="1008"/>
      <c r="AL586" s="1008"/>
      <c r="AM586" s="1008"/>
      <c r="AN586" s="1008"/>
      <c r="AO586" s="1008"/>
      <c r="AP586" s="1008"/>
      <c r="AQ586" s="1008"/>
      <c r="AR586" s="1008"/>
      <c r="AS586" s="1008"/>
      <c r="AT586" s="1008"/>
      <c r="AU586" s="1008"/>
      <c r="AV586" s="1008"/>
      <c r="AW586" s="1008"/>
      <c r="AX586" s="1008"/>
      <c r="AY586" s="1008"/>
      <c r="AZ586" s="1008"/>
      <c r="BA586" s="1008"/>
      <c r="BB586" s="1008"/>
      <c r="BC586" s="1008"/>
      <c r="BD586" s="1008"/>
      <c r="BE586" s="1008"/>
      <c r="BF586" s="1008"/>
      <c r="BG586" s="1008"/>
      <c r="BH586" s="1008"/>
      <c r="BI586" s="1008"/>
      <c r="BJ586" s="1008"/>
      <c r="BK586" s="1008"/>
      <c r="BL586" s="1008"/>
      <c r="BM586" s="1008"/>
      <c r="BN586" s="1008"/>
      <c r="BO586" s="1008"/>
      <c r="BP586" s="1009"/>
      <c r="BQ586" s="173"/>
      <c r="BR586" s="173"/>
      <c r="BS586" s="173"/>
      <c r="BT586" s="1008"/>
      <c r="BU586" s="1008"/>
      <c r="BV586" s="1008"/>
      <c r="BW586" s="1008"/>
      <c r="BX586" s="1008"/>
      <c r="BY586" s="1008"/>
      <c r="BZ586" s="1008"/>
      <c r="CA586" s="1008"/>
      <c r="CB586" s="1008"/>
      <c r="CC586" s="1008"/>
      <c r="CD586" s="1008"/>
      <c r="CE586" s="1008"/>
      <c r="CF586" s="1008"/>
      <c r="CG586" s="363"/>
    </row>
    <row r="587" spans="1:88" ht="14.25" hidden="1" customHeight="1" outlineLevel="1">
      <c r="A587" s="1"/>
      <c r="B587" s="1010" t="s">
        <v>464</v>
      </c>
      <c r="C587" s="1011"/>
      <c r="D587" s="1012" t="str">
        <f t="shared" ref="D587:BC587" si="1335">D$6</f>
        <v>F1Q05A</v>
      </c>
      <c r="E587" s="1012" t="str">
        <f t="shared" si="1335"/>
        <v>F2Q05A</v>
      </c>
      <c r="F587" s="1012" t="str">
        <f t="shared" si="1335"/>
        <v>F3Q05A</v>
      </c>
      <c r="G587" s="1012" t="str">
        <f t="shared" si="1335"/>
        <v>F4Q05A</v>
      </c>
      <c r="H587" s="1012" t="str">
        <f t="shared" si="1335"/>
        <v>F1Q06A</v>
      </c>
      <c r="I587" s="1012" t="str">
        <f t="shared" si="1335"/>
        <v>F2Q06A</v>
      </c>
      <c r="J587" s="1012" t="str">
        <f t="shared" si="1335"/>
        <v>F3Q06A</v>
      </c>
      <c r="K587" s="1012" t="str">
        <f t="shared" si="1335"/>
        <v>F4Q06A</v>
      </c>
      <c r="L587" s="1012" t="str">
        <f t="shared" si="1335"/>
        <v>F1Q07A</v>
      </c>
      <c r="M587" s="1012" t="str">
        <f t="shared" si="1335"/>
        <v>F2Q07A</v>
      </c>
      <c r="N587" s="1012" t="str">
        <f t="shared" si="1335"/>
        <v>F3Q07A</v>
      </c>
      <c r="O587" s="1012" t="str">
        <f t="shared" si="1335"/>
        <v>F4Q07A</v>
      </c>
      <c r="P587" s="1012" t="str">
        <f t="shared" si="1335"/>
        <v>F1Q08A</v>
      </c>
      <c r="Q587" s="1012" t="str">
        <f t="shared" si="1335"/>
        <v>F2Q08A</v>
      </c>
      <c r="R587" s="1012" t="str">
        <f t="shared" si="1335"/>
        <v>F3Q08A</v>
      </c>
      <c r="S587" s="1012" t="str">
        <f t="shared" si="1335"/>
        <v>F4Q08A</v>
      </c>
      <c r="T587" s="1012" t="str">
        <f t="shared" si="1335"/>
        <v>F1Q09A</v>
      </c>
      <c r="U587" s="1012" t="str">
        <f t="shared" si="1335"/>
        <v>F2Q09A</v>
      </c>
      <c r="V587" s="1012" t="str">
        <f t="shared" si="1335"/>
        <v>F3Q09A</v>
      </c>
      <c r="W587" s="1012" t="str">
        <f t="shared" si="1335"/>
        <v>F4Q09A</v>
      </c>
      <c r="X587" s="1012" t="str">
        <f t="shared" si="1335"/>
        <v>F1Q10A</v>
      </c>
      <c r="Y587" s="1012" t="str">
        <f t="shared" si="1335"/>
        <v>F2Q10A</v>
      </c>
      <c r="Z587" s="1012" t="str">
        <f t="shared" si="1335"/>
        <v>F3Q10A</v>
      </c>
      <c r="AA587" s="1012" t="str">
        <f t="shared" si="1335"/>
        <v>F4Q10A</v>
      </c>
      <c r="AB587" s="1012" t="str">
        <f t="shared" si="1335"/>
        <v>F1Q11A</v>
      </c>
      <c r="AC587" s="1012" t="str">
        <f t="shared" si="1335"/>
        <v>F2Q11A</v>
      </c>
      <c r="AD587" s="1012" t="str">
        <f t="shared" si="1335"/>
        <v>F3Q11A</v>
      </c>
      <c r="AE587" s="1012" t="str">
        <f t="shared" si="1335"/>
        <v>F4Q11A</v>
      </c>
      <c r="AF587" s="1012" t="str">
        <f t="shared" si="1335"/>
        <v>F1Q12A</v>
      </c>
      <c r="AG587" s="1012" t="str">
        <f t="shared" si="1335"/>
        <v>F2Q12A</v>
      </c>
      <c r="AH587" s="1012" t="str">
        <f t="shared" si="1335"/>
        <v>F3Q12A</v>
      </c>
      <c r="AI587" s="1012" t="str">
        <f t="shared" si="1335"/>
        <v>F4Q12A</v>
      </c>
      <c r="AJ587" s="1012" t="str">
        <f t="shared" si="1335"/>
        <v>F1Q13A</v>
      </c>
      <c r="AK587" s="1012" t="str">
        <f t="shared" si="1335"/>
        <v>F2Q13A</v>
      </c>
      <c r="AL587" s="1012" t="str">
        <f t="shared" si="1335"/>
        <v>F3Q13A</v>
      </c>
      <c r="AM587" s="1012" t="str">
        <f t="shared" si="1335"/>
        <v>F4Q13A</v>
      </c>
      <c r="AN587" s="1012" t="str">
        <f t="shared" si="1335"/>
        <v>F1Q14A</v>
      </c>
      <c r="AO587" s="1012" t="str">
        <f t="shared" si="1335"/>
        <v>F2Q14A</v>
      </c>
      <c r="AP587" s="1012" t="str">
        <f t="shared" si="1335"/>
        <v>F3Q14A</v>
      </c>
      <c r="AQ587" s="1012" t="str">
        <f t="shared" si="1335"/>
        <v>F4Q14A</v>
      </c>
      <c r="AR587" s="1012" t="str">
        <f t="shared" si="1335"/>
        <v>F1Q15A</v>
      </c>
      <c r="AS587" s="1012" t="str">
        <f t="shared" si="1335"/>
        <v>F2Q15A</v>
      </c>
      <c r="AT587" s="1012" t="str">
        <f t="shared" si="1335"/>
        <v>F3Q15A</v>
      </c>
      <c r="AU587" s="1012" t="str">
        <f t="shared" si="1335"/>
        <v>F4Q15A</v>
      </c>
      <c r="AV587" s="1012" t="str">
        <f t="shared" si="1335"/>
        <v>F1Q16A</v>
      </c>
      <c r="AW587" s="1012" t="str">
        <f t="shared" si="1335"/>
        <v>F2Q16A</v>
      </c>
      <c r="AX587" s="1012" t="str">
        <f t="shared" si="1335"/>
        <v>F3Q16A</v>
      </c>
      <c r="AY587" s="1012" t="str">
        <f t="shared" si="1335"/>
        <v>F4Q16A</v>
      </c>
      <c r="AZ587" s="1012" t="str">
        <f t="shared" si="1335"/>
        <v>F1Q17A</v>
      </c>
      <c r="BA587" s="1012" t="str">
        <f t="shared" si="1335"/>
        <v>F2Q17A</v>
      </c>
      <c r="BB587" s="1012" t="str">
        <f t="shared" si="1335"/>
        <v>F3Q17A</v>
      </c>
      <c r="BC587" s="1012" t="str">
        <f t="shared" si="1335"/>
        <v>F4Q17A</v>
      </c>
      <c r="BD587" s="1012"/>
      <c r="BE587" s="1012"/>
      <c r="BF587" s="1012"/>
      <c r="BG587" s="1012"/>
      <c r="BH587" s="1012"/>
      <c r="BI587" s="1012"/>
      <c r="BJ587" s="1012"/>
      <c r="BK587" s="1012"/>
      <c r="BL587" s="1012"/>
      <c r="BM587" s="1012"/>
      <c r="BN587" s="1012"/>
      <c r="BO587" s="1012"/>
      <c r="BP587" s="652"/>
      <c r="BQ587" s="1012" t="str">
        <f t="shared" ref="BQ587:CF587" si="1336">BQ$6</f>
        <v>FY2005A</v>
      </c>
      <c r="BR587" s="1012" t="str">
        <f t="shared" si="1336"/>
        <v>FY2006A</v>
      </c>
      <c r="BS587" s="1012" t="str">
        <f t="shared" si="1336"/>
        <v>FY2007A</v>
      </c>
      <c r="BT587" s="1012" t="str">
        <f t="shared" si="1336"/>
        <v>FY2008A</v>
      </c>
      <c r="BU587" s="1012" t="str">
        <f t="shared" si="1336"/>
        <v>FY2009A</v>
      </c>
      <c r="BV587" s="1012" t="str">
        <f t="shared" si="1336"/>
        <v>FY2010A</v>
      </c>
      <c r="BW587" s="1012" t="str">
        <f t="shared" si="1336"/>
        <v>FY2011A</v>
      </c>
      <c r="BX587" s="1012" t="str">
        <f t="shared" si="1336"/>
        <v>FY2012A</v>
      </c>
      <c r="BY587" s="1012" t="str">
        <f t="shared" si="1336"/>
        <v>FY2013A</v>
      </c>
      <c r="BZ587" s="1012" t="str">
        <f t="shared" si="1336"/>
        <v>FY2014A</v>
      </c>
      <c r="CA587" s="1012" t="str">
        <f t="shared" si="1336"/>
        <v>FY2015A</v>
      </c>
      <c r="CB587" s="1012" t="str">
        <f t="shared" si="1336"/>
        <v>FY2016A</v>
      </c>
      <c r="CC587" s="1012" t="str">
        <f t="shared" si="1336"/>
        <v>FY2017E</v>
      </c>
      <c r="CD587" s="1012" t="str">
        <f t="shared" si="1336"/>
        <v>FY2018E</v>
      </c>
      <c r="CE587" s="1012" t="str">
        <f t="shared" si="1336"/>
        <v>FY2019E</v>
      </c>
      <c r="CF587" s="1012" t="str">
        <f t="shared" si="1336"/>
        <v>FY2020E</v>
      </c>
      <c r="CG587" s="318"/>
    </row>
    <row r="588" spans="1:88" ht="14.25" hidden="1" customHeight="1" outlineLevel="1">
      <c r="B588" s="989" t="s">
        <v>465</v>
      </c>
      <c r="C588" s="318"/>
      <c r="D588" s="1016">
        <v>173.90964844224294</v>
      </c>
      <c r="E588" s="1016">
        <v>188.88591369084543</v>
      </c>
      <c r="F588" s="1016">
        <v>203.2701681752049</v>
      </c>
      <c r="G588" s="1016">
        <v>237.71110349881246</v>
      </c>
      <c r="H588" s="1015">
        <v>213.83654041771155</v>
      </c>
      <c r="I588" s="1015">
        <v>236.02772347560293</v>
      </c>
      <c r="J588" s="1015">
        <v>253.41035468477475</v>
      </c>
      <c r="K588" s="1015">
        <v>292.8443908471736</v>
      </c>
      <c r="L588" s="1015">
        <v>254.86758900000001</v>
      </c>
      <c r="M588" s="1015">
        <v>266.44064700000001</v>
      </c>
      <c r="N588" s="1015">
        <v>289.84510899999998</v>
      </c>
      <c r="O588" s="1015">
        <v>330.91119299999997</v>
      </c>
      <c r="P588" s="1015">
        <v>290.67547965103205</v>
      </c>
      <c r="Q588" s="1015">
        <v>302.12644473478537</v>
      </c>
      <c r="R588" s="1015">
        <v>305.3219282458806</v>
      </c>
      <c r="S588" s="1015">
        <v>292.16773055793749</v>
      </c>
      <c r="T588" s="1015">
        <v>248.96655679588864</v>
      </c>
      <c r="U588" s="1015">
        <v>281.216454</v>
      </c>
      <c r="V588" s="1015">
        <v>301.09908000000001</v>
      </c>
      <c r="W588" s="1015">
        <v>340.55178599999999</v>
      </c>
      <c r="X588" s="1015">
        <v>310.92998499999999</v>
      </c>
      <c r="Y588" s="1015">
        <v>328.67352299999999</v>
      </c>
      <c r="Z588" s="1015">
        <v>348.97980200000001</v>
      </c>
      <c r="AA588" s="1015">
        <v>402.61337499999996</v>
      </c>
      <c r="AB588" s="1015">
        <v>362.84154000000001</v>
      </c>
      <c r="AC588" s="1015">
        <v>360.80370900000003</v>
      </c>
      <c r="AD588" s="1015">
        <v>385.53671347897961</v>
      </c>
      <c r="AE588" s="1015">
        <v>427.48369982000003</v>
      </c>
      <c r="AF588" s="1015">
        <v>379.11552345672357</v>
      </c>
      <c r="AG588" s="1077">
        <v>389.80798499637706</v>
      </c>
      <c r="AH588" s="1077">
        <v>402.81415587017295</v>
      </c>
      <c r="AI588" s="1077">
        <v>451.68937129446067</v>
      </c>
      <c r="AJ588" s="1077">
        <v>406.34372756554541</v>
      </c>
      <c r="AK588" s="1077">
        <v>413.69565466811321</v>
      </c>
      <c r="AL588" s="1077">
        <v>429.64710155892413</v>
      </c>
      <c r="AM588" s="1077">
        <v>488.55138308920277</v>
      </c>
      <c r="AN588" s="1017"/>
      <c r="AO588" s="1017"/>
      <c r="AP588" s="1017"/>
      <c r="AQ588" s="1077"/>
      <c r="AR588" s="1017"/>
      <c r="AS588" s="1017"/>
      <c r="AT588" s="1017"/>
      <c r="AU588" s="1077"/>
      <c r="AV588" s="1017"/>
      <c r="AW588" s="1017"/>
      <c r="AX588" s="1017"/>
      <c r="AY588" s="1077"/>
      <c r="AZ588" s="1017"/>
      <c r="BA588" s="1017"/>
      <c r="BB588" s="1017"/>
      <c r="BC588" s="1017"/>
      <c r="BD588" s="1017"/>
      <c r="BE588" s="1017"/>
      <c r="BF588" s="1017"/>
      <c r="BG588" s="1017"/>
      <c r="BH588" s="1017"/>
      <c r="BI588" s="1017"/>
      <c r="BJ588" s="1017"/>
      <c r="BK588" s="1017"/>
      <c r="BL588" s="1017"/>
      <c r="BM588" s="1017"/>
      <c r="BN588" s="1017"/>
      <c r="BO588" s="1017"/>
      <c r="BP588" s="1018"/>
      <c r="BQ588" s="131">
        <f>SUM(D588:G588)</f>
        <v>803.77683380710573</v>
      </c>
      <c r="BR588" s="1020">
        <f>SUM(H588:K588)</f>
        <v>996.1190094252629</v>
      </c>
      <c r="BS588" s="1020">
        <f>SUM(L588:O588)</f>
        <v>1142.0645380000001</v>
      </c>
      <c r="BT588" s="318">
        <f>SUM(P588:S588)</f>
        <v>1190.2915831896355</v>
      </c>
      <c r="BU588" s="318">
        <f>SUM(T588:W588)</f>
        <v>1171.8338767958887</v>
      </c>
      <c r="BV588" s="318">
        <f>SUM(X588:AA588)</f>
        <v>1391.1966849999999</v>
      </c>
      <c r="BW588" s="318">
        <f>SUM(AB588:AE588)</f>
        <v>1536.6656622989797</v>
      </c>
      <c r="BX588" s="318">
        <f>SUM(AF588:AI588)</f>
        <v>1623.4270356177342</v>
      </c>
      <c r="BY588" s="318">
        <f>SUM(AJ588:AM588)</f>
        <v>1738.2378668817855</v>
      </c>
      <c r="BZ588" s="318"/>
      <c r="CA588" s="318"/>
      <c r="CB588" s="318"/>
      <c r="CC588" s="318"/>
      <c r="CD588" s="318"/>
      <c r="CE588" s="318"/>
      <c r="CF588" s="318"/>
      <c r="CG588" s="318"/>
    </row>
    <row r="589" spans="1:88" ht="14.25" hidden="1" customHeight="1" outlineLevel="1">
      <c r="B589" s="989" t="s">
        <v>466</v>
      </c>
      <c r="C589" s="318"/>
      <c r="D589" s="1013"/>
      <c r="E589" s="1013"/>
      <c r="F589" s="1013"/>
      <c r="G589" s="1013"/>
      <c r="H589" s="1013"/>
      <c r="I589" s="1013"/>
      <c r="J589" s="1013"/>
      <c r="K589" s="1013"/>
      <c r="L589" s="1015">
        <v>24.682172999999999</v>
      </c>
      <c r="M589" s="1015">
        <v>28.490221999999996</v>
      </c>
      <c r="N589" s="1015">
        <v>32.171437999999995</v>
      </c>
      <c r="O589" s="1015">
        <v>38.584620000000001</v>
      </c>
      <c r="P589" s="1015">
        <v>33.587949000000002</v>
      </c>
      <c r="Q589" s="1015">
        <v>36.623673999999994</v>
      </c>
      <c r="R589" s="1015">
        <v>41.597888999999995</v>
      </c>
      <c r="S589" s="1015">
        <v>38.957085999999997</v>
      </c>
      <c r="T589" s="1015">
        <v>34.845216000000001</v>
      </c>
      <c r="U589" s="1015">
        <v>41.937955930013075</v>
      </c>
      <c r="V589" s="1015">
        <v>42.818545</v>
      </c>
      <c r="W589" s="1015">
        <v>53.807292712714322</v>
      </c>
      <c r="X589" s="1015">
        <v>55.412658999999991</v>
      </c>
      <c r="Y589" s="1015">
        <v>64.413454999999999</v>
      </c>
      <c r="Z589" s="1015">
        <v>82.821638000000007</v>
      </c>
      <c r="AA589" s="1015">
        <v>102.04920800000001</v>
      </c>
      <c r="AB589" s="1015">
        <v>101.685351</v>
      </c>
      <c r="AC589" s="1015">
        <v>108.25429399999999</v>
      </c>
      <c r="AD589" s="1015">
        <v>123.56622900000004</v>
      </c>
      <c r="AE589" s="1015">
        <v>157.82802179999999</v>
      </c>
      <c r="AF589" s="1015">
        <v>134.19515063960799</v>
      </c>
      <c r="AG589" s="1077">
        <v>146.4070471710117</v>
      </c>
      <c r="AH589" s="1077">
        <v>168.27606051994167</v>
      </c>
      <c r="AI589" s="1077">
        <v>187.97423170204266</v>
      </c>
      <c r="AJ589" s="1077">
        <v>164.58462984625697</v>
      </c>
      <c r="AK589" s="1077">
        <v>178.98566957891035</v>
      </c>
      <c r="AL589" s="1077">
        <v>197.34635124517837</v>
      </c>
      <c r="AM589" s="1077">
        <v>225.6008375321388</v>
      </c>
      <c r="AN589" s="1017"/>
      <c r="AO589" s="1017"/>
      <c r="AP589" s="1017"/>
      <c r="AQ589" s="1077"/>
      <c r="AR589" s="1017"/>
      <c r="AS589" s="1017"/>
      <c r="AT589" s="1017"/>
      <c r="AU589" s="1077"/>
      <c r="AV589" s="1017"/>
      <c r="AW589" s="1017"/>
      <c r="AX589" s="1017"/>
      <c r="AY589" s="1077"/>
      <c r="AZ589" s="1017"/>
      <c r="BA589" s="1017"/>
      <c r="BB589" s="1017"/>
      <c r="BC589" s="1017"/>
      <c r="BD589" s="1017"/>
      <c r="BE589" s="1017"/>
      <c r="BF589" s="1017"/>
      <c r="BG589" s="1017"/>
      <c r="BH589" s="1017"/>
      <c r="BI589" s="1017"/>
      <c r="BJ589" s="1017"/>
      <c r="BK589" s="1017"/>
      <c r="BL589" s="1017"/>
      <c r="BM589" s="1017"/>
      <c r="BN589" s="1017"/>
      <c r="BO589" s="1017"/>
      <c r="BP589" s="1018"/>
      <c r="BQ589" s="1019"/>
      <c r="BR589" s="1019"/>
      <c r="BS589" s="1020">
        <f>SUM(L589:O589)</f>
        <v>123.92845299999999</v>
      </c>
      <c r="BT589" s="318">
        <f>SUM(P589:S589)</f>
        <v>150.76659799999999</v>
      </c>
      <c r="BU589" s="318">
        <f>SUM(T589:W589)</f>
        <v>173.4090096427274</v>
      </c>
      <c r="BV589" s="318">
        <f>SUM(X589:AA589)</f>
        <v>304.69695999999999</v>
      </c>
      <c r="BW589" s="318">
        <f>SUM(AB589:AE589)</f>
        <v>491.33389579999999</v>
      </c>
      <c r="BX589" s="318">
        <f>SUM(AF589:AI589)</f>
        <v>636.85249003260401</v>
      </c>
      <c r="BY589" s="318">
        <f>SUM(AJ589:AM589)</f>
        <v>766.51748820248451</v>
      </c>
      <c r="BZ589" s="318"/>
      <c r="CA589" s="318"/>
      <c r="CB589" s="318"/>
      <c r="CC589" s="318"/>
      <c r="CD589" s="318"/>
      <c r="CE589" s="318"/>
      <c r="CF589" s="318"/>
      <c r="CG589" s="318"/>
    </row>
    <row r="590" spans="1:88" ht="14.25" hidden="1" customHeight="1" outlineLevel="1">
      <c r="B590" s="989" t="s">
        <v>467</v>
      </c>
      <c r="C590" s="318"/>
      <c r="D590" s="1078">
        <f t="shared" ref="D590:AM590" si="1337">D588-D589</f>
        <v>173.90964844224294</v>
      </c>
      <c r="E590" s="1078">
        <f t="shared" si="1337"/>
        <v>188.88591369084543</v>
      </c>
      <c r="F590" s="1078">
        <f t="shared" si="1337"/>
        <v>203.2701681752049</v>
      </c>
      <c r="G590" s="1078">
        <f t="shared" si="1337"/>
        <v>237.71110349881246</v>
      </c>
      <c r="H590" s="1078">
        <f t="shared" si="1337"/>
        <v>213.83654041771155</v>
      </c>
      <c r="I590" s="1078">
        <f t="shared" si="1337"/>
        <v>236.02772347560293</v>
      </c>
      <c r="J590" s="1078">
        <f t="shared" si="1337"/>
        <v>253.41035468477475</v>
      </c>
      <c r="K590" s="1078">
        <f t="shared" si="1337"/>
        <v>292.8443908471736</v>
      </c>
      <c r="L590" s="1078">
        <f t="shared" si="1337"/>
        <v>230.185416</v>
      </c>
      <c r="M590" s="1078">
        <f t="shared" si="1337"/>
        <v>237.95042500000002</v>
      </c>
      <c r="N590" s="1078">
        <f t="shared" si="1337"/>
        <v>257.67367100000001</v>
      </c>
      <c r="O590" s="1078">
        <f t="shared" si="1337"/>
        <v>292.32657299999994</v>
      </c>
      <c r="P590" s="1078">
        <f t="shared" si="1337"/>
        <v>257.08753065103207</v>
      </c>
      <c r="Q590" s="1078">
        <f t="shared" si="1337"/>
        <v>265.50277073478537</v>
      </c>
      <c r="R590" s="1078">
        <f t="shared" si="1337"/>
        <v>263.72403924588059</v>
      </c>
      <c r="S590" s="1078">
        <f t="shared" si="1337"/>
        <v>253.21064455793748</v>
      </c>
      <c r="T590" s="1078">
        <f t="shared" si="1337"/>
        <v>214.12134079588864</v>
      </c>
      <c r="U590" s="1078">
        <f t="shared" si="1337"/>
        <v>239.27849806998694</v>
      </c>
      <c r="V590" s="1078">
        <f t="shared" si="1337"/>
        <v>258.28053499999999</v>
      </c>
      <c r="W590" s="1078">
        <f t="shared" si="1337"/>
        <v>286.74449328728565</v>
      </c>
      <c r="X590" s="1078">
        <f t="shared" si="1337"/>
        <v>255.517326</v>
      </c>
      <c r="Y590" s="1078">
        <f t="shared" si="1337"/>
        <v>264.26006799999999</v>
      </c>
      <c r="Z590" s="1078">
        <f t="shared" si="1337"/>
        <v>266.158164</v>
      </c>
      <c r="AA590" s="1078">
        <f t="shared" si="1337"/>
        <v>300.56416699999994</v>
      </c>
      <c r="AB590" s="1078">
        <f t="shared" si="1337"/>
        <v>261.15618900000004</v>
      </c>
      <c r="AC590" s="1078">
        <f t="shared" si="1337"/>
        <v>252.54941500000004</v>
      </c>
      <c r="AD590" s="1078">
        <f t="shared" si="1337"/>
        <v>261.97048447897959</v>
      </c>
      <c r="AE590" s="1078">
        <f t="shared" si="1337"/>
        <v>269.65567802000004</v>
      </c>
      <c r="AF590" s="1078">
        <f t="shared" si="1337"/>
        <v>244.92037281711558</v>
      </c>
      <c r="AG590" s="1079">
        <f t="shared" si="1337"/>
        <v>243.40093782536536</v>
      </c>
      <c r="AH590" s="1079">
        <f t="shared" si="1337"/>
        <v>234.53809535023129</v>
      </c>
      <c r="AI590" s="1079">
        <f t="shared" si="1337"/>
        <v>263.71513959241804</v>
      </c>
      <c r="AJ590" s="1079">
        <f t="shared" si="1337"/>
        <v>241.75909771928843</v>
      </c>
      <c r="AK590" s="1079">
        <f t="shared" si="1337"/>
        <v>234.70998508920286</v>
      </c>
      <c r="AL590" s="1079">
        <f t="shared" si="1337"/>
        <v>232.30075031374577</v>
      </c>
      <c r="AM590" s="1079">
        <f t="shared" si="1337"/>
        <v>262.95054555706395</v>
      </c>
      <c r="AN590" s="1017"/>
      <c r="AO590" s="1017"/>
      <c r="AP590" s="1017"/>
      <c r="AQ590" s="1079"/>
      <c r="AR590" s="1017"/>
      <c r="AS590" s="1017"/>
      <c r="AT590" s="1017"/>
      <c r="AU590" s="1079"/>
      <c r="AV590" s="1017"/>
      <c r="AW590" s="1017"/>
      <c r="AX590" s="1017"/>
      <c r="AY590" s="1079"/>
      <c r="AZ590" s="1017"/>
      <c r="BA590" s="1017"/>
      <c r="BB590" s="1017"/>
      <c r="BC590" s="1017"/>
      <c r="BD590" s="1017"/>
      <c r="BE590" s="1017"/>
      <c r="BF590" s="1017"/>
      <c r="BG590" s="1017"/>
      <c r="BH590" s="1017"/>
      <c r="BI590" s="1017"/>
      <c r="BJ590" s="1017"/>
      <c r="BK590" s="1017"/>
      <c r="BL590" s="1017"/>
      <c r="BM590" s="1017"/>
      <c r="BN590" s="1017"/>
      <c r="BO590" s="1017"/>
      <c r="BP590" s="1018"/>
      <c r="BQ590" s="131">
        <f>SUM(D590:G590)</f>
        <v>803.77683380710573</v>
      </c>
      <c r="BR590" s="1020">
        <f>SUM(H590:K590)</f>
        <v>996.1190094252629</v>
      </c>
      <c r="BS590" s="1020">
        <f>SUM(L590:O590)</f>
        <v>1018.136085</v>
      </c>
      <c r="BT590" s="318">
        <f>SUM(P590:S590)</f>
        <v>1039.5249851896356</v>
      </c>
      <c r="BU590" s="318">
        <f>SUM(T590:W590)</f>
        <v>998.42486715316124</v>
      </c>
      <c r="BV590" s="318">
        <f>SUM(X590:AA590)</f>
        <v>1086.4997249999999</v>
      </c>
      <c r="BW590" s="318">
        <f>SUM(AB590:AE590)</f>
        <v>1045.3317664989797</v>
      </c>
      <c r="BX590" s="318">
        <f>SUM(AF590:AI590)</f>
        <v>986.57454558513029</v>
      </c>
      <c r="BY590" s="318">
        <f>SUM(AJ590:AM590)</f>
        <v>971.72037867930101</v>
      </c>
      <c r="BZ590" s="318"/>
      <c r="CA590" s="318"/>
      <c r="CB590" s="318"/>
      <c r="CC590" s="318"/>
      <c r="CD590" s="318"/>
      <c r="CE590" s="318"/>
      <c r="CF590" s="318"/>
      <c r="CG590" s="318"/>
    </row>
    <row r="591" spans="1:88" ht="14.25" hidden="1" customHeight="1" outlineLevel="1">
      <c r="B591" s="989" t="s">
        <v>468</v>
      </c>
      <c r="C591" s="318"/>
      <c r="D591" s="1013"/>
      <c r="E591" s="1013"/>
      <c r="F591" s="1013"/>
      <c r="G591" s="1013"/>
      <c r="H591" s="1013"/>
      <c r="I591" s="1013"/>
      <c r="J591" s="1013"/>
      <c r="K591" s="1013"/>
      <c r="L591" s="1013"/>
      <c r="M591" s="1013"/>
      <c r="N591" s="1013"/>
      <c r="O591" s="1013"/>
      <c r="P591" s="1013"/>
      <c r="Q591" s="1013"/>
      <c r="R591" s="1013"/>
      <c r="S591" s="1013"/>
      <c r="T591" s="1013"/>
      <c r="U591" s="1013"/>
      <c r="V591" s="1013"/>
      <c r="W591" s="1013"/>
      <c r="X591" s="1015">
        <v>1.299E-3</v>
      </c>
      <c r="Y591" s="1015">
        <v>3.4058409999999988</v>
      </c>
      <c r="Z591" s="1015">
        <v>4.9638</v>
      </c>
      <c r="AA591" s="1015">
        <v>11.135983000000008</v>
      </c>
      <c r="AB591" s="1015">
        <v>8.155303</v>
      </c>
      <c r="AC591" s="1015">
        <v>14.602788000000007</v>
      </c>
      <c r="AD591" s="1015">
        <v>18.094753999999991</v>
      </c>
      <c r="AE591" s="1015">
        <v>21.222568400000011</v>
      </c>
      <c r="AF591" s="1015">
        <v>21.963208000000002</v>
      </c>
      <c r="AG591" s="1077">
        <v>21.742804100000015</v>
      </c>
      <c r="AH591" s="1077">
        <v>24.968514999999986</v>
      </c>
      <c r="AI591" s="1077">
        <v>26.475062210000015</v>
      </c>
      <c r="AJ591" s="1077">
        <v>27.756765730000001</v>
      </c>
      <c r="AK591" s="1077">
        <v>27.109071980000017</v>
      </c>
      <c r="AL591" s="1077">
        <v>29.495926499999985</v>
      </c>
      <c r="AM591" s="1077">
        <v>29.858363845500016</v>
      </c>
      <c r="AN591" s="1017"/>
      <c r="AO591" s="1017"/>
      <c r="AP591" s="1017"/>
      <c r="AQ591" s="1077"/>
      <c r="AR591" s="1017"/>
      <c r="AS591" s="1017"/>
      <c r="AT591" s="1017"/>
      <c r="AU591" s="1077"/>
      <c r="AV591" s="1017"/>
      <c r="AW591" s="1017"/>
      <c r="AX591" s="1017"/>
      <c r="AY591" s="1077"/>
      <c r="AZ591" s="1017"/>
      <c r="BA591" s="1017"/>
      <c r="BB591" s="1017"/>
      <c r="BC591" s="1017"/>
      <c r="BD591" s="1017"/>
      <c r="BE591" s="1017"/>
      <c r="BF591" s="1017"/>
      <c r="BG591" s="1017"/>
      <c r="BH591" s="1017"/>
      <c r="BI591" s="1017"/>
      <c r="BJ591" s="1017"/>
      <c r="BK591" s="1017"/>
      <c r="BL591" s="1017"/>
      <c r="BM591" s="1017"/>
      <c r="BN591" s="1017"/>
      <c r="BO591" s="1017"/>
      <c r="BP591" s="1018"/>
      <c r="BQ591" s="131">
        <f>SUM(D591:G591)</f>
        <v>0</v>
      </c>
      <c r="BR591" s="1020">
        <f>SUM(H591:K591)</f>
        <v>0</v>
      </c>
      <c r="BS591" s="1020">
        <f>SUM(L591:O591)</f>
        <v>0</v>
      </c>
      <c r="BT591" s="318">
        <f>SUM(P591:S591)</f>
        <v>0</v>
      </c>
      <c r="BU591" s="318">
        <f>SUM(T591:W591)</f>
        <v>0</v>
      </c>
      <c r="BV591" s="318">
        <f>SUM(X591:AA591)</f>
        <v>19.506923000000008</v>
      </c>
      <c r="BW591" s="318">
        <f>SUM(AB591:AE591)</f>
        <v>62.075413400000016</v>
      </c>
      <c r="BX591" s="318">
        <f>SUM(AF591:AI591)</f>
        <v>95.149589310000025</v>
      </c>
      <c r="BY591" s="318">
        <f>SUM(AJ591:AM591)</f>
        <v>114.22012805550003</v>
      </c>
      <c r="BZ591" s="318">
        <v>127.84719490705004</v>
      </c>
      <c r="CA591" s="318">
        <v>137.78907654825252</v>
      </c>
      <c r="CB591" s="318"/>
      <c r="CC591" s="318"/>
      <c r="CD591" s="318"/>
      <c r="CE591" s="318"/>
      <c r="CF591" s="318"/>
      <c r="CG591" s="318"/>
    </row>
    <row r="592" spans="1:88" s="85" customFormat="1" ht="14.25" hidden="1" customHeight="1" outlineLevel="1">
      <c r="B592" s="988" t="s">
        <v>440</v>
      </c>
      <c r="C592" s="1007"/>
      <c r="D592" s="1022">
        <f t="shared" ref="D592:AM592" si="1338">SUM(D588:D591)</f>
        <v>347.81929688448588</v>
      </c>
      <c r="E592" s="1022">
        <f t="shared" si="1338"/>
        <v>377.77182738169085</v>
      </c>
      <c r="F592" s="1022">
        <f t="shared" si="1338"/>
        <v>406.5403363504098</v>
      </c>
      <c r="G592" s="1022">
        <f t="shared" si="1338"/>
        <v>475.42220699762493</v>
      </c>
      <c r="H592" s="1022">
        <f t="shared" si="1338"/>
        <v>427.67308083542309</v>
      </c>
      <c r="I592" s="1022">
        <f t="shared" si="1338"/>
        <v>472.05544695120585</v>
      </c>
      <c r="J592" s="1022">
        <f t="shared" si="1338"/>
        <v>506.82070936954949</v>
      </c>
      <c r="K592" s="1022">
        <f t="shared" si="1338"/>
        <v>585.6887816943472</v>
      </c>
      <c r="L592" s="1022">
        <f t="shared" si="1338"/>
        <v>509.73517800000002</v>
      </c>
      <c r="M592" s="1022">
        <f t="shared" si="1338"/>
        <v>532.88129400000003</v>
      </c>
      <c r="N592" s="1022">
        <f t="shared" si="1338"/>
        <v>579.69021799999996</v>
      </c>
      <c r="O592" s="1022">
        <f t="shared" si="1338"/>
        <v>661.82238599999994</v>
      </c>
      <c r="P592" s="1022">
        <f t="shared" si="1338"/>
        <v>581.3509593020641</v>
      </c>
      <c r="Q592" s="1022">
        <f t="shared" si="1338"/>
        <v>604.25288946957073</v>
      </c>
      <c r="R592" s="1022">
        <f t="shared" si="1338"/>
        <v>610.6438564917612</v>
      </c>
      <c r="S592" s="1022">
        <f t="shared" si="1338"/>
        <v>584.33546111587498</v>
      </c>
      <c r="T592" s="1022">
        <f t="shared" si="1338"/>
        <v>497.93311359177733</v>
      </c>
      <c r="U592" s="1022">
        <f t="shared" si="1338"/>
        <v>562.432908</v>
      </c>
      <c r="V592" s="1022">
        <f t="shared" si="1338"/>
        <v>602.19816000000003</v>
      </c>
      <c r="W592" s="1022">
        <f t="shared" si="1338"/>
        <v>681.10357199999999</v>
      </c>
      <c r="X592" s="1022">
        <f t="shared" si="1338"/>
        <v>621.86126899999999</v>
      </c>
      <c r="Y592" s="1022">
        <f t="shared" si="1338"/>
        <v>660.75288699999999</v>
      </c>
      <c r="Z592" s="1022">
        <f t="shared" si="1338"/>
        <v>702.923404</v>
      </c>
      <c r="AA592" s="1022">
        <f t="shared" si="1338"/>
        <v>816.36273299999993</v>
      </c>
      <c r="AB592" s="1022">
        <f t="shared" si="1338"/>
        <v>733.83838300000002</v>
      </c>
      <c r="AC592" s="1022">
        <f t="shared" si="1338"/>
        <v>736.21020600000008</v>
      </c>
      <c r="AD592" s="1022">
        <f t="shared" si="1338"/>
        <v>789.16818095795918</v>
      </c>
      <c r="AE592" s="1022">
        <f t="shared" si="1338"/>
        <v>876.18996804000017</v>
      </c>
      <c r="AF592" s="1022">
        <f t="shared" si="1338"/>
        <v>780.19425491344714</v>
      </c>
      <c r="AG592" s="1080">
        <f t="shared" si="1338"/>
        <v>801.35877409275417</v>
      </c>
      <c r="AH592" s="1080">
        <f t="shared" si="1338"/>
        <v>830.59682674034593</v>
      </c>
      <c r="AI592" s="1080">
        <f t="shared" si="1338"/>
        <v>929.85380479892137</v>
      </c>
      <c r="AJ592" s="1080">
        <f t="shared" si="1338"/>
        <v>840.4442208610908</v>
      </c>
      <c r="AK592" s="1080">
        <f t="shared" si="1338"/>
        <v>854.50038131622648</v>
      </c>
      <c r="AL592" s="1080">
        <f t="shared" si="1338"/>
        <v>888.79012961784827</v>
      </c>
      <c r="AM592" s="1080">
        <f t="shared" si="1338"/>
        <v>1006.9611300239055</v>
      </c>
      <c r="AN592" s="1027"/>
      <c r="AO592" s="1027"/>
      <c r="AP592" s="1027"/>
      <c r="AQ592" s="1080"/>
      <c r="AR592" s="1027"/>
      <c r="AS592" s="1027"/>
      <c r="AT592" s="1027"/>
      <c r="AU592" s="1080"/>
      <c r="AV592" s="1027"/>
      <c r="AW592" s="1027"/>
      <c r="AX592" s="1027"/>
      <c r="AY592" s="1080"/>
      <c r="AZ592" s="1027"/>
      <c r="BA592" s="1027"/>
      <c r="BB592" s="1027"/>
      <c r="BC592" s="1027"/>
      <c r="BD592" s="1027"/>
      <c r="BE592" s="1027"/>
      <c r="BF592" s="1027"/>
      <c r="BG592" s="1027"/>
      <c r="BH592" s="1027"/>
      <c r="BI592" s="1027"/>
      <c r="BJ592" s="1027"/>
      <c r="BK592" s="1027"/>
      <c r="BL592" s="1027"/>
      <c r="BM592" s="1027"/>
      <c r="BN592" s="1027"/>
      <c r="BO592" s="1027"/>
      <c r="BP592" s="1028"/>
      <c r="BQ592" s="708">
        <f t="shared" ref="BQ592:BZ592" si="1339">SUM(BQ588:BQ591)</f>
        <v>1607.5536676142115</v>
      </c>
      <c r="BR592" s="1068">
        <f t="shared" si="1339"/>
        <v>1992.2380188505258</v>
      </c>
      <c r="BS592" s="1068">
        <f t="shared" si="1339"/>
        <v>2284.1290760000002</v>
      </c>
      <c r="BT592" s="1007">
        <f t="shared" si="1339"/>
        <v>2380.583166379271</v>
      </c>
      <c r="BU592" s="1007">
        <f t="shared" si="1339"/>
        <v>2343.6677535917775</v>
      </c>
      <c r="BV592" s="1007">
        <f t="shared" si="1339"/>
        <v>2801.9002929999997</v>
      </c>
      <c r="BW592" s="1007">
        <f t="shared" si="1339"/>
        <v>3135.4067379979592</v>
      </c>
      <c r="BX592" s="1007">
        <f t="shared" si="1339"/>
        <v>3342.0036605454684</v>
      </c>
      <c r="BY592" s="1007">
        <f t="shared" si="1339"/>
        <v>3590.6958618190711</v>
      </c>
      <c r="BZ592" s="1007">
        <f t="shared" si="1339"/>
        <v>127.84719490705004</v>
      </c>
      <c r="CA592" s="1007"/>
      <c r="CB592" s="1007"/>
      <c r="CC592" s="1007"/>
      <c r="CD592" s="1007"/>
      <c r="CE592" s="1007"/>
      <c r="CF592" s="1007"/>
      <c r="CG592" s="1007"/>
      <c r="CH592"/>
      <c r="CI592"/>
      <c r="CJ592"/>
    </row>
    <row r="593" spans="1:88" ht="14.25" hidden="1" customHeight="1" outlineLevel="1">
      <c r="A593" s="1"/>
      <c r="B593" s="1006"/>
      <c r="C593" s="1007"/>
      <c r="D593" s="1008"/>
      <c r="E593" s="1008"/>
      <c r="F593" s="1008"/>
      <c r="G593" s="1008"/>
      <c r="H593" s="1008"/>
      <c r="I593" s="1008"/>
      <c r="J593" s="1008"/>
      <c r="K593" s="1008"/>
      <c r="L593" s="1008"/>
      <c r="M593" s="1008"/>
      <c r="N593" s="1008"/>
      <c r="O593" s="1008"/>
      <c r="P593" s="1008"/>
      <c r="Q593" s="1008"/>
      <c r="R593" s="1008"/>
      <c r="S593" s="1008"/>
      <c r="T593" s="1008"/>
      <c r="U593" s="1008"/>
      <c r="V593" s="1008"/>
      <c r="W593" s="1008"/>
      <c r="X593" s="1008"/>
      <c r="Y593" s="1008"/>
      <c r="Z593" s="1008"/>
      <c r="AA593" s="1008"/>
      <c r="AB593" s="1008"/>
      <c r="AC593" s="1008"/>
      <c r="AD593" s="1008"/>
      <c r="AE593" s="1008"/>
      <c r="AF593" s="1008"/>
      <c r="AG593" s="1008"/>
      <c r="AH593" s="1008"/>
      <c r="AI593" s="1008"/>
      <c r="AJ593" s="1008"/>
      <c r="AK593" s="1008"/>
      <c r="AL593" s="1008"/>
      <c r="AM593" s="1008"/>
      <c r="AN593" s="1008"/>
      <c r="AO593" s="1008"/>
      <c r="AP593" s="1008"/>
      <c r="AQ593" s="1008"/>
      <c r="AR593" s="1008"/>
      <c r="AS593" s="1008"/>
      <c r="AT593" s="1008"/>
      <c r="AU593" s="1008"/>
      <c r="AV593" s="1008"/>
      <c r="AW593" s="1008"/>
      <c r="AX593" s="1008"/>
      <c r="AY593" s="1008"/>
      <c r="AZ593" s="1008"/>
      <c r="BA593" s="1008"/>
      <c r="BB593" s="1008"/>
      <c r="BC593" s="1008"/>
      <c r="BD593" s="1008"/>
      <c r="BE593" s="1008"/>
      <c r="BF593" s="1008"/>
      <c r="BG593" s="1008"/>
      <c r="BH593" s="1008"/>
      <c r="BI593" s="1008"/>
      <c r="BJ593" s="1008"/>
      <c r="BK593" s="1008"/>
      <c r="BL593" s="1008"/>
      <c r="BM593" s="1008"/>
      <c r="BN593" s="1008"/>
      <c r="BO593" s="1008"/>
      <c r="BP593" s="1009"/>
      <c r="BQ593" s="173"/>
      <c r="BR593" s="173"/>
      <c r="BS593" s="173"/>
      <c r="BT593" s="1008"/>
      <c r="BU593" s="1008"/>
      <c r="BV593" s="1008"/>
      <c r="BW593" s="1008"/>
      <c r="BX593" s="1008"/>
      <c r="BY593" s="1008"/>
      <c r="BZ593" s="1008"/>
      <c r="CA593" s="1008"/>
      <c r="CB593" s="1008"/>
      <c r="CC593" s="1008"/>
      <c r="CD593" s="1008"/>
      <c r="CE593" s="1008"/>
      <c r="CF593" s="1008"/>
      <c r="CG593" s="363"/>
    </row>
    <row r="594" spans="1:88" ht="14.25" hidden="1" customHeight="1" outlineLevel="1">
      <c r="A594" s="1"/>
      <c r="B594" s="1010" t="s">
        <v>484</v>
      </c>
      <c r="C594" s="1011"/>
      <c r="D594" s="1012" t="str">
        <f t="shared" ref="D594:BC594" si="1340">D$6</f>
        <v>F1Q05A</v>
      </c>
      <c r="E594" s="1012" t="str">
        <f t="shared" si="1340"/>
        <v>F2Q05A</v>
      </c>
      <c r="F594" s="1012" t="str">
        <f t="shared" si="1340"/>
        <v>F3Q05A</v>
      </c>
      <c r="G594" s="1012" t="str">
        <f t="shared" si="1340"/>
        <v>F4Q05A</v>
      </c>
      <c r="H594" s="1012" t="str">
        <f t="shared" si="1340"/>
        <v>F1Q06A</v>
      </c>
      <c r="I594" s="1012" t="str">
        <f t="shared" si="1340"/>
        <v>F2Q06A</v>
      </c>
      <c r="J594" s="1012" t="str">
        <f t="shared" si="1340"/>
        <v>F3Q06A</v>
      </c>
      <c r="K594" s="1012" t="str">
        <f t="shared" si="1340"/>
        <v>F4Q06A</v>
      </c>
      <c r="L594" s="1012" t="str">
        <f t="shared" si="1340"/>
        <v>F1Q07A</v>
      </c>
      <c r="M594" s="1012" t="str">
        <f t="shared" si="1340"/>
        <v>F2Q07A</v>
      </c>
      <c r="N594" s="1012" t="str">
        <f t="shared" si="1340"/>
        <v>F3Q07A</v>
      </c>
      <c r="O594" s="1012" t="str">
        <f t="shared" si="1340"/>
        <v>F4Q07A</v>
      </c>
      <c r="P594" s="1012" t="str">
        <f t="shared" si="1340"/>
        <v>F1Q08A</v>
      </c>
      <c r="Q594" s="1012" t="str">
        <f t="shared" si="1340"/>
        <v>F2Q08A</v>
      </c>
      <c r="R594" s="1012" t="str">
        <f t="shared" si="1340"/>
        <v>F3Q08A</v>
      </c>
      <c r="S594" s="1012" t="str">
        <f t="shared" si="1340"/>
        <v>F4Q08A</v>
      </c>
      <c r="T594" s="1012" t="str">
        <f t="shared" si="1340"/>
        <v>F1Q09A</v>
      </c>
      <c r="U594" s="1012" t="str">
        <f t="shared" si="1340"/>
        <v>F2Q09A</v>
      </c>
      <c r="V594" s="1012" t="str">
        <f t="shared" si="1340"/>
        <v>F3Q09A</v>
      </c>
      <c r="W594" s="1012" t="str">
        <f t="shared" si="1340"/>
        <v>F4Q09A</v>
      </c>
      <c r="X594" s="1012" t="str">
        <f t="shared" si="1340"/>
        <v>F1Q10A</v>
      </c>
      <c r="Y594" s="1012" t="str">
        <f t="shared" si="1340"/>
        <v>F2Q10A</v>
      </c>
      <c r="Z594" s="1012" t="str">
        <f t="shared" si="1340"/>
        <v>F3Q10A</v>
      </c>
      <c r="AA594" s="1012" t="str">
        <f t="shared" si="1340"/>
        <v>F4Q10A</v>
      </c>
      <c r="AB594" s="1012" t="str">
        <f t="shared" si="1340"/>
        <v>F1Q11A</v>
      </c>
      <c r="AC594" s="1012" t="str">
        <f t="shared" si="1340"/>
        <v>F2Q11A</v>
      </c>
      <c r="AD594" s="1012" t="str">
        <f t="shared" si="1340"/>
        <v>F3Q11A</v>
      </c>
      <c r="AE594" s="1012" t="str">
        <f t="shared" si="1340"/>
        <v>F4Q11A</v>
      </c>
      <c r="AF594" s="1012" t="str">
        <f t="shared" si="1340"/>
        <v>F1Q12A</v>
      </c>
      <c r="AG594" s="1012" t="str">
        <f t="shared" si="1340"/>
        <v>F2Q12A</v>
      </c>
      <c r="AH594" s="1012" t="str">
        <f t="shared" si="1340"/>
        <v>F3Q12A</v>
      </c>
      <c r="AI594" s="1012" t="str">
        <f t="shared" si="1340"/>
        <v>F4Q12A</v>
      </c>
      <c r="AJ594" s="1012" t="str">
        <f t="shared" si="1340"/>
        <v>F1Q13A</v>
      </c>
      <c r="AK594" s="1012" t="str">
        <f t="shared" si="1340"/>
        <v>F2Q13A</v>
      </c>
      <c r="AL594" s="1012" t="str">
        <f t="shared" si="1340"/>
        <v>F3Q13A</v>
      </c>
      <c r="AM594" s="1012" t="str">
        <f t="shared" si="1340"/>
        <v>F4Q13A</v>
      </c>
      <c r="AN594" s="1012" t="str">
        <f t="shared" si="1340"/>
        <v>F1Q14A</v>
      </c>
      <c r="AO594" s="1012" t="str">
        <f t="shared" si="1340"/>
        <v>F2Q14A</v>
      </c>
      <c r="AP594" s="1012" t="str">
        <f t="shared" si="1340"/>
        <v>F3Q14A</v>
      </c>
      <c r="AQ594" s="1012" t="str">
        <f t="shared" si="1340"/>
        <v>F4Q14A</v>
      </c>
      <c r="AR594" s="1012" t="str">
        <f t="shared" si="1340"/>
        <v>F1Q15A</v>
      </c>
      <c r="AS594" s="1012" t="str">
        <f t="shared" si="1340"/>
        <v>F2Q15A</v>
      </c>
      <c r="AT594" s="1012" t="str">
        <f t="shared" si="1340"/>
        <v>F3Q15A</v>
      </c>
      <c r="AU594" s="1012" t="str">
        <f t="shared" si="1340"/>
        <v>F4Q15A</v>
      </c>
      <c r="AV594" s="1012" t="str">
        <f t="shared" si="1340"/>
        <v>F1Q16A</v>
      </c>
      <c r="AW594" s="1012" t="str">
        <f t="shared" si="1340"/>
        <v>F2Q16A</v>
      </c>
      <c r="AX594" s="1012" t="str">
        <f t="shared" si="1340"/>
        <v>F3Q16A</v>
      </c>
      <c r="AY594" s="1012" t="str">
        <f t="shared" si="1340"/>
        <v>F4Q16A</v>
      </c>
      <c r="AZ594" s="1012" t="str">
        <f t="shared" si="1340"/>
        <v>F1Q17A</v>
      </c>
      <c r="BA594" s="1012" t="str">
        <f t="shared" si="1340"/>
        <v>F2Q17A</v>
      </c>
      <c r="BB594" s="1012" t="str">
        <f t="shared" si="1340"/>
        <v>F3Q17A</v>
      </c>
      <c r="BC594" s="1012" t="str">
        <f t="shared" si="1340"/>
        <v>F4Q17A</v>
      </c>
      <c r="BD594" s="1012"/>
      <c r="BE594" s="1012"/>
      <c r="BF594" s="1012"/>
      <c r="BG594" s="1012"/>
      <c r="BH594" s="1012"/>
      <c r="BI594" s="1012"/>
      <c r="BJ594" s="1012"/>
      <c r="BK594" s="1012"/>
      <c r="BL594" s="1012"/>
      <c r="BM594" s="1012"/>
      <c r="BN594" s="1012"/>
      <c r="BO594" s="1012"/>
      <c r="BP594" s="652"/>
      <c r="BQ594" s="1012" t="str">
        <f t="shared" ref="BQ594:CF594" si="1341">BQ$6</f>
        <v>FY2005A</v>
      </c>
      <c r="BR594" s="1012" t="str">
        <f t="shared" si="1341"/>
        <v>FY2006A</v>
      </c>
      <c r="BS594" s="1012" t="str">
        <f t="shared" si="1341"/>
        <v>FY2007A</v>
      </c>
      <c r="BT594" s="1012" t="str">
        <f t="shared" si="1341"/>
        <v>FY2008A</v>
      </c>
      <c r="BU594" s="1012" t="str">
        <f t="shared" si="1341"/>
        <v>FY2009A</v>
      </c>
      <c r="BV594" s="1012" t="str">
        <f t="shared" si="1341"/>
        <v>FY2010A</v>
      </c>
      <c r="BW594" s="1012" t="str">
        <f t="shared" si="1341"/>
        <v>FY2011A</v>
      </c>
      <c r="BX594" s="1012" t="str">
        <f t="shared" si="1341"/>
        <v>FY2012A</v>
      </c>
      <c r="BY594" s="1012" t="str">
        <f t="shared" si="1341"/>
        <v>FY2013A</v>
      </c>
      <c r="BZ594" s="1012" t="str">
        <f t="shared" si="1341"/>
        <v>FY2014A</v>
      </c>
      <c r="CA594" s="1012" t="str">
        <f t="shared" si="1341"/>
        <v>FY2015A</v>
      </c>
      <c r="CB594" s="1012" t="str">
        <f t="shared" si="1341"/>
        <v>FY2016A</v>
      </c>
      <c r="CC594" s="1012" t="str">
        <f t="shared" si="1341"/>
        <v>FY2017E</v>
      </c>
      <c r="CD594" s="1012" t="str">
        <f t="shared" si="1341"/>
        <v>FY2018E</v>
      </c>
      <c r="CE594" s="1012" t="str">
        <f t="shared" si="1341"/>
        <v>FY2019E</v>
      </c>
      <c r="CF594" s="1012" t="str">
        <f t="shared" si="1341"/>
        <v>FY2020E</v>
      </c>
      <c r="CG594" s="318"/>
    </row>
    <row r="595" spans="1:88" ht="14.25" hidden="1" customHeight="1" outlineLevel="1">
      <c r="B595" s="989" t="s">
        <v>312</v>
      </c>
      <c r="C595" s="318"/>
      <c r="D595" s="1013"/>
      <c r="E595" s="1013"/>
      <c r="F595" s="1013"/>
      <c r="G595" s="1013"/>
      <c r="H595" s="1013"/>
      <c r="I595" s="1013"/>
      <c r="J595" s="1013"/>
      <c r="K595" s="1013"/>
      <c r="L595" s="1015">
        <v>358</v>
      </c>
      <c r="M595" s="1015">
        <v>337</v>
      </c>
      <c r="N595" s="1015">
        <v>432</v>
      </c>
      <c r="O595" s="1015">
        <v>437</v>
      </c>
      <c r="P595" s="1015">
        <v>376</v>
      </c>
      <c r="Q595" s="1015">
        <v>330</v>
      </c>
      <c r="R595" s="1015">
        <v>280</v>
      </c>
      <c r="S595" s="1015">
        <v>88</v>
      </c>
      <c r="T595" s="1015">
        <v>-26</v>
      </c>
      <c r="U595" s="1015">
        <v>103</v>
      </c>
      <c r="V595" s="1015">
        <v>311</v>
      </c>
      <c r="W595" s="1015">
        <v>383</v>
      </c>
      <c r="X595" s="1015">
        <v>398</v>
      </c>
      <c r="Y595" s="1015">
        <v>472</v>
      </c>
      <c r="Z595" s="1015">
        <v>520</v>
      </c>
      <c r="AA595" s="1015">
        <v>486</v>
      </c>
      <c r="AB595" s="1015">
        <v>418</v>
      </c>
      <c r="AC595" s="1015">
        <v>446</v>
      </c>
      <c r="AD595" s="1015">
        <v>414</v>
      </c>
      <c r="AE595" s="1015">
        <v>414</v>
      </c>
      <c r="AF595" s="1015">
        <v>335</v>
      </c>
      <c r="AG595" s="1015">
        <v>437</v>
      </c>
      <c r="AH595" s="1015">
        <v>460</v>
      </c>
      <c r="AI595" s="1015">
        <v>419</v>
      </c>
      <c r="AJ595" s="1015"/>
      <c r="AK595" s="1015"/>
      <c r="AL595" s="1015"/>
      <c r="AM595" s="1015"/>
      <c r="AN595" s="1017"/>
      <c r="AO595" s="1017"/>
      <c r="AP595" s="1017"/>
      <c r="AQ595" s="1015"/>
      <c r="AR595" s="1017"/>
      <c r="AS595" s="1017"/>
      <c r="AT595" s="1017"/>
      <c r="AU595" s="1015"/>
      <c r="AV595" s="1017"/>
      <c r="AW595" s="1017"/>
      <c r="AX595" s="1017"/>
      <c r="AY595" s="1015"/>
      <c r="AZ595" s="1017"/>
      <c r="BA595" s="1017"/>
      <c r="BB595" s="1017"/>
      <c r="BC595" s="1017"/>
      <c r="BD595" s="1017"/>
      <c r="BE595" s="1017"/>
      <c r="BF595" s="1017"/>
      <c r="BG595" s="1017"/>
      <c r="BH595" s="1017"/>
      <c r="BI595" s="1017"/>
      <c r="BJ595" s="1017"/>
      <c r="BK595" s="1017"/>
      <c r="BL595" s="1017"/>
      <c r="BM595" s="1017"/>
      <c r="BN595" s="1017"/>
      <c r="BO595" s="1017"/>
      <c r="BP595" s="1018"/>
      <c r="BQ595" s="1019"/>
      <c r="BR595" s="1019"/>
      <c r="BS595" s="1020">
        <f>SUM(L595:O595)</f>
        <v>1564</v>
      </c>
      <c r="BT595" s="318">
        <f>SUM(P595:S595)</f>
        <v>1074</v>
      </c>
      <c r="BU595" s="318">
        <f>SUM(T595:W595)</f>
        <v>771</v>
      </c>
      <c r="BV595" s="318">
        <f>SUM(X595:AA595)</f>
        <v>1876</v>
      </c>
      <c r="BW595" s="318">
        <f>SUM(AB595:AE595)</f>
        <v>1692</v>
      </c>
      <c r="BX595" s="318">
        <f>SUM(AF595:AI595)</f>
        <v>1651</v>
      </c>
      <c r="BY595" s="318"/>
      <c r="BZ595" s="318"/>
      <c r="CA595" s="318"/>
      <c r="CB595" s="318"/>
      <c r="CC595" s="318"/>
      <c r="CD595" s="318"/>
      <c r="CE595" s="318"/>
      <c r="CF595" s="318"/>
      <c r="CG595" s="318"/>
    </row>
    <row r="596" spans="1:88" ht="14.25" hidden="1" customHeight="1" outlineLevel="1">
      <c r="B596" s="989" t="s">
        <v>313</v>
      </c>
      <c r="C596" s="318"/>
      <c r="D596" s="1013"/>
      <c r="E596" s="1013"/>
      <c r="F596" s="1013"/>
      <c r="G596" s="1013"/>
      <c r="H596" s="1013"/>
      <c r="I596" s="1013"/>
      <c r="J596" s="1013"/>
      <c r="K596" s="1013"/>
      <c r="L596" s="1015">
        <v>56</v>
      </c>
      <c r="M596" s="1015">
        <v>60</v>
      </c>
      <c r="N596" s="1015">
        <v>72</v>
      </c>
      <c r="O596" s="1015">
        <v>103</v>
      </c>
      <c r="P596" s="1015">
        <v>96</v>
      </c>
      <c r="Q596" s="1015">
        <v>101</v>
      </c>
      <c r="R596" s="1015">
        <v>73</v>
      </c>
      <c r="S596" s="1015">
        <v>-2</v>
      </c>
      <c r="T596" s="1015">
        <v>2</v>
      </c>
      <c r="U596" s="1015">
        <v>28</v>
      </c>
      <c r="V596" s="1015">
        <v>75</v>
      </c>
      <c r="W596" s="1015">
        <v>89</v>
      </c>
      <c r="X596" s="1015">
        <v>73</v>
      </c>
      <c r="Y596" s="1015">
        <v>115</v>
      </c>
      <c r="Z596" s="1015">
        <v>160</v>
      </c>
      <c r="AA596" s="1015">
        <v>143</v>
      </c>
      <c r="AB596" s="1015">
        <v>102</v>
      </c>
      <c r="AC596" s="1015">
        <v>141</v>
      </c>
      <c r="AD596" s="1015">
        <v>113</v>
      </c>
      <c r="AE596" s="1015">
        <v>12</v>
      </c>
      <c r="AF596" s="1015">
        <v>36</v>
      </c>
      <c r="AG596" s="1015">
        <v>51</v>
      </c>
      <c r="AH596" s="1015">
        <v>63</v>
      </c>
      <c r="AI596" s="1015">
        <f>166-AH596-AG596-AF596</f>
        <v>16</v>
      </c>
      <c r="AJ596" s="1078"/>
      <c r="AK596" s="1078"/>
      <c r="AL596" s="1078"/>
      <c r="AM596" s="1078"/>
      <c r="AN596" s="1017"/>
      <c r="AO596" s="1017"/>
      <c r="AP596" s="1017"/>
      <c r="AQ596" s="1078"/>
      <c r="AR596" s="1017"/>
      <c r="AS596" s="1017"/>
      <c r="AT596" s="1017"/>
      <c r="AU596" s="1078"/>
      <c r="AV596" s="1017"/>
      <c r="AW596" s="1017"/>
      <c r="AX596" s="1017"/>
      <c r="AY596" s="1078"/>
      <c r="AZ596" s="1017"/>
      <c r="BA596" s="1017"/>
      <c r="BB596" s="1017"/>
      <c r="BC596" s="1017"/>
      <c r="BD596" s="1017"/>
      <c r="BE596" s="1017"/>
      <c r="BF596" s="1017"/>
      <c r="BG596" s="1017"/>
      <c r="BH596" s="1017"/>
      <c r="BI596" s="1017"/>
      <c r="BJ596" s="1017"/>
      <c r="BK596" s="1017"/>
      <c r="BL596" s="1017"/>
      <c r="BM596" s="1017"/>
      <c r="BN596" s="1017"/>
      <c r="BO596" s="1017"/>
      <c r="BP596" s="1018"/>
      <c r="BQ596" s="1019"/>
      <c r="BR596" s="1019"/>
      <c r="BS596" s="1020">
        <f>SUM(L596:O596)</f>
        <v>291</v>
      </c>
      <c r="BT596" s="318">
        <f>SUM(P596:S596)</f>
        <v>268</v>
      </c>
      <c r="BU596" s="318">
        <f>SUM(T596:W596)</f>
        <v>194</v>
      </c>
      <c r="BV596" s="318">
        <f>SUM(X596:AA596)</f>
        <v>491</v>
      </c>
      <c r="BW596" s="318">
        <f>SUM(AB596:AE596)</f>
        <v>368</v>
      </c>
      <c r="BX596" s="318">
        <f>SUM(AF596:AI596)</f>
        <v>166</v>
      </c>
      <c r="BY596" s="318"/>
      <c r="BZ596" s="318"/>
      <c r="CA596" s="318"/>
      <c r="CB596" s="318"/>
      <c r="CC596" s="318"/>
      <c r="CD596" s="318"/>
      <c r="CE596" s="318"/>
      <c r="CF596" s="318"/>
      <c r="CG596" s="318"/>
    </row>
    <row r="597" spans="1:88" ht="14.25" hidden="1" customHeight="1" outlineLevel="1">
      <c r="B597" s="989" t="s">
        <v>314</v>
      </c>
      <c r="C597" s="318"/>
      <c r="D597" s="1021"/>
      <c r="E597" s="1021"/>
      <c r="F597" s="1021"/>
      <c r="G597" s="1021"/>
      <c r="H597" s="1021"/>
      <c r="I597" s="1021"/>
      <c r="J597" s="1021"/>
      <c r="K597" s="1021"/>
      <c r="L597" s="1015">
        <v>122</v>
      </c>
      <c r="M597" s="1015">
        <v>172</v>
      </c>
      <c r="N597" s="1015">
        <v>203</v>
      </c>
      <c r="O597" s="1015">
        <v>250</v>
      </c>
      <c r="P597" s="1015">
        <v>149</v>
      </c>
      <c r="Q597" s="1015">
        <v>122</v>
      </c>
      <c r="R597" s="1015">
        <v>149</v>
      </c>
      <c r="S597" s="1015">
        <v>-97</v>
      </c>
      <c r="T597" s="1015">
        <v>-22</v>
      </c>
      <c r="U597" s="1015">
        <v>51</v>
      </c>
      <c r="V597" s="1015">
        <v>105</v>
      </c>
      <c r="W597" s="1015">
        <v>181</v>
      </c>
      <c r="X597" s="1015">
        <v>158</v>
      </c>
      <c r="Y597" s="1015">
        <v>165</v>
      </c>
      <c r="Z597" s="1015">
        <v>180</v>
      </c>
      <c r="AA597" s="1015">
        <v>180</v>
      </c>
      <c r="AB597" s="1015">
        <v>141</v>
      </c>
      <c r="AC597" s="1015">
        <v>82</v>
      </c>
      <c r="AD597" s="1015">
        <v>78</v>
      </c>
      <c r="AE597" s="1015">
        <v>112</v>
      </c>
      <c r="AF597" s="1015">
        <v>-25</v>
      </c>
      <c r="AG597" s="1015">
        <v>-51</v>
      </c>
      <c r="AH597" s="1015">
        <v>-53</v>
      </c>
      <c r="AI597" s="1015">
        <f>-525-AH597-AG597-AF597</f>
        <v>-396</v>
      </c>
      <c r="AJ597" s="1078"/>
      <c r="AK597" s="1078"/>
      <c r="AL597" s="1078"/>
      <c r="AM597" s="1078"/>
      <c r="AN597" s="1017"/>
      <c r="AO597" s="1017"/>
      <c r="AP597" s="1017"/>
      <c r="AQ597" s="1078"/>
      <c r="AR597" s="1017"/>
      <c r="AS597" s="1017"/>
      <c r="AT597" s="1017"/>
      <c r="AU597" s="1078"/>
      <c r="AV597" s="1017"/>
      <c r="AW597" s="1017"/>
      <c r="AX597" s="1017"/>
      <c r="AY597" s="1078"/>
      <c r="AZ597" s="1017"/>
      <c r="BA597" s="1017"/>
      <c r="BB597" s="1017"/>
      <c r="BC597" s="1017"/>
      <c r="BD597" s="1017"/>
      <c r="BE597" s="1017"/>
      <c r="BF597" s="1017"/>
      <c r="BG597" s="1017"/>
      <c r="BH597" s="1017"/>
      <c r="BI597" s="1017"/>
      <c r="BJ597" s="1017"/>
      <c r="BK597" s="1017"/>
      <c r="BL597" s="1017"/>
      <c r="BM597" s="1017"/>
      <c r="BN597" s="1017"/>
      <c r="BO597" s="1017"/>
      <c r="BP597" s="1018"/>
      <c r="BQ597" s="1019"/>
      <c r="BR597" s="1019"/>
      <c r="BS597" s="1020">
        <f>SUM(L597:O597)</f>
        <v>747</v>
      </c>
      <c r="BT597" s="318">
        <f>SUM(P597:S597)</f>
        <v>323</v>
      </c>
      <c r="BU597" s="318">
        <f>SUM(T597:W597)</f>
        <v>315</v>
      </c>
      <c r="BV597" s="318">
        <f>SUM(X597:AA597)</f>
        <v>683</v>
      </c>
      <c r="BW597" s="318">
        <f>SUM(AB597:AE597)</f>
        <v>413</v>
      </c>
      <c r="BX597" s="318">
        <f>SUM(AF597:AI597)</f>
        <v>-525</v>
      </c>
      <c r="BY597" s="318"/>
      <c r="BZ597" s="318"/>
      <c r="CA597" s="318"/>
      <c r="CB597" s="318"/>
      <c r="CC597" s="318"/>
      <c r="CD597" s="318"/>
      <c r="CE597" s="318"/>
      <c r="CF597" s="318"/>
      <c r="CG597" s="318"/>
    </row>
    <row r="598" spans="1:88" ht="14.25" hidden="1" customHeight="1" outlineLevel="1">
      <c r="B598" s="989" t="s">
        <v>349</v>
      </c>
      <c r="C598" s="318"/>
      <c r="D598" s="1021"/>
      <c r="E598" s="1021"/>
      <c r="F598" s="1021"/>
      <c r="G598" s="1021"/>
      <c r="H598" s="1021"/>
      <c r="I598" s="1021"/>
      <c r="J598" s="1021"/>
      <c r="K598" s="1021"/>
      <c r="L598" s="1015">
        <v>16</v>
      </c>
      <c r="M598" s="1015">
        <v>74</v>
      </c>
      <c r="N598" s="1015">
        <v>99</v>
      </c>
      <c r="O598" s="1015">
        <v>19</v>
      </c>
      <c r="P598" s="1015">
        <v>18</v>
      </c>
      <c r="Q598" s="1015">
        <v>78</v>
      </c>
      <c r="R598" s="1015">
        <v>92</v>
      </c>
      <c r="S598" s="1021"/>
      <c r="T598" s="1021"/>
      <c r="U598" s="1021"/>
      <c r="V598" s="1021"/>
      <c r="W598" s="1021"/>
      <c r="X598" s="1021"/>
      <c r="Y598" s="1021"/>
      <c r="Z598" s="1021"/>
      <c r="AA598" s="1021"/>
      <c r="AB598" s="1021"/>
      <c r="AC598" s="1021"/>
      <c r="AD598" s="1021"/>
      <c r="AE598" s="1021"/>
      <c r="AF598" s="1021"/>
      <c r="AG598" s="1021"/>
      <c r="AH598" s="1021"/>
      <c r="AI598" s="1021"/>
      <c r="AJ598" s="1078"/>
      <c r="AK598" s="1078"/>
      <c r="AL598" s="1078"/>
      <c r="AM598" s="1078"/>
      <c r="AN598" s="1017"/>
      <c r="AO598" s="1017"/>
      <c r="AP598" s="1017"/>
      <c r="AQ598" s="1078"/>
      <c r="AR598" s="1017"/>
      <c r="AS598" s="1017"/>
      <c r="AT598" s="1017"/>
      <c r="AU598" s="1078"/>
      <c r="AV598" s="1017"/>
      <c r="AW598" s="1017"/>
      <c r="AX598" s="1017"/>
      <c r="AY598" s="1078"/>
      <c r="AZ598" s="1017"/>
      <c r="BA598" s="1017"/>
      <c r="BB598" s="1017"/>
      <c r="BC598" s="1017"/>
      <c r="BD598" s="1017"/>
      <c r="BE598" s="1017"/>
      <c r="BF598" s="1017"/>
      <c r="BG598" s="1017"/>
      <c r="BH598" s="1017"/>
      <c r="BI598" s="1017"/>
      <c r="BJ598" s="1017"/>
      <c r="BK598" s="1017"/>
      <c r="BL598" s="1017"/>
      <c r="BM598" s="1017"/>
      <c r="BN598" s="1017"/>
      <c r="BO598" s="1017"/>
      <c r="BP598" s="1018"/>
      <c r="BQ598" s="1019"/>
      <c r="BR598" s="1019"/>
      <c r="BS598" s="1020">
        <f>SUM(L598:O598)</f>
        <v>208</v>
      </c>
      <c r="BT598" s="318">
        <f>SUM(P598:S598)</f>
        <v>188</v>
      </c>
      <c r="BU598" s="318"/>
      <c r="BV598" s="318"/>
      <c r="BW598" s="318"/>
      <c r="BX598" s="318"/>
      <c r="BY598" s="318"/>
      <c r="BZ598" s="318"/>
      <c r="CA598" s="318"/>
      <c r="CB598" s="318"/>
      <c r="CC598" s="318"/>
      <c r="CD598" s="318"/>
      <c r="CE598" s="318"/>
      <c r="CF598" s="318"/>
      <c r="CG598" s="318"/>
    </row>
    <row r="599" spans="1:88" ht="14.25" hidden="1" customHeight="1" outlineLevel="1">
      <c r="B599" s="989" t="s">
        <v>293</v>
      </c>
      <c r="C599" s="318"/>
      <c r="D599" s="1021"/>
      <c r="E599" s="1021"/>
      <c r="F599" s="1021"/>
      <c r="G599" s="1021"/>
      <c r="H599" s="1021"/>
      <c r="I599" s="1021"/>
      <c r="J599" s="1021"/>
      <c r="K599" s="1021"/>
      <c r="L599" s="1015">
        <v>144</v>
      </c>
      <c r="M599" s="1015">
        <v>240</v>
      </c>
      <c r="N599" s="1015">
        <v>306</v>
      </c>
      <c r="O599" s="1015">
        <v>206</v>
      </c>
      <c r="P599" s="1015">
        <v>186</v>
      </c>
      <c r="Q599" s="1015">
        <v>280</v>
      </c>
      <c r="R599" s="1015">
        <v>244</v>
      </c>
      <c r="S599" s="1015">
        <v>62</v>
      </c>
      <c r="T599" s="1015">
        <v>56</v>
      </c>
      <c r="U599" s="1015">
        <v>161</v>
      </c>
      <c r="V599" s="1015">
        <v>272</v>
      </c>
      <c r="W599" s="1015">
        <v>222</v>
      </c>
      <c r="X599" s="1015">
        <v>321</v>
      </c>
      <c r="Y599" s="1015">
        <v>355</v>
      </c>
      <c r="Z599" s="1015">
        <v>367</v>
      </c>
      <c r="AA599" s="1015">
        <v>421</v>
      </c>
      <c r="AB599" s="1015">
        <v>247</v>
      </c>
      <c r="AC599" s="1015">
        <v>236</v>
      </c>
      <c r="AD599" s="1015">
        <v>209</v>
      </c>
      <c r="AE599" s="1015">
        <v>-173</v>
      </c>
      <c r="AF599" s="1015">
        <v>51</v>
      </c>
      <c r="AG599" s="1015">
        <v>161</v>
      </c>
      <c r="AH599" s="1015">
        <v>370</v>
      </c>
      <c r="AI599" s="1015">
        <f>682-AH599-AG599-AF599</f>
        <v>100</v>
      </c>
      <c r="AJ599" s="1078"/>
      <c r="AK599" s="1078"/>
      <c r="AL599" s="1078"/>
      <c r="AM599" s="1078"/>
      <c r="AN599" s="1017"/>
      <c r="AO599" s="1017"/>
      <c r="AP599" s="1017"/>
      <c r="AQ599" s="1078"/>
      <c r="AR599" s="1017"/>
      <c r="AS599" s="1017"/>
      <c r="AT599" s="1017"/>
      <c r="AU599" s="1078"/>
      <c r="AV599" s="1017"/>
      <c r="AW599" s="1017"/>
      <c r="AX599" s="1017"/>
      <c r="AY599" s="1078"/>
      <c r="AZ599" s="1017"/>
      <c r="BA599" s="1017"/>
      <c r="BB599" s="1017"/>
      <c r="BC599" s="1017"/>
      <c r="BD599" s="1017"/>
      <c r="BE599" s="1017"/>
      <c r="BF599" s="1017"/>
      <c r="BG599" s="1017"/>
      <c r="BH599" s="1017"/>
      <c r="BI599" s="1017"/>
      <c r="BJ599" s="1017"/>
      <c r="BK599" s="1017"/>
      <c r="BL599" s="1017"/>
      <c r="BM599" s="1017"/>
      <c r="BN599" s="1017"/>
      <c r="BO599" s="1017"/>
      <c r="BP599" s="1018"/>
      <c r="BQ599" s="1019"/>
      <c r="BR599" s="1019"/>
      <c r="BS599" s="1020">
        <f>SUM(L599:O599)</f>
        <v>896</v>
      </c>
      <c r="BT599" s="318">
        <f>SUM(P599:S599)</f>
        <v>772</v>
      </c>
      <c r="BU599" s="318">
        <f>SUM(T599:W599)</f>
        <v>711</v>
      </c>
      <c r="BV599" s="318">
        <f>SUM(X599:AA599)</f>
        <v>1464</v>
      </c>
      <c r="BW599" s="318">
        <f>SUM(AB599:AE599)</f>
        <v>519</v>
      </c>
      <c r="BX599" s="318">
        <f>SUM(AF599:AI599)</f>
        <v>682</v>
      </c>
      <c r="BY599" s="318"/>
      <c r="BZ599" s="318"/>
      <c r="CA599" s="318"/>
      <c r="CB599" s="318"/>
      <c r="CC599" s="318"/>
      <c r="CD599" s="318"/>
      <c r="CE599" s="318"/>
      <c r="CF599" s="318"/>
      <c r="CG599" s="318"/>
    </row>
    <row r="600" spans="1:88" s="85" customFormat="1" ht="14.25" hidden="1" customHeight="1" outlineLevel="1">
      <c r="B600" s="988" t="s">
        <v>440</v>
      </c>
      <c r="C600" s="1007"/>
      <c r="D600" s="1026"/>
      <c r="E600" s="1026"/>
      <c r="F600" s="1026"/>
      <c r="G600" s="1026"/>
      <c r="H600" s="1026"/>
      <c r="I600" s="1026"/>
      <c r="J600" s="1026"/>
      <c r="K600" s="1026"/>
      <c r="L600" s="1022">
        <f t="shared" ref="L600:AI600" si="1342">SUM(L595:L597)+L599</f>
        <v>680</v>
      </c>
      <c r="M600" s="1022">
        <f t="shared" si="1342"/>
        <v>809</v>
      </c>
      <c r="N600" s="1022">
        <f t="shared" si="1342"/>
        <v>1013</v>
      </c>
      <c r="O600" s="1022">
        <f t="shared" si="1342"/>
        <v>996</v>
      </c>
      <c r="P600" s="1022">
        <f t="shared" si="1342"/>
        <v>807</v>
      </c>
      <c r="Q600" s="1022">
        <f t="shared" si="1342"/>
        <v>833</v>
      </c>
      <c r="R600" s="1022">
        <f t="shared" si="1342"/>
        <v>746</v>
      </c>
      <c r="S600" s="1022">
        <f t="shared" si="1342"/>
        <v>51</v>
      </c>
      <c r="T600" s="1022">
        <f t="shared" si="1342"/>
        <v>10</v>
      </c>
      <c r="U600" s="1022">
        <f t="shared" si="1342"/>
        <v>343</v>
      </c>
      <c r="V600" s="1022">
        <f t="shared" si="1342"/>
        <v>763</v>
      </c>
      <c r="W600" s="1022">
        <f t="shared" si="1342"/>
        <v>875</v>
      </c>
      <c r="X600" s="1022">
        <f t="shared" si="1342"/>
        <v>950</v>
      </c>
      <c r="Y600" s="1022">
        <f t="shared" si="1342"/>
        <v>1107</v>
      </c>
      <c r="Z600" s="1022">
        <f t="shared" si="1342"/>
        <v>1227</v>
      </c>
      <c r="AA600" s="1022">
        <f t="shared" si="1342"/>
        <v>1230</v>
      </c>
      <c r="AB600" s="1022">
        <f t="shared" si="1342"/>
        <v>908</v>
      </c>
      <c r="AC600" s="1022">
        <f t="shared" si="1342"/>
        <v>905</v>
      </c>
      <c r="AD600" s="1022">
        <f t="shared" si="1342"/>
        <v>814</v>
      </c>
      <c r="AE600" s="1022">
        <f t="shared" si="1342"/>
        <v>365</v>
      </c>
      <c r="AF600" s="1022">
        <f t="shared" si="1342"/>
        <v>397</v>
      </c>
      <c r="AG600" s="1022">
        <f t="shared" si="1342"/>
        <v>598</v>
      </c>
      <c r="AH600" s="1022">
        <f t="shared" si="1342"/>
        <v>840</v>
      </c>
      <c r="AI600" s="1022">
        <f t="shared" si="1342"/>
        <v>139</v>
      </c>
      <c r="AJ600" s="1022"/>
      <c r="AK600" s="1022"/>
      <c r="AL600" s="1022"/>
      <c r="AM600" s="1022"/>
      <c r="AN600" s="1027"/>
      <c r="AO600" s="1027"/>
      <c r="AP600" s="1027"/>
      <c r="AQ600" s="1022"/>
      <c r="AR600" s="1027"/>
      <c r="AS600" s="1027"/>
      <c r="AT600" s="1027"/>
      <c r="AU600" s="1022"/>
      <c r="AV600" s="1027"/>
      <c r="AW600" s="1027"/>
      <c r="AX600" s="1027"/>
      <c r="AY600" s="1022"/>
      <c r="AZ600" s="1027"/>
      <c r="BA600" s="1027"/>
      <c r="BB600" s="1027"/>
      <c r="BC600" s="1027"/>
      <c r="BD600" s="1027"/>
      <c r="BE600" s="1027"/>
      <c r="BF600" s="1027"/>
      <c r="BG600" s="1027"/>
      <c r="BH600" s="1027"/>
      <c r="BI600" s="1027"/>
      <c r="BJ600" s="1027"/>
      <c r="BK600" s="1027"/>
      <c r="BL600" s="1027"/>
      <c r="BM600" s="1027"/>
      <c r="BN600" s="1027"/>
      <c r="BO600" s="1027"/>
      <c r="BP600" s="1028"/>
      <c r="BQ600" s="1081"/>
      <c r="BR600" s="1081"/>
      <c r="BS600" s="1068">
        <f>SUM(BS595:BS597)+BS599</f>
        <v>3498</v>
      </c>
      <c r="BT600" s="1007">
        <f>SUM(BT595:BT597)+BT599</f>
        <v>2437</v>
      </c>
      <c r="BU600" s="1007">
        <f>SUM(BU595:BU597)+BU599</f>
        <v>1991</v>
      </c>
      <c r="BV600" s="1007">
        <f>SUM(BV595:BV597)+BV599</f>
        <v>4514</v>
      </c>
      <c r="BW600" s="1007">
        <f>SUM(BW595:BW597)+BW599</f>
        <v>2992</v>
      </c>
      <c r="BX600" s="1007">
        <f>SUM(AF600:AI600)</f>
        <v>1974</v>
      </c>
      <c r="BY600" s="1007"/>
      <c r="BZ600" s="1007"/>
      <c r="CA600" s="1007"/>
      <c r="CB600" s="1007"/>
      <c r="CC600" s="1007"/>
      <c r="CD600" s="1007"/>
      <c r="CE600" s="1007"/>
      <c r="CF600" s="1007"/>
      <c r="CG600" s="1007"/>
      <c r="CH600"/>
      <c r="CI600"/>
      <c r="CJ600"/>
    </row>
    <row r="601" spans="1:88" s="85" customFormat="1" ht="14.25" hidden="1" customHeight="1" outlineLevel="1">
      <c r="B601" s="1035" t="s">
        <v>521</v>
      </c>
      <c r="C601" s="1007"/>
      <c r="D601" s="1026"/>
      <c r="E601" s="1026"/>
      <c r="F601" s="1026"/>
      <c r="G601" s="1026"/>
      <c r="H601" s="1026"/>
      <c r="I601" s="1026"/>
      <c r="J601" s="1026"/>
      <c r="K601" s="1026"/>
      <c r="L601" s="1082">
        <f t="shared" ref="L601:AG601" si="1343">+L599+L596+L595+L598</f>
        <v>574</v>
      </c>
      <c r="M601" s="1082">
        <f t="shared" si="1343"/>
        <v>711</v>
      </c>
      <c r="N601" s="1082">
        <f t="shared" si="1343"/>
        <v>909</v>
      </c>
      <c r="O601" s="1082">
        <f t="shared" si="1343"/>
        <v>765</v>
      </c>
      <c r="P601" s="1082">
        <f t="shared" si="1343"/>
        <v>676</v>
      </c>
      <c r="Q601" s="1082">
        <f t="shared" si="1343"/>
        <v>789</v>
      </c>
      <c r="R601" s="1082">
        <f t="shared" si="1343"/>
        <v>689</v>
      </c>
      <c r="S601" s="1082">
        <f t="shared" si="1343"/>
        <v>148</v>
      </c>
      <c r="T601" s="1082">
        <f t="shared" si="1343"/>
        <v>32</v>
      </c>
      <c r="U601" s="1082">
        <f t="shared" si="1343"/>
        <v>292</v>
      </c>
      <c r="V601" s="1082">
        <f t="shared" si="1343"/>
        <v>658</v>
      </c>
      <c r="W601" s="1082">
        <f t="shared" si="1343"/>
        <v>694</v>
      </c>
      <c r="X601" s="1082">
        <f t="shared" si="1343"/>
        <v>792</v>
      </c>
      <c r="Y601" s="1082">
        <f t="shared" si="1343"/>
        <v>942</v>
      </c>
      <c r="Z601" s="1082">
        <f t="shared" si="1343"/>
        <v>1047</v>
      </c>
      <c r="AA601" s="1082">
        <f t="shared" si="1343"/>
        <v>1050</v>
      </c>
      <c r="AB601" s="1082">
        <f t="shared" si="1343"/>
        <v>767</v>
      </c>
      <c r="AC601" s="1082">
        <f t="shared" si="1343"/>
        <v>823</v>
      </c>
      <c r="AD601" s="1082">
        <f t="shared" si="1343"/>
        <v>736</v>
      </c>
      <c r="AE601" s="1082">
        <f t="shared" si="1343"/>
        <v>253</v>
      </c>
      <c r="AF601" s="1082">
        <f t="shared" si="1343"/>
        <v>422</v>
      </c>
      <c r="AG601" s="1082">
        <f t="shared" si="1343"/>
        <v>649</v>
      </c>
      <c r="AH601" s="1082">
        <f>+AH599+AH596+AH595+AH598</f>
        <v>893</v>
      </c>
      <c r="AI601" s="1082">
        <f>+AI599+AI596+AI595+AI598</f>
        <v>535</v>
      </c>
      <c r="AJ601" s="1022"/>
      <c r="AK601" s="1022"/>
      <c r="AL601" s="1022"/>
      <c r="AM601" s="1022"/>
      <c r="AN601" s="1027"/>
      <c r="AO601" s="1027"/>
      <c r="AP601" s="1027"/>
      <c r="AQ601" s="1022"/>
      <c r="AR601" s="1027"/>
      <c r="AS601" s="1027"/>
      <c r="AT601" s="1027"/>
      <c r="AU601" s="1022"/>
      <c r="AV601" s="1027"/>
      <c r="AW601" s="1027"/>
      <c r="AX601" s="1027"/>
      <c r="AY601" s="1022"/>
      <c r="AZ601" s="1027"/>
      <c r="BA601" s="1027"/>
      <c r="BB601" s="1027"/>
      <c r="BC601" s="1027"/>
      <c r="BD601" s="1027"/>
      <c r="BE601" s="1027"/>
      <c r="BF601" s="1027"/>
      <c r="BG601" s="1027"/>
      <c r="BH601" s="1027"/>
      <c r="BI601" s="1027"/>
      <c r="BJ601" s="1027"/>
      <c r="BK601" s="1027"/>
      <c r="BL601" s="1027"/>
      <c r="BM601" s="1027"/>
      <c r="BN601" s="1027"/>
      <c r="BO601" s="1027"/>
      <c r="BP601" s="1028"/>
      <c r="BQ601" s="1081"/>
      <c r="BR601" s="1081"/>
      <c r="BS601" s="1083">
        <f>SUM(L601:O601)</f>
        <v>2959</v>
      </c>
      <c r="BT601" s="1007">
        <f>SUM(P601:S601)</f>
        <v>2302</v>
      </c>
      <c r="BU601" s="1007">
        <f>SUM(T601:W601)</f>
        <v>1676</v>
      </c>
      <c r="BV601" s="1007">
        <f>SUM(X601:AA601)</f>
        <v>3831</v>
      </c>
      <c r="BW601" s="1007">
        <f>SUM(AB601:AE601)</f>
        <v>2579</v>
      </c>
      <c r="BX601" s="1007"/>
      <c r="BY601" s="1007"/>
      <c r="BZ601" s="1007"/>
      <c r="CA601" s="1007"/>
      <c r="CB601" s="1007"/>
      <c r="CC601" s="1007"/>
      <c r="CD601" s="1007"/>
      <c r="CE601" s="1007"/>
      <c r="CF601" s="1007"/>
      <c r="CG601" s="1007"/>
      <c r="CH601"/>
      <c r="CI601"/>
      <c r="CJ601"/>
    </row>
    <row r="602" spans="1:88" s="85" customFormat="1" ht="14.25" hidden="1" customHeight="1" outlineLevel="1">
      <c r="B602" s="988"/>
      <c r="C602" s="1007"/>
      <c r="D602" s="1026"/>
      <c r="E602" s="1026"/>
      <c r="F602" s="1026"/>
      <c r="G602" s="1026"/>
      <c r="H602" s="1026"/>
      <c r="I602" s="1026"/>
      <c r="J602" s="1026"/>
      <c r="K602" s="1026"/>
      <c r="L602" s="1022"/>
      <c r="M602" s="1022"/>
      <c r="N602" s="1022"/>
      <c r="O602" s="1022"/>
      <c r="P602" s="1022"/>
      <c r="Q602" s="1022"/>
      <c r="R602" s="1022"/>
      <c r="S602" s="1022"/>
      <c r="T602" s="1022"/>
      <c r="U602" s="1022"/>
      <c r="V602" s="1022"/>
      <c r="W602" s="1022"/>
      <c r="X602" s="1022"/>
      <c r="Y602" s="1022"/>
      <c r="Z602" s="1022"/>
      <c r="AA602" s="1022"/>
      <c r="AB602" s="1022"/>
      <c r="AC602" s="1022"/>
      <c r="AD602" s="1022"/>
      <c r="AE602" s="1022"/>
      <c r="AF602" s="1022"/>
      <c r="AG602" s="1022"/>
      <c r="AH602" s="1022"/>
      <c r="AI602" s="1022"/>
      <c r="AJ602" s="1022"/>
      <c r="AK602" s="1022"/>
      <c r="AL602" s="1022"/>
      <c r="AM602" s="1022"/>
      <c r="AN602" s="1027"/>
      <c r="AO602" s="1027"/>
      <c r="AP602" s="1027"/>
      <c r="AQ602" s="1022"/>
      <c r="AR602" s="1027"/>
      <c r="AS602" s="1027"/>
      <c r="AT602" s="1027"/>
      <c r="AU602" s="1022"/>
      <c r="AV602" s="1027"/>
      <c r="AW602" s="1027"/>
      <c r="AX602" s="1027"/>
      <c r="AY602" s="1022"/>
      <c r="AZ602" s="1027"/>
      <c r="BA602" s="1027"/>
      <c r="BB602" s="1027"/>
      <c r="BC602" s="1027"/>
      <c r="BD602" s="1027"/>
      <c r="BE602" s="1027"/>
      <c r="BF602" s="1027"/>
      <c r="BG602" s="1027"/>
      <c r="BH602" s="1027"/>
      <c r="BI602" s="1027"/>
      <c r="BJ602" s="1027"/>
      <c r="BK602" s="1027"/>
      <c r="BL602" s="1027"/>
      <c r="BM602" s="1027"/>
      <c r="BN602" s="1027"/>
      <c r="BO602" s="1027"/>
      <c r="BP602" s="1028"/>
      <c r="BQ602" s="1081"/>
      <c r="BR602" s="1081"/>
      <c r="BS602" s="1068"/>
      <c r="BT602" s="1007"/>
      <c r="BU602" s="1007"/>
      <c r="BV602" s="1007"/>
      <c r="BW602" s="1007"/>
      <c r="BX602" s="1007"/>
      <c r="BY602" s="1007"/>
      <c r="BZ602" s="1007"/>
      <c r="CA602" s="1007"/>
      <c r="CB602" s="1007"/>
      <c r="CC602" s="1007"/>
      <c r="CD602" s="1007"/>
      <c r="CE602" s="1007"/>
      <c r="CF602" s="1007"/>
      <c r="CG602" s="1007"/>
      <c r="CH602"/>
      <c r="CI602"/>
      <c r="CJ602"/>
    </row>
    <row r="603" spans="1:88" ht="14.25" hidden="1" customHeight="1" outlineLevel="1">
      <c r="A603" s="1"/>
      <c r="B603" s="1006"/>
      <c r="C603" s="1007"/>
      <c r="D603" s="1008"/>
      <c r="E603" s="1008"/>
      <c r="F603" s="1008"/>
      <c r="G603" s="1008"/>
      <c r="H603" s="1008"/>
      <c r="I603" s="1008"/>
      <c r="J603" s="1008"/>
      <c r="K603" s="1008"/>
      <c r="L603" s="1008"/>
      <c r="M603" s="1008"/>
      <c r="N603" s="1008"/>
      <c r="O603" s="1008"/>
      <c r="P603" s="1008"/>
      <c r="Q603" s="1008"/>
      <c r="R603" s="1008"/>
      <c r="S603" s="1008"/>
      <c r="T603" s="1008"/>
      <c r="U603" s="1008"/>
      <c r="V603" s="1008"/>
      <c r="W603" s="1008"/>
      <c r="X603" s="1008"/>
      <c r="Y603" s="1008"/>
      <c r="Z603" s="1008"/>
      <c r="AA603" s="1008"/>
      <c r="AB603" s="1008"/>
      <c r="AC603" s="1008"/>
      <c r="AD603" s="1008"/>
      <c r="AE603" s="1008"/>
      <c r="AF603" s="1008"/>
      <c r="AG603" s="1008"/>
      <c r="AH603" s="1008"/>
      <c r="AI603" s="1008"/>
      <c r="AJ603" s="1008"/>
      <c r="AK603" s="1008"/>
      <c r="AL603" s="1008"/>
      <c r="AM603" s="1008"/>
      <c r="AN603" s="1008"/>
      <c r="AO603" s="1008"/>
      <c r="AP603" s="1008"/>
      <c r="AQ603" s="1008"/>
      <c r="AR603" s="1008"/>
      <c r="AS603" s="1008"/>
      <c r="AT603" s="1008"/>
      <c r="AU603" s="1008"/>
      <c r="AV603" s="1008"/>
      <c r="AW603" s="1008"/>
      <c r="AX603" s="1008"/>
      <c r="AY603" s="1008"/>
      <c r="AZ603" s="1008"/>
      <c r="BA603" s="1008"/>
      <c r="BB603" s="1008"/>
      <c r="BC603" s="1008"/>
      <c r="BD603" s="1008"/>
      <c r="BE603" s="1008"/>
      <c r="BF603" s="1008"/>
      <c r="BG603" s="1008"/>
      <c r="BH603" s="1008"/>
      <c r="BI603" s="1008"/>
      <c r="BJ603" s="1008"/>
      <c r="BK603" s="1008"/>
      <c r="BL603" s="1008"/>
      <c r="BM603" s="1008"/>
      <c r="BN603" s="1008"/>
      <c r="BO603" s="1008"/>
      <c r="BP603" s="1009"/>
      <c r="BQ603" s="173"/>
      <c r="BR603" s="173"/>
      <c r="BS603" s="173"/>
      <c r="BT603" s="1008"/>
      <c r="BU603" s="1008"/>
      <c r="BV603" s="1008"/>
      <c r="BW603" s="1008"/>
      <c r="BX603" s="1008"/>
      <c r="BY603" s="1008"/>
      <c r="BZ603" s="1008"/>
      <c r="CA603" s="1008"/>
      <c r="CB603" s="1008"/>
      <c r="CC603" s="1008"/>
      <c r="CD603" s="1008"/>
      <c r="CE603" s="1008"/>
      <c r="CF603" s="1008"/>
      <c r="CG603" s="363"/>
    </row>
    <row r="604" spans="1:88" s="8" customFormat="1" ht="14.25" hidden="1" customHeight="1" outlineLevel="1">
      <c r="B604" s="1030" t="s">
        <v>271</v>
      </c>
      <c r="C604" s="268"/>
      <c r="D604" s="1031"/>
      <c r="E604" s="1031"/>
      <c r="F604" s="1031"/>
      <c r="G604" s="1031"/>
      <c r="H604" s="1034"/>
      <c r="I604" s="1034"/>
      <c r="J604" s="1034"/>
      <c r="K604" s="1034"/>
      <c r="L604" s="1034" t="str">
        <f>IF(ABS(L600-IS!L$52)&lt;1,"OK",L600-IS!L$52)</f>
        <v>OK</v>
      </c>
      <c r="M604" s="1034" t="str">
        <f>IF(ABS(M600-IS!M$52)&lt;1,"OK",M600-IS!M$52)</f>
        <v>OK</v>
      </c>
      <c r="N604" s="1034" t="str">
        <f>IF(ABS(N600-IS!N$52)&lt;1,"OK",N600-IS!N$52)</f>
        <v>OK</v>
      </c>
      <c r="O604" s="1034" t="str">
        <f>IF(ABS(O600-IS!O$52)&lt;1,"OK",O600-IS!O$52)</f>
        <v>OK</v>
      </c>
      <c r="P604" s="1034" t="str">
        <f>IF(ABS(P600-IS!P$52)&lt;1,"OK",P600-IS!P$52)</f>
        <v>OK</v>
      </c>
      <c r="Q604" s="1034" t="str">
        <f>IF(ABS(Q600-IS!Q$52)&lt;1,"OK",Q600-IS!Q$52)</f>
        <v>OK</v>
      </c>
      <c r="R604" s="1034" t="str">
        <f>IF(ABS(R600-IS!R$52)&lt;1,"OK",R600-IS!R$52)</f>
        <v>OK</v>
      </c>
      <c r="S604" s="1034" t="str">
        <f>IF(ABS(S600-IS!S$52)&lt;1,"OK",S600-IS!S$52)</f>
        <v>OK</v>
      </c>
      <c r="T604" s="1034" t="str">
        <f>IF(ABS(T600-IS!T$52)&lt;1,"OK",T600-IS!T$52)</f>
        <v>OK</v>
      </c>
      <c r="U604" s="1034" t="str">
        <f>IF(ABS(U600-IS!U$52)&lt;1,"OK",U600-IS!U$52)</f>
        <v>OK</v>
      </c>
      <c r="V604" s="1034" t="str">
        <f>IF(ABS(V600-IS!V$52)&lt;1,"OK",V600-IS!V$52)</f>
        <v>OK</v>
      </c>
      <c r="W604" s="1034" t="str">
        <f>IF(ABS(W600-IS!W$52)&lt;1,"OK",W600-IS!W$52)</f>
        <v>OK</v>
      </c>
      <c r="X604" s="1034" t="str">
        <f>IF(ABS(X600-IS!X$52)&lt;1,"OK",X600-IS!X$52)</f>
        <v>OK</v>
      </c>
      <c r="Y604" s="1034" t="str">
        <f>IF(ABS(Y600-IS!Y$52)&lt;1,"OK",Y600-IS!Y$52)</f>
        <v>OK</v>
      </c>
      <c r="Z604" s="1034" t="str">
        <f>IF(ABS(Z600-IS!Z$52)&lt;1,"OK",Z600-IS!Z$52)</f>
        <v>OK</v>
      </c>
      <c r="AA604" s="1034" t="str">
        <f>IF(ABS(AA600-IS!AA$52)&lt;1,"OK",AA600-IS!AA$52)</f>
        <v>OK</v>
      </c>
      <c r="AB604" s="1034" t="str">
        <f>IF(ABS(AB600-IS!AB$52)&lt;1,"OK",AB600-IS!AB$52)</f>
        <v>OK</v>
      </c>
      <c r="AC604" s="1034" t="str">
        <f>IF(ABS(AC600-IS!AC$52)&lt;1,"OK",AC600-IS!AC$52)</f>
        <v>OK</v>
      </c>
      <c r="AD604" s="1034" t="str">
        <f>IF(ABS(AD600-IS!AD$52)&lt;1,"OK",AD600-IS!AD$52)</f>
        <v>OK</v>
      </c>
      <c r="AE604" s="1034" t="str">
        <f>IF(ABS(AE600-IS!AE$52)&lt;1,"OK",AE600-IS!AE$52)</f>
        <v>OK</v>
      </c>
      <c r="AF604" s="1034" t="str">
        <f>IF(ABS(AF600-IS!AF$52)&lt;1,"OK",AF600-IS!AF$52)</f>
        <v>OK</v>
      </c>
      <c r="AG604" s="1034" t="str">
        <f>IF(ABS(AG600-IS!AG$52)&lt;1,"OK",AG600-IS!AG$52)</f>
        <v>OK</v>
      </c>
      <c r="AH604" s="280"/>
      <c r="AI604" s="280"/>
      <c r="AJ604" s="280"/>
      <c r="AK604" s="280"/>
      <c r="AL604" s="280"/>
      <c r="AM604" s="280"/>
      <c r="AN604" s="280"/>
      <c r="AO604" s="280"/>
      <c r="AP604" s="280"/>
      <c r="AQ604" s="280"/>
      <c r="AR604" s="280"/>
      <c r="AS604" s="280"/>
      <c r="AT604" s="280"/>
      <c r="AU604" s="280"/>
      <c r="AV604" s="280"/>
      <c r="AW604" s="280"/>
      <c r="AX604" s="280"/>
      <c r="AY604" s="280"/>
      <c r="AZ604" s="280"/>
      <c r="BA604" s="280"/>
      <c r="BB604" s="280"/>
      <c r="BC604" s="280"/>
      <c r="BD604" s="280"/>
      <c r="BE604" s="280"/>
      <c r="BF604" s="280"/>
      <c r="BG604" s="280"/>
      <c r="BH604" s="280"/>
      <c r="BI604" s="280"/>
      <c r="BJ604" s="280"/>
      <c r="BK604" s="280"/>
      <c r="BL604" s="280"/>
      <c r="BM604" s="280"/>
      <c r="BN604" s="280"/>
      <c r="BO604" s="280"/>
      <c r="BP604" s="652"/>
      <c r="BQ604" s="1033"/>
      <c r="BR604" s="1033"/>
      <c r="BS604" s="280" t="str">
        <f>IF(ABS(BS600-IS!BS$52)&lt;1,"OK",BS600-IS!BS$52)</f>
        <v>OK</v>
      </c>
      <c r="BT604" s="14" t="str">
        <f>IF(ABS(BT600-IS!BT$52)&lt;1,"OK",BT600-IS!BT$52)</f>
        <v>OK</v>
      </c>
      <c r="BU604" s="14" t="str">
        <f>IF(ABS(BU600-IS!BU$52)&lt;1,"OK",BU600-IS!BU$52)</f>
        <v>OK</v>
      </c>
      <c r="BV604" s="14" t="str">
        <f>IF(ABS(BV600-IS!BV$52)&lt;1,"OK",BV600-IS!BV$52)</f>
        <v>OK</v>
      </c>
      <c r="BW604" s="14" t="str">
        <f>IF(ABS(BW600-IS!BW$52)&lt;1,"OK",BW600-IS!BW$52)</f>
        <v>OK</v>
      </c>
      <c r="BX604" s="14"/>
      <c r="BY604" s="14"/>
      <c r="BZ604" s="14"/>
      <c r="CA604" s="14"/>
      <c r="CB604" s="14"/>
      <c r="CC604" s="14"/>
      <c r="CD604" s="14"/>
      <c r="CE604" s="14"/>
      <c r="CF604" s="14"/>
      <c r="CG604" s="14"/>
      <c r="CH604" s="14"/>
      <c r="CI604" s="221"/>
      <c r="CJ604"/>
    </row>
    <row r="605" spans="1:88" ht="14.25" hidden="1" customHeight="1" outlineLevel="1">
      <c r="A605" s="1"/>
      <c r="B605" s="1006"/>
      <c r="C605" s="1007"/>
      <c r="D605" s="1008"/>
      <c r="E605" s="1008"/>
      <c r="F605" s="1008"/>
      <c r="G605" s="1008"/>
      <c r="H605" s="1008"/>
      <c r="I605" s="1008"/>
      <c r="J605" s="1008"/>
      <c r="K605" s="1008"/>
      <c r="L605" s="1008"/>
      <c r="M605" s="1008"/>
      <c r="N605" s="1008"/>
      <c r="O605" s="1008"/>
      <c r="P605" s="1008"/>
      <c r="Q605" s="1008"/>
      <c r="R605" s="1008"/>
      <c r="S605" s="1008"/>
      <c r="T605" s="1008"/>
      <c r="U605" s="1008"/>
      <c r="V605" s="1008"/>
      <c r="W605" s="1008"/>
      <c r="X605" s="1008"/>
      <c r="Y605" s="1008"/>
      <c r="Z605" s="1008"/>
      <c r="AA605" s="1008"/>
      <c r="AB605" s="1008"/>
      <c r="AC605" s="1008"/>
      <c r="AD605" s="1008"/>
      <c r="AE605" s="1008"/>
      <c r="AF605" s="1008"/>
      <c r="AG605" s="1008"/>
      <c r="AH605" s="1008"/>
      <c r="AI605" s="1008"/>
      <c r="AJ605" s="1008"/>
      <c r="AK605" s="1008"/>
      <c r="AL605" s="1008"/>
      <c r="AM605" s="1008"/>
      <c r="AN605" s="1008"/>
      <c r="AO605" s="1008"/>
      <c r="AP605" s="1008"/>
      <c r="AQ605" s="1008"/>
      <c r="AR605" s="1008"/>
      <c r="AS605" s="1008"/>
      <c r="AT605" s="1008"/>
      <c r="AU605" s="1008"/>
      <c r="AV605" s="1008"/>
      <c r="AW605" s="1008"/>
      <c r="AX605" s="1008"/>
      <c r="AY605" s="1008"/>
      <c r="AZ605" s="1008"/>
      <c r="BA605" s="1008"/>
      <c r="BB605" s="1008"/>
      <c r="BC605" s="1008"/>
      <c r="BD605" s="1008"/>
      <c r="BE605" s="1008"/>
      <c r="BF605" s="1008"/>
      <c r="BG605" s="1008"/>
      <c r="BH605" s="1008"/>
      <c r="BI605" s="1008"/>
      <c r="BJ605" s="1008"/>
      <c r="BK605" s="1008"/>
      <c r="BL605" s="1008"/>
      <c r="BM605" s="1008"/>
      <c r="BN605" s="1008"/>
      <c r="BO605" s="1008"/>
      <c r="BP605" s="1009"/>
      <c r="BQ605" s="173"/>
      <c r="BR605" s="173"/>
      <c r="BS605" s="173"/>
      <c r="BT605" s="1008"/>
      <c r="BU605" s="1008"/>
      <c r="BV605" s="1008"/>
      <c r="BW605" s="1008"/>
      <c r="BX605" s="1008"/>
      <c r="BY605" s="1008"/>
      <c r="BZ605" s="1008"/>
      <c r="CA605" s="1008"/>
      <c r="CB605" s="1008"/>
      <c r="CC605" s="1008"/>
      <c r="CD605" s="1008"/>
      <c r="CE605" s="1008"/>
      <c r="CF605" s="1008"/>
      <c r="CG605" s="363"/>
    </row>
    <row r="606" spans="1:88" ht="14.25" hidden="1" customHeight="1" outlineLevel="1">
      <c r="A606" s="1"/>
      <c r="B606" s="1010" t="s">
        <v>485</v>
      </c>
      <c r="C606" s="1011"/>
      <c r="D606" s="1012" t="str">
        <f t="shared" ref="D606:BC606" si="1344">D$6</f>
        <v>F1Q05A</v>
      </c>
      <c r="E606" s="1012" t="str">
        <f t="shared" si="1344"/>
        <v>F2Q05A</v>
      </c>
      <c r="F606" s="1012" t="str">
        <f t="shared" si="1344"/>
        <v>F3Q05A</v>
      </c>
      <c r="G606" s="1012" t="str">
        <f t="shared" si="1344"/>
        <v>F4Q05A</v>
      </c>
      <c r="H606" s="1012" t="str">
        <f t="shared" si="1344"/>
        <v>F1Q06A</v>
      </c>
      <c r="I606" s="1012" t="str">
        <f t="shared" si="1344"/>
        <v>F2Q06A</v>
      </c>
      <c r="J606" s="1012" t="str">
        <f t="shared" si="1344"/>
        <v>F3Q06A</v>
      </c>
      <c r="K606" s="1012" t="str">
        <f t="shared" si="1344"/>
        <v>F4Q06A</v>
      </c>
      <c r="L606" s="1012" t="str">
        <f t="shared" si="1344"/>
        <v>F1Q07A</v>
      </c>
      <c r="M606" s="1012" t="str">
        <f t="shared" si="1344"/>
        <v>F2Q07A</v>
      </c>
      <c r="N606" s="1012" t="str">
        <f t="shared" si="1344"/>
        <v>F3Q07A</v>
      </c>
      <c r="O606" s="1012" t="str">
        <f t="shared" si="1344"/>
        <v>F4Q07A</v>
      </c>
      <c r="P606" s="1012" t="str">
        <f t="shared" si="1344"/>
        <v>F1Q08A</v>
      </c>
      <c r="Q606" s="1012" t="str">
        <f t="shared" si="1344"/>
        <v>F2Q08A</v>
      </c>
      <c r="R606" s="1012" t="str">
        <f t="shared" si="1344"/>
        <v>F3Q08A</v>
      </c>
      <c r="S606" s="1012" t="str">
        <f t="shared" si="1344"/>
        <v>F4Q08A</v>
      </c>
      <c r="T606" s="1012" t="str">
        <f t="shared" si="1344"/>
        <v>F1Q09A</v>
      </c>
      <c r="U606" s="1012" t="str">
        <f t="shared" si="1344"/>
        <v>F2Q09A</v>
      </c>
      <c r="V606" s="1012" t="str">
        <f t="shared" si="1344"/>
        <v>F3Q09A</v>
      </c>
      <c r="W606" s="1012" t="str">
        <f t="shared" si="1344"/>
        <v>F4Q09A</v>
      </c>
      <c r="X606" s="1012" t="str">
        <f t="shared" si="1344"/>
        <v>F1Q10A</v>
      </c>
      <c r="Y606" s="1012" t="str">
        <f t="shared" si="1344"/>
        <v>F2Q10A</v>
      </c>
      <c r="Z606" s="1012" t="str">
        <f t="shared" si="1344"/>
        <v>F3Q10A</v>
      </c>
      <c r="AA606" s="1012" t="str">
        <f t="shared" si="1344"/>
        <v>F4Q10A</v>
      </c>
      <c r="AB606" s="1012" t="str">
        <f t="shared" si="1344"/>
        <v>F1Q11A</v>
      </c>
      <c r="AC606" s="1012" t="str">
        <f t="shared" si="1344"/>
        <v>F2Q11A</v>
      </c>
      <c r="AD606" s="1012" t="str">
        <f t="shared" si="1344"/>
        <v>F3Q11A</v>
      </c>
      <c r="AE606" s="1012" t="str">
        <f t="shared" si="1344"/>
        <v>F4Q11A</v>
      </c>
      <c r="AF606" s="1012" t="str">
        <f t="shared" si="1344"/>
        <v>F1Q12A</v>
      </c>
      <c r="AG606" s="1012" t="str">
        <f t="shared" si="1344"/>
        <v>F2Q12A</v>
      </c>
      <c r="AH606" s="1012" t="str">
        <f t="shared" si="1344"/>
        <v>F3Q12A</v>
      </c>
      <c r="AI606" s="1012" t="str">
        <f t="shared" si="1344"/>
        <v>F4Q12A</v>
      </c>
      <c r="AJ606" s="1012" t="str">
        <f t="shared" si="1344"/>
        <v>F1Q13A</v>
      </c>
      <c r="AK606" s="1012" t="str">
        <f t="shared" si="1344"/>
        <v>F2Q13A</v>
      </c>
      <c r="AL606" s="1012" t="str">
        <f t="shared" si="1344"/>
        <v>F3Q13A</v>
      </c>
      <c r="AM606" s="1012" t="str">
        <f t="shared" si="1344"/>
        <v>F4Q13A</v>
      </c>
      <c r="AN606" s="1012" t="str">
        <f t="shared" si="1344"/>
        <v>F1Q14A</v>
      </c>
      <c r="AO606" s="1012" t="str">
        <f t="shared" si="1344"/>
        <v>F2Q14A</v>
      </c>
      <c r="AP606" s="1012" t="str">
        <f t="shared" si="1344"/>
        <v>F3Q14A</v>
      </c>
      <c r="AQ606" s="1012" t="str">
        <f t="shared" si="1344"/>
        <v>F4Q14A</v>
      </c>
      <c r="AR606" s="1012" t="str">
        <f t="shared" si="1344"/>
        <v>F1Q15A</v>
      </c>
      <c r="AS606" s="1012" t="str">
        <f t="shared" si="1344"/>
        <v>F2Q15A</v>
      </c>
      <c r="AT606" s="1012" t="str">
        <f t="shared" si="1344"/>
        <v>F3Q15A</v>
      </c>
      <c r="AU606" s="1012" t="str">
        <f t="shared" si="1344"/>
        <v>F4Q15A</v>
      </c>
      <c r="AV606" s="1012" t="str">
        <f t="shared" si="1344"/>
        <v>F1Q16A</v>
      </c>
      <c r="AW606" s="1012" t="str">
        <f t="shared" si="1344"/>
        <v>F2Q16A</v>
      </c>
      <c r="AX606" s="1012" t="str">
        <f t="shared" si="1344"/>
        <v>F3Q16A</v>
      </c>
      <c r="AY606" s="1012" t="str">
        <f t="shared" si="1344"/>
        <v>F4Q16A</v>
      </c>
      <c r="AZ606" s="1012" t="str">
        <f t="shared" si="1344"/>
        <v>F1Q17A</v>
      </c>
      <c r="BA606" s="1012" t="str">
        <f t="shared" si="1344"/>
        <v>F2Q17A</v>
      </c>
      <c r="BB606" s="1012" t="str">
        <f t="shared" si="1344"/>
        <v>F3Q17A</v>
      </c>
      <c r="BC606" s="1012" t="str">
        <f t="shared" si="1344"/>
        <v>F4Q17A</v>
      </c>
      <c r="BD606" s="1012"/>
      <c r="BE606" s="1012"/>
      <c r="BF606" s="1012"/>
      <c r="BG606" s="1012"/>
      <c r="BH606" s="1012"/>
      <c r="BI606" s="1012"/>
      <c r="BJ606" s="1012"/>
      <c r="BK606" s="1012"/>
      <c r="BL606" s="1012"/>
      <c r="BM606" s="1012"/>
      <c r="BN606" s="1012"/>
      <c r="BO606" s="1012"/>
      <c r="BP606" s="652"/>
      <c r="BQ606" s="1012" t="str">
        <f t="shared" ref="BQ606:CF606" si="1345">BQ$6</f>
        <v>FY2005A</v>
      </c>
      <c r="BR606" s="1012" t="str">
        <f t="shared" si="1345"/>
        <v>FY2006A</v>
      </c>
      <c r="BS606" s="1012" t="str">
        <f t="shared" si="1345"/>
        <v>FY2007A</v>
      </c>
      <c r="BT606" s="1012" t="str">
        <f t="shared" si="1345"/>
        <v>FY2008A</v>
      </c>
      <c r="BU606" s="1012" t="str">
        <f t="shared" si="1345"/>
        <v>FY2009A</v>
      </c>
      <c r="BV606" s="1012" t="str">
        <f t="shared" si="1345"/>
        <v>FY2010A</v>
      </c>
      <c r="BW606" s="1012" t="str">
        <f t="shared" si="1345"/>
        <v>FY2011A</v>
      </c>
      <c r="BX606" s="1012" t="str">
        <f t="shared" si="1345"/>
        <v>FY2012A</v>
      </c>
      <c r="BY606" s="1012" t="str">
        <f t="shared" si="1345"/>
        <v>FY2013A</v>
      </c>
      <c r="BZ606" s="1012" t="str">
        <f t="shared" si="1345"/>
        <v>FY2014A</v>
      </c>
      <c r="CA606" s="1012" t="str">
        <f t="shared" si="1345"/>
        <v>FY2015A</v>
      </c>
      <c r="CB606" s="1012" t="str">
        <f t="shared" si="1345"/>
        <v>FY2016A</v>
      </c>
      <c r="CC606" s="1012" t="str">
        <f t="shared" si="1345"/>
        <v>FY2017E</v>
      </c>
      <c r="CD606" s="1012" t="str">
        <f t="shared" si="1345"/>
        <v>FY2018E</v>
      </c>
      <c r="CE606" s="1012" t="str">
        <f t="shared" si="1345"/>
        <v>FY2019E</v>
      </c>
      <c r="CF606" s="1012" t="str">
        <f t="shared" si="1345"/>
        <v>FY2020E</v>
      </c>
      <c r="CG606" s="318"/>
    </row>
    <row r="607" spans="1:88" ht="14.25" hidden="1" customHeight="1" outlineLevel="1">
      <c r="B607" s="989" t="s">
        <v>312</v>
      </c>
      <c r="C607" s="318"/>
      <c r="D607" s="1013"/>
      <c r="E607" s="1013"/>
      <c r="F607" s="1013"/>
      <c r="G607" s="1013"/>
      <c r="H607" s="1013"/>
      <c r="I607" s="1013"/>
      <c r="J607" s="1013"/>
      <c r="K607" s="1013"/>
      <c r="L607" s="1015">
        <v>5</v>
      </c>
      <c r="M607" s="1015">
        <v>6</v>
      </c>
      <c r="N607" s="1015">
        <v>5</v>
      </c>
      <c r="O607" s="1015">
        <v>2</v>
      </c>
      <c r="P607" s="1015">
        <v>0</v>
      </c>
      <c r="Q607" s="1015">
        <v>0</v>
      </c>
      <c r="R607" s="1015">
        <v>0</v>
      </c>
      <c r="S607" s="1015">
        <v>58</v>
      </c>
      <c r="T607" s="1015">
        <v>40</v>
      </c>
      <c r="U607" s="1015">
        <v>34</v>
      </c>
      <c r="V607" s="1015">
        <v>4</v>
      </c>
      <c r="W607" s="1015">
        <v>6</v>
      </c>
      <c r="X607" s="1015">
        <v>4</v>
      </c>
      <c r="Y607" s="1015">
        <v>7</v>
      </c>
      <c r="Z607" s="1015">
        <v>1</v>
      </c>
      <c r="AA607" s="1015">
        <v>1</v>
      </c>
      <c r="AB607" s="1015">
        <v>0</v>
      </c>
      <c r="AC607" s="1015">
        <v>0</v>
      </c>
      <c r="AD607" s="1015">
        <v>0</v>
      </c>
      <c r="AE607" s="1015">
        <v>0</v>
      </c>
      <c r="AF607" s="1015">
        <v>0</v>
      </c>
      <c r="AG607" s="1016">
        <v>0</v>
      </c>
      <c r="AH607" s="1015"/>
      <c r="AI607" s="1015"/>
      <c r="AJ607" s="1015"/>
      <c r="AK607" s="1015"/>
      <c r="AL607" s="1015"/>
      <c r="AM607" s="1015"/>
      <c r="AN607" s="1017"/>
      <c r="AO607" s="1017"/>
      <c r="AP607" s="1017"/>
      <c r="AQ607" s="1015"/>
      <c r="AR607" s="1017"/>
      <c r="AS607" s="1017"/>
      <c r="AT607" s="1017"/>
      <c r="AU607" s="1015"/>
      <c r="AV607" s="1017"/>
      <c r="AW607" s="1017"/>
      <c r="AX607" s="1017"/>
      <c r="AY607" s="1015"/>
      <c r="AZ607" s="1017"/>
      <c r="BA607" s="1017"/>
      <c r="BB607" s="1017"/>
      <c r="BC607" s="1017"/>
      <c r="BD607" s="1017"/>
      <c r="BE607" s="1017"/>
      <c r="BF607" s="1017"/>
      <c r="BG607" s="1017"/>
      <c r="BH607" s="1017"/>
      <c r="BI607" s="1017"/>
      <c r="BJ607" s="1017"/>
      <c r="BK607" s="1017"/>
      <c r="BL607" s="1017"/>
      <c r="BM607" s="1017"/>
      <c r="BN607" s="1017"/>
      <c r="BO607" s="1017"/>
      <c r="BP607" s="1018"/>
      <c r="BQ607" s="1019"/>
      <c r="BR607" s="1019"/>
      <c r="BS607" s="1020">
        <f>SUM(L607:O607)</f>
        <v>18</v>
      </c>
      <c r="BT607" s="318">
        <f>SUM(P607:S607)</f>
        <v>58</v>
      </c>
      <c r="BU607" s="318">
        <f>SUM(T607:W607)</f>
        <v>84</v>
      </c>
      <c r="BV607" s="318">
        <f>SUM(X607:AA607)</f>
        <v>13</v>
      </c>
      <c r="BW607" s="318">
        <f>SUM(AB607:AE607)</f>
        <v>0</v>
      </c>
      <c r="BX607" s="318"/>
      <c r="BY607" s="318"/>
      <c r="BZ607" s="318"/>
      <c r="CA607" s="318"/>
      <c r="CB607" s="318"/>
      <c r="CC607" s="318"/>
      <c r="CD607" s="318"/>
      <c r="CE607" s="318"/>
      <c r="CF607" s="318"/>
      <c r="CG607" s="318"/>
    </row>
    <row r="608" spans="1:88" ht="14.25" hidden="1" customHeight="1" outlineLevel="1">
      <c r="B608" s="989" t="s">
        <v>313</v>
      </c>
      <c r="C608" s="318"/>
      <c r="D608" s="1013"/>
      <c r="E608" s="1013"/>
      <c r="F608" s="1013"/>
      <c r="G608" s="1013"/>
      <c r="H608" s="1013"/>
      <c r="I608" s="1013"/>
      <c r="J608" s="1013"/>
      <c r="K608" s="1013"/>
      <c r="L608" s="1015">
        <v>1</v>
      </c>
      <c r="M608" s="1015">
        <v>1</v>
      </c>
      <c r="N608" s="1015">
        <v>1</v>
      </c>
      <c r="O608" s="1015">
        <v>1</v>
      </c>
      <c r="P608" s="1015">
        <v>0</v>
      </c>
      <c r="Q608" s="1015">
        <v>0</v>
      </c>
      <c r="R608" s="1015">
        <v>0</v>
      </c>
      <c r="S608" s="1015">
        <v>24</v>
      </c>
      <c r="T608" s="1015">
        <v>19</v>
      </c>
      <c r="U608" s="1015">
        <v>18</v>
      </c>
      <c r="V608" s="1015">
        <v>2</v>
      </c>
      <c r="W608" s="1015">
        <v>3</v>
      </c>
      <c r="X608" s="1015">
        <v>2</v>
      </c>
      <c r="Y608" s="1015">
        <v>3</v>
      </c>
      <c r="Z608" s="1015">
        <v>1</v>
      </c>
      <c r="AA608" s="1015">
        <v>0</v>
      </c>
      <c r="AB608" s="1015">
        <v>0</v>
      </c>
      <c r="AC608" s="1015">
        <v>0</v>
      </c>
      <c r="AD608" s="1015">
        <v>0</v>
      </c>
      <c r="AE608" s="1015">
        <v>0</v>
      </c>
      <c r="AF608" s="1015">
        <v>0</v>
      </c>
      <c r="AG608" s="1016">
        <v>0</v>
      </c>
      <c r="AH608" s="1078"/>
      <c r="AI608" s="1078"/>
      <c r="AJ608" s="1078"/>
      <c r="AK608" s="1078"/>
      <c r="AL608" s="1078"/>
      <c r="AM608" s="1078"/>
      <c r="AN608" s="1017"/>
      <c r="AO608" s="1017"/>
      <c r="AP608" s="1017"/>
      <c r="AQ608" s="1078"/>
      <c r="AR608" s="1017"/>
      <c r="AS608" s="1017"/>
      <c r="AT608" s="1017"/>
      <c r="AU608" s="1078"/>
      <c r="AV608" s="1017"/>
      <c r="AW608" s="1017"/>
      <c r="AX608" s="1017"/>
      <c r="AY608" s="1078"/>
      <c r="AZ608" s="1017"/>
      <c r="BA608" s="1017"/>
      <c r="BB608" s="1017"/>
      <c r="BC608" s="1017"/>
      <c r="BD608" s="1017"/>
      <c r="BE608" s="1017"/>
      <c r="BF608" s="1017"/>
      <c r="BG608" s="1017"/>
      <c r="BH608" s="1017"/>
      <c r="BI608" s="1017"/>
      <c r="BJ608" s="1017"/>
      <c r="BK608" s="1017"/>
      <c r="BL608" s="1017"/>
      <c r="BM608" s="1017"/>
      <c r="BN608" s="1017"/>
      <c r="BO608" s="1017"/>
      <c r="BP608" s="1018"/>
      <c r="BQ608" s="1019"/>
      <c r="BR608" s="1019"/>
      <c r="BS608" s="1020">
        <f>SUM(L608:O608)</f>
        <v>4</v>
      </c>
      <c r="BT608" s="318">
        <f>SUM(P608:S608)</f>
        <v>24</v>
      </c>
      <c r="BU608" s="318">
        <f>SUM(T608:W608)</f>
        <v>42</v>
      </c>
      <c r="BV608" s="318">
        <f>SUM(X608:AA608)</f>
        <v>6</v>
      </c>
      <c r="BW608" s="318">
        <f>SUM(AB608:AE608)</f>
        <v>0</v>
      </c>
      <c r="BX608" s="318"/>
      <c r="BY608" s="318"/>
      <c r="BZ608" s="318"/>
      <c r="CA608" s="318"/>
      <c r="CB608" s="318"/>
      <c r="CC608" s="318"/>
      <c r="CD608" s="318"/>
      <c r="CE608" s="318"/>
      <c r="CF608" s="318"/>
      <c r="CG608" s="318"/>
    </row>
    <row r="609" spans="1:88" ht="14.25" hidden="1" customHeight="1" outlineLevel="1">
      <c r="B609" s="989" t="s">
        <v>314</v>
      </c>
      <c r="C609" s="318"/>
      <c r="D609" s="1021"/>
      <c r="E609" s="1021"/>
      <c r="F609" s="1021"/>
      <c r="G609" s="1021"/>
      <c r="H609" s="1021"/>
      <c r="I609" s="1021"/>
      <c r="J609" s="1021"/>
      <c r="K609" s="1021"/>
      <c r="L609" s="1015">
        <v>5</v>
      </c>
      <c r="M609" s="1015">
        <v>7</v>
      </c>
      <c r="N609" s="1015">
        <v>6</v>
      </c>
      <c r="O609" s="1015">
        <v>2</v>
      </c>
      <c r="P609" s="1015">
        <v>0</v>
      </c>
      <c r="Q609" s="1015">
        <v>0</v>
      </c>
      <c r="R609" s="1015">
        <v>0</v>
      </c>
      <c r="S609" s="1015">
        <v>132</v>
      </c>
      <c r="T609" s="1015">
        <v>34</v>
      </c>
      <c r="U609" s="1015">
        <v>24</v>
      </c>
      <c r="V609" s="1015">
        <v>3</v>
      </c>
      <c r="W609" s="1015">
        <v>1</v>
      </c>
      <c r="X609" s="1015">
        <v>3</v>
      </c>
      <c r="Y609" s="1015">
        <v>5</v>
      </c>
      <c r="Z609" s="1015">
        <v>1</v>
      </c>
      <c r="AA609" s="1015">
        <v>0</v>
      </c>
      <c r="AB609" s="1015">
        <v>0</v>
      </c>
      <c r="AC609" s="1015">
        <v>0</v>
      </c>
      <c r="AD609" s="1015">
        <v>0</v>
      </c>
      <c r="AE609" s="1015">
        <v>0</v>
      </c>
      <c r="AF609" s="1015">
        <v>0</v>
      </c>
      <c r="AG609" s="1016">
        <v>0</v>
      </c>
      <c r="AH609" s="1078"/>
      <c r="AI609" s="1078"/>
      <c r="AJ609" s="1078"/>
      <c r="AK609" s="1078"/>
      <c r="AL609" s="1078"/>
      <c r="AM609" s="1078"/>
      <c r="AN609" s="1017"/>
      <c r="AO609" s="1017"/>
      <c r="AP609" s="1017"/>
      <c r="AQ609" s="1078"/>
      <c r="AR609" s="1017"/>
      <c r="AS609" s="1017"/>
      <c r="AT609" s="1017"/>
      <c r="AU609" s="1078"/>
      <c r="AV609" s="1017"/>
      <c r="AW609" s="1017"/>
      <c r="AX609" s="1017"/>
      <c r="AY609" s="1078"/>
      <c r="AZ609" s="1017"/>
      <c r="BA609" s="1017"/>
      <c r="BB609" s="1017"/>
      <c r="BC609" s="1017"/>
      <c r="BD609" s="1017"/>
      <c r="BE609" s="1017"/>
      <c r="BF609" s="1017"/>
      <c r="BG609" s="1017"/>
      <c r="BH609" s="1017"/>
      <c r="BI609" s="1017"/>
      <c r="BJ609" s="1017"/>
      <c r="BK609" s="1017"/>
      <c r="BL609" s="1017"/>
      <c r="BM609" s="1017"/>
      <c r="BN609" s="1017"/>
      <c r="BO609" s="1017"/>
      <c r="BP609" s="1018"/>
      <c r="BQ609" s="1019"/>
      <c r="BR609" s="1019"/>
      <c r="BS609" s="1020">
        <f>SUM(L609:O609)</f>
        <v>20</v>
      </c>
      <c r="BT609" s="318">
        <f>SUM(P609:S609)</f>
        <v>132</v>
      </c>
      <c r="BU609" s="318">
        <f>SUM(T609:W609)</f>
        <v>62</v>
      </c>
      <c r="BV609" s="318">
        <f>SUM(X609:AA609)</f>
        <v>9</v>
      </c>
      <c r="BW609" s="318">
        <f>SUM(AB609:AE609)</f>
        <v>0</v>
      </c>
      <c r="BX609" s="318"/>
      <c r="BY609" s="318"/>
      <c r="BZ609" s="318"/>
      <c r="CA609" s="318"/>
      <c r="CB609" s="318"/>
      <c r="CC609" s="318"/>
      <c r="CD609" s="318"/>
      <c r="CE609" s="318"/>
      <c r="CF609" s="318"/>
      <c r="CG609" s="318"/>
    </row>
    <row r="610" spans="1:88" ht="14.25" hidden="1" customHeight="1" outlineLevel="1">
      <c r="B610" s="989" t="s">
        <v>486</v>
      </c>
      <c r="C610" s="318"/>
      <c r="D610" s="1021"/>
      <c r="E610" s="1021"/>
      <c r="F610" s="1021"/>
      <c r="G610" s="1021"/>
      <c r="H610" s="1021"/>
      <c r="I610" s="1021"/>
      <c r="J610" s="1021"/>
      <c r="K610" s="1021"/>
      <c r="L610" s="1015">
        <v>3</v>
      </c>
      <c r="M610" s="1015">
        <v>3</v>
      </c>
      <c r="N610" s="1015">
        <v>3</v>
      </c>
      <c r="O610" s="1015">
        <v>1</v>
      </c>
      <c r="P610" s="1015">
        <v>0</v>
      </c>
      <c r="Q610" s="1015">
        <v>0</v>
      </c>
      <c r="R610" s="1015">
        <v>0</v>
      </c>
      <c r="S610" s="1016">
        <v>40</v>
      </c>
      <c r="T610" s="1016">
        <v>12</v>
      </c>
      <c r="U610" s="1016">
        <v>9</v>
      </c>
      <c r="V610" s="1016">
        <v>1</v>
      </c>
      <c r="W610" s="1016">
        <v>2</v>
      </c>
      <c r="X610" s="1016">
        <v>1</v>
      </c>
      <c r="Y610" s="1016">
        <v>2</v>
      </c>
      <c r="Z610" s="1016">
        <v>1</v>
      </c>
      <c r="AA610" s="1016">
        <v>0</v>
      </c>
      <c r="AB610" s="1016">
        <v>0</v>
      </c>
      <c r="AC610" s="1016">
        <v>0</v>
      </c>
      <c r="AD610" s="1016">
        <v>0</v>
      </c>
      <c r="AE610" s="1016">
        <v>112</v>
      </c>
      <c r="AF610" s="1016">
        <v>10</v>
      </c>
      <c r="AG610" s="1016">
        <v>13</v>
      </c>
      <c r="AH610" s="1079"/>
      <c r="AI610" s="1079"/>
      <c r="AJ610" s="1078"/>
      <c r="AK610" s="1078"/>
      <c r="AL610" s="1078"/>
      <c r="AM610" s="1078"/>
      <c r="AN610" s="1017"/>
      <c r="AO610" s="1017"/>
      <c r="AP610" s="1017"/>
      <c r="AQ610" s="1078"/>
      <c r="AR610" s="1017"/>
      <c r="AS610" s="1017"/>
      <c r="AT610" s="1017"/>
      <c r="AU610" s="1078"/>
      <c r="AV610" s="1017"/>
      <c r="AW610" s="1017"/>
      <c r="AX610" s="1017"/>
      <c r="AY610" s="1078"/>
      <c r="AZ610" s="1017"/>
      <c r="BA610" s="1017"/>
      <c r="BB610" s="1017"/>
      <c r="BC610" s="1017"/>
      <c r="BD610" s="1017"/>
      <c r="BE610" s="1017"/>
      <c r="BF610" s="1017"/>
      <c r="BG610" s="1017"/>
      <c r="BH610" s="1017"/>
      <c r="BI610" s="1017"/>
      <c r="BJ610" s="1017"/>
      <c r="BK610" s="1017"/>
      <c r="BL610" s="1017"/>
      <c r="BM610" s="1017"/>
      <c r="BN610" s="1017"/>
      <c r="BO610" s="1017"/>
      <c r="BP610" s="1018"/>
      <c r="BQ610" s="1019"/>
      <c r="BR610" s="1019"/>
      <c r="BS610" s="1020">
        <f>SUM(L610:O610)</f>
        <v>10</v>
      </c>
      <c r="BT610" s="318">
        <f>SUM(P610:S610)</f>
        <v>40</v>
      </c>
      <c r="BU610" s="318">
        <f>SUM(T610:W610)</f>
        <v>24</v>
      </c>
      <c r="BV610" s="318">
        <f>SUM(X610:AA610)</f>
        <v>4</v>
      </c>
      <c r="BW610" s="318">
        <f>SUM(AB610:AE610)</f>
        <v>112</v>
      </c>
      <c r="BX610" s="318"/>
      <c r="BY610" s="318"/>
      <c r="BZ610" s="318"/>
      <c r="CA610" s="318"/>
      <c r="CB610" s="318"/>
      <c r="CC610" s="318"/>
      <c r="CD610" s="318"/>
      <c r="CE610" s="318"/>
      <c r="CF610" s="318"/>
      <c r="CG610" s="318"/>
    </row>
    <row r="611" spans="1:88" ht="14.25" hidden="1" customHeight="1" outlineLevel="1">
      <c r="B611" s="989" t="s">
        <v>487</v>
      </c>
      <c r="C611" s="318"/>
      <c r="D611" s="1021"/>
      <c r="E611" s="1021"/>
      <c r="F611" s="1021"/>
      <c r="G611" s="1021"/>
      <c r="H611" s="1021"/>
      <c r="I611" s="1021"/>
      <c r="J611" s="1021"/>
      <c r="K611" s="1021"/>
      <c r="L611" s="1015">
        <v>0</v>
      </c>
      <c r="M611" s="1015">
        <v>0</v>
      </c>
      <c r="N611" s="1015">
        <v>-39</v>
      </c>
      <c r="O611" s="1015">
        <v>0</v>
      </c>
      <c r="P611" s="1015">
        <v>0</v>
      </c>
      <c r="Q611" s="1015">
        <v>0</v>
      </c>
      <c r="R611" s="1015">
        <v>0</v>
      </c>
      <c r="S611" s="1015">
        <v>0</v>
      </c>
      <c r="T611" s="1015">
        <v>0</v>
      </c>
      <c r="U611" s="1015">
        <v>0</v>
      </c>
      <c r="V611" s="1015">
        <v>0</v>
      </c>
      <c r="W611" s="1015">
        <v>0</v>
      </c>
      <c r="X611" s="1015">
        <v>0</v>
      </c>
      <c r="Y611" s="1015">
        <v>0</v>
      </c>
      <c r="Z611" s="1015">
        <v>0</v>
      </c>
      <c r="AA611" s="1015">
        <v>-144</v>
      </c>
      <c r="AB611" s="1015">
        <v>2</v>
      </c>
      <c r="AC611" s="1015">
        <v>13</v>
      </c>
      <c r="AD611" s="1015">
        <v>147</v>
      </c>
      <c r="AE611" s="1015">
        <v>153</v>
      </c>
      <c r="AF611" s="1015">
        <v>153</v>
      </c>
      <c r="AG611" s="1016">
        <v>104</v>
      </c>
      <c r="AH611" s="1079"/>
      <c r="AI611" s="1079"/>
      <c r="AJ611" s="1078"/>
      <c r="AK611" s="1078"/>
      <c r="AL611" s="1078"/>
      <c r="AM611" s="1078"/>
      <c r="AN611" s="1017"/>
      <c r="AO611" s="1017"/>
      <c r="AP611" s="1017"/>
      <c r="AQ611" s="1078"/>
      <c r="AR611" s="1017"/>
      <c r="AS611" s="1017"/>
      <c r="AT611" s="1017"/>
      <c r="AU611" s="1078"/>
      <c r="AV611" s="1017"/>
      <c r="AW611" s="1017"/>
      <c r="AX611" s="1017"/>
      <c r="AY611" s="1078"/>
      <c r="AZ611" s="1017"/>
      <c r="BA611" s="1017"/>
      <c r="BB611" s="1017"/>
      <c r="BC611" s="1017"/>
      <c r="BD611" s="1017"/>
      <c r="BE611" s="1017"/>
      <c r="BF611" s="1017"/>
      <c r="BG611" s="1017"/>
      <c r="BH611" s="1017"/>
      <c r="BI611" s="1017"/>
      <c r="BJ611" s="1017"/>
      <c r="BK611" s="1017"/>
      <c r="BL611" s="1017"/>
      <c r="BM611" s="1017"/>
      <c r="BN611" s="1017"/>
      <c r="BO611" s="1017"/>
      <c r="BP611" s="1018"/>
      <c r="BQ611" s="1019"/>
      <c r="BR611" s="1019"/>
      <c r="BS611" s="1020">
        <f>SUM(L611:O611)</f>
        <v>-39</v>
      </c>
      <c r="BT611" s="318">
        <f>SUM(P611:S611)</f>
        <v>0</v>
      </c>
      <c r="BU611" s="318">
        <f>SUM(T611:W611)</f>
        <v>0</v>
      </c>
      <c r="BV611" s="318">
        <f>SUM(X611:AA611)</f>
        <v>-144</v>
      </c>
      <c r="BW611" s="318">
        <f>SUM(AB611:AE611)</f>
        <v>315</v>
      </c>
      <c r="BX611" s="318"/>
      <c r="BY611" s="318"/>
      <c r="BZ611" s="318"/>
      <c r="CA611" s="318"/>
      <c r="CB611" s="318"/>
      <c r="CC611" s="318"/>
      <c r="CD611" s="318"/>
      <c r="CE611" s="318"/>
      <c r="CF611" s="318"/>
      <c r="CG611" s="318"/>
    </row>
    <row r="612" spans="1:88" s="85" customFormat="1" ht="14.25" hidden="1" customHeight="1" outlineLevel="1">
      <c r="B612" s="988" t="s">
        <v>440</v>
      </c>
      <c r="C612" s="1007"/>
      <c r="D612" s="1026"/>
      <c r="E612" s="1026"/>
      <c r="F612" s="1026"/>
      <c r="G612" s="1026"/>
      <c r="H612" s="1026"/>
      <c r="I612" s="1026"/>
      <c r="J612" s="1026"/>
      <c r="K612" s="1026"/>
      <c r="L612" s="1022">
        <f t="shared" ref="L612:AG612" si="1346">SUM(L607:L611)</f>
        <v>14</v>
      </c>
      <c r="M612" s="1022">
        <f t="shared" si="1346"/>
        <v>17</v>
      </c>
      <c r="N612" s="1022">
        <f t="shared" si="1346"/>
        <v>-24</v>
      </c>
      <c r="O612" s="1022">
        <f t="shared" si="1346"/>
        <v>6</v>
      </c>
      <c r="P612" s="1022">
        <f t="shared" si="1346"/>
        <v>0</v>
      </c>
      <c r="Q612" s="1022">
        <f t="shared" si="1346"/>
        <v>0</v>
      </c>
      <c r="R612" s="1022">
        <f t="shared" si="1346"/>
        <v>0</v>
      </c>
      <c r="S612" s="1022">
        <f t="shared" si="1346"/>
        <v>254</v>
      </c>
      <c r="T612" s="1022">
        <f t="shared" si="1346"/>
        <v>105</v>
      </c>
      <c r="U612" s="1022">
        <f t="shared" si="1346"/>
        <v>85</v>
      </c>
      <c r="V612" s="1022">
        <f t="shared" si="1346"/>
        <v>10</v>
      </c>
      <c r="W612" s="1022">
        <f t="shared" si="1346"/>
        <v>12</v>
      </c>
      <c r="X612" s="1022">
        <f t="shared" si="1346"/>
        <v>10</v>
      </c>
      <c r="Y612" s="1022">
        <f t="shared" si="1346"/>
        <v>17</v>
      </c>
      <c r="Z612" s="1022">
        <f t="shared" si="1346"/>
        <v>4</v>
      </c>
      <c r="AA612" s="1022">
        <f t="shared" si="1346"/>
        <v>-143</v>
      </c>
      <c r="AB612" s="1022">
        <f t="shared" si="1346"/>
        <v>2</v>
      </c>
      <c r="AC612" s="1022">
        <f t="shared" si="1346"/>
        <v>13</v>
      </c>
      <c r="AD612" s="1022">
        <f t="shared" si="1346"/>
        <v>147</v>
      </c>
      <c r="AE612" s="1022">
        <f t="shared" si="1346"/>
        <v>265</v>
      </c>
      <c r="AF612" s="1022">
        <f t="shared" si="1346"/>
        <v>163</v>
      </c>
      <c r="AG612" s="1022">
        <f t="shared" si="1346"/>
        <v>117</v>
      </c>
      <c r="AH612" s="1022"/>
      <c r="AI612" s="1022"/>
      <c r="AJ612" s="1022"/>
      <c r="AK612" s="1022"/>
      <c r="AL612" s="1022"/>
      <c r="AM612" s="1022"/>
      <c r="AN612" s="1027"/>
      <c r="AO612" s="1027"/>
      <c r="AP612" s="1027"/>
      <c r="AQ612" s="1022"/>
      <c r="AR612" s="1027"/>
      <c r="AS612" s="1027"/>
      <c r="AT612" s="1027"/>
      <c r="AU612" s="1022"/>
      <c r="AV612" s="1027"/>
      <c r="AW612" s="1027"/>
      <c r="AX612" s="1027"/>
      <c r="AY612" s="1022"/>
      <c r="AZ612" s="1027"/>
      <c r="BA612" s="1027"/>
      <c r="BB612" s="1027"/>
      <c r="BC612" s="1027"/>
      <c r="BD612" s="1027"/>
      <c r="BE612" s="1027"/>
      <c r="BF612" s="1027"/>
      <c r="BG612" s="1027"/>
      <c r="BH612" s="1027"/>
      <c r="BI612" s="1027"/>
      <c r="BJ612" s="1027"/>
      <c r="BK612" s="1027"/>
      <c r="BL612" s="1027"/>
      <c r="BM612" s="1027"/>
      <c r="BN612" s="1027"/>
      <c r="BO612" s="1027"/>
      <c r="BP612" s="1028"/>
      <c r="BQ612" s="1081"/>
      <c r="BR612" s="1081"/>
      <c r="BS612" s="1068">
        <f>SUM(BS607:BS611)</f>
        <v>13</v>
      </c>
      <c r="BT612" s="1007">
        <f>SUM(BT607:BT611)</f>
        <v>254</v>
      </c>
      <c r="BU612" s="1007">
        <f>SUM(BU607:BU611)</f>
        <v>212</v>
      </c>
      <c r="BV612" s="1007">
        <f>SUM(BV607:BV611)</f>
        <v>-112</v>
      </c>
      <c r="BW612" s="1007">
        <f>SUM(BW607:BW611)</f>
        <v>427</v>
      </c>
      <c r="BX612" s="1007"/>
      <c r="BY612" s="1007"/>
      <c r="BZ612" s="1007"/>
      <c r="CA612" s="1007"/>
      <c r="CB612" s="1007"/>
      <c r="CC612" s="1007"/>
      <c r="CD612" s="1007"/>
      <c r="CE612" s="1007"/>
      <c r="CF612" s="1007"/>
      <c r="CG612" s="1007"/>
      <c r="CH612"/>
      <c r="CI612"/>
      <c r="CJ612"/>
    </row>
    <row r="613" spans="1:88" ht="14.25" hidden="1" customHeight="1" outlineLevel="1">
      <c r="A613" s="1"/>
      <c r="B613" s="1006"/>
      <c r="C613" s="1007"/>
      <c r="D613" s="1008"/>
      <c r="E613" s="1008"/>
      <c r="F613" s="1008"/>
      <c r="G613" s="1008"/>
      <c r="H613" s="1008"/>
      <c r="I613" s="1008"/>
      <c r="J613" s="1008"/>
      <c r="K613" s="1008"/>
      <c r="L613" s="1008"/>
      <c r="M613" s="1008"/>
      <c r="N613" s="1008"/>
      <c r="O613" s="1008"/>
      <c r="P613" s="1008"/>
      <c r="Q613" s="1008"/>
      <c r="R613" s="1008"/>
      <c r="S613" s="1008"/>
      <c r="T613" s="1008"/>
      <c r="U613" s="1008"/>
      <c r="V613" s="1008"/>
      <c r="W613" s="1008"/>
      <c r="X613" s="1008"/>
      <c r="Y613" s="1008"/>
      <c r="Z613" s="1008"/>
      <c r="AA613" s="1008"/>
      <c r="AB613" s="1008"/>
      <c r="AC613" s="1008"/>
      <c r="AD613" s="1008"/>
      <c r="AE613" s="1008"/>
      <c r="AF613" s="1008"/>
      <c r="AG613" s="1008"/>
      <c r="AH613" s="1008"/>
      <c r="AI613" s="1008"/>
      <c r="AJ613" s="1008"/>
      <c r="AK613" s="1008"/>
      <c r="AL613" s="1008"/>
      <c r="AM613" s="1008"/>
      <c r="AN613" s="1008"/>
      <c r="AO613" s="1008"/>
      <c r="AP613" s="1008"/>
      <c r="AQ613" s="1008"/>
      <c r="AR613" s="1008"/>
      <c r="AS613" s="1008"/>
      <c r="AT613" s="1008"/>
      <c r="AU613" s="1008"/>
      <c r="AV613" s="1008"/>
      <c r="AW613" s="1008"/>
      <c r="AX613" s="1008"/>
      <c r="AY613" s="1008"/>
      <c r="AZ613" s="1008"/>
      <c r="BA613" s="1008"/>
      <c r="BB613" s="1008"/>
      <c r="BC613" s="1008"/>
      <c r="BD613" s="1008"/>
      <c r="BE613" s="1008"/>
      <c r="BF613" s="1008"/>
      <c r="BG613" s="1008"/>
      <c r="BH613" s="1008"/>
      <c r="BI613" s="1008"/>
      <c r="BJ613" s="1008"/>
      <c r="BK613" s="1008"/>
      <c r="BL613" s="1008"/>
      <c r="BM613" s="1008"/>
      <c r="BN613" s="1008"/>
      <c r="BO613" s="1008"/>
      <c r="BP613" s="1009"/>
      <c r="BQ613" s="173"/>
      <c r="BR613" s="173"/>
      <c r="BS613" s="173"/>
      <c r="BT613" s="1008"/>
      <c r="BU613" s="1008"/>
      <c r="BV613" s="1008"/>
      <c r="BW613" s="1008"/>
      <c r="BX613" s="1008"/>
      <c r="BY613" s="1008"/>
      <c r="BZ613" s="1008"/>
      <c r="CA613" s="1008"/>
      <c r="CB613" s="1008"/>
      <c r="CC613" s="1008"/>
      <c r="CD613" s="1008"/>
      <c r="CE613" s="1008"/>
      <c r="CF613" s="1008"/>
      <c r="CG613" s="363"/>
    </row>
    <row r="614" spans="1:88" s="8" customFormat="1" ht="14.25" hidden="1" customHeight="1" outlineLevel="1">
      <c r="B614" s="1030" t="s">
        <v>271</v>
      </c>
      <c r="C614" s="268"/>
      <c r="D614" s="1031"/>
      <c r="E614" s="1031"/>
      <c r="F614" s="1031"/>
      <c r="G614" s="1031"/>
      <c r="H614" s="1034"/>
      <c r="I614" s="1034"/>
      <c r="J614" s="1034"/>
      <c r="K614" s="1034"/>
      <c r="L614" s="1034" t="str">
        <f>IF(ABS(L612-IS!L$41-IS!L$42-IS!L$43)&lt;1,"OK",L612-IS!L$41-IS!L$42-IS!L$43)</f>
        <v>OK</v>
      </c>
      <c r="M614" s="1034" t="str">
        <f>IF(ABS(M612-IS!M$41-IS!M$42-IS!M$43)&lt;1,"OK",M612-IS!M$41-IS!M$42-IS!M$43)</f>
        <v>OK</v>
      </c>
      <c r="N614" s="1034" t="str">
        <f>IF(ABS(N612-IS!N$41-IS!N$42-IS!N$43)&lt;1,"OK",N612-IS!N$41-IS!N$42-IS!N$43)</f>
        <v>OK</v>
      </c>
      <c r="O614" s="1034" t="str">
        <f>IF(ABS(O612-IS!O$41-IS!O$42-IS!O$43)&lt;1,"OK",O612-IS!O$41-IS!O$42-IS!O$43)</f>
        <v>OK</v>
      </c>
      <c r="P614" s="1034" t="str">
        <f>IF(ABS(P612-IS!P$41-IS!P$42-IS!P$43)&lt;1,"OK",P612-IS!P$41-IS!P$42-IS!P$43)</f>
        <v>OK</v>
      </c>
      <c r="Q614" s="1034" t="str">
        <f>IF(ABS(Q612-IS!Q$41-IS!Q$42-IS!Q$43)&lt;1,"OK",Q612-IS!Q$41-IS!Q$42-IS!Q$43)</f>
        <v>OK</v>
      </c>
      <c r="R614" s="1034" t="str">
        <f>IF(ABS(R612-IS!R$41-IS!R$42-IS!R$43)&lt;1,"OK",R612-IS!R$41-IS!R$42-IS!R$43)</f>
        <v>OK</v>
      </c>
      <c r="S614" s="1034" t="str">
        <f>IF(ABS(S612-IS!S$41-IS!S$42-IS!S$43)&lt;1,"OK",S612-IS!S$41-IS!S$42-IS!S$43)</f>
        <v>OK</v>
      </c>
      <c r="T614" s="1034" t="str">
        <f>IF(ABS(T612-IS!T$41-IS!T$42-IS!T$43)&lt;1,"OK",T612-IS!T$41-IS!T$42-IS!T$43)</f>
        <v>OK</v>
      </c>
      <c r="U614" s="1034" t="str">
        <f>IF(ABS(U612-IS!U$41-IS!U$42-IS!U$43)&lt;1,"OK",U612-IS!U$41-IS!U$42-IS!U$43)</f>
        <v>OK</v>
      </c>
      <c r="V614" s="1034" t="str">
        <f>IF(ABS(V612-IS!V$41-IS!V$42-IS!V$43)&lt;1,"OK",V612-IS!V$41-IS!V$42-IS!V$43)</f>
        <v>OK</v>
      </c>
      <c r="W614" s="1034" t="str">
        <f>IF(ABS(W612-IS!W$41-IS!W$42-IS!W$43)&lt;1,"OK",W612-IS!W$41-IS!W$42-IS!W$43)</f>
        <v>OK</v>
      </c>
      <c r="X614" s="1034" t="str">
        <f>IF(ABS(X612-IS!X$41-IS!X$42-IS!X$43)&lt;1,"OK",X612-IS!X$41-IS!X$42-IS!X$43)</f>
        <v>OK</v>
      </c>
      <c r="Y614" s="1034" t="str">
        <f>IF(ABS(Y612-IS!Y$41-IS!Y$42-IS!Y$43)&lt;1,"OK",Y612-IS!Y$41-IS!Y$42-IS!Y$43)</f>
        <v>OK</v>
      </c>
      <c r="Z614" s="1034" t="str">
        <f>IF(ABS(Z612-IS!Z$41-IS!Z$42-IS!Z$43)&lt;1,"OK",Z612-IS!Z$41-IS!Z$42-IS!Z$43)</f>
        <v>OK</v>
      </c>
      <c r="AA614" s="1034">
        <f>IF(ABS(AA612-IS!AA$41-IS!AA$42-IS!AA$43)&lt;1,"OK",AA612-IS!AA$41-IS!AA$42-IS!AA$43)</f>
        <v>-1</v>
      </c>
      <c r="AB614" s="1034" t="str">
        <f>IF(ABS(AB612-IS!AB$41-IS!AB$42-IS!AB$43)&lt;1,"OK",AB612-IS!AB$41-IS!AB$42-IS!AB$43)</f>
        <v>OK</v>
      </c>
      <c r="AC614" s="1034" t="str">
        <f>IF(ABS(AC612-IS!AC$41-IS!AC$42-IS!AC$43)&lt;1,"OK",AC612-IS!AC$41-IS!AC$42-IS!AC$43)</f>
        <v>OK</v>
      </c>
      <c r="AD614" s="1034" t="str">
        <f>IF(ABS(AD612-IS!AD$41-IS!AD$42-IS!AD$43)&lt;1,"OK",AD612-IS!AD$41-IS!AD$42-IS!AD$43)</f>
        <v>OK</v>
      </c>
      <c r="AE614" s="1034" t="str">
        <f>IF(ABS(AE612-IS!AE$41-IS!AE$42-IS!AE$43)&lt;1,"OK",AE612-IS!AE$41-IS!AE$42-IS!AE$43)</f>
        <v>OK</v>
      </c>
      <c r="AF614" s="1034" t="str">
        <f>IF(ABS(AF612-IS!AF$41-IS!AF$42-IS!AF$43)&lt;1,"OK",AF612-IS!AF$41-IS!AF$42-IS!AF$43)</f>
        <v>OK</v>
      </c>
      <c r="AG614" s="1034" t="str">
        <f>IF(ABS(AG612-IS!AG$41-IS!AG$42-IS!AG$43)&lt;1,"OK",AG612-IS!AG$41-IS!AG$42-IS!AG$43)</f>
        <v>OK</v>
      </c>
      <c r="AH614" s="280"/>
      <c r="AI614" s="280"/>
      <c r="AJ614" s="280"/>
      <c r="AK614" s="280"/>
      <c r="AL614" s="280"/>
      <c r="AM614" s="280"/>
      <c r="AN614" s="280"/>
      <c r="AO614" s="280"/>
      <c r="AP614" s="280"/>
      <c r="AQ614" s="280"/>
      <c r="AR614" s="280"/>
      <c r="AS614" s="280"/>
      <c r="AT614" s="280"/>
      <c r="AU614" s="280"/>
      <c r="AV614" s="280"/>
      <c r="AW614" s="280"/>
      <c r="AX614" s="280"/>
      <c r="AY614" s="280"/>
      <c r="AZ614" s="280"/>
      <c r="BA614" s="280"/>
      <c r="BB614" s="280"/>
      <c r="BC614" s="280"/>
      <c r="BD614" s="280"/>
      <c r="BE614" s="280"/>
      <c r="BF614" s="280"/>
      <c r="BG614" s="280"/>
      <c r="BH614" s="280"/>
      <c r="BI614" s="280"/>
      <c r="BJ614" s="280"/>
      <c r="BK614" s="280"/>
      <c r="BL614" s="280"/>
      <c r="BM614" s="280"/>
      <c r="BN614" s="280"/>
      <c r="BO614" s="280"/>
      <c r="BP614" s="652"/>
      <c r="BQ614" s="1033"/>
      <c r="BR614" s="1033"/>
      <c r="BS614" s="280" t="str">
        <f>IF(ABS(BS612-IS!BS$41-IS!BS$42-IS!BS$43)&lt;1,"OK",BS612-IS!BS$41-IS!BS$42-IS!BS$43)</f>
        <v>OK</v>
      </c>
      <c r="BT614" s="14" t="str">
        <f>IF(ABS(BT612-IS!BT$41-IS!BT$42-IS!BT$43)&lt;1,"OK",BT612-IS!BT$41-IS!BT$42-IS!BT$43)</f>
        <v>OK</v>
      </c>
      <c r="BU614" s="14" t="str">
        <f>IF(ABS(BU612-IS!BU$41-IS!BU$42-IS!BU$43)&lt;1,"OK",BU612-IS!BU$41-IS!BU$42-IS!BU$43)</f>
        <v>OK</v>
      </c>
      <c r="BV614" s="14">
        <f>IF(ABS(BV612-IS!BV$41-IS!BV$42-IS!BV$43)&lt;1,"OK",BV612-IS!BV$41-IS!BV$42-IS!BV$43)</f>
        <v>-1</v>
      </c>
      <c r="BW614" s="14" t="str">
        <f>IF(ABS(BW612-IS!BW$41-IS!BW$42-IS!BW$43)&lt;1,"OK",BW612-IS!BW$41-IS!BW$42-IS!BW$43)</f>
        <v>OK</v>
      </c>
      <c r="BX614" s="14"/>
      <c r="BY614" s="14"/>
      <c r="BZ614" s="14"/>
      <c r="CA614" s="14"/>
      <c r="CB614" s="14"/>
      <c r="CC614" s="14"/>
      <c r="CD614" s="14"/>
      <c r="CE614" s="14"/>
      <c r="CF614" s="14"/>
      <c r="CG614" s="14"/>
      <c r="CH614" s="14"/>
      <c r="CI614" s="221"/>
      <c r="CJ614"/>
    </row>
    <row r="615" spans="1:88" ht="14.25" hidden="1" customHeight="1" outlineLevel="1">
      <c r="A615" s="1"/>
      <c r="B615" s="1006"/>
      <c r="C615" s="1007"/>
      <c r="D615" s="1008"/>
      <c r="E615" s="1008"/>
      <c r="F615" s="1008"/>
      <c r="G615" s="1008"/>
      <c r="H615" s="1008"/>
      <c r="I615" s="1008"/>
      <c r="J615" s="1008"/>
      <c r="K615" s="1008"/>
      <c r="L615" s="1008"/>
      <c r="M615" s="1008"/>
      <c r="N615" s="1008"/>
      <c r="O615" s="1008"/>
      <c r="P615" s="1008"/>
      <c r="Q615" s="1008"/>
      <c r="R615" s="1008"/>
      <c r="S615" s="1008"/>
      <c r="T615" s="1008"/>
      <c r="U615" s="1008"/>
      <c r="V615" s="1008"/>
      <c r="W615" s="1008"/>
      <c r="X615" s="1008"/>
      <c r="Y615" s="1008"/>
      <c r="Z615" s="1008"/>
      <c r="AA615" s="1008"/>
      <c r="AB615" s="1008"/>
      <c r="AC615" s="1008"/>
      <c r="AD615" s="1008"/>
      <c r="AE615" s="1008"/>
      <c r="AF615" s="1008"/>
      <c r="AG615" s="1008"/>
      <c r="AH615" s="1008"/>
      <c r="AI615" s="1008"/>
      <c r="AJ615" s="1008"/>
      <c r="AK615" s="1008"/>
      <c r="AL615" s="1008"/>
      <c r="AM615" s="1008"/>
      <c r="AN615" s="1008"/>
      <c r="AO615" s="1008"/>
      <c r="AP615" s="1008"/>
      <c r="AQ615" s="1008"/>
      <c r="AR615" s="1008"/>
      <c r="AS615" s="1008"/>
      <c r="AT615" s="1008"/>
      <c r="AU615" s="1008"/>
      <c r="AV615" s="1008"/>
      <c r="AW615" s="1008"/>
      <c r="AX615" s="1008"/>
      <c r="AY615" s="1008"/>
      <c r="AZ615" s="1008"/>
      <c r="BA615" s="1008"/>
      <c r="BB615" s="1008"/>
      <c r="BC615" s="1008"/>
      <c r="BD615" s="1008"/>
      <c r="BE615" s="1008"/>
      <c r="BF615" s="1008"/>
      <c r="BG615" s="1008"/>
      <c r="BH615" s="1008"/>
      <c r="BI615" s="1008"/>
      <c r="BJ615" s="1008"/>
      <c r="BK615" s="1008"/>
      <c r="BL615" s="1008"/>
      <c r="BM615" s="1008"/>
      <c r="BN615" s="1008"/>
      <c r="BO615" s="1008"/>
      <c r="BP615" s="1009"/>
      <c r="BQ615" s="173"/>
      <c r="BR615" s="173"/>
      <c r="BS615" s="173"/>
      <c r="BT615" s="1008"/>
      <c r="BU615" s="1008"/>
      <c r="BV615" s="1008"/>
      <c r="BW615" s="1008"/>
      <c r="BX615" s="1008"/>
      <c r="BY615" s="1008"/>
      <c r="BZ615" s="1008"/>
      <c r="CA615" s="1008"/>
      <c r="CB615" s="1008"/>
      <c r="CC615" s="1008"/>
      <c r="CD615" s="1008"/>
      <c r="CE615" s="1008"/>
      <c r="CF615" s="1008"/>
      <c r="CG615" s="363"/>
    </row>
    <row r="616" spans="1:88" ht="14.25" customHeight="1" collapsed="1">
      <c r="A616" s="1"/>
      <c r="B616" s="1006"/>
      <c r="C616" s="1007"/>
      <c r="D616" s="1008"/>
      <c r="E616" s="1008"/>
      <c r="F616" s="1008"/>
      <c r="G616" s="1008"/>
      <c r="H616" s="1008"/>
      <c r="I616" s="1008"/>
      <c r="J616" s="1008"/>
      <c r="K616" s="1008"/>
      <c r="L616" s="1008"/>
      <c r="M616" s="1008"/>
      <c r="N616" s="1008"/>
      <c r="O616" s="1008"/>
      <c r="P616" s="1008"/>
      <c r="Q616" s="1008"/>
      <c r="R616" s="1008"/>
      <c r="S616" s="1008"/>
      <c r="T616" s="1008"/>
      <c r="U616" s="1008"/>
      <c r="V616" s="1008"/>
      <c r="W616" s="1008"/>
      <c r="X616" s="1008"/>
      <c r="Y616" s="1008"/>
      <c r="Z616" s="1008"/>
      <c r="AA616" s="1008"/>
      <c r="AB616" s="1008"/>
      <c r="AC616" s="1008"/>
      <c r="AD616" s="1008"/>
      <c r="AE616" s="1008"/>
      <c r="AF616" s="1008"/>
      <c r="AG616" s="1008"/>
      <c r="AH616" s="1008"/>
      <c r="AI616" s="1008"/>
      <c r="AJ616" s="1008"/>
      <c r="AK616" s="1008"/>
      <c r="AL616" s="1008"/>
      <c r="AM616" s="1008"/>
      <c r="AN616" s="1008"/>
      <c r="AO616" s="1008"/>
      <c r="AP616" s="1008"/>
      <c r="AQ616" s="1008"/>
      <c r="AR616" s="1008"/>
      <c r="AS616" s="1008"/>
      <c r="AT616" s="1008"/>
      <c r="AU616" s="1008"/>
      <c r="AV616" s="1008"/>
      <c r="AW616" s="1008"/>
      <c r="AX616" s="1008"/>
      <c r="AY616" s="1008"/>
      <c r="AZ616" s="1008"/>
      <c r="BA616" s="1008"/>
      <c r="BB616" s="1008"/>
      <c r="BC616" s="1008"/>
      <c r="BD616" s="1008"/>
      <c r="BE616" s="1008"/>
      <c r="BF616" s="1008"/>
      <c r="BG616" s="1008"/>
      <c r="BH616" s="1008"/>
      <c r="BI616" s="1008"/>
      <c r="BJ616" s="1008"/>
      <c r="BK616" s="1008"/>
      <c r="BL616" s="1008"/>
      <c r="BM616" s="1008"/>
      <c r="BN616" s="1008"/>
      <c r="BO616" s="1008"/>
      <c r="BP616" s="1009"/>
      <c r="BQ616" s="173"/>
      <c r="BR616" s="173"/>
      <c r="BS616" s="173"/>
      <c r="BT616" s="1008"/>
      <c r="BU616" s="1008"/>
      <c r="BV616" s="1008"/>
      <c r="BW616" s="1008"/>
      <c r="BX616" s="1008"/>
      <c r="BY616" s="1008"/>
      <c r="BZ616" s="1008"/>
      <c r="CA616" s="1008"/>
      <c r="CB616" s="1008"/>
      <c r="CC616" s="1008"/>
      <c r="CD616" s="1008"/>
      <c r="CE616" s="1008"/>
      <c r="CF616" s="1008"/>
      <c r="CG616" s="363"/>
    </row>
    <row r="617" spans="1:88" ht="14.25" customHeight="1">
      <c r="A617" s="1"/>
      <c r="B617" s="1006"/>
      <c r="C617" s="1007"/>
      <c r="D617" s="1008"/>
      <c r="E617" s="1008"/>
      <c r="F617" s="1008"/>
      <c r="G617" s="1008"/>
      <c r="H617" s="1008"/>
      <c r="I617" s="1008"/>
      <c r="J617" s="1008"/>
      <c r="K617" s="1008"/>
      <c r="L617" s="1008"/>
      <c r="M617" s="1008"/>
      <c r="N617" s="1008"/>
      <c r="O617" s="1008"/>
      <c r="P617" s="1008"/>
      <c r="Q617" s="1008"/>
      <c r="R617" s="1008"/>
      <c r="S617" s="1008"/>
      <c r="T617" s="1008"/>
      <c r="U617" s="1008"/>
      <c r="V617" s="1008"/>
      <c r="W617" s="1008"/>
      <c r="X617" s="1008"/>
      <c r="Y617" s="1008"/>
      <c r="Z617" s="1008"/>
      <c r="AA617" s="1008"/>
      <c r="AB617" s="1008"/>
      <c r="AC617" s="1008"/>
      <c r="AD617" s="1008"/>
      <c r="AE617" s="1008"/>
      <c r="AF617" s="1008"/>
      <c r="AG617" s="1008"/>
      <c r="AH617" s="1008"/>
      <c r="AI617" s="1008"/>
      <c r="AJ617" s="1008"/>
      <c r="AK617" s="1008"/>
      <c r="AL617" s="1008"/>
      <c r="AM617" s="1008"/>
      <c r="AN617" s="1008"/>
      <c r="AO617" s="1008"/>
      <c r="AP617" s="1008"/>
      <c r="AQ617" s="1008"/>
      <c r="AR617" s="1008"/>
      <c r="AS617" s="1008"/>
      <c r="AT617" s="1008"/>
      <c r="AU617" s="1008"/>
      <c r="AV617" s="1008"/>
      <c r="AW617" s="1008"/>
      <c r="AX617" s="1008"/>
      <c r="AY617" s="1008"/>
      <c r="AZ617" s="1008"/>
      <c r="BA617" s="1008"/>
      <c r="BB617" s="1008"/>
      <c r="BC617" s="1008"/>
      <c r="BD617" s="1008"/>
      <c r="BE617" s="1008"/>
      <c r="BF617" s="1008"/>
      <c r="BG617" s="1008"/>
      <c r="BH617" s="1008"/>
      <c r="BI617" s="1008"/>
      <c r="BJ617" s="1008"/>
      <c r="BK617" s="1008"/>
      <c r="BL617" s="1008"/>
      <c r="BM617" s="1008"/>
      <c r="BN617" s="1008"/>
      <c r="BO617" s="1008"/>
      <c r="BP617" s="647"/>
      <c r="BQ617" s="1"/>
      <c r="BR617" s="1"/>
      <c r="BS617" s="1"/>
      <c r="BT617" s="1008"/>
      <c r="BU617" s="1008"/>
      <c r="BV617" s="1008"/>
      <c r="BW617" s="1008"/>
      <c r="BX617" s="1008"/>
      <c r="BY617" s="1008"/>
      <c r="BZ617" s="1008"/>
      <c r="CA617" s="1008"/>
      <c r="CB617" s="1008"/>
      <c r="CC617" s="1008"/>
      <c r="CD617" s="1008"/>
      <c r="CE617" s="1008"/>
      <c r="CF617" s="1008"/>
    </row>
    <row r="618" spans="1:88" ht="14.25" customHeight="1">
      <c r="A618" s="1"/>
      <c r="B618" s="1006"/>
      <c r="C618" s="1007"/>
      <c r="D618" s="1008"/>
      <c r="E618" s="1008"/>
      <c r="F618" s="1008"/>
      <c r="G618" s="1008"/>
      <c r="H618" s="1008"/>
      <c r="I618" s="1008"/>
      <c r="J618" s="1008"/>
      <c r="K618" s="1008"/>
      <c r="L618" s="1008"/>
      <c r="M618" s="1008"/>
      <c r="N618" s="1008"/>
      <c r="O618" s="1008"/>
      <c r="P618" s="1008"/>
      <c r="Q618" s="1008"/>
      <c r="R618" s="1008"/>
      <c r="S618" s="1008"/>
      <c r="T618" s="1008"/>
      <c r="U618" s="1008"/>
      <c r="V618" s="1008"/>
      <c r="W618" s="1008"/>
      <c r="X618" s="1008"/>
      <c r="Y618" s="1008"/>
      <c r="Z618" s="1008"/>
      <c r="AA618" s="1008"/>
      <c r="AB618" s="1008"/>
      <c r="AC618" s="1008"/>
      <c r="AD618" s="1008"/>
      <c r="AE618" s="1008"/>
      <c r="AF618" s="1008"/>
      <c r="AG618" s="1008"/>
      <c r="AH618" s="1008"/>
      <c r="AI618" s="1008"/>
      <c r="AJ618" s="1008"/>
      <c r="AK618" s="1008"/>
      <c r="AL618" s="1008"/>
      <c r="AM618" s="1008"/>
      <c r="AN618" s="1008"/>
      <c r="AO618" s="1008"/>
      <c r="AP618" s="1008"/>
      <c r="AQ618" s="1008"/>
      <c r="AR618" s="1008"/>
      <c r="AS618" s="1008"/>
      <c r="AT618" s="1008"/>
      <c r="AU618" s="1008"/>
      <c r="AV618" s="1008"/>
      <c r="AW618" s="1008"/>
      <c r="AX618" s="1008"/>
      <c r="AY618" s="1008"/>
      <c r="AZ618" s="1008"/>
      <c r="BA618" s="1008"/>
      <c r="BB618" s="1008"/>
      <c r="BC618" s="1008"/>
      <c r="BD618" s="1008"/>
      <c r="BE618" s="1008"/>
      <c r="BF618" s="1008"/>
      <c r="BG618" s="1008"/>
      <c r="BH618" s="1008"/>
      <c r="BI618" s="1008"/>
      <c r="BJ618" s="1008"/>
      <c r="BK618" s="1008"/>
      <c r="BL618" s="1008"/>
      <c r="BM618" s="1008"/>
      <c r="BN618" s="1008"/>
      <c r="BO618" s="1008"/>
      <c r="BP618" s="647"/>
      <c r="BQ618" s="1"/>
      <c r="BR618" s="1"/>
      <c r="BS618" s="1"/>
      <c r="BT618" s="1008"/>
      <c r="BU618" s="1008"/>
      <c r="BV618" s="1008"/>
      <c r="BW618" s="1008"/>
      <c r="BX618" s="1008"/>
      <c r="BY618" s="1008"/>
      <c r="BZ618" s="1008"/>
      <c r="CA618" s="1008"/>
      <c r="CB618" s="1008"/>
      <c r="CC618" s="1008"/>
      <c r="CD618" s="1008"/>
      <c r="CE618" s="1008"/>
      <c r="CF618" s="1008"/>
    </row>
    <row r="619" spans="1:88" ht="14.25" customHeight="1">
      <c r="A619" s="1"/>
      <c r="B619" s="1006"/>
      <c r="C619" s="1007"/>
      <c r="D619" s="1008"/>
      <c r="E619" s="1008"/>
      <c r="F619" s="1008"/>
      <c r="G619" s="1008"/>
      <c r="H619" s="1008"/>
      <c r="I619" s="1008"/>
      <c r="J619" s="1008"/>
      <c r="K619" s="1008"/>
      <c r="L619" s="1008"/>
      <c r="M619" s="1008"/>
      <c r="N619" s="1008"/>
      <c r="O619" s="1008"/>
      <c r="P619" s="1008"/>
      <c r="Q619" s="1008"/>
      <c r="R619" s="1008"/>
      <c r="S619" s="1008"/>
      <c r="T619" s="1008"/>
      <c r="U619" s="1008"/>
      <c r="V619" s="1008"/>
      <c r="W619" s="1008"/>
      <c r="X619" s="1008"/>
      <c r="Y619" s="1008"/>
      <c r="Z619" s="1008"/>
      <c r="AA619" s="1008"/>
      <c r="AB619" s="1008"/>
      <c r="AC619" s="1008"/>
      <c r="AD619" s="1008"/>
      <c r="AE619" s="1008"/>
      <c r="AF619" s="1008"/>
      <c r="AG619" s="1008"/>
      <c r="AH619" s="1008"/>
      <c r="AI619" s="1008"/>
      <c r="AJ619" s="1008"/>
      <c r="AK619" s="1008"/>
      <c r="AL619" s="1008"/>
      <c r="AM619" s="1008"/>
      <c r="AN619" s="1008"/>
      <c r="AO619" s="1008"/>
      <c r="AP619" s="1008"/>
      <c r="AQ619" s="1008"/>
      <c r="AR619" s="1008"/>
      <c r="AS619" s="1008"/>
      <c r="AT619" s="1008"/>
      <c r="AU619" s="1008"/>
      <c r="AV619" s="1008"/>
      <c r="AW619" s="1008"/>
      <c r="AX619" s="1008"/>
      <c r="AY619" s="1008"/>
      <c r="AZ619" s="1008"/>
      <c r="BA619" s="1008"/>
      <c r="BB619" s="1008"/>
      <c r="BC619" s="1008"/>
      <c r="BD619" s="1008"/>
      <c r="BE619" s="1008"/>
      <c r="BF619" s="1008"/>
      <c r="BG619" s="1008"/>
      <c r="BH619" s="1008"/>
      <c r="BI619" s="1008"/>
      <c r="BJ619" s="1008"/>
      <c r="BK619" s="1008"/>
      <c r="BL619" s="1008"/>
      <c r="BM619" s="1008"/>
      <c r="BN619" s="1008"/>
      <c r="BO619" s="1008"/>
      <c r="BP619" s="647"/>
      <c r="BQ619" s="1"/>
      <c r="BR619" s="1"/>
      <c r="BS619" s="1"/>
      <c r="BT619" s="1008"/>
      <c r="BU619" s="1008"/>
      <c r="BV619" s="1008"/>
      <c r="BW619" s="1008"/>
      <c r="BX619" s="1008"/>
      <c r="BY619" s="1008"/>
      <c r="BZ619" s="1008"/>
      <c r="CA619" s="1008"/>
      <c r="CB619" s="1008"/>
      <c r="CC619" s="1008"/>
      <c r="CD619" s="1008"/>
      <c r="CE619" s="1008"/>
      <c r="CF619" s="1008"/>
    </row>
    <row r="620" spans="1:88" ht="14.25" customHeight="1">
      <c r="A620" s="1"/>
      <c r="B620" s="1006"/>
      <c r="C620" s="1007"/>
      <c r="D620" s="1008"/>
      <c r="E620" s="1008"/>
      <c r="F620" s="1008"/>
      <c r="G620" s="1008"/>
      <c r="H620" s="1008"/>
      <c r="I620" s="1008"/>
      <c r="J620" s="1008"/>
      <c r="K620" s="1008"/>
      <c r="L620" s="1008"/>
      <c r="M620" s="1008"/>
      <c r="N620" s="1008"/>
      <c r="O620" s="1008"/>
      <c r="P620" s="1008"/>
      <c r="Q620" s="1008"/>
      <c r="R620" s="1008"/>
      <c r="S620" s="1008"/>
      <c r="T620" s="1008"/>
      <c r="U620" s="1008"/>
      <c r="V620" s="1008"/>
      <c r="W620" s="1008"/>
      <c r="X620" s="1008"/>
      <c r="Y620" s="1008"/>
      <c r="Z620" s="1008"/>
      <c r="AA620" s="1008"/>
      <c r="AB620" s="1008"/>
      <c r="AC620" s="1008"/>
      <c r="AD620" s="1008"/>
      <c r="AE620" s="1008"/>
      <c r="AF620" s="1008"/>
      <c r="AG620" s="1008"/>
      <c r="AH620" s="1008"/>
      <c r="AI620" s="1008"/>
      <c r="AJ620" s="1008"/>
      <c r="AK620" s="1008"/>
      <c r="AL620" s="1008"/>
      <c r="AM620" s="1008"/>
      <c r="AN620" s="1008"/>
      <c r="AO620" s="1008"/>
      <c r="AP620" s="1008"/>
      <c r="AQ620" s="1008"/>
      <c r="AR620" s="1008"/>
      <c r="AS620" s="1008"/>
      <c r="AT620" s="1008"/>
      <c r="AU620" s="1008"/>
      <c r="AV620" s="1008"/>
      <c r="AW620" s="1008"/>
      <c r="AX620" s="1008"/>
      <c r="AY620" s="1008"/>
      <c r="AZ620" s="1008"/>
      <c r="BA620" s="1008"/>
      <c r="BB620" s="1008"/>
      <c r="BC620" s="1008"/>
      <c r="BD620" s="1008"/>
      <c r="BE620" s="1008"/>
      <c r="BF620" s="1008"/>
      <c r="BG620" s="1008"/>
      <c r="BH620" s="1008"/>
      <c r="BI620" s="1008"/>
      <c r="BJ620" s="1008"/>
      <c r="BK620" s="1008"/>
      <c r="BL620" s="1008"/>
      <c r="BM620" s="1008"/>
      <c r="BN620" s="1008"/>
      <c r="BO620" s="1008"/>
      <c r="BP620" s="647"/>
      <c r="BQ620" s="1"/>
      <c r="BR620" s="1"/>
      <c r="BS620" s="1"/>
      <c r="BT620" s="1008"/>
      <c r="BU620" s="1008"/>
      <c r="BV620" s="1008"/>
      <c r="BW620" s="1008"/>
      <c r="BX620" s="1008"/>
      <c r="BY620" s="1008"/>
      <c r="BZ620" s="1008"/>
      <c r="CA620" s="1008"/>
      <c r="CB620" s="1008"/>
      <c r="CC620" s="1008"/>
      <c r="CD620" s="1008"/>
      <c r="CE620" s="1008"/>
      <c r="CF620" s="1008"/>
    </row>
    <row r="621" spans="1:88" ht="14.25" customHeight="1">
      <c r="A621" s="1"/>
      <c r="B621" s="1006"/>
      <c r="C621" s="1007"/>
      <c r="D621" s="1008"/>
      <c r="E621" s="1008"/>
      <c r="F621" s="1008"/>
      <c r="G621" s="1008"/>
      <c r="H621" s="1008"/>
      <c r="I621" s="1008"/>
      <c r="J621" s="1008"/>
      <c r="K621" s="1008"/>
      <c r="L621" s="1008"/>
      <c r="M621" s="1008"/>
      <c r="N621" s="1008"/>
      <c r="O621" s="1008"/>
      <c r="P621" s="1008"/>
      <c r="Q621" s="1008"/>
      <c r="R621" s="1008"/>
      <c r="S621" s="1008"/>
      <c r="T621" s="1008"/>
      <c r="U621" s="1008"/>
      <c r="V621" s="1008"/>
      <c r="W621" s="1008"/>
      <c r="X621" s="1008"/>
      <c r="Y621" s="1008"/>
      <c r="Z621" s="1008"/>
      <c r="AA621" s="1008"/>
      <c r="AB621" s="1008"/>
      <c r="AC621" s="1008"/>
      <c r="AD621" s="1008"/>
      <c r="AE621" s="1008"/>
      <c r="AF621" s="1008"/>
      <c r="AG621" s="1008"/>
      <c r="AH621" s="1008"/>
      <c r="AI621" s="1008"/>
      <c r="AJ621" s="1008"/>
      <c r="AK621" s="1008"/>
      <c r="AL621" s="1008"/>
      <c r="AM621" s="1008"/>
      <c r="AN621" s="1008"/>
      <c r="AO621" s="1008"/>
      <c r="AP621" s="1008"/>
      <c r="AQ621" s="1008"/>
      <c r="AR621" s="1008"/>
      <c r="AS621" s="1008"/>
      <c r="AT621" s="1008"/>
      <c r="AU621" s="1008"/>
      <c r="AV621" s="1008"/>
      <c r="AW621" s="1008"/>
      <c r="AX621" s="1008"/>
      <c r="AY621" s="1008"/>
      <c r="AZ621" s="1008"/>
      <c r="BA621" s="1008"/>
      <c r="BB621" s="1008"/>
      <c r="BC621" s="1008"/>
      <c r="BD621" s="1008"/>
      <c r="BE621" s="1008"/>
      <c r="BF621" s="1008"/>
      <c r="BG621" s="1008"/>
      <c r="BH621" s="1008"/>
      <c r="BI621" s="1008"/>
      <c r="BJ621" s="1008"/>
      <c r="BK621" s="1008"/>
      <c r="BL621" s="1008"/>
      <c r="BM621" s="1008"/>
      <c r="BN621" s="1008"/>
      <c r="BO621" s="1008"/>
      <c r="BP621" s="647"/>
      <c r="BQ621" s="1"/>
      <c r="BR621" s="1"/>
      <c r="BS621" s="1"/>
      <c r="BT621" s="1008"/>
      <c r="BU621" s="1008"/>
      <c r="BV621" s="1008"/>
      <c r="BW621" s="1008"/>
      <c r="BX621" s="1008"/>
      <c r="BY621" s="1008"/>
      <c r="BZ621" s="1008"/>
      <c r="CA621" s="1008"/>
      <c r="CB621" s="1008"/>
      <c r="CC621" s="1008"/>
      <c r="CD621" s="1008"/>
      <c r="CE621" s="1008"/>
      <c r="CF621" s="1008"/>
    </row>
    <row r="622" spans="1:88" ht="14.25" customHeight="1">
      <c r="A622" s="1"/>
      <c r="B622" s="1006"/>
      <c r="C622" s="1007"/>
      <c r="D622" s="1008"/>
      <c r="E622" s="1008"/>
      <c r="F622" s="1008"/>
      <c r="G622" s="1008"/>
      <c r="H622" s="1008"/>
      <c r="I622" s="1008"/>
      <c r="J622" s="1008"/>
      <c r="K622" s="1008"/>
      <c r="L622" s="1008"/>
      <c r="M622" s="1008"/>
      <c r="N622" s="1008"/>
      <c r="O622" s="1008"/>
      <c r="P622" s="1008"/>
      <c r="Q622" s="1008"/>
      <c r="R622" s="1008"/>
      <c r="S622" s="1008"/>
      <c r="T622" s="1008"/>
      <c r="U622" s="1008"/>
      <c r="V622" s="1008"/>
      <c r="W622" s="1008"/>
      <c r="X622" s="1008"/>
      <c r="Y622" s="1008"/>
      <c r="Z622" s="1008"/>
      <c r="AA622" s="1008"/>
      <c r="AB622" s="1008"/>
      <c r="AC622" s="1008"/>
      <c r="AD622" s="1008"/>
      <c r="AE622" s="1008"/>
      <c r="AF622" s="1008"/>
      <c r="AG622" s="1008"/>
      <c r="AH622" s="1008"/>
      <c r="AI622" s="1008"/>
      <c r="AJ622" s="1008"/>
      <c r="AK622" s="1008"/>
      <c r="AL622" s="1008"/>
      <c r="AM622" s="1008"/>
      <c r="AN622" s="1008"/>
      <c r="AO622" s="1008"/>
      <c r="AP622" s="1008"/>
      <c r="AQ622" s="1008"/>
      <c r="AR622" s="1008"/>
      <c r="AS622" s="1008"/>
      <c r="AT622" s="1008"/>
      <c r="AU622" s="1008"/>
      <c r="AV622" s="1008"/>
      <c r="AW622" s="1008"/>
      <c r="AX622" s="1008"/>
      <c r="AY622" s="1008"/>
      <c r="AZ622" s="1008"/>
      <c r="BA622" s="1008"/>
      <c r="BB622" s="1008"/>
      <c r="BC622" s="1008"/>
      <c r="BD622" s="1008"/>
      <c r="BE622" s="1008"/>
      <c r="BF622" s="1008"/>
      <c r="BG622" s="1008"/>
      <c r="BH622" s="1008"/>
      <c r="BI622" s="1008"/>
      <c r="BJ622" s="1008"/>
      <c r="BK622" s="1008"/>
      <c r="BL622" s="1008"/>
      <c r="BM622" s="1008"/>
      <c r="BN622" s="1008"/>
      <c r="BO622" s="1008"/>
      <c r="BP622" s="647"/>
      <c r="BQ622" s="1"/>
      <c r="BR622" s="1"/>
      <c r="BS622" s="1"/>
      <c r="BT622" s="1008"/>
      <c r="BU622" s="1008"/>
      <c r="BV622" s="1008"/>
      <c r="BW622" s="1008"/>
      <c r="BX622" s="1008"/>
      <c r="BY622" s="1008"/>
      <c r="BZ622" s="1008"/>
      <c r="CA622" s="1008"/>
      <c r="CB622" s="1008"/>
      <c r="CC622" s="1008"/>
      <c r="CD622" s="1008"/>
      <c r="CE622" s="1008"/>
      <c r="CF622" s="1008"/>
    </row>
    <row r="623" spans="1:88" ht="14.25" customHeight="1">
      <c r="A623" s="1"/>
      <c r="B623" s="1006"/>
      <c r="C623" s="1007"/>
      <c r="D623" s="1008"/>
      <c r="E623" s="1008"/>
      <c r="F623" s="1008"/>
      <c r="G623" s="1008"/>
      <c r="H623" s="1008"/>
      <c r="I623" s="1008"/>
      <c r="J623" s="1008"/>
      <c r="K623" s="1008"/>
      <c r="L623" s="1008"/>
      <c r="M623" s="1008"/>
      <c r="N623" s="1008"/>
      <c r="O623" s="1008"/>
      <c r="P623" s="1008"/>
      <c r="Q623" s="1008"/>
      <c r="R623" s="1008"/>
      <c r="S623" s="1008"/>
      <c r="T623" s="1008"/>
      <c r="U623" s="1008"/>
      <c r="V623" s="1008"/>
      <c r="W623" s="1008"/>
      <c r="X623" s="1008"/>
      <c r="Y623" s="1008"/>
      <c r="Z623" s="1008"/>
      <c r="AA623" s="1008"/>
      <c r="AB623" s="1008"/>
      <c r="AC623" s="1008"/>
      <c r="AD623" s="1008"/>
      <c r="AE623" s="1008"/>
      <c r="AF623" s="1008"/>
      <c r="AG623" s="1008"/>
      <c r="AH623" s="1008"/>
      <c r="AI623" s="1008"/>
      <c r="AJ623" s="1008"/>
      <c r="AK623" s="1008"/>
      <c r="AL623" s="1008"/>
      <c r="AM623" s="1008"/>
      <c r="AN623" s="1008"/>
      <c r="AO623" s="1008"/>
      <c r="AP623" s="1008"/>
      <c r="AQ623" s="1008"/>
      <c r="AR623" s="1008"/>
      <c r="AS623" s="1008"/>
      <c r="AT623" s="1008"/>
      <c r="AU623" s="1008"/>
      <c r="AV623" s="1008"/>
      <c r="AW623" s="1008"/>
      <c r="AX623" s="1008"/>
      <c r="AY623" s="1008"/>
      <c r="AZ623" s="1008"/>
      <c r="BA623" s="1008"/>
      <c r="BB623" s="1008"/>
      <c r="BC623" s="1008"/>
      <c r="BD623" s="1008"/>
      <c r="BE623" s="1008"/>
      <c r="BF623" s="1008"/>
      <c r="BG623" s="1008"/>
      <c r="BH623" s="1008"/>
      <c r="BI623" s="1008"/>
      <c r="BJ623" s="1008"/>
      <c r="BK623" s="1008"/>
      <c r="BL623" s="1008"/>
      <c r="BM623" s="1008"/>
      <c r="BN623" s="1008"/>
      <c r="BO623" s="1008"/>
      <c r="BP623" s="647"/>
      <c r="BQ623" s="1"/>
      <c r="BR623" s="1"/>
      <c r="BS623" s="1"/>
      <c r="BT623" s="1008"/>
      <c r="BU623" s="1008"/>
      <c r="BV623" s="1008"/>
      <c r="BW623" s="1008"/>
      <c r="BX623" s="1008"/>
      <c r="BY623" s="1008"/>
      <c r="BZ623" s="1008"/>
      <c r="CA623" s="1008"/>
      <c r="CB623" s="1008"/>
      <c r="CC623" s="1008"/>
      <c r="CD623" s="1008"/>
      <c r="CE623" s="1008"/>
      <c r="CF623" s="1008"/>
    </row>
    <row r="624" spans="1:88" ht="14.25" customHeight="1">
      <c r="A624" s="1"/>
      <c r="B624" s="1006"/>
      <c r="C624" s="1007"/>
      <c r="D624" s="1008"/>
      <c r="E624" s="1008"/>
      <c r="F624" s="1008"/>
      <c r="G624" s="1008"/>
      <c r="H624" s="1008"/>
      <c r="I624" s="1008"/>
      <c r="J624" s="1008"/>
      <c r="K624" s="1008"/>
      <c r="L624" s="1008"/>
      <c r="M624" s="1008"/>
      <c r="N624" s="1008"/>
      <c r="O624" s="1008"/>
      <c r="P624" s="1008"/>
      <c r="Q624" s="1008"/>
      <c r="R624" s="1008"/>
      <c r="S624" s="1008"/>
      <c r="T624" s="1008"/>
      <c r="U624" s="1008"/>
      <c r="V624" s="1008"/>
      <c r="W624" s="1008"/>
      <c r="X624" s="1008"/>
      <c r="Y624" s="1008"/>
      <c r="Z624" s="1008"/>
      <c r="AA624" s="1008"/>
      <c r="AB624" s="1008"/>
      <c r="AC624" s="1008"/>
      <c r="AD624" s="1008"/>
      <c r="AE624" s="1008"/>
      <c r="AF624" s="1008"/>
      <c r="AG624" s="1008"/>
      <c r="AH624" s="1008"/>
      <c r="AI624" s="1008"/>
      <c r="AJ624" s="1008"/>
      <c r="AK624" s="1008"/>
      <c r="AL624" s="1008"/>
      <c r="AM624" s="1008"/>
      <c r="AN624" s="1008"/>
      <c r="AO624" s="1008"/>
      <c r="AP624" s="1008"/>
      <c r="AQ624" s="1008"/>
      <c r="AR624" s="1008"/>
      <c r="AS624" s="1008"/>
      <c r="AT624" s="1008"/>
      <c r="AU624" s="1008"/>
      <c r="AV624" s="1008"/>
      <c r="AW624" s="1008"/>
      <c r="AX624" s="1008"/>
      <c r="AY624" s="1008"/>
      <c r="AZ624" s="1008"/>
      <c r="BA624" s="1008"/>
      <c r="BB624" s="1008"/>
      <c r="BC624" s="1008"/>
      <c r="BD624" s="1008"/>
      <c r="BE624" s="1008"/>
      <c r="BF624" s="1008"/>
      <c r="BG624" s="1008"/>
      <c r="BH624" s="1008"/>
      <c r="BI624" s="1008"/>
      <c r="BJ624" s="1008"/>
      <c r="BK624" s="1008"/>
      <c r="BL624" s="1008"/>
      <c r="BM624" s="1008"/>
      <c r="BN624" s="1008"/>
      <c r="BO624" s="1008"/>
      <c r="BP624" s="647"/>
      <c r="BQ624" s="1"/>
      <c r="BR624" s="1"/>
      <c r="BS624" s="1"/>
      <c r="BT624" s="1008"/>
      <c r="BU624" s="1008"/>
      <c r="BV624" s="1008"/>
      <c r="BW624" s="1008"/>
      <c r="BX624" s="1008"/>
      <c r="BY624" s="1008"/>
      <c r="BZ624" s="1008"/>
      <c r="CA624" s="1008"/>
      <c r="CB624" s="1008"/>
      <c r="CC624" s="1008"/>
      <c r="CD624" s="1008"/>
      <c r="CE624" s="1008"/>
      <c r="CF624" s="1008"/>
    </row>
    <row r="625" spans="1:84" ht="14.25" customHeight="1">
      <c r="A625" s="1"/>
      <c r="B625" s="1006"/>
      <c r="C625" s="1007"/>
      <c r="D625" s="1008"/>
      <c r="E625" s="1008"/>
      <c r="F625" s="1008"/>
      <c r="G625" s="1008"/>
      <c r="H625" s="1008"/>
      <c r="I625" s="1008"/>
      <c r="J625" s="1008"/>
      <c r="K625" s="1008"/>
      <c r="L625" s="1008"/>
      <c r="M625" s="1008"/>
      <c r="N625" s="1008"/>
      <c r="O625" s="1008"/>
      <c r="P625" s="1008"/>
      <c r="Q625" s="1008"/>
      <c r="R625" s="1008"/>
      <c r="S625" s="1008"/>
      <c r="T625" s="1008"/>
      <c r="U625" s="1008"/>
      <c r="V625" s="1008"/>
      <c r="W625" s="1008"/>
      <c r="X625" s="1008"/>
      <c r="Y625" s="1008"/>
      <c r="Z625" s="1008"/>
      <c r="AA625" s="1008"/>
      <c r="AB625" s="1008"/>
      <c r="AC625" s="1008"/>
      <c r="AD625" s="1008"/>
      <c r="AE625" s="1008"/>
      <c r="AF625" s="1008"/>
      <c r="AG625" s="1008"/>
      <c r="AH625" s="1008"/>
      <c r="AI625" s="1008"/>
      <c r="AJ625" s="1008"/>
      <c r="AK625" s="1008"/>
      <c r="AL625" s="1008"/>
      <c r="AM625" s="1008"/>
      <c r="AN625" s="1008"/>
      <c r="AO625" s="1008"/>
      <c r="AP625" s="1008"/>
      <c r="AQ625" s="1008"/>
      <c r="AR625" s="1008"/>
      <c r="AS625" s="1008"/>
      <c r="AT625" s="1008"/>
      <c r="AU625" s="1008"/>
      <c r="AV625" s="1008"/>
      <c r="AW625" s="1008"/>
      <c r="AX625" s="1008"/>
      <c r="AY625" s="1008"/>
      <c r="AZ625" s="1008"/>
      <c r="BA625" s="1008"/>
      <c r="BB625" s="1008"/>
      <c r="BC625" s="1008"/>
      <c r="BD625" s="1008"/>
      <c r="BE625" s="1008"/>
      <c r="BF625" s="1008"/>
      <c r="BG625" s="1008"/>
      <c r="BH625" s="1008"/>
      <c r="BI625" s="1008"/>
      <c r="BJ625" s="1008"/>
      <c r="BK625" s="1008"/>
      <c r="BL625" s="1008"/>
      <c r="BM625" s="1008"/>
      <c r="BN625" s="1008"/>
      <c r="BO625" s="1008"/>
      <c r="BP625" s="647"/>
      <c r="BQ625" s="1"/>
      <c r="BR625" s="1"/>
      <c r="BS625" s="1"/>
      <c r="BT625" s="1008"/>
      <c r="BU625" s="1008"/>
      <c r="BV625" s="1008"/>
      <c r="BW625" s="1008"/>
      <c r="BX625" s="1008"/>
      <c r="BY625" s="1008"/>
      <c r="BZ625" s="1008"/>
      <c r="CA625" s="1008"/>
      <c r="CB625" s="1008"/>
      <c r="CC625" s="1008"/>
      <c r="CD625" s="1008"/>
      <c r="CE625" s="1008"/>
      <c r="CF625" s="1008"/>
    </row>
    <row r="626" spans="1:84" ht="14.25" customHeight="1">
      <c r="A626" s="1"/>
      <c r="B626" s="1006"/>
      <c r="C626" s="1007"/>
      <c r="D626" s="1008"/>
      <c r="E626" s="1008"/>
      <c r="F626" s="1008"/>
      <c r="G626" s="1008"/>
      <c r="H626" s="1008"/>
      <c r="I626" s="1008"/>
      <c r="J626" s="1008"/>
      <c r="K626" s="1008"/>
      <c r="L626" s="1008"/>
      <c r="M626" s="1008"/>
      <c r="N626" s="1008"/>
      <c r="O626" s="1008"/>
      <c r="P626" s="1008"/>
      <c r="Q626" s="1008"/>
      <c r="R626" s="1008"/>
      <c r="S626" s="1008"/>
      <c r="T626" s="1008"/>
      <c r="U626" s="1008"/>
      <c r="V626" s="1008"/>
      <c r="W626" s="1008"/>
      <c r="X626" s="1008"/>
      <c r="Y626" s="1008"/>
      <c r="Z626" s="1008"/>
      <c r="AA626" s="1008"/>
      <c r="AB626" s="1008"/>
      <c r="AC626" s="1008"/>
      <c r="AD626" s="1008"/>
      <c r="AE626" s="1008"/>
      <c r="AF626" s="1008"/>
      <c r="AG626" s="1008"/>
      <c r="AH626" s="1008"/>
      <c r="AI626" s="1008"/>
      <c r="AJ626" s="1008"/>
      <c r="AK626" s="1008"/>
      <c r="AL626" s="1008"/>
      <c r="AM626" s="1008"/>
      <c r="AN626" s="1008"/>
      <c r="AO626" s="1008"/>
      <c r="AP626" s="1008"/>
      <c r="AQ626" s="1008"/>
      <c r="AR626" s="1008"/>
      <c r="AS626" s="1008"/>
      <c r="AT626" s="1008"/>
      <c r="AU626" s="1008"/>
      <c r="AV626" s="1008"/>
      <c r="AW626" s="1008"/>
      <c r="AX626" s="1008"/>
      <c r="AY626" s="1008"/>
      <c r="AZ626" s="1008"/>
      <c r="BA626" s="1008"/>
      <c r="BB626" s="1008"/>
      <c r="BC626" s="1008"/>
      <c r="BD626" s="1008"/>
      <c r="BE626" s="1008"/>
      <c r="BF626" s="1008"/>
      <c r="BG626" s="1008"/>
      <c r="BH626" s="1008"/>
      <c r="BI626" s="1008"/>
      <c r="BJ626" s="1008"/>
      <c r="BK626" s="1008"/>
      <c r="BL626" s="1008"/>
      <c r="BM626" s="1008"/>
      <c r="BN626" s="1008"/>
      <c r="BO626" s="1008"/>
      <c r="BP626" s="647"/>
      <c r="BQ626" s="1"/>
      <c r="BR626" s="1"/>
      <c r="BS626" s="1"/>
      <c r="BT626" s="1008"/>
      <c r="BU626" s="1008"/>
      <c r="BV626" s="1008"/>
      <c r="BW626" s="1008"/>
      <c r="BX626" s="1008"/>
      <c r="BY626" s="1008"/>
      <c r="BZ626" s="1008"/>
      <c r="CA626" s="1008"/>
      <c r="CB626" s="1008"/>
      <c r="CC626" s="1008"/>
      <c r="CD626" s="1008"/>
      <c r="CE626" s="1008"/>
      <c r="CF626" s="1008"/>
    </row>
    <row r="627" spans="1:84" ht="14.25" customHeight="1">
      <c r="A627" s="1"/>
      <c r="B627" s="1006"/>
      <c r="C627" s="1007"/>
      <c r="D627" s="1008"/>
      <c r="E627" s="1008"/>
      <c r="F627" s="1008"/>
      <c r="G627" s="1008"/>
      <c r="H627" s="1008"/>
      <c r="I627" s="1008"/>
      <c r="J627" s="1008"/>
      <c r="K627" s="1008"/>
      <c r="L627" s="1008"/>
      <c r="M627" s="1008"/>
      <c r="N627" s="1008"/>
      <c r="O627" s="1008"/>
      <c r="P627" s="1008"/>
      <c r="Q627" s="1008"/>
      <c r="R627" s="1008"/>
      <c r="S627" s="1008"/>
      <c r="T627" s="1008"/>
      <c r="U627" s="1008"/>
      <c r="V627" s="1008"/>
      <c r="W627" s="1008"/>
      <c r="X627" s="1008"/>
      <c r="Y627" s="1008"/>
      <c r="Z627" s="1008"/>
      <c r="AA627" s="1008"/>
      <c r="AB627" s="1008"/>
      <c r="AC627" s="1008"/>
      <c r="AD627" s="1008"/>
      <c r="AE627" s="1008"/>
      <c r="AF627" s="1008"/>
      <c r="AG627" s="1008"/>
      <c r="AH627" s="1008"/>
      <c r="AI627" s="1008"/>
      <c r="AJ627" s="1008"/>
      <c r="AK627" s="1008"/>
      <c r="AL627" s="1008"/>
      <c r="AM627" s="1008"/>
      <c r="AN627" s="1008"/>
      <c r="AO627" s="1008"/>
      <c r="AP627" s="1008"/>
      <c r="AQ627" s="1008"/>
      <c r="AR627" s="1008"/>
      <c r="AS627" s="1008"/>
      <c r="AT627" s="1008"/>
      <c r="AU627" s="1008"/>
      <c r="AV627" s="1008"/>
      <c r="AW627" s="1008"/>
      <c r="AX627" s="1008"/>
      <c r="AY627" s="1008"/>
      <c r="AZ627" s="1008"/>
      <c r="BA627" s="1008"/>
      <c r="BB627" s="1008"/>
      <c r="BC627" s="1008"/>
      <c r="BD627" s="1008"/>
      <c r="BE627" s="1008"/>
      <c r="BF627" s="1008"/>
      <c r="BG627" s="1008"/>
      <c r="BH627" s="1008"/>
      <c r="BI627" s="1008"/>
      <c r="BJ627" s="1008"/>
      <c r="BK627" s="1008"/>
      <c r="BL627" s="1008"/>
      <c r="BM627" s="1008"/>
      <c r="BN627" s="1008"/>
      <c r="BO627" s="1008"/>
      <c r="BP627" s="647"/>
      <c r="BQ627" s="1"/>
      <c r="BR627" s="1"/>
      <c r="BS627" s="1"/>
      <c r="BT627" s="1008"/>
      <c r="BU627" s="1008"/>
      <c r="BV627" s="1008"/>
      <c r="BW627" s="1008"/>
      <c r="BX627" s="1008"/>
      <c r="BY627" s="1008"/>
      <c r="BZ627" s="1008"/>
      <c r="CA627" s="1008"/>
      <c r="CB627" s="1008"/>
      <c r="CC627" s="1008"/>
      <c r="CD627" s="1008"/>
      <c r="CE627" s="1008"/>
      <c r="CF627" s="1008"/>
    </row>
    <row r="628" spans="1:84" ht="14.25" customHeight="1">
      <c r="A628" s="1"/>
      <c r="B628" s="1006"/>
      <c r="C628" s="1007"/>
      <c r="D628" s="1008"/>
      <c r="E628" s="1008"/>
      <c r="F628" s="1008"/>
      <c r="G628" s="1008"/>
      <c r="H628" s="1008"/>
      <c r="I628" s="1008"/>
      <c r="J628" s="1008"/>
      <c r="K628" s="1008"/>
      <c r="L628" s="1008"/>
      <c r="M628" s="1008"/>
      <c r="N628" s="1008"/>
      <c r="O628" s="1008"/>
      <c r="P628" s="1008"/>
      <c r="Q628" s="1008"/>
      <c r="R628" s="1008"/>
      <c r="S628" s="1008"/>
      <c r="T628" s="1008"/>
      <c r="U628" s="1008"/>
      <c r="V628" s="1008"/>
      <c r="W628" s="1008"/>
      <c r="X628" s="1008"/>
      <c r="Y628" s="1008"/>
      <c r="Z628" s="1008"/>
      <c r="AA628" s="1008"/>
      <c r="AB628" s="1008"/>
      <c r="AC628" s="1008"/>
      <c r="AD628" s="1008"/>
      <c r="AE628" s="1008"/>
      <c r="AF628" s="1008"/>
      <c r="AG628" s="1008"/>
      <c r="AH628" s="1008"/>
      <c r="AI628" s="1008"/>
      <c r="AJ628" s="1008"/>
      <c r="AK628" s="1008"/>
      <c r="AL628" s="1008"/>
      <c r="AM628" s="1008"/>
      <c r="AN628" s="1008"/>
      <c r="AO628" s="1008"/>
      <c r="AP628" s="1008"/>
      <c r="AQ628" s="1008"/>
      <c r="AR628" s="1008"/>
      <c r="AS628" s="1008"/>
      <c r="AT628" s="1008"/>
      <c r="AU628" s="1008"/>
      <c r="AV628" s="1008"/>
      <c r="AW628" s="1008"/>
      <c r="AX628" s="1008"/>
      <c r="AY628" s="1008"/>
      <c r="AZ628" s="1008"/>
      <c r="BA628" s="1008"/>
      <c r="BB628" s="1008"/>
      <c r="BC628" s="1008"/>
      <c r="BD628" s="1008"/>
      <c r="BE628" s="1008"/>
      <c r="BF628" s="1008"/>
      <c r="BG628" s="1008"/>
      <c r="BH628" s="1008"/>
      <c r="BI628" s="1008"/>
      <c r="BJ628" s="1008"/>
      <c r="BK628" s="1008"/>
      <c r="BL628" s="1008"/>
      <c r="BM628" s="1008"/>
      <c r="BN628" s="1008"/>
      <c r="BO628" s="1008"/>
      <c r="BP628" s="647"/>
      <c r="BQ628" s="1"/>
      <c r="BR628" s="1"/>
      <c r="BS628" s="1"/>
      <c r="BT628" s="1008"/>
      <c r="BU628" s="1008"/>
      <c r="BV628" s="1008"/>
      <c r="BW628" s="1008"/>
      <c r="BX628" s="1008"/>
      <c r="BY628" s="1008"/>
      <c r="BZ628" s="1008"/>
      <c r="CA628" s="1008"/>
      <c r="CB628" s="1008"/>
      <c r="CC628" s="1008"/>
      <c r="CD628" s="1008"/>
      <c r="CE628" s="1008"/>
      <c r="CF628" s="1008"/>
    </row>
    <row r="629" spans="1:84" ht="14.25" customHeight="1">
      <c r="A629" s="1"/>
      <c r="B629" s="1006"/>
      <c r="C629" s="1007"/>
      <c r="D629" s="1008"/>
      <c r="E629" s="1008"/>
      <c r="F629" s="1008"/>
      <c r="G629" s="1008"/>
      <c r="H629" s="1008"/>
      <c r="I629" s="1008"/>
      <c r="J629" s="1008"/>
      <c r="K629" s="1008"/>
      <c r="L629" s="1008"/>
      <c r="M629" s="1008"/>
      <c r="N629" s="1008"/>
      <c r="O629" s="1008"/>
      <c r="P629" s="1008"/>
      <c r="Q629" s="1008"/>
      <c r="R629" s="1008"/>
      <c r="S629" s="1008"/>
      <c r="T629" s="1008"/>
      <c r="U629" s="1008"/>
      <c r="V629" s="1008"/>
      <c r="W629" s="1008"/>
      <c r="X629" s="1008"/>
      <c r="Y629" s="1008"/>
      <c r="Z629" s="1008"/>
      <c r="AA629" s="1008"/>
      <c r="AB629" s="1008"/>
      <c r="AC629" s="1008"/>
      <c r="AD629" s="1008"/>
      <c r="AE629" s="1008"/>
      <c r="AF629" s="1008"/>
      <c r="AG629" s="1008"/>
      <c r="AH629" s="1008"/>
      <c r="AI629" s="1008"/>
      <c r="AJ629" s="1008"/>
      <c r="AK629" s="1008"/>
      <c r="AL629" s="1008"/>
      <c r="AM629" s="1008"/>
      <c r="AN629" s="1008"/>
      <c r="AO629" s="1008"/>
      <c r="AP629" s="1008"/>
      <c r="AQ629" s="1008"/>
      <c r="AR629" s="1008"/>
      <c r="AS629" s="1008"/>
      <c r="AT629" s="1008"/>
      <c r="AU629" s="1008"/>
      <c r="AV629" s="1008"/>
      <c r="AW629" s="1008"/>
      <c r="AX629" s="1008"/>
      <c r="AY629" s="1008"/>
      <c r="AZ629" s="1008"/>
      <c r="BA629" s="1008"/>
      <c r="BB629" s="1008"/>
      <c r="BC629" s="1008"/>
      <c r="BD629" s="1008"/>
      <c r="BE629" s="1008"/>
      <c r="BF629" s="1008"/>
      <c r="BG629" s="1008"/>
      <c r="BH629" s="1008"/>
      <c r="BI629" s="1008"/>
      <c r="BJ629" s="1008"/>
      <c r="BK629" s="1008"/>
      <c r="BL629" s="1008"/>
      <c r="BM629" s="1008"/>
      <c r="BN629" s="1008"/>
      <c r="BO629" s="1008"/>
      <c r="BP629" s="647"/>
      <c r="BQ629" s="1"/>
      <c r="BR629" s="1"/>
      <c r="BS629" s="1"/>
      <c r="BT629" s="1008"/>
      <c r="BU629" s="1008"/>
      <c r="BV629" s="1008"/>
      <c r="BW629" s="1008"/>
      <c r="BX629" s="1008"/>
      <c r="BY629" s="1008"/>
      <c r="BZ629" s="1008"/>
      <c r="CA629" s="1008"/>
      <c r="CB629" s="1008"/>
      <c r="CC629" s="1008"/>
      <c r="CD629" s="1008"/>
      <c r="CE629" s="1008"/>
      <c r="CF629" s="1008"/>
    </row>
    <row r="630" spans="1:84" ht="14.25" customHeight="1">
      <c r="A630" s="1"/>
      <c r="B630" s="1006"/>
      <c r="C630" s="1007"/>
      <c r="D630" s="1008"/>
      <c r="E630" s="1008"/>
      <c r="F630" s="1008"/>
      <c r="G630" s="1008"/>
      <c r="H630" s="1008"/>
      <c r="I630" s="1008"/>
      <c r="J630" s="1008"/>
      <c r="K630" s="1008"/>
      <c r="L630" s="1008"/>
      <c r="M630" s="1008"/>
      <c r="N630" s="1008"/>
      <c r="O630" s="1008"/>
      <c r="P630" s="1008"/>
      <c r="Q630" s="1008"/>
      <c r="R630" s="1008"/>
      <c r="S630" s="1008"/>
      <c r="T630" s="1008"/>
      <c r="U630" s="1008"/>
      <c r="V630" s="1008"/>
      <c r="W630" s="1008"/>
      <c r="X630" s="1008"/>
      <c r="Y630" s="1008"/>
      <c r="Z630" s="1008"/>
      <c r="AA630" s="1008"/>
      <c r="AB630" s="1008"/>
      <c r="AC630" s="1008"/>
      <c r="AD630" s="1008"/>
      <c r="AE630" s="1008"/>
      <c r="AF630" s="1008"/>
      <c r="AG630" s="1008"/>
      <c r="AH630" s="1008"/>
      <c r="AI630" s="1008"/>
      <c r="AJ630" s="1008"/>
      <c r="AK630" s="1008"/>
      <c r="AL630" s="1008"/>
      <c r="AM630" s="1008"/>
      <c r="AN630" s="1008"/>
      <c r="AO630" s="1008"/>
      <c r="AP630" s="1008"/>
      <c r="AQ630" s="1008"/>
      <c r="AR630" s="1008"/>
      <c r="AS630" s="1008"/>
      <c r="AT630" s="1008"/>
      <c r="AU630" s="1008"/>
      <c r="AV630" s="1008"/>
      <c r="AW630" s="1008"/>
      <c r="AX630" s="1008"/>
      <c r="AY630" s="1008"/>
      <c r="AZ630" s="1008"/>
      <c r="BA630" s="1008"/>
      <c r="BB630" s="1008"/>
      <c r="BC630" s="1008"/>
      <c r="BD630" s="1008"/>
      <c r="BE630" s="1008"/>
      <c r="BF630" s="1008"/>
      <c r="BG630" s="1008"/>
      <c r="BH630" s="1008"/>
      <c r="BI630" s="1008"/>
      <c r="BJ630" s="1008"/>
      <c r="BK630" s="1008"/>
      <c r="BL630" s="1008"/>
      <c r="BM630" s="1008"/>
      <c r="BN630" s="1008"/>
      <c r="BO630" s="1008"/>
      <c r="BP630" s="647"/>
      <c r="BQ630" s="1"/>
      <c r="BR630" s="1"/>
      <c r="BS630" s="1"/>
      <c r="BT630" s="1008"/>
      <c r="BU630" s="1008"/>
      <c r="BV630" s="1008"/>
      <c r="BW630" s="1008"/>
      <c r="BX630" s="1008"/>
      <c r="BY630" s="1008"/>
      <c r="BZ630" s="1008"/>
      <c r="CA630" s="1008"/>
      <c r="CB630" s="1008"/>
      <c r="CC630" s="1008"/>
      <c r="CD630" s="1008"/>
      <c r="CE630" s="1008"/>
      <c r="CF630" s="1008"/>
    </row>
    <row r="631" spans="1:84" ht="14.25" customHeight="1">
      <c r="A631" s="1"/>
      <c r="B631" s="1006"/>
      <c r="C631" s="1007"/>
      <c r="D631" s="1008"/>
      <c r="E631" s="1008"/>
      <c r="F631" s="1008"/>
      <c r="G631" s="1008"/>
      <c r="H631" s="1008"/>
      <c r="I631" s="1008"/>
      <c r="J631" s="1008"/>
      <c r="K631" s="1008"/>
      <c r="L631" s="1008"/>
      <c r="M631" s="1008"/>
      <c r="N631" s="1008"/>
      <c r="O631" s="1008"/>
      <c r="P631" s="1008"/>
      <c r="Q631" s="1008"/>
      <c r="R631" s="1008"/>
      <c r="S631" s="1008"/>
      <c r="T631" s="1008"/>
      <c r="U631" s="1008"/>
      <c r="V631" s="1008"/>
      <c r="W631" s="1008"/>
      <c r="X631" s="1008"/>
      <c r="Y631" s="1008"/>
      <c r="Z631" s="1008"/>
      <c r="AA631" s="1008"/>
      <c r="AB631" s="1008"/>
      <c r="AC631" s="1008"/>
      <c r="AD631" s="1008"/>
      <c r="AE631" s="1008"/>
      <c r="AF631" s="1008"/>
      <c r="AG631" s="1008"/>
      <c r="AH631" s="1008"/>
      <c r="AI631" s="1008"/>
      <c r="AJ631" s="1008"/>
      <c r="AK631" s="1008"/>
      <c r="AL631" s="1008"/>
      <c r="AM631" s="1008"/>
      <c r="AN631" s="1008"/>
      <c r="AO631" s="1008"/>
      <c r="AP631" s="1008"/>
      <c r="AQ631" s="1008"/>
      <c r="AR631" s="1008"/>
      <c r="AS631" s="1008"/>
      <c r="AT631" s="1008"/>
      <c r="AU631" s="1008"/>
      <c r="AV631" s="1008"/>
      <c r="AW631" s="1008"/>
      <c r="AX631" s="1008"/>
      <c r="AY631" s="1008"/>
      <c r="AZ631" s="1008"/>
      <c r="BA631" s="1008"/>
      <c r="BB631" s="1008"/>
      <c r="BC631" s="1008"/>
      <c r="BD631" s="1008"/>
      <c r="BE631" s="1008"/>
      <c r="BF631" s="1008"/>
      <c r="BG631" s="1008"/>
      <c r="BH631" s="1008"/>
      <c r="BI631" s="1008"/>
      <c r="BJ631" s="1008"/>
      <c r="BK631" s="1008"/>
      <c r="BL631" s="1008"/>
      <c r="BM631" s="1008"/>
      <c r="BN631" s="1008"/>
      <c r="BO631" s="1008"/>
      <c r="BP631" s="647"/>
      <c r="BQ631" s="1"/>
      <c r="BR631" s="1"/>
      <c r="BS631" s="1"/>
      <c r="BT631" s="1008"/>
      <c r="BU631" s="1008"/>
      <c r="BV631" s="1008"/>
      <c r="BW631" s="1008"/>
      <c r="BX631" s="1008"/>
      <c r="BY631" s="1008"/>
      <c r="BZ631" s="1008"/>
      <c r="CA631" s="1008"/>
      <c r="CB631" s="1008"/>
      <c r="CC631" s="1008"/>
      <c r="CD631" s="1008"/>
      <c r="CE631" s="1008"/>
      <c r="CF631" s="1008"/>
    </row>
    <row r="632" spans="1:84" ht="14.25" customHeight="1">
      <c r="A632" s="1"/>
      <c r="B632" s="1006"/>
      <c r="C632" s="1007"/>
      <c r="D632" s="1008"/>
      <c r="E632" s="1008"/>
      <c r="F632" s="1008"/>
      <c r="G632" s="1008"/>
      <c r="H632" s="1008"/>
      <c r="I632" s="1008"/>
      <c r="J632" s="1008"/>
      <c r="K632" s="1008"/>
      <c r="L632" s="1008"/>
      <c r="M632" s="1008"/>
      <c r="N632" s="1008"/>
      <c r="O632" s="1008"/>
      <c r="P632" s="1008"/>
      <c r="Q632" s="1008"/>
      <c r="R632" s="1008"/>
      <c r="S632" s="1008"/>
      <c r="T632" s="1008"/>
      <c r="U632" s="1008"/>
      <c r="V632" s="1008"/>
      <c r="W632" s="1008"/>
      <c r="X632" s="1008"/>
      <c r="Y632" s="1008"/>
      <c r="Z632" s="1008"/>
      <c r="AA632" s="1008"/>
      <c r="AB632" s="1008"/>
      <c r="AC632" s="1008"/>
      <c r="AD632" s="1008"/>
      <c r="AE632" s="1008"/>
      <c r="AF632" s="1008"/>
      <c r="AG632" s="1008"/>
      <c r="AH632" s="1008"/>
      <c r="AI632" s="1008"/>
      <c r="AJ632" s="1008"/>
      <c r="AK632" s="1008"/>
      <c r="AL632" s="1008"/>
      <c r="AM632" s="1008"/>
      <c r="AN632" s="1008"/>
      <c r="AO632" s="1008"/>
      <c r="AP632" s="1008"/>
      <c r="AQ632" s="1008"/>
      <c r="AR632" s="1008"/>
      <c r="AS632" s="1008"/>
      <c r="AT632" s="1008"/>
      <c r="AU632" s="1008"/>
      <c r="AV632" s="1008"/>
      <c r="AW632" s="1008"/>
      <c r="AX632" s="1008"/>
      <c r="AY632" s="1008"/>
      <c r="AZ632" s="1008"/>
      <c r="BA632" s="1008"/>
      <c r="BB632" s="1008"/>
      <c r="BC632" s="1008"/>
      <c r="BD632" s="1008"/>
      <c r="BE632" s="1008"/>
      <c r="BF632" s="1008"/>
      <c r="BG632" s="1008"/>
      <c r="BH632" s="1008"/>
      <c r="BI632" s="1008"/>
      <c r="BJ632" s="1008"/>
      <c r="BK632" s="1008"/>
      <c r="BL632" s="1008"/>
      <c r="BM632" s="1008"/>
      <c r="BN632" s="1008"/>
      <c r="BO632" s="1008"/>
      <c r="BP632" s="647"/>
      <c r="BQ632" s="1"/>
      <c r="BR632" s="1"/>
      <c r="BS632" s="1"/>
      <c r="BT632" s="1008"/>
      <c r="BU632" s="1008"/>
      <c r="BV632" s="1008"/>
      <c r="BW632" s="1008"/>
      <c r="BX632" s="1008"/>
      <c r="BY632" s="1008"/>
      <c r="BZ632" s="1008"/>
      <c r="CA632" s="1008"/>
      <c r="CB632" s="1008"/>
      <c r="CC632" s="1008"/>
      <c r="CD632" s="1008"/>
      <c r="CE632" s="1008"/>
      <c r="CF632" s="1008"/>
    </row>
    <row r="633" spans="1:84" ht="14.25" customHeight="1">
      <c r="A633" s="1"/>
      <c r="B633" s="1006"/>
      <c r="C633" s="1007"/>
      <c r="D633" s="1008"/>
      <c r="E633" s="1008"/>
      <c r="F633" s="1008"/>
      <c r="G633" s="1008"/>
      <c r="H633" s="1008"/>
      <c r="I633" s="1008"/>
      <c r="J633" s="1008"/>
      <c r="K633" s="1008"/>
      <c r="L633" s="1008"/>
      <c r="M633" s="1008"/>
      <c r="N633" s="1008"/>
      <c r="O633" s="1008"/>
      <c r="P633" s="1008"/>
      <c r="Q633" s="1008"/>
      <c r="R633" s="1008"/>
      <c r="S633" s="1008"/>
      <c r="T633" s="1008"/>
      <c r="U633" s="1008"/>
      <c r="V633" s="1008"/>
      <c r="W633" s="1008"/>
      <c r="X633" s="1008"/>
      <c r="Y633" s="1008"/>
      <c r="Z633" s="1008"/>
      <c r="AA633" s="1008"/>
      <c r="AB633" s="1008"/>
      <c r="AC633" s="1008"/>
      <c r="AD633" s="1008"/>
      <c r="AE633" s="1008"/>
      <c r="AF633" s="1008"/>
      <c r="AG633" s="1008"/>
      <c r="AH633" s="1008"/>
      <c r="AI633" s="1008"/>
      <c r="AJ633" s="1008"/>
      <c r="AK633" s="1008"/>
      <c r="AL633" s="1008"/>
      <c r="AM633" s="1008"/>
      <c r="AN633" s="1008"/>
      <c r="AO633" s="1008"/>
      <c r="AP633" s="1008"/>
      <c r="AQ633" s="1008"/>
      <c r="AR633" s="1008"/>
      <c r="AS633" s="1008"/>
      <c r="AT633" s="1008"/>
      <c r="AU633" s="1008"/>
      <c r="AV633" s="1008"/>
      <c r="AW633" s="1008"/>
      <c r="AX633" s="1008"/>
      <c r="AY633" s="1008"/>
      <c r="AZ633" s="1008"/>
      <c r="BA633" s="1008"/>
      <c r="BB633" s="1008"/>
      <c r="BC633" s="1008"/>
      <c r="BD633" s="1008"/>
      <c r="BE633" s="1008"/>
      <c r="BF633" s="1008"/>
      <c r="BG633" s="1008"/>
      <c r="BH633" s="1008"/>
      <c r="BI633" s="1008"/>
      <c r="BJ633" s="1008"/>
      <c r="BK633" s="1008"/>
      <c r="BL633" s="1008"/>
      <c r="BM633" s="1008"/>
      <c r="BN633" s="1008"/>
      <c r="BO633" s="1008"/>
      <c r="BP633" s="647"/>
      <c r="BQ633" s="1"/>
      <c r="BR633" s="1"/>
      <c r="BS633" s="1"/>
      <c r="BT633" s="1008"/>
      <c r="BU633" s="1008"/>
      <c r="BV633" s="1008"/>
      <c r="BW633" s="1008"/>
      <c r="BX633" s="1008"/>
      <c r="BY633" s="1008"/>
      <c r="BZ633" s="1008"/>
      <c r="CA633" s="1008"/>
      <c r="CB633" s="1008"/>
      <c r="CC633" s="1008"/>
      <c r="CD633" s="1008"/>
      <c r="CE633" s="1008"/>
      <c r="CF633" s="1008"/>
    </row>
    <row r="634" spans="1:84" ht="14.25" customHeight="1">
      <c r="A634" s="1"/>
      <c r="B634" s="1006"/>
      <c r="C634" s="1007"/>
      <c r="D634" s="1008"/>
      <c r="E634" s="1008"/>
      <c r="F634" s="1008"/>
      <c r="G634" s="1008"/>
      <c r="H634" s="1008"/>
      <c r="I634" s="1008"/>
      <c r="J634" s="1008"/>
      <c r="K634" s="1008"/>
      <c r="L634" s="1008"/>
      <c r="M634" s="1008"/>
      <c r="N634" s="1008"/>
      <c r="O634" s="1008"/>
      <c r="P634" s="1008"/>
      <c r="Q634" s="1008"/>
      <c r="R634" s="1008"/>
      <c r="S634" s="1008"/>
      <c r="T634" s="1008"/>
      <c r="U634" s="1008"/>
      <c r="V634" s="1008"/>
      <c r="W634" s="1008"/>
      <c r="X634" s="1008"/>
      <c r="Y634" s="1008"/>
      <c r="Z634" s="1008"/>
      <c r="AA634" s="1008"/>
      <c r="AB634" s="1008"/>
      <c r="AC634" s="1008"/>
      <c r="AD634" s="1008"/>
      <c r="AE634" s="1008"/>
      <c r="AF634" s="1008"/>
      <c r="AG634" s="1008"/>
      <c r="AH634" s="1008"/>
      <c r="AI634" s="1008"/>
      <c r="AJ634" s="1008"/>
      <c r="AK634" s="1008"/>
      <c r="AL634" s="1008"/>
      <c r="AM634" s="1008"/>
      <c r="AN634" s="1008"/>
      <c r="AO634" s="1008"/>
      <c r="AP634" s="1008"/>
      <c r="AQ634" s="1008"/>
      <c r="AR634" s="1008"/>
      <c r="AS634" s="1008"/>
      <c r="AT634" s="1008"/>
      <c r="AU634" s="1008"/>
      <c r="AV634" s="1008"/>
      <c r="AW634" s="1008"/>
      <c r="AX634" s="1008"/>
      <c r="AY634" s="1008"/>
      <c r="AZ634" s="1008"/>
      <c r="BA634" s="1008"/>
      <c r="BB634" s="1008"/>
      <c r="BC634" s="1008"/>
      <c r="BD634" s="1008"/>
      <c r="BE634" s="1008"/>
      <c r="BF634" s="1008"/>
      <c r="BG634" s="1008"/>
      <c r="BH634" s="1008"/>
      <c r="BI634" s="1008"/>
      <c r="BJ634" s="1008"/>
      <c r="BK634" s="1008"/>
      <c r="BL634" s="1008"/>
      <c r="BM634" s="1008"/>
      <c r="BN634" s="1008"/>
      <c r="BO634" s="1008"/>
      <c r="BP634" s="647"/>
      <c r="BQ634" s="1"/>
      <c r="BR634" s="1"/>
      <c r="BS634" s="1"/>
      <c r="BT634" s="1008"/>
      <c r="BU634" s="1008"/>
      <c r="BV634" s="1008"/>
      <c r="BW634" s="1008"/>
      <c r="BX634" s="1008"/>
      <c r="BY634" s="1008"/>
      <c r="BZ634" s="1008"/>
      <c r="CA634" s="1008"/>
      <c r="CB634" s="1008"/>
      <c r="CC634" s="1008"/>
      <c r="CD634" s="1008"/>
      <c r="CE634" s="1008"/>
      <c r="CF634" s="1008"/>
    </row>
    <row r="635" spans="1:84" ht="14.25" customHeight="1">
      <c r="A635" s="1"/>
      <c r="B635" s="1006"/>
      <c r="C635" s="1007"/>
      <c r="D635" s="1008"/>
      <c r="E635" s="1008"/>
      <c r="F635" s="1008"/>
      <c r="G635" s="1008"/>
      <c r="H635" s="1008"/>
      <c r="I635" s="1008"/>
      <c r="J635" s="1008"/>
      <c r="K635" s="1008"/>
      <c r="L635" s="1008"/>
      <c r="M635" s="1008"/>
      <c r="N635" s="1008"/>
      <c r="O635" s="1008"/>
      <c r="P635" s="1008"/>
      <c r="Q635" s="1008"/>
      <c r="R635" s="1008"/>
      <c r="S635" s="1008"/>
      <c r="T635" s="1008"/>
      <c r="U635" s="1008"/>
      <c r="V635" s="1008"/>
      <c r="W635" s="1008"/>
      <c r="X635" s="1008"/>
      <c r="Y635" s="1008"/>
      <c r="Z635" s="1008"/>
      <c r="AA635" s="1008"/>
      <c r="AB635" s="1008"/>
      <c r="AC635" s="1008"/>
      <c r="AD635" s="1008"/>
      <c r="AE635" s="1008"/>
      <c r="AF635" s="1008"/>
      <c r="AG635" s="1008"/>
      <c r="AH635" s="1008"/>
      <c r="AI635" s="1008"/>
      <c r="AJ635" s="1008"/>
      <c r="AK635" s="1008"/>
      <c r="AL635" s="1008"/>
      <c r="AM635" s="1008"/>
      <c r="AN635" s="1008"/>
      <c r="AO635" s="1008"/>
      <c r="AP635" s="1008"/>
      <c r="AQ635" s="1008"/>
      <c r="AR635" s="1008"/>
      <c r="AS635" s="1008"/>
      <c r="AT635" s="1008"/>
      <c r="AU635" s="1008"/>
      <c r="AV635" s="1008"/>
      <c r="AW635" s="1008"/>
      <c r="AX635" s="1008"/>
      <c r="AY635" s="1008"/>
      <c r="AZ635" s="1008"/>
      <c r="BA635" s="1008"/>
      <c r="BB635" s="1008"/>
      <c r="BC635" s="1008"/>
      <c r="BD635" s="1008"/>
      <c r="BE635" s="1008"/>
      <c r="BF635" s="1008"/>
      <c r="BG635" s="1008"/>
      <c r="BH635" s="1008"/>
      <c r="BI635" s="1008"/>
      <c r="BJ635" s="1008"/>
      <c r="BK635" s="1008"/>
      <c r="BL635" s="1008"/>
      <c r="BM635" s="1008"/>
      <c r="BN635" s="1008"/>
      <c r="BO635" s="1008"/>
      <c r="BP635" s="647"/>
      <c r="BQ635" s="1"/>
      <c r="BR635" s="1"/>
      <c r="BS635" s="1"/>
      <c r="BT635" s="1008"/>
      <c r="BU635" s="1008"/>
      <c r="BV635" s="1008"/>
      <c r="BW635" s="1008"/>
      <c r="BX635" s="1008"/>
      <c r="BY635" s="1008"/>
      <c r="BZ635" s="1008"/>
      <c r="CA635" s="1008"/>
      <c r="CB635" s="1008"/>
      <c r="CC635" s="1008"/>
      <c r="CD635" s="1008"/>
      <c r="CE635" s="1008"/>
      <c r="CF635" s="1008"/>
    </row>
    <row r="636" spans="1:84" ht="14.25" customHeight="1">
      <c r="A636" s="1"/>
      <c r="B636" s="1006"/>
      <c r="C636" s="1007"/>
      <c r="D636" s="1008"/>
      <c r="E636" s="1008"/>
      <c r="F636" s="1008"/>
      <c r="G636" s="1008"/>
      <c r="H636" s="1008"/>
      <c r="I636" s="1008"/>
      <c r="J636" s="1008"/>
      <c r="K636" s="1008"/>
      <c r="L636" s="1008"/>
      <c r="M636" s="1008"/>
      <c r="N636" s="1008"/>
      <c r="O636" s="1008"/>
      <c r="P636" s="1008"/>
      <c r="Q636" s="1008"/>
      <c r="R636" s="1008"/>
      <c r="S636" s="1008"/>
      <c r="T636" s="1008"/>
      <c r="U636" s="1008"/>
      <c r="V636" s="1008"/>
      <c r="W636" s="1008"/>
      <c r="X636" s="1008"/>
      <c r="Y636" s="1008"/>
      <c r="Z636" s="1008"/>
      <c r="AA636" s="1008"/>
      <c r="AB636" s="1008"/>
      <c r="AC636" s="1008"/>
      <c r="AD636" s="1008"/>
      <c r="AE636" s="1008"/>
      <c r="AF636" s="1008"/>
      <c r="AG636" s="1008"/>
      <c r="AH636" s="1008"/>
      <c r="AI636" s="1008"/>
      <c r="AJ636" s="1008"/>
      <c r="AK636" s="1008"/>
      <c r="AL636" s="1008"/>
      <c r="AM636" s="1008"/>
      <c r="AN636" s="1008"/>
      <c r="AO636" s="1008"/>
      <c r="AP636" s="1008"/>
      <c r="AQ636" s="1008"/>
      <c r="AR636" s="1008"/>
      <c r="AS636" s="1008"/>
      <c r="AT636" s="1008"/>
      <c r="AU636" s="1008"/>
      <c r="AV636" s="1008"/>
      <c r="AW636" s="1008"/>
      <c r="AX636" s="1008"/>
      <c r="AY636" s="1008"/>
      <c r="AZ636" s="1008"/>
      <c r="BA636" s="1008"/>
      <c r="BB636" s="1008"/>
      <c r="BC636" s="1008"/>
      <c r="BD636" s="1008"/>
      <c r="BE636" s="1008"/>
      <c r="BF636" s="1008"/>
      <c r="BG636" s="1008"/>
      <c r="BH636" s="1008"/>
      <c r="BI636" s="1008"/>
      <c r="BJ636" s="1008"/>
      <c r="BK636" s="1008"/>
      <c r="BL636" s="1008"/>
      <c r="BM636" s="1008"/>
      <c r="BN636" s="1008"/>
      <c r="BO636" s="1008"/>
      <c r="BP636" s="647"/>
      <c r="BQ636" s="1"/>
      <c r="BR636" s="1"/>
      <c r="BS636" s="1"/>
      <c r="BT636" s="1008"/>
      <c r="BU636" s="1008"/>
      <c r="BV636" s="1008"/>
      <c r="BW636" s="1008"/>
      <c r="BX636" s="1008"/>
      <c r="BY636" s="1008"/>
      <c r="BZ636" s="1008"/>
      <c r="CA636" s="1008"/>
      <c r="CB636" s="1008"/>
      <c r="CC636" s="1008"/>
      <c r="CD636" s="1008"/>
      <c r="CE636" s="1008"/>
      <c r="CF636" s="1008"/>
    </row>
    <row r="637" spans="1:84" ht="14.25" customHeight="1">
      <c r="A637" s="1"/>
      <c r="B637" s="1006"/>
      <c r="C637" s="1007"/>
      <c r="D637" s="1008"/>
      <c r="E637" s="1008"/>
      <c r="F637" s="1008"/>
      <c r="G637" s="1008"/>
      <c r="H637" s="1008"/>
      <c r="I637" s="1008"/>
      <c r="J637" s="1008"/>
      <c r="K637" s="1008"/>
      <c r="L637" s="1008"/>
      <c r="M637" s="1008"/>
      <c r="N637" s="1008"/>
      <c r="O637" s="1008"/>
      <c r="P637" s="1008"/>
      <c r="Q637" s="1008"/>
      <c r="R637" s="1008"/>
      <c r="S637" s="1008"/>
      <c r="T637" s="1008"/>
      <c r="U637" s="1008"/>
      <c r="V637" s="1008"/>
      <c r="W637" s="1008"/>
      <c r="X637" s="1008"/>
      <c r="Y637" s="1008"/>
      <c r="Z637" s="1008"/>
      <c r="AA637" s="1008"/>
      <c r="AB637" s="1008"/>
      <c r="AC637" s="1008"/>
      <c r="AD637" s="1008"/>
      <c r="AE637" s="1008"/>
      <c r="AF637" s="1008"/>
      <c r="AG637" s="1008"/>
      <c r="AH637" s="1008"/>
      <c r="AI637" s="1008"/>
      <c r="AJ637" s="1008"/>
      <c r="AK637" s="1008"/>
      <c r="AL637" s="1008"/>
      <c r="AM637" s="1008"/>
      <c r="AN637" s="1008"/>
      <c r="AO637" s="1008"/>
      <c r="AP637" s="1008"/>
      <c r="AQ637" s="1008"/>
      <c r="AR637" s="1008"/>
      <c r="AS637" s="1008"/>
      <c r="AT637" s="1008"/>
      <c r="AU637" s="1008"/>
      <c r="AV637" s="1008"/>
      <c r="AW637" s="1008"/>
      <c r="AX637" s="1008"/>
      <c r="AY637" s="1008"/>
      <c r="AZ637" s="1008"/>
      <c r="BA637" s="1008"/>
      <c r="BB637" s="1008"/>
      <c r="BC637" s="1008"/>
      <c r="BD637" s="1008"/>
      <c r="BE637" s="1008"/>
      <c r="BF637" s="1008"/>
      <c r="BG637" s="1008"/>
      <c r="BH637" s="1008"/>
      <c r="BI637" s="1008"/>
      <c r="BJ637" s="1008"/>
      <c r="BK637" s="1008"/>
      <c r="BL637" s="1008"/>
      <c r="BM637" s="1008"/>
      <c r="BN637" s="1008"/>
      <c r="BO637" s="1008"/>
      <c r="BP637" s="647"/>
      <c r="BQ637" s="1"/>
      <c r="BR637" s="1"/>
      <c r="BS637" s="1"/>
      <c r="BT637" s="1008"/>
      <c r="BU637" s="1008"/>
      <c r="BV637" s="1008"/>
      <c r="BW637" s="1008"/>
      <c r="BX637" s="1008"/>
      <c r="BY637" s="1008"/>
      <c r="BZ637" s="1008"/>
      <c r="CA637" s="1008"/>
      <c r="CB637" s="1008"/>
      <c r="CC637" s="1008"/>
      <c r="CD637" s="1008"/>
      <c r="CE637" s="1008"/>
      <c r="CF637" s="1008"/>
    </row>
    <row r="638" spans="1:84" ht="14.25" customHeight="1">
      <c r="A638" s="1"/>
      <c r="B638" s="1006"/>
      <c r="C638" s="1007"/>
      <c r="D638" s="1008"/>
      <c r="E638" s="1008"/>
      <c r="F638" s="1008"/>
      <c r="G638" s="1008"/>
      <c r="H638" s="1008"/>
      <c r="I638" s="1008"/>
      <c r="J638" s="1008"/>
      <c r="K638" s="1008"/>
      <c r="L638" s="1008"/>
      <c r="M638" s="1008"/>
      <c r="N638" s="1008"/>
      <c r="O638" s="1008"/>
      <c r="P638" s="1008"/>
      <c r="Q638" s="1008"/>
      <c r="R638" s="1008"/>
      <c r="S638" s="1008"/>
      <c r="T638" s="1008"/>
      <c r="U638" s="1008"/>
      <c r="V638" s="1008"/>
      <c r="W638" s="1008"/>
      <c r="X638" s="1008"/>
      <c r="Y638" s="1008"/>
      <c r="Z638" s="1008"/>
      <c r="AA638" s="1008"/>
      <c r="AB638" s="1008"/>
      <c r="AC638" s="1008"/>
      <c r="AD638" s="1008"/>
      <c r="AE638" s="1008"/>
      <c r="AF638" s="1008"/>
      <c r="AG638" s="1008"/>
      <c r="AH638" s="1008"/>
      <c r="AI638" s="1008"/>
      <c r="AJ638" s="1008"/>
      <c r="AK638" s="1008"/>
      <c r="AL638" s="1008"/>
      <c r="AM638" s="1008"/>
      <c r="AN638" s="1008"/>
      <c r="AO638" s="1008"/>
      <c r="AP638" s="1008"/>
      <c r="AQ638" s="1008"/>
      <c r="AR638" s="1008"/>
      <c r="AS638" s="1008"/>
      <c r="AT638" s="1008"/>
      <c r="AU638" s="1008"/>
      <c r="AV638" s="1008"/>
      <c r="AW638" s="1008"/>
      <c r="AX638" s="1008"/>
      <c r="AY638" s="1008"/>
      <c r="AZ638" s="1008"/>
      <c r="BA638" s="1008"/>
      <c r="BB638" s="1008"/>
      <c r="BC638" s="1008"/>
      <c r="BD638" s="1008"/>
      <c r="BE638" s="1008"/>
      <c r="BF638" s="1008"/>
      <c r="BG638" s="1008"/>
      <c r="BH638" s="1008"/>
      <c r="BI638" s="1008"/>
      <c r="BJ638" s="1008"/>
      <c r="BK638" s="1008"/>
      <c r="BL638" s="1008"/>
      <c r="BM638" s="1008"/>
      <c r="BN638" s="1008"/>
      <c r="BO638" s="1008"/>
      <c r="BP638" s="647"/>
      <c r="BQ638" s="1"/>
      <c r="BR638" s="1"/>
      <c r="BS638" s="1"/>
      <c r="BT638" s="1008"/>
      <c r="BU638" s="1008"/>
      <c r="BV638" s="1008"/>
      <c r="BW638" s="1008"/>
      <c r="BX638" s="1008"/>
      <c r="BY638" s="1008"/>
      <c r="BZ638" s="1008"/>
      <c r="CA638" s="1008"/>
      <c r="CB638" s="1008"/>
      <c r="CC638" s="1008"/>
      <c r="CD638" s="1008"/>
      <c r="CE638" s="1008"/>
      <c r="CF638" s="1008"/>
    </row>
    <row r="639" spans="1:84" ht="14.25" customHeight="1">
      <c r="A639" s="1"/>
      <c r="B639" s="1006"/>
      <c r="C639" s="1007"/>
      <c r="D639" s="1008"/>
      <c r="E639" s="1008"/>
      <c r="F639" s="1008"/>
      <c r="G639" s="1008"/>
      <c r="H639" s="1008"/>
      <c r="I639" s="1008"/>
      <c r="J639" s="1008"/>
      <c r="K639" s="1008"/>
      <c r="L639" s="1008"/>
      <c r="M639" s="1008"/>
      <c r="N639" s="1008"/>
      <c r="O639" s="1008"/>
      <c r="P639" s="1008"/>
      <c r="Q639" s="1008"/>
      <c r="R639" s="1008"/>
      <c r="S639" s="1008"/>
      <c r="T639" s="1008"/>
      <c r="U639" s="1008"/>
      <c r="V639" s="1008"/>
      <c r="W639" s="1008"/>
      <c r="X639" s="1008"/>
      <c r="Y639" s="1008"/>
      <c r="Z639" s="1008"/>
      <c r="AA639" s="1008"/>
      <c r="AB639" s="1008"/>
      <c r="AC639" s="1008"/>
      <c r="AD639" s="1008"/>
      <c r="AE639" s="1008"/>
      <c r="AF639" s="1008"/>
      <c r="AG639" s="1008"/>
      <c r="AH639" s="1008"/>
      <c r="AI639" s="1008"/>
      <c r="AJ639" s="1008"/>
      <c r="AK639" s="1008"/>
      <c r="AL639" s="1008"/>
      <c r="AM639" s="1008"/>
      <c r="AN639" s="1008"/>
      <c r="AO639" s="1008"/>
      <c r="AP639" s="1008"/>
      <c r="AQ639" s="1008"/>
      <c r="AR639" s="1008"/>
      <c r="AS639" s="1008"/>
      <c r="AT639" s="1008"/>
      <c r="AU639" s="1008"/>
      <c r="AV639" s="1008"/>
      <c r="AW639" s="1008"/>
      <c r="AX639" s="1008"/>
      <c r="AY639" s="1008"/>
      <c r="AZ639" s="1008"/>
      <c r="BA639" s="1008"/>
      <c r="BB639" s="1008"/>
      <c r="BC639" s="1008"/>
      <c r="BD639" s="1008"/>
      <c r="BE639" s="1008"/>
      <c r="BF639" s="1008"/>
      <c r="BG639" s="1008"/>
      <c r="BH639" s="1008"/>
      <c r="BI639" s="1008"/>
      <c r="BJ639" s="1008"/>
      <c r="BK639" s="1008"/>
      <c r="BL639" s="1008"/>
      <c r="BM639" s="1008"/>
      <c r="BN639" s="1008"/>
      <c r="BO639" s="1008"/>
      <c r="BP639" s="647"/>
      <c r="BQ639" s="1"/>
      <c r="BR639" s="1"/>
      <c r="BS639" s="1"/>
      <c r="BT639" s="1008"/>
      <c r="BU639" s="1008"/>
      <c r="BV639" s="1008"/>
      <c r="BW639" s="1008"/>
      <c r="BX639" s="1008"/>
      <c r="BY639" s="1008"/>
      <c r="BZ639" s="1008"/>
      <c r="CA639" s="1008"/>
      <c r="CB639" s="1008"/>
      <c r="CC639" s="1008"/>
      <c r="CD639" s="1008"/>
      <c r="CE639" s="1008"/>
      <c r="CF639" s="1008"/>
    </row>
    <row r="640" spans="1:84" ht="14.25" customHeight="1">
      <c r="A640" s="1"/>
      <c r="B640" s="1006"/>
      <c r="C640" s="1007"/>
      <c r="D640" s="1008"/>
      <c r="E640" s="1008"/>
      <c r="F640" s="1008"/>
      <c r="G640" s="1008"/>
      <c r="H640" s="1008"/>
      <c r="I640" s="1008"/>
      <c r="J640" s="1008"/>
      <c r="K640" s="1008"/>
      <c r="L640" s="1008"/>
      <c r="M640" s="1008"/>
      <c r="N640" s="1008"/>
      <c r="O640" s="1008"/>
      <c r="P640" s="1008"/>
      <c r="Q640" s="1008"/>
      <c r="R640" s="1008"/>
      <c r="S640" s="1008"/>
      <c r="T640" s="1008"/>
      <c r="U640" s="1008"/>
      <c r="V640" s="1008"/>
      <c r="W640" s="1008"/>
      <c r="X640" s="1008"/>
      <c r="Y640" s="1008"/>
      <c r="Z640" s="1008"/>
      <c r="AA640" s="1008"/>
      <c r="AB640" s="1008"/>
      <c r="AC640" s="1008"/>
      <c r="AD640" s="1008"/>
      <c r="AE640" s="1008"/>
      <c r="AF640" s="1008"/>
      <c r="AG640" s="1008"/>
      <c r="AH640" s="1008"/>
      <c r="AI640" s="1008"/>
      <c r="AJ640" s="1008"/>
      <c r="AK640" s="1008"/>
      <c r="AL640" s="1008"/>
      <c r="AM640" s="1008"/>
      <c r="AN640" s="1008"/>
      <c r="AO640" s="1008"/>
      <c r="AP640" s="1008"/>
      <c r="AQ640" s="1008"/>
      <c r="AR640" s="1008"/>
      <c r="AS640" s="1008"/>
      <c r="AT640" s="1008"/>
      <c r="AU640" s="1008"/>
      <c r="AV640" s="1008"/>
      <c r="AW640" s="1008"/>
      <c r="AX640" s="1008"/>
      <c r="AY640" s="1008"/>
      <c r="AZ640" s="1008"/>
      <c r="BA640" s="1008"/>
      <c r="BB640" s="1008"/>
      <c r="BC640" s="1008"/>
      <c r="BD640" s="1008"/>
      <c r="BE640" s="1008"/>
      <c r="BF640" s="1008"/>
      <c r="BG640" s="1008"/>
      <c r="BH640" s="1008"/>
      <c r="BI640" s="1008"/>
      <c r="BJ640" s="1008"/>
      <c r="BK640" s="1008"/>
      <c r="BL640" s="1008"/>
      <c r="BM640" s="1008"/>
      <c r="BN640" s="1008"/>
      <c r="BO640" s="1008"/>
      <c r="BP640" s="647"/>
      <c r="BQ640" s="1"/>
      <c r="BR640" s="1"/>
      <c r="BS640" s="1"/>
      <c r="BT640" s="1008"/>
      <c r="BU640" s="1008"/>
      <c r="BV640" s="1008"/>
      <c r="BW640" s="1008"/>
      <c r="BX640" s="1008"/>
      <c r="BY640" s="1008"/>
      <c r="BZ640" s="1008"/>
      <c r="CA640" s="1008"/>
      <c r="CB640" s="1008"/>
      <c r="CC640" s="1008"/>
      <c r="CD640" s="1008"/>
      <c r="CE640" s="1008"/>
      <c r="CF640" s="1008"/>
    </row>
    <row r="641" spans="1:84" ht="14.25" customHeight="1">
      <c r="A641" s="1"/>
      <c r="B641" s="1006"/>
      <c r="C641" s="1007"/>
      <c r="D641" s="1008"/>
      <c r="E641" s="1008"/>
      <c r="F641" s="1008"/>
      <c r="G641" s="1008"/>
      <c r="H641" s="1008"/>
      <c r="I641" s="1008"/>
      <c r="J641" s="1008"/>
      <c r="K641" s="1008"/>
      <c r="L641" s="1008"/>
      <c r="M641" s="1008"/>
      <c r="N641" s="1008"/>
      <c r="O641" s="1008"/>
      <c r="P641" s="1008"/>
      <c r="Q641" s="1008"/>
      <c r="R641" s="1008"/>
      <c r="S641" s="1008"/>
      <c r="T641" s="1008"/>
      <c r="U641" s="1008"/>
      <c r="V641" s="1008"/>
      <c r="W641" s="1008"/>
      <c r="X641" s="1008"/>
      <c r="Y641" s="1008"/>
      <c r="Z641" s="1008"/>
      <c r="AA641" s="1008"/>
      <c r="AB641" s="1008"/>
      <c r="AC641" s="1008"/>
      <c r="AD641" s="1008"/>
      <c r="AE641" s="1008"/>
      <c r="AF641" s="1008"/>
      <c r="AG641" s="1008"/>
      <c r="AH641" s="1008"/>
      <c r="AI641" s="1008"/>
      <c r="AJ641" s="1008"/>
      <c r="AK641" s="1008"/>
      <c r="AL641" s="1008"/>
      <c r="AM641" s="1008"/>
      <c r="AN641" s="1008"/>
      <c r="AO641" s="1008"/>
      <c r="AP641" s="1008"/>
      <c r="AQ641" s="1008"/>
      <c r="AR641" s="1008"/>
      <c r="AS641" s="1008"/>
      <c r="AT641" s="1008"/>
      <c r="AU641" s="1008"/>
      <c r="AV641" s="1008"/>
      <c r="AW641" s="1008"/>
      <c r="AX641" s="1008"/>
      <c r="AY641" s="1008"/>
      <c r="AZ641" s="1008"/>
      <c r="BA641" s="1008"/>
      <c r="BB641" s="1008"/>
      <c r="BC641" s="1008"/>
      <c r="BD641" s="1008"/>
      <c r="BE641" s="1008"/>
      <c r="BF641" s="1008"/>
      <c r="BG641" s="1008"/>
      <c r="BH641" s="1008"/>
      <c r="BI641" s="1008"/>
      <c r="BJ641" s="1008"/>
      <c r="BK641" s="1008"/>
      <c r="BL641" s="1008"/>
      <c r="BM641" s="1008"/>
      <c r="BN641" s="1008"/>
      <c r="BO641" s="1008"/>
      <c r="BP641" s="647"/>
      <c r="BQ641" s="1"/>
      <c r="BR641" s="1"/>
      <c r="BS641" s="1"/>
      <c r="BT641" s="1008"/>
      <c r="BU641" s="1008"/>
      <c r="BV641" s="1008"/>
      <c r="BW641" s="1008"/>
      <c r="BX641" s="1008"/>
      <c r="BY641" s="1008"/>
      <c r="BZ641" s="1008"/>
      <c r="CA641" s="1008"/>
      <c r="CB641" s="1008"/>
      <c r="CC641" s="1008"/>
      <c r="CD641" s="1008"/>
      <c r="CE641" s="1008"/>
      <c r="CF641" s="1008"/>
    </row>
    <row r="642" spans="1:84" ht="14.25" customHeight="1">
      <c r="A642" s="1"/>
      <c r="B642" s="1006"/>
      <c r="C642" s="1007"/>
      <c r="D642" s="1008"/>
      <c r="E642" s="1008"/>
      <c r="F642" s="1008"/>
      <c r="G642" s="1008"/>
      <c r="H642" s="1008"/>
      <c r="I642" s="1008"/>
      <c r="J642" s="1008"/>
      <c r="K642" s="1008"/>
      <c r="L642" s="1008"/>
      <c r="M642" s="1008"/>
      <c r="N642" s="1008"/>
      <c r="O642" s="1008"/>
      <c r="P642" s="1008"/>
      <c r="Q642" s="1008"/>
      <c r="R642" s="1008"/>
      <c r="S642" s="1008"/>
      <c r="T642" s="1008"/>
      <c r="U642" s="1008"/>
      <c r="V642" s="1008"/>
      <c r="W642" s="1008"/>
      <c r="X642" s="1008"/>
      <c r="Y642" s="1008"/>
      <c r="Z642" s="1008"/>
      <c r="AA642" s="1008"/>
      <c r="AB642" s="1008"/>
      <c r="AC642" s="1008"/>
      <c r="AD642" s="1008"/>
      <c r="AE642" s="1008"/>
      <c r="AF642" s="1008"/>
      <c r="AG642" s="1008"/>
      <c r="AH642" s="1008"/>
      <c r="AI642" s="1008"/>
      <c r="AJ642" s="1008"/>
      <c r="AK642" s="1008"/>
      <c r="AL642" s="1008"/>
      <c r="AM642" s="1008"/>
      <c r="AN642" s="1008"/>
      <c r="AO642" s="1008"/>
      <c r="AP642" s="1008"/>
      <c r="AQ642" s="1008"/>
      <c r="AR642" s="1008"/>
      <c r="AS642" s="1008"/>
      <c r="AT642" s="1008"/>
      <c r="AU642" s="1008"/>
      <c r="AV642" s="1008"/>
      <c r="AW642" s="1008"/>
      <c r="AX642" s="1008"/>
      <c r="AY642" s="1008"/>
      <c r="AZ642" s="1008"/>
      <c r="BA642" s="1008"/>
      <c r="BB642" s="1008"/>
      <c r="BC642" s="1008"/>
      <c r="BD642" s="1008"/>
      <c r="BE642" s="1008"/>
      <c r="BF642" s="1008"/>
      <c r="BG642" s="1008"/>
      <c r="BH642" s="1008"/>
      <c r="BI642" s="1008"/>
      <c r="BJ642" s="1008"/>
      <c r="BK642" s="1008"/>
      <c r="BL642" s="1008"/>
      <c r="BM642" s="1008"/>
      <c r="BN642" s="1008"/>
      <c r="BO642" s="1008"/>
      <c r="BP642" s="647"/>
      <c r="BQ642" s="1"/>
      <c r="BR642" s="1"/>
      <c r="BS642" s="1"/>
      <c r="BT642" s="1008"/>
      <c r="BU642" s="1008"/>
      <c r="BV642" s="1008"/>
      <c r="BW642" s="1008"/>
      <c r="BX642" s="1008"/>
      <c r="BY642" s="1008"/>
      <c r="BZ642" s="1008"/>
      <c r="CA642" s="1008"/>
      <c r="CB642" s="1008"/>
      <c r="CC642" s="1008"/>
      <c r="CD642" s="1008"/>
      <c r="CE642" s="1008"/>
      <c r="CF642" s="1008"/>
    </row>
    <row r="643" spans="1:84" ht="14.25" customHeight="1">
      <c r="A643" s="1"/>
      <c r="B643" s="1006"/>
      <c r="C643" s="1007"/>
      <c r="D643" s="1008"/>
      <c r="E643" s="1008"/>
      <c r="F643" s="1008"/>
      <c r="G643" s="1008"/>
      <c r="H643" s="1008"/>
      <c r="I643" s="1008"/>
      <c r="J643" s="1008"/>
      <c r="K643" s="1008"/>
      <c r="L643" s="1008"/>
      <c r="M643" s="1008"/>
      <c r="N643" s="1008"/>
      <c r="O643" s="1008"/>
      <c r="P643" s="1008"/>
      <c r="Q643" s="1008"/>
      <c r="R643" s="1008"/>
      <c r="S643" s="1008"/>
      <c r="T643" s="1008"/>
      <c r="U643" s="1008"/>
      <c r="V643" s="1008"/>
      <c r="W643" s="1008"/>
      <c r="X643" s="1008"/>
      <c r="Y643" s="1008"/>
      <c r="Z643" s="1008"/>
      <c r="AA643" s="1008"/>
      <c r="AB643" s="1008"/>
      <c r="AC643" s="1008"/>
      <c r="AD643" s="1008"/>
      <c r="AE643" s="1008"/>
      <c r="AF643" s="1008"/>
      <c r="AG643" s="1008"/>
      <c r="AH643" s="1008"/>
      <c r="AI643" s="1008"/>
      <c r="AJ643" s="1008"/>
      <c r="AK643" s="1008"/>
      <c r="AL643" s="1008"/>
      <c r="AM643" s="1008"/>
      <c r="AN643" s="1008"/>
      <c r="AO643" s="1008"/>
      <c r="AP643" s="1008"/>
      <c r="AQ643" s="1008"/>
      <c r="AR643" s="1008"/>
      <c r="AS643" s="1008"/>
      <c r="AT643" s="1008"/>
      <c r="AU643" s="1008"/>
      <c r="AV643" s="1008"/>
      <c r="AW643" s="1008"/>
      <c r="AX643" s="1008"/>
      <c r="AY643" s="1008"/>
      <c r="AZ643" s="1008"/>
      <c r="BA643" s="1008"/>
      <c r="BB643" s="1008"/>
      <c r="BC643" s="1008"/>
      <c r="BD643" s="1008"/>
      <c r="BE643" s="1008"/>
      <c r="BF643" s="1008"/>
      <c r="BG643" s="1008"/>
      <c r="BH643" s="1008"/>
      <c r="BI643" s="1008"/>
      <c r="BJ643" s="1008"/>
      <c r="BK643" s="1008"/>
      <c r="BL643" s="1008"/>
      <c r="BM643" s="1008"/>
      <c r="BN643" s="1008"/>
      <c r="BO643" s="1008"/>
      <c r="BP643" s="647"/>
      <c r="BQ643" s="1"/>
      <c r="BR643" s="1"/>
      <c r="BS643" s="1"/>
      <c r="BT643" s="1008"/>
      <c r="BU643" s="1008"/>
      <c r="BV643" s="1008"/>
      <c r="BW643" s="1008"/>
      <c r="BX643" s="1008"/>
      <c r="BY643" s="1008"/>
      <c r="BZ643" s="1008"/>
      <c r="CA643" s="1008"/>
      <c r="CB643" s="1008"/>
      <c r="CC643" s="1008"/>
      <c r="CD643" s="1008"/>
      <c r="CE643" s="1008"/>
      <c r="CF643" s="1008"/>
    </row>
    <row r="644" spans="1:84" ht="14.25" customHeight="1">
      <c r="A644" s="1"/>
      <c r="B644" s="1006"/>
      <c r="C644" s="1007"/>
      <c r="D644" s="1008"/>
      <c r="E644" s="1008"/>
      <c r="F644" s="1008"/>
      <c r="G644" s="1008"/>
      <c r="H644" s="1008"/>
      <c r="I644" s="1008"/>
      <c r="J644" s="1008"/>
      <c r="K644" s="1008"/>
      <c r="L644" s="1008"/>
      <c r="M644" s="1008"/>
      <c r="N644" s="1008"/>
      <c r="O644" s="1008"/>
      <c r="P644" s="1008"/>
      <c r="Q644" s="1008"/>
      <c r="R644" s="1008"/>
      <c r="S644" s="1008"/>
      <c r="T644" s="1008"/>
      <c r="U644" s="1008"/>
      <c r="V644" s="1008"/>
      <c r="W644" s="1008"/>
      <c r="X644" s="1008"/>
      <c r="Y644" s="1008"/>
      <c r="Z644" s="1008"/>
      <c r="AA644" s="1008"/>
      <c r="AB644" s="1008"/>
      <c r="AC644" s="1008"/>
      <c r="AD644" s="1008"/>
      <c r="AE644" s="1008"/>
      <c r="AF644" s="1008"/>
      <c r="AG644" s="1008"/>
      <c r="AH644" s="1008"/>
      <c r="AI644" s="1008"/>
      <c r="AJ644" s="1008"/>
      <c r="AK644" s="1008"/>
      <c r="AL644" s="1008"/>
      <c r="AM644" s="1008"/>
      <c r="AN644" s="1008"/>
      <c r="AO644" s="1008"/>
      <c r="AP644" s="1008"/>
      <c r="AQ644" s="1008"/>
      <c r="AR644" s="1008"/>
      <c r="AS644" s="1008"/>
      <c r="AT644" s="1008"/>
      <c r="AU644" s="1008"/>
      <c r="AV644" s="1008"/>
      <c r="AW644" s="1008"/>
      <c r="AX644" s="1008"/>
      <c r="AY644" s="1008"/>
      <c r="AZ644" s="1008"/>
      <c r="BA644" s="1008"/>
      <c r="BB644" s="1008"/>
      <c r="BC644" s="1008"/>
      <c r="BD644" s="1008"/>
      <c r="BE644" s="1008"/>
      <c r="BF644" s="1008"/>
      <c r="BG644" s="1008"/>
      <c r="BH644" s="1008"/>
      <c r="BI644" s="1008"/>
      <c r="BJ644" s="1008"/>
      <c r="BK644" s="1008"/>
      <c r="BL644" s="1008"/>
      <c r="BM644" s="1008"/>
      <c r="BN644" s="1008"/>
      <c r="BO644" s="1008"/>
      <c r="BP644" s="647"/>
      <c r="BQ644" s="1"/>
      <c r="BR644" s="1"/>
      <c r="BS644" s="1"/>
      <c r="BT644" s="1008"/>
      <c r="BU644" s="1008"/>
      <c r="BV644" s="1008"/>
      <c r="BW644" s="1008"/>
      <c r="BX644" s="1008"/>
      <c r="BY644" s="1008"/>
      <c r="BZ644" s="1008"/>
      <c r="CA644" s="1008"/>
      <c r="CB644" s="1008"/>
      <c r="CC644" s="1008"/>
      <c r="CD644" s="1008"/>
      <c r="CE644" s="1008"/>
      <c r="CF644" s="1008"/>
    </row>
    <row r="645" spans="1:84" ht="14.25" customHeight="1">
      <c r="A645" s="1"/>
      <c r="B645" s="1006"/>
      <c r="C645" s="1007"/>
      <c r="D645" s="1008"/>
      <c r="E645" s="1008"/>
      <c r="F645" s="1008"/>
      <c r="G645" s="1008"/>
      <c r="H645" s="1008"/>
      <c r="I645" s="1008"/>
      <c r="J645" s="1008"/>
      <c r="K645" s="1008"/>
      <c r="L645" s="1008"/>
      <c r="M645" s="1008"/>
      <c r="N645" s="1008"/>
      <c r="O645" s="1008"/>
      <c r="P645" s="1008"/>
      <c r="Q645" s="1008"/>
      <c r="R645" s="1008"/>
      <c r="S645" s="1008"/>
      <c r="T645" s="1008"/>
      <c r="U645" s="1008"/>
      <c r="V645" s="1008"/>
      <c r="W645" s="1008"/>
      <c r="X645" s="1008"/>
      <c r="Y645" s="1008"/>
      <c r="Z645" s="1008"/>
      <c r="AA645" s="1008"/>
      <c r="AB645" s="1008"/>
      <c r="AC645" s="1008"/>
      <c r="AD645" s="1008"/>
      <c r="AE645" s="1008"/>
      <c r="AF645" s="1008"/>
      <c r="AG645" s="1008"/>
      <c r="AH645" s="1008"/>
      <c r="AI645" s="1008"/>
      <c r="AJ645" s="1008"/>
      <c r="AK645" s="1008"/>
      <c r="AL645" s="1008"/>
      <c r="AM645" s="1008"/>
      <c r="AN645" s="1008"/>
      <c r="AO645" s="1008"/>
      <c r="AP645" s="1008"/>
      <c r="AQ645" s="1008"/>
      <c r="AR645" s="1008"/>
      <c r="AS645" s="1008"/>
      <c r="AT645" s="1008"/>
      <c r="AU645" s="1008"/>
      <c r="AV645" s="1008"/>
      <c r="AW645" s="1008"/>
      <c r="AX645" s="1008"/>
      <c r="AY645" s="1008"/>
      <c r="AZ645" s="1008"/>
      <c r="BA645" s="1008"/>
      <c r="BB645" s="1008"/>
      <c r="BC645" s="1008"/>
      <c r="BD645" s="1008"/>
      <c r="BE645" s="1008"/>
      <c r="BF645" s="1008"/>
      <c r="BG645" s="1008"/>
      <c r="BH645" s="1008"/>
      <c r="BI645" s="1008"/>
      <c r="BJ645" s="1008"/>
      <c r="BK645" s="1008"/>
      <c r="BL645" s="1008"/>
      <c r="BM645" s="1008"/>
      <c r="BN645" s="1008"/>
      <c r="BO645" s="1008"/>
      <c r="BP645" s="647"/>
      <c r="BQ645" s="1"/>
      <c r="BR645" s="1"/>
      <c r="BS645" s="1"/>
      <c r="BT645" s="1008"/>
      <c r="BU645" s="1008"/>
      <c r="BV645" s="1008"/>
      <c r="BW645" s="1008"/>
      <c r="BX645" s="1008"/>
      <c r="BY645" s="1008"/>
      <c r="BZ645" s="1008"/>
      <c r="CA645" s="1008"/>
      <c r="CB645" s="1008"/>
      <c r="CC645" s="1008"/>
      <c r="CD645" s="1008"/>
      <c r="CE645" s="1008"/>
      <c r="CF645" s="1008"/>
    </row>
    <row r="646" spans="1:84" ht="14.25" customHeight="1">
      <c r="A646" s="1"/>
      <c r="B646" s="1006"/>
      <c r="C646" s="1007"/>
      <c r="D646" s="1008"/>
      <c r="E646" s="1008"/>
      <c r="F646" s="1008"/>
      <c r="G646" s="1008"/>
      <c r="H646" s="1008"/>
      <c r="I646" s="1008"/>
      <c r="J646" s="1008"/>
      <c r="K646" s="1008"/>
      <c r="L646" s="1008"/>
      <c r="M646" s="1008"/>
      <c r="N646" s="1008"/>
      <c r="O646" s="1008"/>
      <c r="P646" s="1008"/>
      <c r="Q646" s="1008"/>
      <c r="R646" s="1008"/>
      <c r="S646" s="1008"/>
      <c r="T646" s="1008"/>
      <c r="U646" s="1008"/>
      <c r="V646" s="1008"/>
      <c r="W646" s="1008"/>
      <c r="X646" s="1008"/>
      <c r="Y646" s="1008"/>
      <c r="Z646" s="1008"/>
      <c r="AA646" s="1008"/>
      <c r="AB646" s="1008"/>
      <c r="AC646" s="1008"/>
      <c r="AD646" s="1008"/>
      <c r="AE646" s="1008"/>
      <c r="AF646" s="1008"/>
      <c r="AG646" s="1008"/>
      <c r="AH646" s="1008"/>
      <c r="AI646" s="1008"/>
      <c r="AJ646" s="1008"/>
      <c r="AK646" s="1008"/>
      <c r="AL646" s="1008"/>
      <c r="AM646" s="1008"/>
      <c r="AN646" s="1008"/>
      <c r="AO646" s="1008"/>
      <c r="AP646" s="1008"/>
      <c r="AQ646" s="1008"/>
      <c r="AR646" s="1008"/>
      <c r="AS646" s="1008"/>
      <c r="AT646" s="1008"/>
      <c r="AU646" s="1008"/>
      <c r="AV646" s="1008"/>
      <c r="AW646" s="1008"/>
      <c r="AX646" s="1008"/>
      <c r="AY646" s="1008"/>
      <c r="AZ646" s="1008"/>
      <c r="BA646" s="1008"/>
      <c r="BB646" s="1008"/>
      <c r="BC646" s="1008"/>
      <c r="BD646" s="1008"/>
      <c r="BE646" s="1008"/>
      <c r="BF646" s="1008"/>
      <c r="BG646" s="1008"/>
      <c r="BH646" s="1008"/>
      <c r="BI646" s="1008"/>
      <c r="BJ646" s="1008"/>
      <c r="BK646" s="1008"/>
      <c r="BL646" s="1008"/>
      <c r="BM646" s="1008"/>
      <c r="BN646" s="1008"/>
      <c r="BO646" s="1008"/>
      <c r="BP646" s="647"/>
      <c r="BQ646" s="1"/>
      <c r="BR646" s="1"/>
      <c r="BS646" s="1"/>
      <c r="BT646" s="1008"/>
      <c r="BU646" s="1008"/>
      <c r="BV646" s="1008"/>
      <c r="BW646" s="1008"/>
      <c r="BX646" s="1008"/>
      <c r="BY646" s="1008"/>
      <c r="BZ646" s="1008"/>
      <c r="CA646" s="1008"/>
      <c r="CB646" s="1008"/>
      <c r="CC646" s="1008"/>
      <c r="CD646" s="1008"/>
      <c r="CE646" s="1008"/>
      <c r="CF646" s="1008"/>
    </row>
    <row r="647" spans="1:84" ht="14.25" customHeight="1">
      <c r="A647" s="1"/>
      <c r="B647" s="1006"/>
      <c r="C647" s="1007"/>
      <c r="D647" s="1008"/>
      <c r="E647" s="1008"/>
      <c r="F647" s="1008"/>
      <c r="G647" s="1008"/>
      <c r="H647" s="1008"/>
      <c r="I647" s="1008"/>
      <c r="J647" s="1008"/>
      <c r="K647" s="1008"/>
      <c r="L647" s="1008"/>
      <c r="M647" s="1008"/>
      <c r="N647" s="1008"/>
      <c r="O647" s="1008"/>
      <c r="P647" s="1008"/>
      <c r="Q647" s="1008"/>
      <c r="R647" s="1008"/>
      <c r="S647" s="1008"/>
      <c r="T647" s="1008"/>
      <c r="U647" s="1008"/>
      <c r="V647" s="1008"/>
      <c r="W647" s="1008"/>
      <c r="X647" s="1008"/>
      <c r="Y647" s="1008"/>
      <c r="Z647" s="1008"/>
      <c r="AA647" s="1008"/>
      <c r="AB647" s="1008"/>
      <c r="AC647" s="1008"/>
      <c r="AD647" s="1008"/>
      <c r="AE647" s="1008"/>
      <c r="AF647" s="1008"/>
      <c r="AG647" s="1008"/>
      <c r="AH647" s="1008"/>
      <c r="AI647" s="1008"/>
      <c r="AJ647" s="1008"/>
      <c r="AK647" s="1008"/>
      <c r="AL647" s="1008"/>
      <c r="AM647" s="1008"/>
      <c r="AN647" s="1008"/>
      <c r="AO647" s="1008"/>
      <c r="AP647" s="1008"/>
      <c r="AQ647" s="1008"/>
      <c r="AR647" s="1008"/>
      <c r="AS647" s="1008"/>
      <c r="AT647" s="1008"/>
      <c r="AU647" s="1008"/>
      <c r="AV647" s="1008"/>
      <c r="AW647" s="1008"/>
      <c r="AX647" s="1008"/>
      <c r="AY647" s="1008"/>
      <c r="AZ647" s="1008"/>
      <c r="BA647" s="1008"/>
      <c r="BB647" s="1008"/>
      <c r="BC647" s="1008"/>
      <c r="BD647" s="1008"/>
      <c r="BE647" s="1008"/>
      <c r="BF647" s="1008"/>
      <c r="BG647" s="1008"/>
      <c r="BH647" s="1008"/>
      <c r="BI647" s="1008"/>
      <c r="BJ647" s="1008"/>
      <c r="BK647" s="1008"/>
      <c r="BL647" s="1008"/>
      <c r="BM647" s="1008"/>
      <c r="BN647" s="1008"/>
      <c r="BO647" s="1008"/>
      <c r="BP647" s="647"/>
      <c r="BQ647" s="1"/>
      <c r="BR647" s="1"/>
      <c r="BS647" s="1"/>
      <c r="BT647" s="1008"/>
      <c r="BU647" s="1008"/>
      <c r="BV647" s="1008"/>
      <c r="BW647" s="1008"/>
      <c r="BX647" s="1008"/>
      <c r="BY647" s="1008"/>
      <c r="BZ647" s="1008"/>
      <c r="CA647" s="1008"/>
      <c r="CB647" s="1008"/>
      <c r="CC647" s="1008"/>
      <c r="CD647" s="1008"/>
      <c r="CE647" s="1008"/>
      <c r="CF647" s="1008"/>
    </row>
    <row r="648" spans="1:84" ht="14.25" customHeight="1">
      <c r="A648" s="1"/>
      <c r="B648" s="1006"/>
      <c r="C648" s="1007"/>
      <c r="D648" s="1008"/>
      <c r="E648" s="1008"/>
      <c r="F648" s="1008"/>
      <c r="G648" s="1008"/>
      <c r="H648" s="1008"/>
      <c r="I648" s="1008"/>
      <c r="J648" s="1008"/>
      <c r="K648" s="1008"/>
      <c r="L648" s="1008"/>
      <c r="M648" s="1008"/>
      <c r="N648" s="1008"/>
      <c r="O648" s="1008"/>
      <c r="P648" s="1008"/>
      <c r="Q648" s="1008"/>
      <c r="R648" s="1008"/>
      <c r="S648" s="1008"/>
      <c r="T648" s="1008"/>
      <c r="U648" s="1008"/>
      <c r="V648" s="1008"/>
      <c r="W648" s="1008"/>
      <c r="X648" s="1008"/>
      <c r="Y648" s="1008"/>
      <c r="Z648" s="1008"/>
      <c r="AA648" s="1008"/>
      <c r="AB648" s="1008"/>
      <c r="AC648" s="1008"/>
      <c r="AD648" s="1008"/>
      <c r="AE648" s="1008"/>
      <c r="AF648" s="1008"/>
      <c r="AG648" s="1008"/>
      <c r="AH648" s="1008"/>
      <c r="AI648" s="1008"/>
      <c r="AJ648" s="1008"/>
      <c r="AK648" s="1008"/>
      <c r="AL648" s="1008"/>
      <c r="AM648" s="1008"/>
      <c r="AN648" s="1008"/>
      <c r="AO648" s="1008"/>
      <c r="AP648" s="1008"/>
      <c r="AQ648" s="1008"/>
      <c r="AR648" s="1008"/>
      <c r="AS648" s="1008"/>
      <c r="AT648" s="1008"/>
      <c r="AU648" s="1008"/>
      <c r="AV648" s="1008"/>
      <c r="AW648" s="1008"/>
      <c r="AX648" s="1008"/>
      <c r="AY648" s="1008"/>
      <c r="AZ648" s="1008"/>
      <c r="BA648" s="1008"/>
      <c r="BB648" s="1008"/>
      <c r="BC648" s="1008"/>
      <c r="BD648" s="1008"/>
      <c r="BE648" s="1008"/>
      <c r="BF648" s="1008"/>
      <c r="BG648" s="1008"/>
      <c r="BH648" s="1008"/>
      <c r="BI648" s="1008"/>
      <c r="BJ648" s="1008"/>
      <c r="BK648" s="1008"/>
      <c r="BL648" s="1008"/>
      <c r="BM648" s="1008"/>
      <c r="BN648" s="1008"/>
      <c r="BO648" s="1008"/>
      <c r="BP648" s="647"/>
      <c r="BQ648" s="1"/>
      <c r="BR648" s="1"/>
      <c r="BS648" s="1"/>
      <c r="BT648" s="1008"/>
      <c r="BU648" s="1008"/>
      <c r="BV648" s="1008"/>
      <c r="BW648" s="1008"/>
      <c r="BX648" s="1008"/>
      <c r="BY648" s="1008"/>
      <c r="BZ648" s="1008"/>
      <c r="CA648" s="1008"/>
      <c r="CB648" s="1008"/>
      <c r="CC648" s="1008"/>
      <c r="CD648" s="1008"/>
      <c r="CE648" s="1008"/>
      <c r="CF648" s="1008"/>
    </row>
    <row r="649" spans="1:84" ht="14.25" customHeight="1">
      <c r="A649" s="1"/>
      <c r="B649" s="1006"/>
      <c r="C649" s="1007"/>
      <c r="D649" s="1008"/>
      <c r="E649" s="1008"/>
      <c r="F649" s="1008"/>
      <c r="G649" s="1008"/>
      <c r="H649" s="1008"/>
      <c r="I649" s="1008"/>
      <c r="J649" s="1008"/>
      <c r="K649" s="1008"/>
      <c r="L649" s="1008"/>
      <c r="M649" s="1008"/>
      <c r="N649" s="1008"/>
      <c r="O649" s="1008"/>
      <c r="P649" s="1008"/>
      <c r="Q649" s="1008"/>
      <c r="R649" s="1008"/>
      <c r="S649" s="1008"/>
      <c r="T649" s="1008"/>
      <c r="U649" s="1008"/>
      <c r="V649" s="1008"/>
      <c r="W649" s="1008"/>
      <c r="X649" s="1008"/>
      <c r="Y649" s="1008"/>
      <c r="Z649" s="1008"/>
      <c r="AA649" s="1008"/>
      <c r="AB649" s="1008"/>
      <c r="AC649" s="1008"/>
      <c r="AD649" s="1008"/>
      <c r="AE649" s="1008"/>
      <c r="AF649" s="1008"/>
      <c r="AG649" s="1008"/>
      <c r="AH649" s="1008"/>
      <c r="AI649" s="1008"/>
      <c r="AJ649" s="1008"/>
      <c r="AK649" s="1008"/>
      <c r="AL649" s="1008"/>
      <c r="AM649" s="1008"/>
      <c r="AN649" s="1008"/>
      <c r="AO649" s="1008"/>
      <c r="AP649" s="1008"/>
      <c r="AQ649" s="1008"/>
      <c r="AR649" s="1008"/>
      <c r="AS649" s="1008"/>
      <c r="AT649" s="1008"/>
      <c r="AU649" s="1008"/>
      <c r="AV649" s="1008"/>
      <c r="AW649" s="1008"/>
      <c r="AX649" s="1008"/>
      <c r="AY649" s="1008"/>
      <c r="AZ649" s="1008"/>
      <c r="BA649" s="1008"/>
      <c r="BB649" s="1008"/>
      <c r="BC649" s="1008"/>
      <c r="BD649" s="1008"/>
      <c r="BE649" s="1008"/>
      <c r="BF649" s="1008"/>
      <c r="BG649" s="1008"/>
      <c r="BH649" s="1008"/>
      <c r="BI649" s="1008"/>
      <c r="BJ649" s="1008"/>
      <c r="BK649" s="1008"/>
      <c r="BL649" s="1008"/>
      <c r="BM649" s="1008"/>
      <c r="BN649" s="1008"/>
      <c r="BO649" s="1008"/>
      <c r="BP649" s="647"/>
      <c r="BQ649" s="1"/>
      <c r="BR649" s="1"/>
      <c r="BS649" s="1"/>
      <c r="BT649" s="1008"/>
      <c r="BU649" s="1008"/>
      <c r="BV649" s="1008"/>
      <c r="BW649" s="1008"/>
      <c r="BX649" s="1008"/>
      <c r="BY649" s="1008"/>
      <c r="BZ649" s="1008"/>
      <c r="CA649" s="1008"/>
      <c r="CB649" s="1008"/>
      <c r="CC649" s="1008"/>
      <c r="CD649" s="1008"/>
      <c r="CE649" s="1008"/>
      <c r="CF649" s="1008"/>
    </row>
    <row r="650" spans="1:84" ht="14.25" customHeight="1">
      <c r="A650" s="1"/>
      <c r="B650" s="1006"/>
      <c r="C650" s="1007"/>
      <c r="D650" s="1008"/>
      <c r="E650" s="1008"/>
      <c r="F650" s="1008"/>
      <c r="G650" s="1008"/>
      <c r="H650" s="1008"/>
      <c r="I650" s="1008"/>
      <c r="J650" s="1008"/>
      <c r="K650" s="1008"/>
      <c r="L650" s="1008"/>
      <c r="M650" s="1008"/>
      <c r="N650" s="1008"/>
      <c r="O650" s="1008"/>
      <c r="P650" s="1008"/>
      <c r="Q650" s="1008"/>
      <c r="R650" s="1008"/>
      <c r="S650" s="1008"/>
      <c r="T650" s="1008"/>
      <c r="U650" s="1008"/>
      <c r="V650" s="1008"/>
      <c r="W650" s="1008"/>
      <c r="X650" s="1008"/>
      <c r="Y650" s="1008"/>
      <c r="Z650" s="1008"/>
      <c r="AA650" s="1008"/>
      <c r="AB650" s="1008"/>
      <c r="AC650" s="1008"/>
      <c r="AD650" s="1008"/>
      <c r="AE650" s="1008"/>
      <c r="AF650" s="1008"/>
      <c r="AG650" s="1008"/>
      <c r="AH650" s="1008"/>
      <c r="AI650" s="1008"/>
      <c r="AJ650" s="1008"/>
      <c r="AK650" s="1008"/>
      <c r="AL650" s="1008"/>
      <c r="AM650" s="1008"/>
      <c r="AN650" s="1008"/>
      <c r="AO650" s="1008"/>
      <c r="AP650" s="1008"/>
      <c r="AQ650" s="1008"/>
      <c r="AR650" s="1008"/>
      <c r="AS650" s="1008"/>
      <c r="AT650" s="1008"/>
      <c r="AU650" s="1008"/>
      <c r="AV650" s="1008"/>
      <c r="AW650" s="1008"/>
      <c r="AX650" s="1008"/>
      <c r="AY650" s="1008"/>
      <c r="AZ650" s="1008"/>
      <c r="BA650" s="1008"/>
      <c r="BB650" s="1008"/>
      <c r="BC650" s="1008"/>
      <c r="BD650" s="1008"/>
      <c r="BE650" s="1008"/>
      <c r="BF650" s="1008"/>
      <c r="BG650" s="1008"/>
      <c r="BH650" s="1008"/>
      <c r="BI650" s="1008"/>
      <c r="BJ650" s="1008"/>
      <c r="BK650" s="1008"/>
      <c r="BL650" s="1008"/>
      <c r="BM650" s="1008"/>
      <c r="BN650" s="1008"/>
      <c r="BO650" s="1008"/>
      <c r="BP650" s="647"/>
      <c r="BQ650" s="1"/>
      <c r="BR650" s="1"/>
      <c r="BS650" s="1"/>
      <c r="BT650" s="1008"/>
      <c r="BU650" s="1008"/>
      <c r="BV650" s="1008"/>
      <c r="BW650" s="1008"/>
      <c r="BX650" s="1008"/>
      <c r="BY650" s="1008"/>
      <c r="BZ650" s="1008"/>
      <c r="CA650" s="1008"/>
      <c r="CB650" s="1008"/>
      <c r="CC650" s="1008"/>
      <c r="CD650" s="1008"/>
      <c r="CE650" s="1008"/>
      <c r="CF650" s="1008"/>
    </row>
    <row r="651" spans="1:84" ht="14.25" customHeight="1">
      <c r="A651" s="1"/>
      <c r="B651" s="1006"/>
      <c r="C651" s="1007"/>
      <c r="D651" s="1008"/>
      <c r="E651" s="1008"/>
      <c r="F651" s="1008"/>
      <c r="G651" s="1008"/>
      <c r="H651" s="1008"/>
      <c r="I651" s="1008"/>
      <c r="J651" s="1008"/>
      <c r="K651" s="1008"/>
      <c r="L651" s="1008"/>
      <c r="M651" s="1008"/>
      <c r="N651" s="1008"/>
      <c r="O651" s="1008"/>
      <c r="P651" s="1008"/>
      <c r="Q651" s="1008"/>
      <c r="R651" s="1008"/>
      <c r="S651" s="1008"/>
      <c r="T651" s="1008"/>
      <c r="U651" s="1008"/>
      <c r="V651" s="1008"/>
      <c r="W651" s="1008"/>
      <c r="X651" s="1008"/>
      <c r="Y651" s="1008"/>
      <c r="Z651" s="1008"/>
      <c r="AA651" s="1008"/>
      <c r="AB651" s="1008"/>
      <c r="AC651" s="1008"/>
      <c r="AD651" s="1008"/>
      <c r="AE651" s="1008"/>
      <c r="AF651" s="1008"/>
      <c r="AG651" s="1008"/>
      <c r="AH651" s="1008"/>
      <c r="AI651" s="1008"/>
      <c r="AJ651" s="1008"/>
      <c r="AK651" s="1008"/>
      <c r="AL651" s="1008"/>
      <c r="AM651" s="1008"/>
      <c r="AN651" s="1008"/>
      <c r="AO651" s="1008"/>
      <c r="AP651" s="1008"/>
      <c r="AQ651" s="1008"/>
      <c r="AR651" s="1008"/>
      <c r="AS651" s="1008"/>
      <c r="AT651" s="1008"/>
      <c r="AU651" s="1008"/>
      <c r="AV651" s="1008"/>
      <c r="AW651" s="1008"/>
      <c r="AX651" s="1008"/>
      <c r="AY651" s="1008"/>
      <c r="AZ651" s="1008"/>
      <c r="BA651" s="1008"/>
      <c r="BB651" s="1008"/>
      <c r="BC651" s="1008"/>
      <c r="BD651" s="1008"/>
      <c r="BE651" s="1008"/>
      <c r="BF651" s="1008"/>
      <c r="BG651" s="1008"/>
      <c r="BH651" s="1008"/>
      <c r="BI651" s="1008"/>
      <c r="BJ651" s="1008"/>
      <c r="BK651" s="1008"/>
      <c r="BL651" s="1008"/>
      <c r="BM651" s="1008"/>
      <c r="BN651" s="1008"/>
      <c r="BO651" s="1008"/>
      <c r="BP651" s="647"/>
      <c r="BQ651" s="1"/>
      <c r="BR651" s="1"/>
      <c r="BS651" s="1"/>
      <c r="BT651" s="1008"/>
      <c r="BU651" s="1008"/>
      <c r="BV651" s="1008"/>
      <c r="BW651" s="1008"/>
      <c r="BX651" s="1008"/>
      <c r="BY651" s="1008"/>
      <c r="BZ651" s="1008"/>
      <c r="CA651" s="1008"/>
      <c r="CB651" s="1008"/>
      <c r="CC651" s="1008"/>
      <c r="CD651" s="1008"/>
      <c r="CE651" s="1008"/>
      <c r="CF651" s="1008"/>
    </row>
    <row r="652" spans="1:84" ht="14.25" customHeight="1">
      <c r="A652" s="1"/>
      <c r="B652" s="1006"/>
      <c r="C652" s="1007"/>
      <c r="D652" s="1008"/>
      <c r="E652" s="1008"/>
      <c r="F652" s="1008"/>
      <c r="G652" s="1008"/>
      <c r="H652" s="1008"/>
      <c r="I652" s="1008"/>
      <c r="J652" s="1008"/>
      <c r="K652" s="1008"/>
      <c r="L652" s="1008"/>
      <c r="M652" s="1008"/>
      <c r="N652" s="1008"/>
      <c r="O652" s="1008"/>
      <c r="P652" s="1008"/>
      <c r="Q652" s="1008"/>
      <c r="R652" s="1008"/>
      <c r="S652" s="1008"/>
      <c r="T652" s="1008"/>
      <c r="U652" s="1008"/>
      <c r="V652" s="1008"/>
      <c r="W652" s="1008"/>
      <c r="X652" s="1008"/>
      <c r="Y652" s="1008"/>
      <c r="Z652" s="1008"/>
      <c r="AA652" s="1008"/>
      <c r="AB652" s="1008"/>
      <c r="AC652" s="1008"/>
      <c r="AD652" s="1008"/>
      <c r="AE652" s="1008"/>
      <c r="AF652" s="1008"/>
      <c r="AG652" s="1008"/>
      <c r="AH652" s="1008"/>
      <c r="AI652" s="1008"/>
      <c r="AJ652" s="1008"/>
      <c r="AK652" s="1008"/>
      <c r="AL652" s="1008"/>
      <c r="AM652" s="1008"/>
      <c r="AN652" s="1008"/>
      <c r="AO652" s="1008"/>
      <c r="AP652" s="1008"/>
      <c r="AQ652" s="1008"/>
      <c r="AR652" s="1008"/>
      <c r="AS652" s="1008"/>
      <c r="AT652" s="1008"/>
      <c r="AU652" s="1008"/>
      <c r="AV652" s="1008"/>
      <c r="AW652" s="1008"/>
      <c r="AX652" s="1008"/>
      <c r="AY652" s="1008"/>
      <c r="AZ652" s="1008"/>
      <c r="BA652" s="1008"/>
      <c r="BB652" s="1008"/>
      <c r="BC652" s="1008"/>
      <c r="BD652" s="1008"/>
      <c r="BE652" s="1008"/>
      <c r="BF652" s="1008"/>
      <c r="BG652" s="1008"/>
      <c r="BH652" s="1008"/>
      <c r="BI652" s="1008"/>
      <c r="BJ652" s="1008"/>
      <c r="BK652" s="1008"/>
      <c r="BL652" s="1008"/>
      <c r="BM652" s="1008"/>
      <c r="BN652" s="1008"/>
      <c r="BO652" s="1008"/>
      <c r="BP652" s="647"/>
      <c r="BQ652" s="1"/>
      <c r="BR652" s="1"/>
      <c r="BS652" s="1"/>
      <c r="BT652" s="1008"/>
      <c r="BU652" s="1008"/>
      <c r="BV652" s="1008"/>
      <c r="BW652" s="1008"/>
      <c r="BX652" s="1008"/>
      <c r="BY652" s="1008"/>
      <c r="BZ652" s="1008"/>
      <c r="CA652" s="1008"/>
      <c r="CB652" s="1008"/>
      <c r="CC652" s="1008"/>
      <c r="CD652" s="1008"/>
      <c r="CE652" s="1008"/>
      <c r="CF652" s="1008"/>
    </row>
    <row r="653" spans="1:84" ht="14.25" customHeight="1">
      <c r="A653" s="1"/>
      <c r="B653" s="1006"/>
      <c r="C653" s="1007"/>
      <c r="D653" s="1008"/>
      <c r="E653" s="1008"/>
      <c r="F653" s="1008"/>
      <c r="G653" s="1008"/>
      <c r="H653" s="1008"/>
      <c r="I653" s="1008"/>
      <c r="J653" s="1008"/>
      <c r="K653" s="1008"/>
      <c r="L653" s="1008"/>
      <c r="M653" s="1008"/>
      <c r="N653" s="1008"/>
      <c r="O653" s="1008"/>
      <c r="P653" s="1008"/>
      <c r="Q653" s="1008"/>
      <c r="R653" s="1008"/>
      <c r="S653" s="1008"/>
      <c r="T653" s="1008"/>
      <c r="U653" s="1008"/>
      <c r="V653" s="1008"/>
      <c r="W653" s="1008"/>
      <c r="X653" s="1008"/>
      <c r="Y653" s="1008"/>
      <c r="Z653" s="1008"/>
      <c r="AA653" s="1008"/>
      <c r="AB653" s="1008"/>
      <c r="AC653" s="1008"/>
      <c r="AD653" s="1008"/>
      <c r="AE653" s="1008"/>
      <c r="AF653" s="1008"/>
      <c r="AG653" s="1008"/>
      <c r="AH653" s="1008"/>
      <c r="AI653" s="1008"/>
      <c r="AJ653" s="1008"/>
      <c r="AK653" s="1008"/>
      <c r="AL653" s="1008"/>
      <c r="AM653" s="1008"/>
      <c r="AN653" s="1008"/>
      <c r="AO653" s="1008"/>
      <c r="AP653" s="1008"/>
      <c r="AQ653" s="1008"/>
      <c r="AR653" s="1008"/>
      <c r="AS653" s="1008"/>
      <c r="AT653" s="1008"/>
      <c r="AU653" s="1008"/>
      <c r="AV653" s="1008"/>
      <c r="AW653" s="1008"/>
      <c r="AX653" s="1008"/>
      <c r="AY653" s="1008"/>
      <c r="AZ653" s="1008"/>
      <c r="BA653" s="1008"/>
      <c r="BB653" s="1008"/>
      <c r="BC653" s="1008"/>
      <c r="BD653" s="1008"/>
      <c r="BE653" s="1008"/>
      <c r="BF653" s="1008"/>
      <c r="BG653" s="1008"/>
      <c r="BH653" s="1008"/>
      <c r="BI653" s="1008"/>
      <c r="BJ653" s="1008"/>
      <c r="BK653" s="1008"/>
      <c r="BL653" s="1008"/>
      <c r="BM653" s="1008"/>
      <c r="BN653" s="1008"/>
      <c r="BO653" s="1008"/>
      <c r="BP653" s="647"/>
      <c r="BQ653" s="1"/>
      <c r="BR653" s="1"/>
      <c r="BS653" s="1"/>
      <c r="BT653" s="1008"/>
      <c r="BU653" s="1008"/>
      <c r="BV653" s="1008"/>
      <c r="BW653" s="1008"/>
      <c r="BX653" s="1008"/>
      <c r="BY653" s="1008"/>
      <c r="BZ653" s="1008"/>
      <c r="CA653" s="1008"/>
      <c r="CB653" s="1008"/>
      <c r="CC653" s="1008"/>
      <c r="CD653" s="1008"/>
      <c r="CE653" s="1008"/>
      <c r="CF653" s="1008"/>
    </row>
    <row r="654" spans="1:84" ht="14.25" customHeight="1">
      <c r="A654" s="1"/>
      <c r="B654" s="1006"/>
      <c r="C654" s="1007"/>
      <c r="D654" s="1008"/>
      <c r="E654" s="1008"/>
      <c r="F654" s="1008"/>
      <c r="G654" s="1008"/>
      <c r="H654" s="1008"/>
      <c r="I654" s="1008"/>
      <c r="J654" s="1008"/>
      <c r="K654" s="1008"/>
      <c r="L654" s="1008"/>
      <c r="M654" s="1008"/>
      <c r="N654" s="1008"/>
      <c r="O654" s="1008"/>
      <c r="P654" s="1008"/>
      <c r="Q654" s="1008"/>
      <c r="R654" s="1008"/>
      <c r="S654" s="1008"/>
      <c r="T654" s="1008"/>
      <c r="U654" s="1008"/>
      <c r="V654" s="1008"/>
      <c r="W654" s="1008"/>
      <c r="X654" s="1008"/>
      <c r="Y654" s="1008"/>
      <c r="Z654" s="1008"/>
      <c r="AA654" s="1008"/>
      <c r="AB654" s="1008"/>
      <c r="AC654" s="1008"/>
      <c r="AD654" s="1008"/>
      <c r="AE654" s="1008"/>
      <c r="AF654" s="1008"/>
      <c r="AG654" s="1008"/>
      <c r="AH654" s="1008"/>
      <c r="AI654" s="1008"/>
      <c r="AJ654" s="1008"/>
      <c r="AK654" s="1008"/>
      <c r="AL654" s="1008"/>
      <c r="AM654" s="1008"/>
      <c r="AN654" s="1008"/>
      <c r="AO654" s="1008"/>
      <c r="AP654" s="1008"/>
      <c r="AQ654" s="1008"/>
      <c r="AR654" s="1008"/>
      <c r="AS654" s="1008"/>
      <c r="AT654" s="1008"/>
      <c r="AU654" s="1008"/>
      <c r="AV654" s="1008"/>
      <c r="AW654" s="1008"/>
      <c r="AX654" s="1008"/>
      <c r="AY654" s="1008"/>
      <c r="AZ654" s="1008"/>
      <c r="BA654" s="1008"/>
      <c r="BB654" s="1008"/>
      <c r="BC654" s="1008"/>
      <c r="BD654" s="1008"/>
      <c r="BE654" s="1008"/>
      <c r="BF654" s="1008"/>
      <c r="BG654" s="1008"/>
      <c r="BH654" s="1008"/>
      <c r="BI654" s="1008"/>
      <c r="BJ654" s="1008"/>
      <c r="BK654" s="1008"/>
      <c r="BL654" s="1008"/>
      <c r="BM654" s="1008"/>
      <c r="BN654" s="1008"/>
      <c r="BO654" s="1008"/>
      <c r="BP654" s="647"/>
      <c r="BQ654" s="1"/>
      <c r="BR654" s="1"/>
      <c r="BS654" s="1"/>
      <c r="BT654" s="1008"/>
      <c r="BU654" s="1008"/>
      <c r="BV654" s="1008"/>
      <c r="BW654" s="1008"/>
      <c r="BX654" s="1008"/>
      <c r="BY654" s="1008"/>
      <c r="BZ654" s="1008"/>
      <c r="CA654" s="1008"/>
      <c r="CB654" s="1008"/>
      <c r="CC654" s="1008"/>
      <c r="CD654" s="1008"/>
      <c r="CE654" s="1008"/>
      <c r="CF654" s="1008"/>
    </row>
    <row r="655" spans="1:84" ht="14.25" customHeight="1">
      <c r="A655" s="1"/>
      <c r="B655" s="1006"/>
      <c r="C655" s="1007"/>
      <c r="D655" s="1008"/>
      <c r="E655" s="1008"/>
      <c r="F655" s="1008"/>
      <c r="G655" s="1008"/>
      <c r="H655" s="1008"/>
      <c r="I655" s="1008"/>
      <c r="J655" s="1008"/>
      <c r="K655" s="1008"/>
      <c r="L655" s="1008"/>
      <c r="M655" s="1008"/>
      <c r="N655" s="1008"/>
      <c r="O655" s="1008"/>
      <c r="P655" s="1008"/>
      <c r="Q655" s="1008"/>
      <c r="R655" s="1008"/>
      <c r="S655" s="1008"/>
      <c r="T655" s="1008"/>
      <c r="U655" s="1008"/>
      <c r="V655" s="1008"/>
      <c r="W655" s="1008"/>
      <c r="X655" s="1008"/>
      <c r="Y655" s="1008"/>
      <c r="Z655" s="1008"/>
      <c r="AA655" s="1008"/>
      <c r="AB655" s="1008"/>
      <c r="AC655" s="1008"/>
      <c r="AD655" s="1008"/>
      <c r="AE655" s="1008"/>
      <c r="AF655" s="1008"/>
      <c r="AG655" s="1008"/>
      <c r="AH655" s="1008"/>
      <c r="AI655" s="1008"/>
      <c r="AJ655" s="1008"/>
      <c r="AK655" s="1008"/>
      <c r="AL655" s="1008"/>
      <c r="AM655" s="1008"/>
      <c r="AN655" s="1008"/>
      <c r="AO655" s="1008"/>
      <c r="AP655" s="1008"/>
      <c r="AQ655" s="1008"/>
      <c r="AR655" s="1008"/>
      <c r="AS655" s="1008"/>
      <c r="AT655" s="1008"/>
      <c r="AU655" s="1008"/>
      <c r="AV655" s="1008"/>
      <c r="AW655" s="1008"/>
      <c r="AX655" s="1008"/>
      <c r="AY655" s="1008"/>
      <c r="AZ655" s="1008"/>
      <c r="BA655" s="1008"/>
      <c r="BB655" s="1008"/>
      <c r="BC655" s="1008"/>
      <c r="BD655" s="1008"/>
      <c r="BE655" s="1008"/>
      <c r="BF655" s="1008"/>
      <c r="BG655" s="1008"/>
      <c r="BH655" s="1008"/>
      <c r="BI655" s="1008"/>
      <c r="BJ655" s="1008"/>
      <c r="BK655" s="1008"/>
      <c r="BL655" s="1008"/>
      <c r="BM655" s="1008"/>
      <c r="BN655" s="1008"/>
      <c r="BO655" s="1008"/>
      <c r="BP655" s="647"/>
      <c r="BQ655" s="1"/>
      <c r="BR655" s="1"/>
      <c r="BS655" s="1"/>
      <c r="BT655" s="1008"/>
      <c r="BU655" s="1008"/>
      <c r="BV655" s="1008"/>
      <c r="BW655" s="1008"/>
      <c r="BX655" s="1008"/>
      <c r="BY655" s="1008"/>
      <c r="BZ655" s="1008"/>
      <c r="CA655" s="1008"/>
      <c r="CB655" s="1008"/>
      <c r="CC655" s="1008"/>
      <c r="CD655" s="1008"/>
      <c r="CE655" s="1008"/>
      <c r="CF655" s="1008"/>
    </row>
    <row r="656" spans="1:84" ht="14.25" customHeight="1">
      <c r="A656" s="1"/>
      <c r="B656" s="1006"/>
      <c r="C656" s="1007"/>
      <c r="D656" s="1008"/>
      <c r="E656" s="1008"/>
      <c r="F656" s="1008"/>
      <c r="G656" s="1008"/>
      <c r="H656" s="1008"/>
      <c r="I656" s="1008"/>
      <c r="J656" s="1008"/>
      <c r="K656" s="1008"/>
      <c r="L656" s="1008"/>
      <c r="M656" s="1008"/>
      <c r="N656" s="1008"/>
      <c r="O656" s="1008"/>
      <c r="P656" s="1008"/>
      <c r="Q656" s="1008"/>
      <c r="R656" s="1008"/>
      <c r="S656" s="1008"/>
      <c r="T656" s="1008"/>
      <c r="U656" s="1008"/>
      <c r="V656" s="1008"/>
      <c r="W656" s="1008"/>
      <c r="X656" s="1008"/>
      <c r="Y656" s="1008"/>
      <c r="Z656" s="1008"/>
      <c r="AA656" s="1008"/>
      <c r="AB656" s="1008"/>
      <c r="AC656" s="1008"/>
      <c r="AD656" s="1008"/>
      <c r="AE656" s="1008"/>
      <c r="AF656" s="1008"/>
      <c r="AG656" s="1008"/>
      <c r="AH656" s="1008"/>
      <c r="AI656" s="1008"/>
      <c r="AJ656" s="1008"/>
      <c r="AK656" s="1008"/>
      <c r="AL656" s="1008"/>
      <c r="AM656" s="1008"/>
      <c r="AN656" s="1008"/>
      <c r="AO656" s="1008"/>
      <c r="AP656" s="1008"/>
      <c r="AQ656" s="1008"/>
      <c r="AR656" s="1008"/>
      <c r="AS656" s="1008"/>
      <c r="AT656" s="1008"/>
      <c r="AU656" s="1008"/>
      <c r="AV656" s="1008"/>
      <c r="AW656" s="1008"/>
      <c r="AX656" s="1008"/>
      <c r="AY656" s="1008"/>
      <c r="AZ656" s="1008"/>
      <c r="BA656" s="1008"/>
      <c r="BB656" s="1008"/>
      <c r="BC656" s="1008"/>
      <c r="BD656" s="1008"/>
      <c r="BE656" s="1008"/>
      <c r="BF656" s="1008"/>
      <c r="BG656" s="1008"/>
      <c r="BH656" s="1008"/>
      <c r="BI656" s="1008"/>
      <c r="BJ656" s="1008"/>
      <c r="BK656" s="1008"/>
      <c r="BL656" s="1008"/>
      <c r="BM656" s="1008"/>
      <c r="BN656" s="1008"/>
      <c r="BO656" s="1008"/>
      <c r="BP656" s="647"/>
      <c r="BQ656" s="1"/>
      <c r="BR656" s="1"/>
      <c r="BS656" s="1"/>
      <c r="BT656" s="1008"/>
      <c r="BU656" s="1008"/>
      <c r="BV656" s="1008"/>
      <c r="BW656" s="1008"/>
      <c r="BX656" s="1008"/>
      <c r="BY656" s="1008"/>
      <c r="BZ656" s="1008"/>
      <c r="CA656" s="1008"/>
      <c r="CB656" s="1008"/>
      <c r="CC656" s="1008"/>
      <c r="CD656" s="1008"/>
      <c r="CE656" s="1008"/>
      <c r="CF656" s="1008"/>
    </row>
    <row r="657" spans="1:84" ht="14.25" customHeight="1">
      <c r="A657" s="1"/>
      <c r="B657" s="1006"/>
      <c r="C657" s="1007"/>
      <c r="D657" s="1008"/>
      <c r="E657" s="1008"/>
      <c r="F657" s="1008"/>
      <c r="G657" s="1008"/>
      <c r="H657" s="1008"/>
      <c r="I657" s="1008"/>
      <c r="J657" s="1008"/>
      <c r="K657" s="1008"/>
      <c r="L657" s="1008"/>
      <c r="M657" s="1008"/>
      <c r="N657" s="1008"/>
      <c r="O657" s="1008"/>
      <c r="P657" s="1008"/>
      <c r="Q657" s="1008"/>
      <c r="R657" s="1008"/>
      <c r="S657" s="1008"/>
      <c r="T657" s="1008"/>
      <c r="U657" s="1008"/>
      <c r="V657" s="1008"/>
      <c r="W657" s="1008"/>
      <c r="X657" s="1008"/>
      <c r="Y657" s="1008"/>
      <c r="Z657" s="1008"/>
      <c r="AA657" s="1008"/>
      <c r="AB657" s="1008"/>
      <c r="AC657" s="1008"/>
      <c r="AD657" s="1008"/>
      <c r="AE657" s="1008"/>
      <c r="AF657" s="1008"/>
      <c r="AG657" s="1008"/>
      <c r="AH657" s="1008"/>
      <c r="AI657" s="1008"/>
      <c r="AJ657" s="1008"/>
      <c r="AK657" s="1008"/>
      <c r="AL657" s="1008"/>
      <c r="AM657" s="1008"/>
      <c r="AN657" s="1008"/>
      <c r="AO657" s="1008"/>
      <c r="AP657" s="1008"/>
      <c r="AQ657" s="1008"/>
      <c r="AR657" s="1008"/>
      <c r="AS657" s="1008"/>
      <c r="AT657" s="1008"/>
      <c r="AU657" s="1008"/>
      <c r="AV657" s="1008"/>
      <c r="AW657" s="1008"/>
      <c r="AX657" s="1008"/>
      <c r="AY657" s="1008"/>
      <c r="AZ657" s="1008"/>
      <c r="BA657" s="1008"/>
      <c r="BB657" s="1008"/>
      <c r="BC657" s="1008"/>
      <c r="BD657" s="1008"/>
      <c r="BE657" s="1008"/>
      <c r="BF657" s="1008"/>
      <c r="BG657" s="1008"/>
      <c r="BH657" s="1008"/>
      <c r="BI657" s="1008"/>
      <c r="BJ657" s="1008"/>
      <c r="BK657" s="1008"/>
      <c r="BL657" s="1008"/>
      <c r="BM657" s="1008"/>
      <c r="BN657" s="1008"/>
      <c r="BO657" s="1008"/>
      <c r="BP657" s="647"/>
      <c r="BQ657" s="1"/>
      <c r="BR657" s="1"/>
      <c r="BS657" s="1"/>
      <c r="BT657" s="1008"/>
      <c r="BU657" s="1008"/>
      <c r="BV657" s="1008"/>
      <c r="BW657" s="1008"/>
      <c r="BX657" s="1008"/>
      <c r="BY657" s="1008"/>
      <c r="BZ657" s="1008"/>
      <c r="CA657" s="1008"/>
      <c r="CB657" s="1008"/>
      <c r="CC657" s="1008"/>
      <c r="CD657" s="1008"/>
      <c r="CE657" s="1008"/>
      <c r="CF657" s="1008"/>
    </row>
    <row r="658" spans="1:84" ht="14.25" customHeight="1">
      <c r="A658" s="1"/>
      <c r="C658" s="1007"/>
      <c r="D658" s="1008"/>
      <c r="E658" s="1008"/>
      <c r="F658" s="1008"/>
      <c r="G658" s="1008"/>
      <c r="H658" s="1008"/>
      <c r="I658" s="1008"/>
      <c r="J658" s="1008"/>
      <c r="K658" s="1008"/>
      <c r="L658" s="644"/>
      <c r="M658" s="644"/>
      <c r="N658" s="644"/>
      <c r="O658" s="644"/>
      <c r="P658" s="644"/>
      <c r="Q658" s="644"/>
      <c r="R658" s="644"/>
      <c r="S658" s="644"/>
      <c r="T658" s="644"/>
      <c r="U658" s="644"/>
      <c r="V658" s="644"/>
      <c r="W658" s="644"/>
      <c r="X658" s="1008"/>
      <c r="Y658" s="1008"/>
      <c r="Z658" s="1008"/>
      <c r="AA658" s="1008"/>
      <c r="AB658" s="1008"/>
      <c r="AC658" s="1008"/>
      <c r="AD658" s="1008"/>
      <c r="AE658" s="1008"/>
      <c r="AF658" s="1008"/>
      <c r="AG658" s="1008"/>
      <c r="AH658" s="1008"/>
      <c r="AI658" s="1008"/>
      <c r="AJ658" s="1008"/>
      <c r="AK658" s="1008"/>
      <c r="AL658" s="1008"/>
      <c r="AM658" s="1008"/>
      <c r="AN658" s="1008"/>
      <c r="AO658" s="1008"/>
      <c r="AP658" s="1008"/>
      <c r="AQ658" s="1008"/>
      <c r="AR658" s="1008"/>
      <c r="AS658" s="1008"/>
      <c r="AT658" s="1008"/>
      <c r="AU658" s="1008"/>
      <c r="AV658" s="1008"/>
      <c r="AW658" s="1008"/>
      <c r="AX658" s="1008"/>
      <c r="AY658" s="1008"/>
      <c r="AZ658" s="1008"/>
      <c r="BA658" s="1008"/>
      <c r="BB658" s="1008"/>
      <c r="BC658" s="1008"/>
      <c r="BD658" s="1008"/>
      <c r="BE658" s="1008"/>
      <c r="BF658" s="1008"/>
      <c r="BG658" s="1008"/>
      <c r="BH658" s="1008"/>
      <c r="BI658" s="1008"/>
      <c r="BJ658" s="1008"/>
      <c r="BK658" s="1008"/>
      <c r="BL658" s="1008"/>
      <c r="BM658" s="1008"/>
      <c r="BN658" s="1008"/>
      <c r="BO658" s="1008"/>
      <c r="BP658" s="647"/>
      <c r="BQ658" s="1"/>
      <c r="BR658" s="1"/>
      <c r="BS658" s="1"/>
      <c r="BT658" s="1008"/>
      <c r="BU658" s="1008"/>
      <c r="BV658" s="1008"/>
      <c r="BW658" s="1008"/>
      <c r="BX658" s="1008"/>
      <c r="BY658" s="1008"/>
      <c r="BZ658" s="1008"/>
      <c r="CA658" s="1008"/>
      <c r="CB658" s="1008"/>
      <c r="CC658" s="1008"/>
      <c r="CD658" s="1008"/>
      <c r="CE658" s="1008"/>
      <c r="CF658" s="1008"/>
    </row>
    <row r="659" spans="1:84" ht="14.25" customHeight="1">
      <c r="A659" s="1"/>
      <c r="B659" s="1084"/>
      <c r="C659" s="1007"/>
      <c r="D659" s="1008"/>
      <c r="E659" s="1008"/>
      <c r="F659" s="1008"/>
      <c r="G659" s="1008"/>
      <c r="H659" s="1008"/>
      <c r="I659" s="1008"/>
      <c r="J659" s="1008"/>
      <c r="K659" s="1008"/>
      <c r="X659" s="1008"/>
      <c r="Y659" s="1008"/>
      <c r="Z659" s="1008"/>
      <c r="AA659" s="1008"/>
      <c r="AB659" s="1008"/>
      <c r="AC659" s="1008"/>
      <c r="AD659" s="1008"/>
      <c r="AE659" s="1008"/>
      <c r="AF659" s="1008"/>
      <c r="AG659" s="1008"/>
      <c r="AH659" s="1008"/>
      <c r="AI659" s="1008"/>
      <c r="AJ659" s="1008"/>
      <c r="AK659" s="1008"/>
      <c r="AL659" s="1008"/>
      <c r="AM659" s="1008"/>
      <c r="AN659" s="1008"/>
      <c r="AO659" s="1008"/>
      <c r="AP659" s="1008"/>
      <c r="AQ659" s="1008"/>
      <c r="AR659" s="1008"/>
      <c r="AS659" s="1008"/>
      <c r="AT659" s="1008"/>
      <c r="AU659" s="1008"/>
      <c r="AV659" s="1008"/>
      <c r="AW659" s="1008"/>
      <c r="AX659" s="1008"/>
      <c r="AY659" s="1008"/>
      <c r="AZ659" s="1008"/>
      <c r="BA659" s="1008"/>
      <c r="BB659" s="1008"/>
      <c r="BC659" s="1008"/>
      <c r="BD659" s="1008"/>
      <c r="BE659" s="1008"/>
      <c r="BF659" s="1008"/>
      <c r="BG659" s="1008"/>
      <c r="BH659" s="1008"/>
      <c r="BI659" s="1008"/>
      <c r="BJ659" s="1008"/>
      <c r="BK659" s="1008"/>
      <c r="BL659" s="1008"/>
      <c r="BM659" s="1008"/>
      <c r="BN659" s="1008"/>
      <c r="BO659" s="1008"/>
      <c r="BP659" s="647"/>
      <c r="BQ659" s="1"/>
      <c r="BR659" s="1"/>
      <c r="BS659" s="1"/>
      <c r="BT659" s="1008"/>
      <c r="BU659" s="1008"/>
      <c r="BV659" s="1008"/>
      <c r="BW659" s="1008"/>
      <c r="BX659" s="1008"/>
      <c r="BY659" s="1008"/>
      <c r="BZ659" s="1008"/>
      <c r="CA659" s="1008"/>
      <c r="CB659" s="1008"/>
      <c r="CC659" s="1008"/>
      <c r="CD659" s="1008"/>
      <c r="CE659" s="1008"/>
      <c r="CF659" s="1008"/>
    </row>
    <row r="660" spans="1:84" ht="14.25" customHeight="1">
      <c r="A660" s="1"/>
      <c r="B660" s="1085"/>
      <c r="C660" s="1007"/>
      <c r="D660" s="1008"/>
      <c r="E660" s="1008"/>
      <c r="F660" s="1008"/>
      <c r="G660" s="1008"/>
      <c r="H660" s="1008"/>
      <c r="I660" s="1008"/>
      <c r="J660" s="1008"/>
      <c r="K660" s="1008"/>
      <c r="L660" s="644"/>
      <c r="M660" s="644"/>
      <c r="N660" s="644"/>
      <c r="O660" s="644"/>
      <c r="T660" s="644"/>
      <c r="U660" s="644"/>
      <c r="V660" s="644"/>
      <c r="W660" s="644"/>
      <c r="X660" s="1008"/>
      <c r="Y660" s="1008"/>
      <c r="Z660" s="1008"/>
      <c r="AA660" s="1008"/>
      <c r="AB660" s="1008"/>
      <c r="AC660" s="1008"/>
      <c r="AD660" s="1008"/>
      <c r="AE660" s="1008"/>
      <c r="AF660" s="1008"/>
      <c r="AG660" s="1008"/>
      <c r="AH660" s="1008"/>
      <c r="AI660" s="1008"/>
      <c r="AJ660" s="1008"/>
      <c r="AK660" s="1008"/>
      <c r="AL660" s="1008"/>
      <c r="AM660" s="1008"/>
      <c r="AN660" s="1008"/>
      <c r="AO660" s="1008"/>
      <c r="AP660" s="1008"/>
      <c r="AQ660" s="1008"/>
      <c r="AR660" s="1008"/>
      <c r="AS660" s="1008"/>
      <c r="AT660" s="1008"/>
      <c r="AU660" s="1008"/>
      <c r="AV660" s="1008"/>
      <c r="AW660" s="1008"/>
      <c r="AX660" s="1008"/>
      <c r="AY660" s="1008"/>
      <c r="AZ660" s="1008"/>
      <c r="BA660" s="1008"/>
      <c r="BB660" s="1008"/>
      <c r="BC660" s="1008"/>
      <c r="BD660" s="1008"/>
      <c r="BE660" s="1008"/>
      <c r="BF660" s="1008"/>
      <c r="BG660" s="1008"/>
      <c r="BH660" s="1008"/>
      <c r="BI660" s="1008"/>
      <c r="BJ660" s="1008"/>
      <c r="BK660" s="1008"/>
      <c r="BL660" s="1008"/>
      <c r="BM660" s="1008"/>
      <c r="BN660" s="1008"/>
      <c r="BO660" s="1008"/>
      <c r="BP660" s="647"/>
      <c r="BQ660" s="1"/>
      <c r="BR660" s="1"/>
      <c r="BS660" s="1"/>
      <c r="BT660" s="1008"/>
      <c r="BU660" s="1008"/>
      <c r="BV660" s="1008"/>
      <c r="BW660" s="1008"/>
      <c r="BX660" s="1008"/>
      <c r="BY660" s="1008"/>
      <c r="BZ660" s="1008"/>
      <c r="CA660" s="1008"/>
      <c r="CB660" s="1008"/>
      <c r="CC660" s="1008"/>
      <c r="CD660" s="1008"/>
      <c r="CE660" s="1008"/>
      <c r="CF660" s="1008"/>
    </row>
    <row r="661" spans="1:84" ht="14.25" customHeight="1">
      <c r="A661" s="1"/>
      <c r="B661" s="1006"/>
      <c r="C661" s="1007"/>
      <c r="D661" s="1008"/>
      <c r="E661" s="1008"/>
      <c r="F661" s="1008"/>
      <c r="G661" s="1008"/>
      <c r="H661" s="1008"/>
      <c r="I661" s="1008"/>
      <c r="J661" s="1008"/>
      <c r="K661" s="1008"/>
      <c r="L661" s="633"/>
      <c r="M661" s="633"/>
      <c r="N661" s="633"/>
      <c r="O661" s="633"/>
      <c r="P661" s="633"/>
      <c r="T661" s="644"/>
      <c r="U661" s="644"/>
      <c r="V661" s="644"/>
      <c r="W661" s="644"/>
      <c r="X661" s="1008"/>
      <c r="Y661" s="1008"/>
      <c r="Z661" s="1008"/>
      <c r="AA661" s="1008"/>
      <c r="AB661" s="1008"/>
      <c r="AC661" s="1008"/>
      <c r="AD661" s="1008"/>
      <c r="AE661" s="1086"/>
      <c r="AF661" s="1086"/>
      <c r="AG661" s="1086"/>
      <c r="AH661" s="1086"/>
      <c r="AI661" s="1086"/>
      <c r="AJ661" s="1086"/>
      <c r="AK661" s="1086"/>
      <c r="AL661" s="1086"/>
      <c r="AM661" s="1086"/>
      <c r="AN661" s="1086"/>
      <c r="AO661" s="1086"/>
      <c r="AP661" s="1086"/>
      <c r="AQ661" s="1086"/>
      <c r="AR661" s="1086"/>
      <c r="AS661" s="1086"/>
      <c r="AT661" s="1086"/>
      <c r="AU661" s="1086"/>
      <c r="AV661" s="1086"/>
      <c r="AW661" s="1086"/>
      <c r="AX661" s="1086"/>
      <c r="AY661" s="1086"/>
      <c r="AZ661" s="1086"/>
      <c r="BA661" s="1086"/>
      <c r="BB661" s="1086"/>
      <c r="BC661" s="1086"/>
      <c r="BD661" s="1086"/>
      <c r="BE661" s="1086"/>
      <c r="BF661" s="1086"/>
      <c r="BG661" s="1086"/>
      <c r="BH661" s="1086"/>
      <c r="BI661" s="1086"/>
      <c r="BJ661" s="1086"/>
      <c r="BK661" s="1086"/>
      <c r="BL661" s="1086"/>
      <c r="BM661" s="1086"/>
      <c r="BN661" s="1086"/>
      <c r="BO661" s="1086"/>
      <c r="BP661" s="647"/>
      <c r="BQ661" s="1"/>
      <c r="BR661" s="1"/>
      <c r="BS661" s="1"/>
      <c r="BT661" s="1008"/>
      <c r="BU661" s="1008"/>
      <c r="BV661" s="1008"/>
      <c r="BW661" s="1008"/>
      <c r="BX661" s="1008"/>
      <c r="BY661" s="1008"/>
      <c r="BZ661" s="1008"/>
      <c r="CA661" s="1008"/>
      <c r="CB661" s="1008"/>
      <c r="CC661" s="1008"/>
      <c r="CD661" s="1008"/>
      <c r="CE661" s="1008"/>
      <c r="CF661" s="1008"/>
    </row>
    <row r="662" spans="1:84" ht="14.25" customHeight="1">
      <c r="A662" s="1"/>
      <c r="C662" s="1007"/>
      <c r="D662" s="1"/>
      <c r="E662" s="1"/>
      <c r="F662" s="1"/>
      <c r="G662" s="1"/>
      <c r="H662" s="1"/>
      <c r="I662" s="1"/>
      <c r="J662" s="1"/>
      <c r="K662" s="1"/>
      <c r="L662" s="1087"/>
      <c r="M662" s="1087"/>
      <c r="N662" s="1087"/>
      <c r="O662" s="1087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647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</row>
    <row r="663" spans="1:84" ht="14.25" customHeight="1">
      <c r="A663" s="1"/>
      <c r="B663" s="1084"/>
      <c r="C663" s="1007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647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</row>
    <row r="664" spans="1:84" ht="14.25" customHeight="1">
      <c r="A664" s="1"/>
      <c r="C664" s="1007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647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</row>
    <row r="665" spans="1:84" ht="14.25" customHeight="1">
      <c r="A665" s="1"/>
      <c r="B665" s="1084"/>
      <c r="C665" s="1007"/>
      <c r="D665" s="1"/>
      <c r="E665" s="1"/>
      <c r="F665" s="1"/>
      <c r="G665" s="1"/>
      <c r="H665" s="1"/>
      <c r="I665" s="1"/>
      <c r="J665" s="1"/>
      <c r="K665" s="1"/>
      <c r="L665" s="644"/>
      <c r="M665" s="644"/>
      <c r="N665" s="644"/>
      <c r="O665" s="644"/>
      <c r="P665" s="644"/>
      <c r="Q665" s="644"/>
      <c r="R665" s="644"/>
      <c r="S665" s="644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647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</row>
    <row r="666" spans="1:84" ht="14.25" customHeight="1">
      <c r="A666" s="1"/>
      <c r="B666" s="1085"/>
      <c r="C666" s="1007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647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</row>
    <row r="667" spans="1:84" ht="14.25" customHeight="1">
      <c r="A667" s="1"/>
      <c r="B667" s="1088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647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</row>
    <row r="668" spans="1:84" ht="14.25" customHeight="1">
      <c r="A668" s="3"/>
      <c r="B668" s="1089"/>
      <c r="C668" s="264"/>
      <c r="D668" s="264" t="s">
        <v>124</v>
      </c>
      <c r="E668" s="264" t="s">
        <v>125</v>
      </c>
      <c r="F668" s="264" t="s">
        <v>126</v>
      </c>
      <c r="G668" s="264" t="s">
        <v>127</v>
      </c>
      <c r="H668" s="264" t="s">
        <v>128</v>
      </c>
      <c r="I668" s="264" t="s">
        <v>129</v>
      </c>
      <c r="J668" s="264" t="s">
        <v>130</v>
      </c>
      <c r="K668" s="264" t="s">
        <v>131</v>
      </c>
      <c r="L668" s="264" t="s">
        <v>132</v>
      </c>
      <c r="M668" s="264" t="s">
        <v>133</v>
      </c>
      <c r="N668" s="264" t="s">
        <v>134</v>
      </c>
      <c r="O668" s="264" t="s">
        <v>135</v>
      </c>
      <c r="P668" s="264" t="s">
        <v>136</v>
      </c>
      <c r="Q668" s="264" t="s">
        <v>137</v>
      </c>
      <c r="R668" s="264" t="s">
        <v>138</v>
      </c>
      <c r="S668" s="264" t="s">
        <v>139</v>
      </c>
      <c r="T668" s="264" t="s">
        <v>140</v>
      </c>
      <c r="U668" s="264" t="s">
        <v>141</v>
      </c>
      <c r="V668" s="264" t="s">
        <v>142</v>
      </c>
      <c r="W668" s="264" t="s">
        <v>143</v>
      </c>
      <c r="X668" s="264" t="s">
        <v>144</v>
      </c>
      <c r="Y668" s="264" t="s">
        <v>145</v>
      </c>
      <c r="Z668" s="264" t="s">
        <v>146</v>
      </c>
      <c r="AA668" s="264" t="s">
        <v>147</v>
      </c>
      <c r="AB668" s="264" t="s">
        <v>148</v>
      </c>
      <c r="AC668" s="264" t="s">
        <v>149</v>
      </c>
      <c r="AD668" s="264" t="s">
        <v>150</v>
      </c>
      <c r="AE668" s="264" t="s">
        <v>151</v>
      </c>
      <c r="AF668" s="264" t="s">
        <v>152</v>
      </c>
      <c r="AG668" s="264" t="s">
        <v>153</v>
      </c>
      <c r="AH668" s="264" t="s">
        <v>154</v>
      </c>
      <c r="AI668" s="264" t="s">
        <v>155</v>
      </c>
      <c r="AJ668" s="264" t="s">
        <v>156</v>
      </c>
      <c r="AK668" s="264" t="s">
        <v>157</v>
      </c>
      <c r="AL668" s="264" t="s">
        <v>158</v>
      </c>
      <c r="AM668" s="264" t="s">
        <v>159</v>
      </c>
      <c r="AN668" s="264" t="s">
        <v>160</v>
      </c>
      <c r="AO668" s="264" t="s">
        <v>161</v>
      </c>
      <c r="AP668" s="264" t="s">
        <v>162</v>
      </c>
      <c r="AQ668" s="264" t="s">
        <v>163</v>
      </c>
      <c r="AR668" s="264" t="s">
        <v>160</v>
      </c>
      <c r="AS668" s="264" t="s">
        <v>161</v>
      </c>
      <c r="AT668" s="264" t="s">
        <v>162</v>
      </c>
      <c r="AU668" s="264" t="s">
        <v>163</v>
      </c>
      <c r="AV668" s="264" t="s">
        <v>160</v>
      </c>
      <c r="AW668" s="264" t="s">
        <v>161</v>
      </c>
      <c r="AX668" s="264" t="s">
        <v>162</v>
      </c>
      <c r="AY668" s="264" t="s">
        <v>163</v>
      </c>
      <c r="AZ668" s="264" t="s">
        <v>160</v>
      </c>
      <c r="BA668" s="264" t="s">
        <v>161</v>
      </c>
      <c r="BB668" s="264" t="s">
        <v>162</v>
      </c>
      <c r="BC668" s="264" t="s">
        <v>163</v>
      </c>
      <c r="BD668" s="264"/>
      <c r="BE668" s="264"/>
      <c r="BF668" s="264"/>
      <c r="BG668" s="264"/>
      <c r="BH668" s="264"/>
      <c r="BI668" s="264"/>
      <c r="BJ668" s="264"/>
      <c r="BK668" s="264"/>
      <c r="BL668" s="264"/>
      <c r="BM668" s="264"/>
      <c r="BN668" s="264"/>
      <c r="BO668" s="264"/>
      <c r="BP668" s="647"/>
      <c r="BQ668" s="3" t="s">
        <v>164</v>
      </c>
      <c r="BR668" s="3" t="s">
        <v>165</v>
      </c>
      <c r="BS668" s="3" t="s">
        <v>166</v>
      </c>
      <c r="BT668" s="3" t="s">
        <v>167</v>
      </c>
      <c r="BU668" s="3" t="s">
        <v>168</v>
      </c>
      <c r="BV668" s="3" t="s">
        <v>169</v>
      </c>
      <c r="BW668" s="3" t="s">
        <v>170</v>
      </c>
      <c r="BX668" s="3" t="s">
        <v>171</v>
      </c>
      <c r="BY668" s="3" t="s">
        <v>172</v>
      </c>
      <c r="BZ668" s="3" t="s">
        <v>173</v>
      </c>
      <c r="CA668" s="3" t="s">
        <v>174</v>
      </c>
      <c r="CB668" s="3" t="s">
        <v>175</v>
      </c>
      <c r="CC668" s="3" t="s">
        <v>176</v>
      </c>
      <c r="CD668" s="3" t="s">
        <v>177</v>
      </c>
      <c r="CE668" s="3" t="s">
        <v>177</v>
      </c>
      <c r="CF668" s="3" t="s">
        <v>177</v>
      </c>
    </row>
    <row r="669" spans="1:84" ht="14.25" customHeight="1">
      <c r="A669" s="5"/>
      <c r="B669" s="1090" t="s">
        <v>178</v>
      </c>
      <c r="C669" s="172"/>
      <c r="D669" s="265" t="e">
        <f>IS!D132</f>
        <v>#NAME?</v>
      </c>
      <c r="E669" s="265" t="e">
        <f>IS!E132</f>
        <v>#NAME?</v>
      </c>
      <c r="F669" s="265" t="e">
        <f>IS!F132</f>
        <v>#NAME?</v>
      </c>
      <c r="G669" s="265" t="e">
        <f>IS!G132</f>
        <v>#NAME?</v>
      </c>
      <c r="H669" s="265" t="e">
        <f>IS!H132</f>
        <v>#NAME?</v>
      </c>
      <c r="I669" s="265" t="e">
        <f>IS!I132</f>
        <v>#NAME?</v>
      </c>
      <c r="J669" s="265" t="e">
        <f>IS!J132</f>
        <v>#NAME?</v>
      </c>
      <c r="K669" s="265" t="e">
        <f>IS!K132</f>
        <v>#NAME?</v>
      </c>
      <c r="L669" s="265" t="e">
        <f>IS!L132</f>
        <v>#NAME?</v>
      </c>
      <c r="M669" s="265" t="e">
        <f>IS!M132</f>
        <v>#NAME?</v>
      </c>
      <c r="N669" s="265" t="e">
        <f>IS!N132</f>
        <v>#NAME?</v>
      </c>
      <c r="O669" s="265" t="e">
        <f>IS!O132</f>
        <v>#NAME?</v>
      </c>
      <c r="P669" s="265" t="e">
        <f>IS!P132</f>
        <v>#NAME?</v>
      </c>
      <c r="Q669" s="265" t="e">
        <f>IS!Q132</f>
        <v>#NAME?</v>
      </c>
      <c r="R669" s="265" t="e">
        <f>IS!R132</f>
        <v>#NAME?</v>
      </c>
      <c r="S669" s="265" t="e">
        <f>IS!S132</f>
        <v>#NAME?</v>
      </c>
      <c r="T669" s="265" t="e">
        <f>IS!T132</f>
        <v>#NAME?</v>
      </c>
      <c r="U669" s="265" t="e">
        <f>IS!U132</f>
        <v>#NAME?</v>
      </c>
      <c r="V669" s="265" t="e">
        <f>IS!V132</f>
        <v>#NAME?</v>
      </c>
      <c r="W669" s="265" t="e">
        <f>IS!W132</f>
        <v>#NAME?</v>
      </c>
      <c r="X669" s="265" t="e">
        <f>IS!X132</f>
        <v>#NAME?</v>
      </c>
      <c r="Y669" s="265" t="e">
        <f>IS!Y132</f>
        <v>#NAME?</v>
      </c>
      <c r="Z669" s="265" t="e">
        <f>IS!Z132</f>
        <v>#NAME?</v>
      </c>
      <c r="AA669" s="265" t="e">
        <f>IS!AA132</f>
        <v>#NAME?</v>
      </c>
      <c r="AB669" s="265" t="e">
        <f>IS!AB132</f>
        <v>#NAME?</v>
      </c>
      <c r="AC669" s="265" t="e">
        <f>IS!AC132</f>
        <v>#NAME?</v>
      </c>
      <c r="AD669" s="265" t="e">
        <f>IS!AD132</f>
        <v>#NAME?</v>
      </c>
      <c r="AE669" s="265" t="e">
        <f>IS!AE132</f>
        <v>#NAME?</v>
      </c>
      <c r="AF669" s="265" t="e">
        <f>IS!AF132</f>
        <v>#NAME?</v>
      </c>
      <c r="AG669" s="265" t="e">
        <f>IS!AG132</f>
        <v>#NAME?</v>
      </c>
      <c r="AH669" s="265" t="e">
        <f>IS!AH132</f>
        <v>#NAME?</v>
      </c>
      <c r="AI669" s="265" t="e">
        <f>IS!AI132</f>
        <v>#NAME?</v>
      </c>
      <c r="AJ669" s="265" t="e">
        <f>IS!AJ132</f>
        <v>#NAME?</v>
      </c>
      <c r="AK669" s="265" t="e">
        <f>IS!AK132</f>
        <v>#NAME?</v>
      </c>
      <c r="AL669" s="265" t="e">
        <f>IS!AL132</f>
        <v>#NAME?</v>
      </c>
      <c r="AM669" s="265" t="e">
        <f>IS!AM132</f>
        <v>#NAME?</v>
      </c>
      <c r="AN669" s="265" t="e">
        <f>IS!AN132</f>
        <v>#NAME?</v>
      </c>
      <c r="AO669" s="265" t="e">
        <f>IS!AO132</f>
        <v>#NAME?</v>
      </c>
      <c r="AP669" s="265" t="e">
        <f>IS!AP132</f>
        <v>#NAME?</v>
      </c>
      <c r="AQ669" s="265" t="e">
        <f>IS!AQ132</f>
        <v>#NAME?</v>
      </c>
      <c r="AR669" s="265">
        <f>IS!BP132</f>
        <v>0</v>
      </c>
      <c r="AS669" s="265" t="e">
        <f>IS!BQ132</f>
        <v>#NAME?</v>
      </c>
      <c r="AT669" s="265" t="e">
        <f>IS!BR132</f>
        <v>#NAME?</v>
      </c>
      <c r="AU669" s="265" t="e">
        <f>IS!BS132</f>
        <v>#NAME?</v>
      </c>
      <c r="AV669" s="265" t="e">
        <f>IS!BT132</f>
        <v>#NAME?</v>
      </c>
      <c r="AW669" s="265" t="e">
        <f>IS!BU132</f>
        <v>#NAME?</v>
      </c>
      <c r="AX669" s="265" t="e">
        <f>IS!BV132</f>
        <v>#NAME?</v>
      </c>
      <c r="AY669" s="265" t="e">
        <f>IS!BW132</f>
        <v>#NAME?</v>
      </c>
      <c r="AZ669" s="265" t="e">
        <f>IS!BX132</f>
        <v>#NAME?</v>
      </c>
      <c r="BA669" s="265" t="e">
        <f>IS!BY132</f>
        <v>#NAME?</v>
      </c>
      <c r="BB669" s="265" t="e">
        <f>IS!BZ132</f>
        <v>#NAME?</v>
      </c>
      <c r="BC669" s="265" t="e">
        <f>IS!CA132</f>
        <v>#NAME?</v>
      </c>
      <c r="BD669" s="265"/>
      <c r="BE669" s="265"/>
      <c r="BF669" s="265"/>
      <c r="BG669" s="265"/>
      <c r="BH669" s="265"/>
      <c r="BI669" s="265"/>
      <c r="BJ669" s="265"/>
      <c r="BK669" s="265"/>
      <c r="BL669" s="265"/>
      <c r="BM669" s="265"/>
      <c r="BN669" s="265"/>
      <c r="BO669" s="265"/>
      <c r="BP669" s="1091"/>
      <c r="BQ669" s="265" t="e">
        <f>IS!BQ132</f>
        <v>#NAME?</v>
      </c>
      <c r="BR669" s="265" t="e">
        <f>IS!BR132</f>
        <v>#NAME?</v>
      </c>
      <c r="BS669" s="265" t="e">
        <f>IS!BS132</f>
        <v>#NAME?</v>
      </c>
      <c r="BT669" s="265" t="e">
        <f>IS!BT132</f>
        <v>#NAME?</v>
      </c>
      <c r="BU669" s="265" t="e">
        <f>IS!BU132</f>
        <v>#NAME?</v>
      </c>
      <c r="BV669" s="265" t="e">
        <f>IS!BV132</f>
        <v>#NAME?</v>
      </c>
      <c r="BW669" s="265" t="e">
        <f>IS!BW132</f>
        <v>#NAME?</v>
      </c>
      <c r="BX669" s="265" t="e">
        <f>IS!BX132</f>
        <v>#NAME?</v>
      </c>
      <c r="BY669" s="265" t="e">
        <f>IS!BY132</f>
        <v>#NAME?</v>
      </c>
      <c r="BZ669" s="265" t="e">
        <f>IS!BZ132</f>
        <v>#NAME?</v>
      </c>
      <c r="CA669" s="265" t="e">
        <f>IS!CA132</f>
        <v>#NAME?</v>
      </c>
      <c r="CB669" s="265" t="str">
        <f>IS!CB132</f>
        <v>A</v>
      </c>
      <c r="CC669" s="265" t="e">
        <f>IS!CC132</f>
        <v>#NAME?</v>
      </c>
      <c r="CD669" s="265" t="e">
        <f>IS!CD132</f>
        <v>#NAME?</v>
      </c>
      <c r="CE669" s="265" t="e">
        <f>IS!CE132</f>
        <v>#NAME?</v>
      </c>
      <c r="CF669" s="265" t="e">
        <f>IS!CF132</f>
        <v>#NAME?</v>
      </c>
    </row>
    <row r="670" spans="1:84" ht="14.25" customHeight="1">
      <c r="A670" s="1"/>
      <c r="B670" s="1088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647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</row>
    <row r="689" spans="29:29" ht="14.25" customHeight="1">
      <c r="AC689" s="633"/>
    </row>
  </sheetData>
  <phoneticPr fontId="22" type="noConversion"/>
  <conditionalFormatting sqref="L472:AP474 L489:AP515 AJ475:AP488 L475:AH488 H604:AP604 H549:AP549 D522:AP522 H529:AP529 H539:AP539 L446:AP446 AS472:AT515 H614:AP614 AS614:AT614 AS446:AT446 AS539:AT539 AS529:AT529 AS522:AT522 AS549:AT549 AS604:AT604">
    <cfRule type="cellIs" dxfId="13" priority="12" stopIfTrue="1" operator="between">
      <formula>-0.005</formula>
      <formula>0.005</formula>
    </cfRule>
  </conditionalFormatting>
  <conditionalFormatting sqref="B3">
    <cfRule type="cellIs" dxfId="12" priority="13" stopIfTrue="1" operator="equal">
      <formula>"Bear Case"</formula>
    </cfRule>
    <cfRule type="cellIs" dxfId="11" priority="14" stopIfTrue="1" operator="equal">
      <formula>"Bull Case"</formula>
    </cfRule>
    <cfRule type="cellIs" dxfId="10" priority="15" stopIfTrue="1" operator="equal">
      <formula>"Base Case"</formula>
    </cfRule>
  </conditionalFormatting>
  <conditionalFormatting sqref="AX604 AX549 AX522 AX529 AX539 AX614 AX472:AX515 AX446">
    <cfRule type="cellIs" dxfId="9" priority="11" stopIfTrue="1" operator="between">
      <formula>-0.005</formula>
      <formula>0.005</formula>
    </cfRule>
  </conditionalFormatting>
  <conditionalFormatting sqref="AQ472:AQ515 AQ604 AQ549 AQ522 AQ529 AQ539 AQ446 AQ614">
    <cfRule type="cellIs" dxfId="8" priority="10" stopIfTrue="1" operator="between">
      <formula>-0.005</formula>
      <formula>0.005</formula>
    </cfRule>
  </conditionalFormatting>
  <conditionalFormatting sqref="AR472:AR515 AR604 AR549 AR522 AR529 AR539 AR446 AR614">
    <cfRule type="cellIs" dxfId="7" priority="9" stopIfTrue="1" operator="between">
      <formula>-0.005</formula>
      <formula>0.005</formula>
    </cfRule>
  </conditionalFormatting>
  <conditionalFormatting sqref="AZ604:BG604 AZ549:BG549 AZ522:BG522 AZ529:BG529 AZ539:BG539 AZ446:BG446 AZ472:BG515 AZ614:BG614">
    <cfRule type="cellIs" dxfId="6" priority="8" stopIfTrue="1" operator="between">
      <formula>-0.005</formula>
      <formula>0.005</formula>
    </cfRule>
  </conditionalFormatting>
  <conditionalFormatting sqref="AU472:AU515 AU604 AU549 AU522 AU529 AU539 AU446 AU614">
    <cfRule type="cellIs" dxfId="5" priority="7" stopIfTrue="1" operator="between">
      <formula>-0.005</formula>
      <formula>0.005</formula>
    </cfRule>
  </conditionalFormatting>
  <conditionalFormatting sqref="AW472:AW515 AW614 AW446 AW539 AW529 AW522 AW549 AW604">
    <cfRule type="cellIs" dxfId="4" priority="6" stopIfTrue="1" operator="between">
      <formula>-0.005</formula>
      <formula>0.005</formula>
    </cfRule>
  </conditionalFormatting>
  <conditionalFormatting sqref="AV472:AV515 AV604 AV549 AV522 AV529 AV539 AV446 AV614">
    <cfRule type="cellIs" dxfId="3" priority="5" stopIfTrue="1" operator="between">
      <formula>-0.005</formula>
      <formula>0.005</formula>
    </cfRule>
  </conditionalFormatting>
  <conditionalFormatting sqref="AY472:AY515 AY604 AY549 AY522 AY529 AY539 AY446 AY614">
    <cfRule type="cellIs" dxfId="2" priority="4" stopIfTrue="1" operator="between">
      <formula>-0.005</formula>
      <formula>0.005</formula>
    </cfRule>
  </conditionalFormatting>
  <conditionalFormatting sqref="BH604:BK604 BH549:BK549 BH522:BK522 BH529:BK529 BH539:BK539 BH446:BK446 BH472:BK515 BH614:BK614">
    <cfRule type="cellIs" dxfId="1" priority="2" stopIfTrue="1" operator="between">
      <formula>-0.005</formula>
      <formula>0.005</formula>
    </cfRule>
  </conditionalFormatting>
  <conditionalFormatting sqref="BL604:BO604 BL549:BO549 BL522:BO522 BL529:BO529 BL539:BO539 BL446:BO446 BL472:BO515 BL614:BO614">
    <cfRule type="cellIs" dxfId="0" priority="1" stopIfTrue="1" operator="between">
      <formula>-0.005</formula>
      <formula>0.005</formula>
    </cfRule>
  </conditionalFormatting>
  <pageMargins left="0.5" right="0.5" top="0.5" bottom="0.5" header="0.5" footer="0.5"/>
  <pageSetup scale="36" fitToHeight="6" orientation="landscape" r:id="rId1"/>
  <headerFooter alignWithMargins="0"/>
  <rowBreaks count="5" manualBreakCount="5">
    <brk id="60" max="84" man="1"/>
    <brk id="284" max="84" man="1"/>
    <brk id="350" max="84" man="1"/>
    <brk id="420" max="84" man="1"/>
    <brk id="550" max="8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1150" bestFit="1" customWidth="1"/>
    <col min="2" max="2" width="19.85546875" style="1202" customWidth="1"/>
    <col min="3" max="3" width="12" style="1150" bestFit="1" customWidth="1"/>
    <col min="4" max="256" width="9.140625" style="1150"/>
    <col min="257" max="257" width="29.5703125" style="1150" bestFit="1" customWidth="1"/>
    <col min="258" max="258" width="19.85546875" style="1150" customWidth="1"/>
    <col min="259" max="259" width="12" style="1150" bestFit="1" customWidth="1"/>
    <col min="260" max="512" width="9.140625" style="1150"/>
    <col min="513" max="513" width="29.5703125" style="1150" bestFit="1" customWidth="1"/>
    <col min="514" max="514" width="19.85546875" style="1150" customWidth="1"/>
    <col min="515" max="515" width="12" style="1150" bestFit="1" customWidth="1"/>
    <col min="516" max="768" width="9.140625" style="1150"/>
    <col min="769" max="769" width="29.5703125" style="1150" bestFit="1" customWidth="1"/>
    <col min="770" max="770" width="19.85546875" style="1150" customWidth="1"/>
    <col min="771" max="771" width="12" style="1150" bestFit="1" customWidth="1"/>
    <col min="772" max="1024" width="9.140625" style="1150"/>
    <col min="1025" max="1025" width="29.5703125" style="1150" bestFit="1" customWidth="1"/>
    <col min="1026" max="1026" width="19.85546875" style="1150" customWidth="1"/>
    <col min="1027" max="1027" width="12" style="1150" bestFit="1" customWidth="1"/>
    <col min="1028" max="1280" width="9.140625" style="1150"/>
    <col min="1281" max="1281" width="29.5703125" style="1150" bestFit="1" customWidth="1"/>
    <col min="1282" max="1282" width="19.85546875" style="1150" customWidth="1"/>
    <col min="1283" max="1283" width="12" style="1150" bestFit="1" customWidth="1"/>
    <col min="1284" max="1536" width="9.140625" style="1150"/>
    <col min="1537" max="1537" width="29.5703125" style="1150" bestFit="1" customWidth="1"/>
    <col min="1538" max="1538" width="19.85546875" style="1150" customWidth="1"/>
    <col min="1539" max="1539" width="12" style="1150" bestFit="1" customWidth="1"/>
    <col min="1540" max="1792" width="9.140625" style="1150"/>
    <col min="1793" max="1793" width="29.5703125" style="1150" bestFit="1" customWidth="1"/>
    <col min="1794" max="1794" width="19.85546875" style="1150" customWidth="1"/>
    <col min="1795" max="1795" width="12" style="1150" bestFit="1" customWidth="1"/>
    <col min="1796" max="2048" width="9.140625" style="1150"/>
    <col min="2049" max="2049" width="29.5703125" style="1150" bestFit="1" customWidth="1"/>
    <col min="2050" max="2050" width="19.85546875" style="1150" customWidth="1"/>
    <col min="2051" max="2051" width="12" style="1150" bestFit="1" customWidth="1"/>
    <col min="2052" max="2304" width="9.140625" style="1150"/>
    <col min="2305" max="2305" width="29.5703125" style="1150" bestFit="1" customWidth="1"/>
    <col min="2306" max="2306" width="19.85546875" style="1150" customWidth="1"/>
    <col min="2307" max="2307" width="12" style="1150" bestFit="1" customWidth="1"/>
    <col min="2308" max="2560" width="9.140625" style="1150"/>
    <col min="2561" max="2561" width="29.5703125" style="1150" bestFit="1" customWidth="1"/>
    <col min="2562" max="2562" width="19.85546875" style="1150" customWidth="1"/>
    <col min="2563" max="2563" width="12" style="1150" bestFit="1" customWidth="1"/>
    <col min="2564" max="2816" width="9.140625" style="1150"/>
    <col min="2817" max="2817" width="29.5703125" style="1150" bestFit="1" customWidth="1"/>
    <col min="2818" max="2818" width="19.85546875" style="1150" customWidth="1"/>
    <col min="2819" max="2819" width="12" style="1150" bestFit="1" customWidth="1"/>
    <col min="2820" max="3072" width="9.140625" style="1150"/>
    <col min="3073" max="3073" width="29.5703125" style="1150" bestFit="1" customWidth="1"/>
    <col min="3074" max="3074" width="19.85546875" style="1150" customWidth="1"/>
    <col min="3075" max="3075" width="12" style="1150" bestFit="1" customWidth="1"/>
    <col min="3076" max="3328" width="9.140625" style="1150"/>
    <col min="3329" max="3329" width="29.5703125" style="1150" bestFit="1" customWidth="1"/>
    <col min="3330" max="3330" width="19.85546875" style="1150" customWidth="1"/>
    <col min="3331" max="3331" width="12" style="1150" bestFit="1" customWidth="1"/>
    <col min="3332" max="3584" width="9.140625" style="1150"/>
    <col min="3585" max="3585" width="29.5703125" style="1150" bestFit="1" customWidth="1"/>
    <col min="3586" max="3586" width="19.85546875" style="1150" customWidth="1"/>
    <col min="3587" max="3587" width="12" style="1150" bestFit="1" customWidth="1"/>
    <col min="3588" max="3840" width="9.140625" style="1150"/>
    <col min="3841" max="3841" width="29.5703125" style="1150" bestFit="1" customWidth="1"/>
    <col min="3842" max="3842" width="19.85546875" style="1150" customWidth="1"/>
    <col min="3843" max="3843" width="12" style="1150" bestFit="1" customWidth="1"/>
    <col min="3844" max="4096" width="9.140625" style="1150"/>
    <col min="4097" max="4097" width="29.5703125" style="1150" bestFit="1" customWidth="1"/>
    <col min="4098" max="4098" width="19.85546875" style="1150" customWidth="1"/>
    <col min="4099" max="4099" width="12" style="1150" bestFit="1" customWidth="1"/>
    <col min="4100" max="4352" width="9.140625" style="1150"/>
    <col min="4353" max="4353" width="29.5703125" style="1150" bestFit="1" customWidth="1"/>
    <col min="4354" max="4354" width="19.85546875" style="1150" customWidth="1"/>
    <col min="4355" max="4355" width="12" style="1150" bestFit="1" customWidth="1"/>
    <col min="4356" max="4608" width="9.140625" style="1150"/>
    <col min="4609" max="4609" width="29.5703125" style="1150" bestFit="1" customWidth="1"/>
    <col min="4610" max="4610" width="19.85546875" style="1150" customWidth="1"/>
    <col min="4611" max="4611" width="12" style="1150" bestFit="1" customWidth="1"/>
    <col min="4612" max="4864" width="9.140625" style="1150"/>
    <col min="4865" max="4865" width="29.5703125" style="1150" bestFit="1" customWidth="1"/>
    <col min="4866" max="4866" width="19.85546875" style="1150" customWidth="1"/>
    <col min="4867" max="4867" width="12" style="1150" bestFit="1" customWidth="1"/>
    <col min="4868" max="5120" width="9.140625" style="1150"/>
    <col min="5121" max="5121" width="29.5703125" style="1150" bestFit="1" customWidth="1"/>
    <col min="5122" max="5122" width="19.85546875" style="1150" customWidth="1"/>
    <col min="5123" max="5123" width="12" style="1150" bestFit="1" customWidth="1"/>
    <col min="5124" max="5376" width="9.140625" style="1150"/>
    <col min="5377" max="5377" width="29.5703125" style="1150" bestFit="1" customWidth="1"/>
    <col min="5378" max="5378" width="19.85546875" style="1150" customWidth="1"/>
    <col min="5379" max="5379" width="12" style="1150" bestFit="1" customWidth="1"/>
    <col min="5380" max="5632" width="9.140625" style="1150"/>
    <col min="5633" max="5633" width="29.5703125" style="1150" bestFit="1" customWidth="1"/>
    <col min="5634" max="5634" width="19.85546875" style="1150" customWidth="1"/>
    <col min="5635" max="5635" width="12" style="1150" bestFit="1" customWidth="1"/>
    <col min="5636" max="5888" width="9.140625" style="1150"/>
    <col min="5889" max="5889" width="29.5703125" style="1150" bestFit="1" customWidth="1"/>
    <col min="5890" max="5890" width="19.85546875" style="1150" customWidth="1"/>
    <col min="5891" max="5891" width="12" style="1150" bestFit="1" customWidth="1"/>
    <col min="5892" max="6144" width="9.140625" style="1150"/>
    <col min="6145" max="6145" width="29.5703125" style="1150" bestFit="1" customWidth="1"/>
    <col min="6146" max="6146" width="19.85546875" style="1150" customWidth="1"/>
    <col min="6147" max="6147" width="12" style="1150" bestFit="1" customWidth="1"/>
    <col min="6148" max="6400" width="9.140625" style="1150"/>
    <col min="6401" max="6401" width="29.5703125" style="1150" bestFit="1" customWidth="1"/>
    <col min="6402" max="6402" width="19.85546875" style="1150" customWidth="1"/>
    <col min="6403" max="6403" width="12" style="1150" bestFit="1" customWidth="1"/>
    <col min="6404" max="6656" width="9.140625" style="1150"/>
    <col min="6657" max="6657" width="29.5703125" style="1150" bestFit="1" customWidth="1"/>
    <col min="6658" max="6658" width="19.85546875" style="1150" customWidth="1"/>
    <col min="6659" max="6659" width="12" style="1150" bestFit="1" customWidth="1"/>
    <col min="6660" max="6912" width="9.140625" style="1150"/>
    <col min="6913" max="6913" width="29.5703125" style="1150" bestFit="1" customWidth="1"/>
    <col min="6914" max="6914" width="19.85546875" style="1150" customWidth="1"/>
    <col min="6915" max="6915" width="12" style="1150" bestFit="1" customWidth="1"/>
    <col min="6916" max="7168" width="9.140625" style="1150"/>
    <col min="7169" max="7169" width="29.5703125" style="1150" bestFit="1" customWidth="1"/>
    <col min="7170" max="7170" width="19.85546875" style="1150" customWidth="1"/>
    <col min="7171" max="7171" width="12" style="1150" bestFit="1" customWidth="1"/>
    <col min="7172" max="7424" width="9.140625" style="1150"/>
    <col min="7425" max="7425" width="29.5703125" style="1150" bestFit="1" customWidth="1"/>
    <col min="7426" max="7426" width="19.85546875" style="1150" customWidth="1"/>
    <col min="7427" max="7427" width="12" style="1150" bestFit="1" customWidth="1"/>
    <col min="7428" max="7680" width="9.140625" style="1150"/>
    <col min="7681" max="7681" width="29.5703125" style="1150" bestFit="1" customWidth="1"/>
    <col min="7682" max="7682" width="19.85546875" style="1150" customWidth="1"/>
    <col min="7683" max="7683" width="12" style="1150" bestFit="1" customWidth="1"/>
    <col min="7684" max="7936" width="9.140625" style="1150"/>
    <col min="7937" max="7937" width="29.5703125" style="1150" bestFit="1" customWidth="1"/>
    <col min="7938" max="7938" width="19.85546875" style="1150" customWidth="1"/>
    <col min="7939" max="7939" width="12" style="1150" bestFit="1" customWidth="1"/>
    <col min="7940" max="8192" width="9.140625" style="1150"/>
    <col min="8193" max="8193" width="29.5703125" style="1150" bestFit="1" customWidth="1"/>
    <col min="8194" max="8194" width="19.85546875" style="1150" customWidth="1"/>
    <col min="8195" max="8195" width="12" style="1150" bestFit="1" customWidth="1"/>
    <col min="8196" max="8448" width="9.140625" style="1150"/>
    <col min="8449" max="8449" width="29.5703125" style="1150" bestFit="1" customWidth="1"/>
    <col min="8450" max="8450" width="19.85546875" style="1150" customWidth="1"/>
    <col min="8451" max="8451" width="12" style="1150" bestFit="1" customWidth="1"/>
    <col min="8452" max="8704" width="9.140625" style="1150"/>
    <col min="8705" max="8705" width="29.5703125" style="1150" bestFit="1" customWidth="1"/>
    <col min="8706" max="8706" width="19.85546875" style="1150" customWidth="1"/>
    <col min="8707" max="8707" width="12" style="1150" bestFit="1" customWidth="1"/>
    <col min="8708" max="8960" width="9.140625" style="1150"/>
    <col min="8961" max="8961" width="29.5703125" style="1150" bestFit="1" customWidth="1"/>
    <col min="8962" max="8962" width="19.85546875" style="1150" customWidth="1"/>
    <col min="8963" max="8963" width="12" style="1150" bestFit="1" customWidth="1"/>
    <col min="8964" max="9216" width="9.140625" style="1150"/>
    <col min="9217" max="9217" width="29.5703125" style="1150" bestFit="1" customWidth="1"/>
    <col min="9218" max="9218" width="19.85546875" style="1150" customWidth="1"/>
    <col min="9219" max="9219" width="12" style="1150" bestFit="1" customWidth="1"/>
    <col min="9220" max="9472" width="9.140625" style="1150"/>
    <col min="9473" max="9473" width="29.5703125" style="1150" bestFit="1" customWidth="1"/>
    <col min="9474" max="9474" width="19.85546875" style="1150" customWidth="1"/>
    <col min="9475" max="9475" width="12" style="1150" bestFit="1" customWidth="1"/>
    <col min="9476" max="9728" width="9.140625" style="1150"/>
    <col min="9729" max="9729" width="29.5703125" style="1150" bestFit="1" customWidth="1"/>
    <col min="9730" max="9730" width="19.85546875" style="1150" customWidth="1"/>
    <col min="9731" max="9731" width="12" style="1150" bestFit="1" customWidth="1"/>
    <col min="9732" max="9984" width="9.140625" style="1150"/>
    <col min="9985" max="9985" width="29.5703125" style="1150" bestFit="1" customWidth="1"/>
    <col min="9986" max="9986" width="19.85546875" style="1150" customWidth="1"/>
    <col min="9987" max="9987" width="12" style="1150" bestFit="1" customWidth="1"/>
    <col min="9988" max="10240" width="9.140625" style="1150"/>
    <col min="10241" max="10241" width="29.5703125" style="1150" bestFit="1" customWidth="1"/>
    <col min="10242" max="10242" width="19.85546875" style="1150" customWidth="1"/>
    <col min="10243" max="10243" width="12" style="1150" bestFit="1" customWidth="1"/>
    <col min="10244" max="10496" width="9.140625" style="1150"/>
    <col min="10497" max="10497" width="29.5703125" style="1150" bestFit="1" customWidth="1"/>
    <col min="10498" max="10498" width="19.85546875" style="1150" customWidth="1"/>
    <col min="10499" max="10499" width="12" style="1150" bestFit="1" customWidth="1"/>
    <col min="10500" max="10752" width="9.140625" style="1150"/>
    <col min="10753" max="10753" width="29.5703125" style="1150" bestFit="1" customWidth="1"/>
    <col min="10754" max="10754" width="19.85546875" style="1150" customWidth="1"/>
    <col min="10755" max="10755" width="12" style="1150" bestFit="1" customWidth="1"/>
    <col min="10756" max="11008" width="9.140625" style="1150"/>
    <col min="11009" max="11009" width="29.5703125" style="1150" bestFit="1" customWidth="1"/>
    <col min="11010" max="11010" width="19.85546875" style="1150" customWidth="1"/>
    <col min="11011" max="11011" width="12" style="1150" bestFit="1" customWidth="1"/>
    <col min="11012" max="11264" width="9.140625" style="1150"/>
    <col min="11265" max="11265" width="29.5703125" style="1150" bestFit="1" customWidth="1"/>
    <col min="11266" max="11266" width="19.85546875" style="1150" customWidth="1"/>
    <col min="11267" max="11267" width="12" style="1150" bestFit="1" customWidth="1"/>
    <col min="11268" max="11520" width="9.140625" style="1150"/>
    <col min="11521" max="11521" width="29.5703125" style="1150" bestFit="1" customWidth="1"/>
    <col min="11522" max="11522" width="19.85546875" style="1150" customWidth="1"/>
    <col min="11523" max="11523" width="12" style="1150" bestFit="1" customWidth="1"/>
    <col min="11524" max="11776" width="9.140625" style="1150"/>
    <col min="11777" max="11777" width="29.5703125" style="1150" bestFit="1" customWidth="1"/>
    <col min="11778" max="11778" width="19.85546875" style="1150" customWidth="1"/>
    <col min="11779" max="11779" width="12" style="1150" bestFit="1" customWidth="1"/>
    <col min="11780" max="12032" width="9.140625" style="1150"/>
    <col min="12033" max="12033" width="29.5703125" style="1150" bestFit="1" customWidth="1"/>
    <col min="12034" max="12034" width="19.85546875" style="1150" customWidth="1"/>
    <col min="12035" max="12035" width="12" style="1150" bestFit="1" customWidth="1"/>
    <col min="12036" max="12288" width="9.140625" style="1150"/>
    <col min="12289" max="12289" width="29.5703125" style="1150" bestFit="1" customWidth="1"/>
    <col min="12290" max="12290" width="19.85546875" style="1150" customWidth="1"/>
    <col min="12291" max="12291" width="12" style="1150" bestFit="1" customWidth="1"/>
    <col min="12292" max="12544" width="9.140625" style="1150"/>
    <col min="12545" max="12545" width="29.5703125" style="1150" bestFit="1" customWidth="1"/>
    <col min="12546" max="12546" width="19.85546875" style="1150" customWidth="1"/>
    <col min="12547" max="12547" width="12" style="1150" bestFit="1" customWidth="1"/>
    <col min="12548" max="12800" width="9.140625" style="1150"/>
    <col min="12801" max="12801" width="29.5703125" style="1150" bestFit="1" customWidth="1"/>
    <col min="12802" max="12802" width="19.85546875" style="1150" customWidth="1"/>
    <col min="12803" max="12803" width="12" style="1150" bestFit="1" customWidth="1"/>
    <col min="12804" max="13056" width="9.140625" style="1150"/>
    <col min="13057" max="13057" width="29.5703125" style="1150" bestFit="1" customWidth="1"/>
    <col min="13058" max="13058" width="19.85546875" style="1150" customWidth="1"/>
    <col min="13059" max="13059" width="12" style="1150" bestFit="1" customWidth="1"/>
    <col min="13060" max="13312" width="9.140625" style="1150"/>
    <col min="13313" max="13313" width="29.5703125" style="1150" bestFit="1" customWidth="1"/>
    <col min="13314" max="13314" width="19.85546875" style="1150" customWidth="1"/>
    <col min="13315" max="13315" width="12" style="1150" bestFit="1" customWidth="1"/>
    <col min="13316" max="13568" width="9.140625" style="1150"/>
    <col min="13569" max="13569" width="29.5703125" style="1150" bestFit="1" customWidth="1"/>
    <col min="13570" max="13570" width="19.85546875" style="1150" customWidth="1"/>
    <col min="13571" max="13571" width="12" style="1150" bestFit="1" customWidth="1"/>
    <col min="13572" max="13824" width="9.140625" style="1150"/>
    <col min="13825" max="13825" width="29.5703125" style="1150" bestFit="1" customWidth="1"/>
    <col min="13826" max="13826" width="19.85546875" style="1150" customWidth="1"/>
    <col min="13827" max="13827" width="12" style="1150" bestFit="1" customWidth="1"/>
    <col min="13828" max="14080" width="9.140625" style="1150"/>
    <col min="14081" max="14081" width="29.5703125" style="1150" bestFit="1" customWidth="1"/>
    <col min="14082" max="14082" width="19.85546875" style="1150" customWidth="1"/>
    <col min="14083" max="14083" width="12" style="1150" bestFit="1" customWidth="1"/>
    <col min="14084" max="14336" width="9.140625" style="1150"/>
    <col min="14337" max="14337" width="29.5703125" style="1150" bestFit="1" customWidth="1"/>
    <col min="14338" max="14338" width="19.85546875" style="1150" customWidth="1"/>
    <col min="14339" max="14339" width="12" style="1150" bestFit="1" customWidth="1"/>
    <col min="14340" max="14592" width="9.140625" style="1150"/>
    <col min="14593" max="14593" width="29.5703125" style="1150" bestFit="1" customWidth="1"/>
    <col min="14594" max="14594" width="19.85546875" style="1150" customWidth="1"/>
    <col min="14595" max="14595" width="12" style="1150" bestFit="1" customWidth="1"/>
    <col min="14596" max="14848" width="9.140625" style="1150"/>
    <col min="14849" max="14849" width="29.5703125" style="1150" bestFit="1" customWidth="1"/>
    <col min="14850" max="14850" width="19.85546875" style="1150" customWidth="1"/>
    <col min="14851" max="14851" width="12" style="1150" bestFit="1" customWidth="1"/>
    <col min="14852" max="15104" width="9.140625" style="1150"/>
    <col min="15105" max="15105" width="29.5703125" style="1150" bestFit="1" customWidth="1"/>
    <col min="15106" max="15106" width="19.85546875" style="1150" customWidth="1"/>
    <col min="15107" max="15107" width="12" style="1150" bestFit="1" customWidth="1"/>
    <col min="15108" max="15360" width="9.140625" style="1150"/>
    <col min="15361" max="15361" width="29.5703125" style="1150" bestFit="1" customWidth="1"/>
    <col min="15362" max="15362" width="19.85546875" style="1150" customWidth="1"/>
    <col min="15363" max="15363" width="12" style="1150" bestFit="1" customWidth="1"/>
    <col min="15364" max="15616" width="9.140625" style="1150"/>
    <col min="15617" max="15617" width="29.5703125" style="1150" bestFit="1" customWidth="1"/>
    <col min="15618" max="15618" width="19.85546875" style="1150" customWidth="1"/>
    <col min="15619" max="15619" width="12" style="1150" bestFit="1" customWidth="1"/>
    <col min="15620" max="15872" width="9.140625" style="1150"/>
    <col min="15873" max="15873" width="29.5703125" style="1150" bestFit="1" customWidth="1"/>
    <col min="15874" max="15874" width="19.85546875" style="1150" customWidth="1"/>
    <col min="15875" max="15875" width="12" style="1150" bestFit="1" customWidth="1"/>
    <col min="15876" max="16128" width="9.140625" style="1150"/>
    <col min="16129" max="16129" width="29.5703125" style="1150" bestFit="1" customWidth="1"/>
    <col min="16130" max="16130" width="19.85546875" style="1150" customWidth="1"/>
    <col min="16131" max="16131" width="12" style="1150" bestFit="1" customWidth="1"/>
    <col min="16132" max="16384" width="9.140625" style="1150"/>
  </cols>
  <sheetData>
    <row r="1" spans="1:2">
      <c r="A1" s="1150" t="s">
        <v>1176</v>
      </c>
      <c r="B1" s="1201">
        <v>6.1</v>
      </c>
    </row>
    <row r="2" spans="1:2">
      <c r="A2" s="1150" t="s">
        <v>1177</v>
      </c>
      <c r="B2" s="1205">
        <v>43216.362025462964</v>
      </c>
    </row>
    <row r="3" spans="1:2">
      <c r="A3" s="1150" t="s">
        <v>1178</v>
      </c>
      <c r="B3" s="1202" t="s">
        <v>869</v>
      </c>
    </row>
    <row r="4" spans="1:2">
      <c r="A4" s="1150" t="s">
        <v>1179</v>
      </c>
      <c r="B4" s="1202" t="s">
        <v>520</v>
      </c>
    </row>
    <row r="5" spans="1:2">
      <c r="A5" s="1150" t="s">
        <v>1180</v>
      </c>
      <c r="B5" s="1202" t="s">
        <v>1181</v>
      </c>
    </row>
    <row r="6" spans="1:2">
      <c r="A6" s="1150" t="s">
        <v>1182</v>
      </c>
    </row>
    <row r="7" spans="1:2">
      <c r="A7" s="1150" t="s">
        <v>1183</v>
      </c>
      <c r="B7" s="1202" t="s">
        <v>301</v>
      </c>
    </row>
    <row r="8" spans="1:2">
      <c r="A8" s="1150" t="s">
        <v>1184</v>
      </c>
      <c r="B8" s="1202" t="s">
        <v>1185</v>
      </c>
    </row>
    <row r="9" spans="1:2">
      <c r="A9" s="1150" t="s">
        <v>1186</v>
      </c>
      <c r="B9" s="1202" t="s">
        <v>1223</v>
      </c>
    </row>
    <row r="10" spans="1:2">
      <c r="A10" s="1150" t="s">
        <v>1187</v>
      </c>
    </row>
    <row r="11" spans="1:2">
      <c r="A11" s="1150" t="s">
        <v>1188</v>
      </c>
    </row>
    <row r="12" spans="1:2">
      <c r="A12" s="1150" t="s">
        <v>1189</v>
      </c>
    </row>
    <row r="13" spans="1:2">
      <c r="A13" s="1150" t="s">
        <v>1190</v>
      </c>
    </row>
    <row r="14" spans="1:2">
      <c r="A14" s="1150" t="s">
        <v>1191</v>
      </c>
    </row>
    <row r="15" spans="1:2">
      <c r="A15" s="1150" t="s">
        <v>1192</v>
      </c>
    </row>
    <row r="16" spans="1:2">
      <c r="A16" s="1150" t="s">
        <v>1193</v>
      </c>
    </row>
    <row r="17" spans="1:4">
      <c r="A17" s="1150" t="s">
        <v>1194</v>
      </c>
      <c r="B17" s="1202" t="s">
        <v>1224</v>
      </c>
    </row>
    <row r="18" spans="1:4">
      <c r="A18" s="1150" t="s">
        <v>1195</v>
      </c>
      <c r="B18" s="1202" t="s">
        <v>1227</v>
      </c>
    </row>
    <row r="19" spans="1:4">
      <c r="A19" s="1150" t="s">
        <v>1196</v>
      </c>
      <c r="B19" s="1202" t="s">
        <v>401</v>
      </c>
    </row>
    <row r="20" spans="1:4">
      <c r="A20" s="1150" t="s">
        <v>1197</v>
      </c>
      <c r="B20" s="1203">
        <v>882508104</v>
      </c>
    </row>
    <row r="21" spans="1:4">
      <c r="A21" s="1150" t="s">
        <v>1198</v>
      </c>
      <c r="B21" s="1202" t="s">
        <v>401</v>
      </c>
    </row>
    <row r="22" spans="1:4">
      <c r="A22" s="1150" t="s">
        <v>1199</v>
      </c>
      <c r="B22" s="1203">
        <v>2885409</v>
      </c>
    </row>
    <row r="23" spans="1:4">
      <c r="A23" s="1150" t="s">
        <v>285</v>
      </c>
      <c r="B23" s="1201">
        <v>103</v>
      </c>
    </row>
    <row r="24" spans="1:4">
      <c r="A24" s="1150" t="s">
        <v>284</v>
      </c>
      <c r="B24" s="1202" t="s">
        <v>183</v>
      </c>
      <c r="D24" s="1150" t="s">
        <v>494</v>
      </c>
    </row>
    <row r="25" spans="1:4">
      <c r="A25" s="1150" t="s">
        <v>1200</v>
      </c>
      <c r="B25" s="1202" t="s">
        <v>1228</v>
      </c>
    </row>
    <row r="26" spans="1:4">
      <c r="A26" s="1150" t="s">
        <v>1201</v>
      </c>
      <c r="B26" s="1202">
        <v>0</v>
      </c>
    </row>
    <row r="27" spans="1:4">
      <c r="A27" s="1150" t="s">
        <v>1202</v>
      </c>
      <c r="B27" s="1202" t="s">
        <v>1203</v>
      </c>
    </row>
    <row r="28" spans="1:4">
      <c r="A28" s="1150" t="s">
        <v>1204</v>
      </c>
      <c r="B28" s="1202" t="s">
        <v>1205</v>
      </c>
    </row>
    <row r="29" spans="1:4">
      <c r="A29" s="1150" t="s">
        <v>1206</v>
      </c>
    </row>
    <row r="30" spans="1:4">
      <c r="A30" s="1150" t="s">
        <v>1207</v>
      </c>
    </row>
    <row r="31" spans="1:4">
      <c r="A31" s="1150" t="s">
        <v>1208</v>
      </c>
    </row>
    <row r="32" spans="1:4">
      <c r="A32" s="1150" t="s">
        <v>1209</v>
      </c>
      <c r="B32" s="1201"/>
    </row>
    <row r="33" spans="1:2">
      <c r="A33" s="1150" t="s">
        <v>1210</v>
      </c>
      <c r="B33" s="1201"/>
    </row>
    <row r="34" spans="1:2">
      <c r="A34" s="1150" t="s">
        <v>1211</v>
      </c>
      <c r="B34" s="1201"/>
    </row>
    <row r="35" spans="1:2">
      <c r="A35" s="1150" t="s">
        <v>1212</v>
      </c>
      <c r="B35" s="1202">
        <v>1000000</v>
      </c>
    </row>
    <row r="36" spans="1:2">
      <c r="A36" s="1150" t="s">
        <v>1213</v>
      </c>
      <c r="B36" s="1202" t="s">
        <v>1225</v>
      </c>
    </row>
    <row r="37" spans="1:2">
      <c r="A37" s="1150" t="s">
        <v>1214</v>
      </c>
      <c r="B37" s="1202" t="s">
        <v>1215</v>
      </c>
    </row>
    <row r="38" spans="1:2">
      <c r="A38" s="1150" t="s">
        <v>1216</v>
      </c>
      <c r="B38" s="1202" t="s">
        <v>1217</v>
      </c>
    </row>
    <row r="39" spans="1:2">
      <c r="A39" s="1150" t="s">
        <v>1218</v>
      </c>
      <c r="B39" s="1202" t="s">
        <v>1226</v>
      </c>
    </row>
    <row r="40" spans="1:2">
      <c r="A40" s="1150" t="s">
        <v>1219</v>
      </c>
      <c r="B40" s="1202">
        <v>1500000092</v>
      </c>
    </row>
    <row r="41" spans="1:2">
      <c r="A41" s="1150" t="s">
        <v>1220</v>
      </c>
      <c r="B41" s="1202">
        <v>1</v>
      </c>
    </row>
    <row r="42" spans="1:2">
      <c r="A42" s="1204" t="s">
        <v>1221</v>
      </c>
      <c r="B42" s="1202" t="s">
        <v>1229</v>
      </c>
    </row>
    <row r="43" spans="1:2">
      <c r="A43" s="1150" t="s">
        <v>1222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1150" bestFit="1" customWidth="1"/>
    <col min="2" max="256" width="9.140625" style="1150"/>
    <col min="257" max="257" width="28.5703125" style="1150" bestFit="1" customWidth="1"/>
    <col min="258" max="512" width="9.140625" style="1150"/>
    <col min="513" max="513" width="28.5703125" style="1150" bestFit="1" customWidth="1"/>
    <col min="514" max="768" width="9.140625" style="1150"/>
    <col min="769" max="769" width="28.5703125" style="1150" bestFit="1" customWidth="1"/>
    <col min="770" max="1024" width="9.140625" style="1150"/>
    <col min="1025" max="1025" width="28.5703125" style="1150" bestFit="1" customWidth="1"/>
    <col min="1026" max="1280" width="9.140625" style="1150"/>
    <col min="1281" max="1281" width="28.5703125" style="1150" bestFit="1" customWidth="1"/>
    <col min="1282" max="1536" width="9.140625" style="1150"/>
    <col min="1537" max="1537" width="28.5703125" style="1150" bestFit="1" customWidth="1"/>
    <col min="1538" max="1792" width="9.140625" style="1150"/>
    <col min="1793" max="1793" width="28.5703125" style="1150" bestFit="1" customWidth="1"/>
    <col min="1794" max="2048" width="9.140625" style="1150"/>
    <col min="2049" max="2049" width="28.5703125" style="1150" bestFit="1" customWidth="1"/>
    <col min="2050" max="2304" width="9.140625" style="1150"/>
    <col min="2305" max="2305" width="28.5703125" style="1150" bestFit="1" customWidth="1"/>
    <col min="2306" max="2560" width="9.140625" style="1150"/>
    <col min="2561" max="2561" width="28.5703125" style="1150" bestFit="1" customWidth="1"/>
    <col min="2562" max="2816" width="9.140625" style="1150"/>
    <col min="2817" max="2817" width="28.5703125" style="1150" bestFit="1" customWidth="1"/>
    <col min="2818" max="3072" width="9.140625" style="1150"/>
    <col min="3073" max="3073" width="28.5703125" style="1150" bestFit="1" customWidth="1"/>
    <col min="3074" max="3328" width="9.140625" style="1150"/>
    <col min="3329" max="3329" width="28.5703125" style="1150" bestFit="1" customWidth="1"/>
    <col min="3330" max="3584" width="9.140625" style="1150"/>
    <col min="3585" max="3585" width="28.5703125" style="1150" bestFit="1" customWidth="1"/>
    <col min="3586" max="3840" width="9.140625" style="1150"/>
    <col min="3841" max="3841" width="28.5703125" style="1150" bestFit="1" customWidth="1"/>
    <col min="3842" max="4096" width="9.140625" style="1150"/>
    <col min="4097" max="4097" width="28.5703125" style="1150" bestFit="1" customWidth="1"/>
    <col min="4098" max="4352" width="9.140625" style="1150"/>
    <col min="4353" max="4353" width="28.5703125" style="1150" bestFit="1" customWidth="1"/>
    <col min="4354" max="4608" width="9.140625" style="1150"/>
    <col min="4609" max="4609" width="28.5703125" style="1150" bestFit="1" customWidth="1"/>
    <col min="4610" max="4864" width="9.140625" style="1150"/>
    <col min="4865" max="4865" width="28.5703125" style="1150" bestFit="1" customWidth="1"/>
    <col min="4866" max="5120" width="9.140625" style="1150"/>
    <col min="5121" max="5121" width="28.5703125" style="1150" bestFit="1" customWidth="1"/>
    <col min="5122" max="5376" width="9.140625" style="1150"/>
    <col min="5377" max="5377" width="28.5703125" style="1150" bestFit="1" customWidth="1"/>
    <col min="5378" max="5632" width="9.140625" style="1150"/>
    <col min="5633" max="5633" width="28.5703125" style="1150" bestFit="1" customWidth="1"/>
    <col min="5634" max="5888" width="9.140625" style="1150"/>
    <col min="5889" max="5889" width="28.5703125" style="1150" bestFit="1" customWidth="1"/>
    <col min="5890" max="6144" width="9.140625" style="1150"/>
    <col min="6145" max="6145" width="28.5703125" style="1150" bestFit="1" customWidth="1"/>
    <col min="6146" max="6400" width="9.140625" style="1150"/>
    <col min="6401" max="6401" width="28.5703125" style="1150" bestFit="1" customWidth="1"/>
    <col min="6402" max="6656" width="9.140625" style="1150"/>
    <col min="6657" max="6657" width="28.5703125" style="1150" bestFit="1" customWidth="1"/>
    <col min="6658" max="6912" width="9.140625" style="1150"/>
    <col min="6913" max="6913" width="28.5703125" style="1150" bestFit="1" customWidth="1"/>
    <col min="6914" max="7168" width="9.140625" style="1150"/>
    <col min="7169" max="7169" width="28.5703125" style="1150" bestFit="1" customWidth="1"/>
    <col min="7170" max="7424" width="9.140625" style="1150"/>
    <col min="7425" max="7425" width="28.5703125" style="1150" bestFit="1" customWidth="1"/>
    <col min="7426" max="7680" width="9.140625" style="1150"/>
    <col min="7681" max="7681" width="28.5703125" style="1150" bestFit="1" customWidth="1"/>
    <col min="7682" max="7936" width="9.140625" style="1150"/>
    <col min="7937" max="7937" width="28.5703125" style="1150" bestFit="1" customWidth="1"/>
    <col min="7938" max="8192" width="9.140625" style="1150"/>
    <col min="8193" max="8193" width="28.5703125" style="1150" bestFit="1" customWidth="1"/>
    <col min="8194" max="8448" width="9.140625" style="1150"/>
    <col min="8449" max="8449" width="28.5703125" style="1150" bestFit="1" customWidth="1"/>
    <col min="8450" max="8704" width="9.140625" style="1150"/>
    <col min="8705" max="8705" width="28.5703125" style="1150" bestFit="1" customWidth="1"/>
    <col min="8706" max="8960" width="9.140625" style="1150"/>
    <col min="8961" max="8961" width="28.5703125" style="1150" bestFit="1" customWidth="1"/>
    <col min="8962" max="9216" width="9.140625" style="1150"/>
    <col min="9217" max="9217" width="28.5703125" style="1150" bestFit="1" customWidth="1"/>
    <col min="9218" max="9472" width="9.140625" style="1150"/>
    <col min="9473" max="9473" width="28.5703125" style="1150" bestFit="1" customWidth="1"/>
    <col min="9474" max="9728" width="9.140625" style="1150"/>
    <col min="9729" max="9729" width="28.5703125" style="1150" bestFit="1" customWidth="1"/>
    <col min="9730" max="9984" width="9.140625" style="1150"/>
    <col min="9985" max="9985" width="28.5703125" style="1150" bestFit="1" customWidth="1"/>
    <col min="9986" max="10240" width="9.140625" style="1150"/>
    <col min="10241" max="10241" width="28.5703125" style="1150" bestFit="1" customWidth="1"/>
    <col min="10242" max="10496" width="9.140625" style="1150"/>
    <col min="10497" max="10497" width="28.5703125" style="1150" bestFit="1" customWidth="1"/>
    <col min="10498" max="10752" width="9.140625" style="1150"/>
    <col min="10753" max="10753" width="28.5703125" style="1150" bestFit="1" customWidth="1"/>
    <col min="10754" max="11008" width="9.140625" style="1150"/>
    <col min="11009" max="11009" width="28.5703125" style="1150" bestFit="1" customWidth="1"/>
    <col min="11010" max="11264" width="9.140625" style="1150"/>
    <col min="11265" max="11265" width="28.5703125" style="1150" bestFit="1" customWidth="1"/>
    <col min="11266" max="11520" width="9.140625" style="1150"/>
    <col min="11521" max="11521" width="28.5703125" style="1150" bestFit="1" customWidth="1"/>
    <col min="11522" max="11776" width="9.140625" style="1150"/>
    <col min="11777" max="11777" width="28.5703125" style="1150" bestFit="1" customWidth="1"/>
    <col min="11778" max="12032" width="9.140625" style="1150"/>
    <col min="12033" max="12033" width="28.5703125" style="1150" bestFit="1" customWidth="1"/>
    <col min="12034" max="12288" width="9.140625" style="1150"/>
    <col min="12289" max="12289" width="28.5703125" style="1150" bestFit="1" customWidth="1"/>
    <col min="12290" max="12544" width="9.140625" style="1150"/>
    <col min="12545" max="12545" width="28.5703125" style="1150" bestFit="1" customWidth="1"/>
    <col min="12546" max="12800" width="9.140625" style="1150"/>
    <col min="12801" max="12801" width="28.5703125" style="1150" bestFit="1" customWidth="1"/>
    <col min="12802" max="13056" width="9.140625" style="1150"/>
    <col min="13057" max="13057" width="28.5703125" style="1150" bestFit="1" customWidth="1"/>
    <col min="13058" max="13312" width="9.140625" style="1150"/>
    <col min="13313" max="13313" width="28.5703125" style="1150" bestFit="1" customWidth="1"/>
    <col min="13314" max="13568" width="9.140625" style="1150"/>
    <col min="13569" max="13569" width="28.5703125" style="1150" bestFit="1" customWidth="1"/>
    <col min="13570" max="13824" width="9.140625" style="1150"/>
    <col min="13825" max="13825" width="28.5703125" style="1150" bestFit="1" customWidth="1"/>
    <col min="13826" max="14080" width="9.140625" style="1150"/>
    <col min="14081" max="14081" width="28.5703125" style="1150" bestFit="1" customWidth="1"/>
    <col min="14082" max="14336" width="9.140625" style="1150"/>
    <col min="14337" max="14337" width="28.5703125" style="1150" bestFit="1" customWidth="1"/>
    <col min="14338" max="14592" width="9.140625" style="1150"/>
    <col min="14593" max="14593" width="28.5703125" style="1150" bestFit="1" customWidth="1"/>
    <col min="14594" max="14848" width="9.140625" style="1150"/>
    <col min="14849" max="14849" width="28.5703125" style="1150" bestFit="1" customWidth="1"/>
    <col min="14850" max="15104" width="9.140625" style="1150"/>
    <col min="15105" max="15105" width="28.5703125" style="1150" bestFit="1" customWidth="1"/>
    <col min="15106" max="15360" width="9.140625" style="1150"/>
    <col min="15361" max="15361" width="28.5703125" style="1150" bestFit="1" customWidth="1"/>
    <col min="15362" max="15616" width="9.140625" style="1150"/>
    <col min="15617" max="15617" width="28.5703125" style="1150" bestFit="1" customWidth="1"/>
    <col min="15618" max="15872" width="9.140625" style="1150"/>
    <col min="15873" max="15873" width="28.5703125" style="1150" bestFit="1" customWidth="1"/>
    <col min="15874" max="16128" width="9.140625" style="1150"/>
    <col min="16129" max="16129" width="28.5703125" style="1150" bestFit="1" customWidth="1"/>
    <col min="16130" max="16384" width="9.140625" style="1150"/>
  </cols>
  <sheetData>
    <row r="1" spans="1:1">
      <c r="A1" s="1206" t="s">
        <v>1230</v>
      </c>
    </row>
    <row r="2" spans="1:1">
      <c r="A2" s="1206" t="s">
        <v>1235</v>
      </c>
    </row>
    <row r="3" spans="1:1">
      <c r="A3" s="1206" t="s">
        <v>1236</v>
      </c>
    </row>
    <row r="4" spans="1:1">
      <c r="A4" s="1206" t="s">
        <v>1237</v>
      </c>
    </row>
    <row r="5" spans="1:1">
      <c r="A5" s="1206" t="s">
        <v>1238</v>
      </c>
    </row>
    <row r="6" spans="1:1">
      <c r="A6" s="1206" t="s">
        <v>1231</v>
      </c>
    </row>
    <row r="7" spans="1:1">
      <c r="A7" s="1206" t="s">
        <v>1239</v>
      </c>
    </row>
    <row r="8" spans="1:1">
      <c r="A8" s="1206" t="s">
        <v>1240</v>
      </c>
    </row>
    <row r="9" spans="1:1">
      <c r="A9" s="1206" t="s">
        <v>1241</v>
      </c>
    </row>
    <row r="10" spans="1:1">
      <c r="A10" s="1206" t="s">
        <v>1232</v>
      </c>
    </row>
    <row r="11" spans="1:1">
      <c r="A11" s="1206" t="s">
        <v>1242</v>
      </c>
    </row>
    <row r="12" spans="1:1">
      <c r="A12" s="1206" t="s">
        <v>1233</v>
      </c>
    </row>
    <row r="13" spans="1:1">
      <c r="A13" s="1206" t="s">
        <v>1234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1</MetadataChanged>
</lkmtd:Metadata>
</file>

<file path=customXml/item2.xml><?xml version="1.0" encoding="utf-8"?>
<lk:Links xmlns:lk="thomsonreuters.linking.metadata">
  <Link>
    <GUID>cbab90ef-c82c-4ad7-9af8-76a574e98ee0</GUID>
    <SOURCE_ALTADDRESS>$B$5:$K$35</SOURCE_ALTADDRESS>
    <SOURCETYPE>Table</SOURCETYPE>
    <SOURCE_OBJECTNAME>Linking_Range_46</SOURCE_OBJECTNAME>
    <OBJECTTYPE>Native</OBJECTTYPE>
    <SOURCE_SHEETCODE>Sheet15</SOURCE_SHEETCODE>
    <SOURCE_SHEETNAME>QoQ Comp</SOURCE_SHEETNAME>
    <SOURCEAPPLICATION>EXCEL_SOURCE</SOURCEAPPLICATION>
    <UPDATEDAT>1/26/2015 7:26:19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/MSResearch/Content/ExternalAssets/2015-01/Images/DyGkUErZg2n1xiGPM1YDA--.png</TARGET_BINARYFULLNAME>
    <TARGET_STORYFULLNAME>/MSResearch/Content/ExternalAssets/2015-01/Sections/20150126_072617_Linking_Range_46.xml</TARGET_STORYFULLNAME>
    <TARGET_UUID>1c1475fe-a5bb-11e4-9d5a-3eb708603406</TARGET_UUID>
  </Link>
  <Link>
    <GUID>5d999c1c-3347-4979-9a46-436015ecef9b</GUID>
    <SOURCE_ALTADDRESS>$D$7:$R$15</SOURCE_ALTADDRESS>
    <SOURCETYPE>Table</SOURCETYPE>
    <SOURCE_OBJECTNAME>Linking_Range_31</SOURCE_OBJECTNAME>
    <OBJECTTYPE>Native</OBJECTTYPE>
    <SOURCE_SHEETCODE>Sheet34</SOURCE_SHEETCODE>
    <SOURCE_SHEETNAME>MS vs. Cons.</SOURCE_SHEETNAME>
    <SOURCEAPPLICATION>EXCEL_SOURCE</SOURCEAPPLICATION>
    <UPDATEDAT>4/14/2015 7:53:53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/MSResearch/Content/ExternalAssets/2015-04/Images/7EJA7SN4vkC23y-XH70C8g--.png</TARGET_BINARYFULLNAME>
    <TARGET_STORYFULLNAME>/MSResearch/Content/ExternalAssets/2015-04/Sections/20150414_075351_Linking_Range_31.xml</TARGET_STORYFULLNAME>
    <TARGET_UUID>801857e0-e301-11e4-8428-e799a3b9280a</TARGET_UUID>
  </Link>
  <Link>
    <GUID>cebc8970-505f-4371-bf2c-976ab951d0a0</GUID>
    <SOURCE_ALTADDRESS>$D$6:$R$15</SOURCE_ALTADDRESS>
    <SOURCETYPE>Table</SOURCETYPE>
    <SOURCE_OBJECTNAME>Linking_Range_39</SOURCE_OBJECTNAME>
    <OBJECTTYPE>Native</OBJECTTYPE>
    <SOURCE_SHEETCODE>Sheet34</SOURCE_SHEETCODE>
    <SOURCE_SHEETNAME>MS vs. Cons.</SOURCE_SHEETNAME>
    <SOURCEAPPLICATION>EXCEL_SOURCE</SOURCEAPPLICATION>
    <UPDATEDAT>4/17/2015 10:43:09 AM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/MSResearch/Content/ExternalAssets/2015-04/Images/kSgEN7pRyk66hwniImKGyg--.png</TARGET_BINARYFULLNAME>
    <TARGET_STORYFULLNAME>/MSResearch/Content/ExternalAssets/2015-04/Sections/20150417_104307_Linking_Range_39.xml</TARGET_STORYFULLNAME>
    <TARGET_UUID>0fe4b692-e510-11e4-8428-e799a3b9280a</TARGET_UUID>
  </Link>
  <Link>
    <GUID>adbae4f9-19e2-4839-9ccf-ab8804f24151</GUID>
    <SOURCE_ALTADDRESS>$C$9:$L$19</SOURCE_ALTADDRESS>
    <SOURCETYPE>Table</SOURCETYPE>
    <SOURCE_OBJECTNAME>Linking_Range_44</SOURCE_OBJECTNAME>
    <OBJECTTYPE>Native</OBJECTTYPE>
    <SOURCE_SHEETCODE>Sheet13</SOURCE_SHEETCODE>
    <SOURCE_SHEETNAME>Snapshot</SOURCE_SHEETNAME>
    <SOURCEAPPLICATION>EXCEL_SOURCE</SOURCEAPPLICATION>
    <UPDATEDAT>4/22/2015 6:22:43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/MSResearch/Content/ExternalAssets/2015-01/Images/omlSTKSwUk_-SvBr-ivdlA--.png</TARGET_BINARYFULLNAME>
    <TARGET_STORYFULLNAME>/MSResearch/Content/ExternalAssets/2015-01/Sections/20150126_072545_Linking_Range_44.xml</TARGET_STORYFULLNAME>
    <TARGET_UUID>08e966f6-a5bb-11e4-9d5a-3eb708603406</TARGET_UUID>
    <TRANSPARENTBACKGROUND>False</TRANSPARENTBACKGROUND>
    <TRANSPARENTPLOTAREA>False</TRANSPARENTPLOTAREA>
    <EXTRACTSOURCEMODE>CopyToClipboard</EXTRACTSOURCEMODE>
  </Link>
  <Link>
    <GUID>823dd5fd-bec1-4b27-a6ed-b48421bb5dc2</GUID>
    <SOURCE_ALTADDRESS>$B$5:$L$35</SOURCE_ALTADDRESS>
    <SOURCETYPE>Table</SOURCETYPE>
    <SOURCE_OBJECTNAME>Linking_Range_47</SOURCE_OBJECTNAME>
    <OBJECTTYPE>Native</OBJECTTYPE>
    <SOURCE_SHEETCODE>Sheet15</SOURCE_SHEETCODE>
    <SOURCE_SHEETNAME>QoQ Comp</SOURCE_SHEETNAME>
    <SOURCEAPPLICATION>EXCEL_SOURCE</SOURCEAPPLICATION>
    <UPDATEDAT>4/22/2015 6:23:03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/MSResearch/Content/ExternalAssets/2015-04/Images/J2o88gkrIEOHCSkjeu_2-Q--.png</TARGET_BINARYFULLNAME>
    <TARGET_STORYFULLNAME>/MSResearch/Content/ExternalAssets/2015-04/Sections/20150422_062300_Linking_Range_47.xml</TARGET_STORYFULLNAME>
    <TARGET_UUID>2250387e-e93e-11e4-b44c-544b7b2f2e67</TARGET_UUID>
  </Link>
  <Link>
    <GUID>1c4746ab-16b5-49e0-9d87-df89a4ba0b63</GUID>
    <SOURCE_ALTADDRESS>$C$21:$I$28</SOURCE_ALTADDRESS>
    <SOURCETYPE>Table</SOURCETYPE>
    <SOURCE_OBJECTNAME>Linking_Range_45</SOURCE_OBJECTNAME>
    <OBJECTTYPE>Native</OBJECTTYPE>
    <SOURCE_SHEETCODE>Sheet13</SOURCE_SHEETCODE>
    <SOURCE_SHEETNAME>Snapshot</SOURCE_SHEETNAME>
    <SOURCEAPPLICATION>EXCEL_SOURCE</SOURCEAPPLICATION>
    <UPDATEDAT>4/22/2015 6:23:20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/MSResearch/Content/ExternalAssets/2015-01/Images/-RHADixrzEaH61G1Ff_o3w--.png</TARGET_BINARYFULLNAME>
    <TARGET_STORYFULLNAME>/MSResearch/Content/ExternalAssets/2015-01/Sections/20150126_072556_Linking_Range_45.xml</TARGET_STORYFULLNAME>
    <TARGET_UUID>0f873754-a5bb-11e4-9d5a-3eb708603406</TARGET_UUID>
    <TRANSPARENTBACKGROUND>False</TRANSPARENTBACKGROUND>
    <TRANSPARENTPLOTAREA>False</TRANSPARENTPLOTAREA>
    <EXTRACTSOURCEMODE>CopyToClipboard</EXTRACTSOURCEMODE>
  </Link>
  <Link>
    <GUID>022a1fc2-4c6e-4e7f-b1f3-8b9626d80789</GUID>
    <SOURCE_ALTADDRESS>$B$4:$BL$95</SOURCE_ALTADDRESS>
    <SOURCETYPE>Table</SOURCETYPE>
    <SOURCE_OBJECTNAME>Linking_Range_41</SOURCE_OBJECTNAME>
    <OBJECTTYPE>Native</OBJECTTYPE>
    <SOURCE_SHEETCODE>Sheet2</SOURCE_SHEETCODE>
    <SOURCE_SHEETNAME>IS</SOURCE_SHEETNAME>
    <SOURCEAPPLICATION>EXCEL_SOURCE</SOURCEAPPLICATION>
    <UPDATEDAT>4/22/2015 7:44:47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/MSResearch/Content/ExternalAssets/2015-01/Images/vlRWP2XN2yTKbG2aPMl1Q--.png</TARGET_BINARYFULLNAME>
    <TARGET_STORYFULLNAME>/MSResearch/Content/ExternalAssets/2015-01/Sections/20150126_072815_Linking_Range_41.xml</TARGET_STORYFULLNAME>
    <TARGET_UUID>620b44d4-a5bb-11e4-9d5a-3eb708603406</TARGET_UUID>
    <TRANSPARENTBACKGROUND>False</TRANSPARENTBACKGROUND>
    <TRANSPARENTPLOTAREA>False</TRANSPARENTPLOTAREA>
    <EXTRACTSOURCEMODE>CopyToClipboard</EXTRACTSOURCEMODE>
  </Link>
  <Link>
    <GUID>6f4974d6-2d2a-456f-b909-48bdafcd73a7</GUID>
    <SOURCE_ALTADDRESS>$B$8:$BL$41</SOURCE_ALTADDRESS>
    <SOURCETYPE>Table</SOURCETYPE>
    <SOURCE_OBJECTNAME>Linking_Range_48</SOURCE_OBJECTNAME>
    <OBJECTTYPE>Native</OBJECTTYPE>
    <SOURCE_SHEETCODE>Sheet3</SOURCE_SHEETCODE>
    <SOURCE_SHEETNAME>BS</SOURCE_SHEETNAME>
    <SOURCEAPPLICATION>EXCEL_SOURCE</SOURCEAPPLICATION>
    <UPDATEDAT>4/22/2015 7:45:22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/MSResearch/Content/ExternalAssets/2015-04/Images/333Z03bkk02hZHZnb-zcEQ--.png</TARGET_BINARYFULLNAME>
    <TARGET_STORYFULLNAME>/MSResearch/Content/ExternalAssets/2015-04/Sections/20150422_074518_Linking_Range_48.xml</TARGET_STORYFULLNAME>
    <TARGET_UUID>a1e45b46-e949-11e4-b44c-544b7b2f2e67</TARGET_UUID>
  </Link>
  <Link>
    <GUID>9729b034-509f-4317-963e-5eb744fafdda</GUID>
    <SOURCE_ALTADDRESS>$B$7:$BL$52</SOURCE_ALTADDRESS>
    <SOURCETYPE>Table</SOURCETYPE>
    <SOURCE_OBJECTNAME>Linking_Range_43</SOURCE_OBJECTNAME>
    <OBJECTTYPE>Native</OBJECTTYPE>
    <SOURCE_SHEETCODE>Sheet4</SOURCE_SHEETCODE>
    <SOURCE_SHEETNAME>CFS</SOURCE_SHEETNAME>
    <SOURCEAPPLICATION>EXCEL_SOURCE</SOURCEAPPLICATION>
    <UPDATEDAT>4/22/2015 7:46:07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/MSResearch/Content/ExternalAssets/2015-01/Images/8drcF1FPMUW35-slNRBDHg--.png</TARGET_BINARYFULLNAME>
    <TARGET_STORYFULLNAME>/MSResearch/Content/ExternalAssets/2015-01/Sections/20150126_073119_Linking_Range_43.xml</TARGET_STORYFULLNAME>
    <TARGET_UUID>d00b3106-a5bb-11e4-9d5a-3eb708603406</TARGET_UUID>
    <TRANSPARENTBACKGROUND>False</TRANSPARENTBACKGROUND>
    <TRANSPARENTPLOTAREA>False</TRANSPARENTPLOTAREA>
    <EXTRACTSOURCEMODE>CopyToClipboard</EXTRACTSOURCEMODE>
  </Link>
  <Link>
    <GUID>914d826a-1a4e-4459-ab16-6335ce68d56c</GUID>
    <SOURCE_ALTADDRESS>$B$7:$BL$41</SOURCE_ALTADDRESS>
    <SOURCETYPE>Table</SOURCETYPE>
    <SOURCE_OBJECTNAME>Linking_Range_42</SOURCE_OBJECTNAME>
    <OBJECTTYPE>Native</OBJECTTYPE>
    <SOURCE_SHEETCODE>Sheet3</SOURCE_SHEETCODE>
    <SOURCE_SHEETNAME>BS</SOURCE_SHEETNAME>
    <SOURCEAPPLICATION>EXCEL_SOURCE</SOURCEAPPLICATION>
    <UPDATEDAT>4/22/2015 7:46:48 PM</UPDATEDAT>
    <SOURCE_ISOUTOFDATE>False</SOURCE_ISOUTOFDATE>
    <SOURCE_WORKBOOKNAME>TXN WIP.xls</SOURCE_WORKBOOKNAME>
    <SOURCE_WORKBOOKPATH>\\MSAD\ROOT\NA\NY\LIB\ER\SEMI CAP\Joe Files\Companies\TXN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/MSResearch/Content/ExternalAssets/2015-01/Images/5-QhOQXHk_-w_ltEKctJw--.png</TARGET_BINARYFULLNAME>
    <TARGET_STORYFULLNAME>/MSResearch/Content/ExternalAssets/2015-01/Sections/20150126_073043_Linking_Range_42.xml</TARGET_STORYFULLNAME>
    <TARGET_UUID>ba45ddee-a5bb-11e4-9d5a-3eb708603406</TARGET_UUID>
    <TRANSPARENTBACKGROUND>False</TRANSPARENTBACKGROUND>
    <TRANSPARENTPLOTAREA>False</TRANSPARENTPLOTAREA>
    <EXTRACTSOURCEMODE>CopyToClipboard</EXTRACTSOURCEMODE>
    <LINKSTATUS>Unknown</LINKSTATUS>
  </Link>
  <Link>
    <GUID>f0649592-8075-428c-838b-d77a60a81b9a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4/22/2015 9:21:55 PM</UPDATEDAT>
    <SOURCE_ISOUTOFDATE>False</SOURCE_ISOUTOFDATE>
    <SOURCE_WORKBOOKNAME>TXN WIP.xls</SOURCE_WORKBOOKNAME>
    <SOURCE_WORKBOOKPATH>\\MSAD\ROOT\NA\NY\LIB\ER\SEMI CAP\Joe Files\Companies\TXN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/MSResearch/Content/ExternalAssets/2015-01/Images/qyNkyhlzg_rj9G_olL76A--.png</TARGET_BINARYFULLNAME>
    <TARGET_STORYFULLNAME>/MSResearch/Content/ExternalAssets/2015-01/Sections/20150126_075436_MWA_Risk_Reward.xml</TARGET_STORYFULLNAME>
    <TARGET_UUID>10f65db4-a5bf-11e4-9d5a-3eb708603406</TARGET_UUID>
    <HIDEGRIDLINES>False</HIDEGRIDLINES>
    <EXTRACTSOURCEMODE>CopyToClipboard</EXTRACTSOURCEMODE>
  </Link>
</lk:Links>
</file>

<file path=customXml/itemProps1.xml><?xml version="1.0" encoding="utf-8"?>
<ds:datastoreItem xmlns:ds="http://schemas.openxmlformats.org/officeDocument/2006/customXml" ds:itemID="{FDE91219-FD6A-4BE1-A148-84C21552BCC4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C4CBA574-6D52-4E7C-9681-C5A8A96A5DC1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ImportantDisclosures</vt:lpstr>
      <vt:lpstr>IS</vt:lpstr>
      <vt:lpstr>BS</vt:lpstr>
      <vt:lpstr>CFS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Linking_10</vt:lpstr>
      <vt:lpstr>Linking_11</vt:lpstr>
      <vt:lpstr>Linking_12</vt:lpstr>
      <vt:lpstr>Linking_14</vt:lpstr>
      <vt:lpstr>Linking_15</vt:lpstr>
      <vt:lpstr>Linking_16</vt:lpstr>
      <vt:lpstr>Linking_17</vt:lpstr>
      <vt:lpstr>Linking_18</vt:lpstr>
      <vt:lpstr>Linking_19</vt:lpstr>
      <vt:lpstr>Linking_20</vt:lpstr>
      <vt:lpstr>Linking_5</vt:lpstr>
      <vt:lpstr>Linking_6</vt:lpstr>
      <vt:lpstr>Linking_7</vt:lpstr>
      <vt:lpstr>Linking_9</vt:lpstr>
      <vt:lpstr>Linking_Range_1</vt:lpstr>
      <vt:lpstr>Linking_Range_10</vt:lpstr>
      <vt:lpstr>Linking_Range_11</vt:lpstr>
      <vt:lpstr>Linking_Range_12</vt:lpstr>
      <vt:lpstr>Linking_Range_13</vt:lpstr>
      <vt:lpstr>Linking_Range_2</vt:lpstr>
      <vt:lpstr>Linking_Range_3</vt:lpstr>
      <vt:lpstr>Linking_Range_33</vt:lpstr>
      <vt:lpstr>Linking_Range_34</vt:lpstr>
      <vt:lpstr>Linking_Range_37</vt:lpstr>
      <vt:lpstr>Linking_Range_41</vt:lpstr>
      <vt:lpstr>Linking_Range_42</vt:lpstr>
      <vt:lpstr>Linking_Range_43</vt:lpstr>
      <vt:lpstr>Linking_Range_48</vt:lpstr>
      <vt:lpstr>Linking_Range_8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'BU-Segment'!Print_Area</vt:lpstr>
      <vt:lpstr>CFS!Print_Area</vt:lpstr>
      <vt:lpstr>IS!Print_Area</vt:lpstr>
      <vt:lpstr>'BU-Segment'!Print_Titles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Linden, Sarah (Research)</cp:lastModifiedBy>
  <cp:lastPrinted>2018-04-20T20:18:29Z</cp:lastPrinted>
  <dcterms:modified xsi:type="dcterms:W3CDTF">2018-04-26T12:41:21Z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LinkingAutoNameNumberLinking_Range_" pid="3">
    <vt:lpwstr>48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764312</vt:lpwstr>
  </property>
  <property fmtid="{D5CDD505-2E9C-101B-9397-08002B2CF9AE}" name="ERModPubCompanyName" pid="7">
    <vt:lpwstr>Texas Instruments</vt:lpwstr>
  </property>
  <property fmtid="{D5CDD505-2E9C-101B-9397-08002B2CF9AE}" name="MSDH34TAG" pid="8">
    <vt:lpwstr>.TEZUF76X5TAHATHESADREYAK-00-INB160+*94600-06=21606e4c/-494f/-11e8/-adef/-6a0a1ce82510,MD=20180426100051/-0400,ZZ=000Z-40b8.</vt:lpwstr>
  </property>
</Properties>
</file>